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"/>
    </mc:Choice>
  </mc:AlternateContent>
  <xr:revisionPtr revIDLastSave="0" documentId="14_{0F8AE06E-BF3B-4D6E-89CB-A20AA5EAAD47}" xr6:coauthVersionLast="47" xr6:coauthVersionMax="47" xr10:uidLastSave="{00000000-0000-0000-0000-000000000000}"/>
  <bookViews>
    <workbookView xWindow="2628" yWindow="1008" windowWidth="19848" windowHeight="11520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</sheets>
  <definedNames>
    <definedName name="_xlnm._FilterDatabase" localSheetId="3" hidden="1">'Customer List'!$A$1:$L$205</definedName>
    <definedName name="_xlnm._FilterDatabase" localSheetId="1" hidden="1">'Raw Data'!$A$1:$W$11664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2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" l="1"/>
  <c r="U16" i="5"/>
  <c r="V16" i="5" s="1"/>
  <c r="R16" i="5"/>
  <c r="P16" i="5"/>
  <c r="A16" i="5"/>
  <c r="U15" i="5"/>
  <c r="V15" i="5" s="1"/>
  <c r="R15" i="5"/>
  <c r="P15" i="5"/>
  <c r="A15" i="5"/>
  <c r="U14" i="5"/>
  <c r="V14" i="5" s="1"/>
  <c r="R14" i="5"/>
  <c r="P14" i="5"/>
  <c r="A14" i="5"/>
  <c r="U13" i="5"/>
  <c r="V13" i="5" s="1"/>
  <c r="R13" i="5"/>
  <c r="P13" i="5"/>
  <c r="A13" i="5"/>
  <c r="U5" i="5"/>
  <c r="R5" i="5"/>
  <c r="T5" i="5" s="1"/>
  <c r="V5" i="5" s="1"/>
  <c r="P5" i="5"/>
  <c r="A5" i="5"/>
  <c r="U9" i="5"/>
  <c r="R9" i="5"/>
  <c r="T9" i="5" s="1"/>
  <c r="P9" i="5"/>
  <c r="A9" i="5"/>
  <c r="U17" i="5"/>
  <c r="R17" i="5"/>
  <c r="P17" i="5"/>
  <c r="U12" i="5"/>
  <c r="R12" i="5"/>
  <c r="T12" i="5" s="1"/>
  <c r="V12" i="5" s="1"/>
  <c r="P12" i="5"/>
  <c r="A12" i="5"/>
  <c r="A17" i="5"/>
  <c r="J10" i="3"/>
  <c r="V9" i="5" l="1"/>
  <c r="V17" i="5"/>
  <c r="J5" i="3"/>
  <c r="J6" i="3"/>
  <c r="J7" i="3"/>
  <c r="J8" i="3"/>
  <c r="J9" i="3"/>
  <c r="J11" i="3"/>
  <c r="J12" i="3"/>
  <c r="J14" i="3"/>
  <c r="J15" i="3"/>
  <c r="J16" i="3"/>
  <c r="J3" i="3" l="1"/>
  <c r="J2" i="3"/>
  <c r="U3" i="5"/>
  <c r="U4" i="5"/>
  <c r="U6" i="5"/>
  <c r="U7" i="5"/>
  <c r="U8" i="5"/>
  <c r="U10" i="5"/>
  <c r="U11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R3" i="5"/>
  <c r="T3" i="5" s="1"/>
  <c r="R4" i="5"/>
  <c r="T4" i="5" s="1"/>
  <c r="R6" i="5"/>
  <c r="R7" i="5"/>
  <c r="T7" i="5" s="1"/>
  <c r="R8" i="5"/>
  <c r="T8" i="5" s="1"/>
  <c r="R10" i="5"/>
  <c r="R11" i="5"/>
  <c r="T11" i="5" s="1"/>
  <c r="R18" i="5"/>
  <c r="T18" i="5" s="1"/>
  <c r="R19" i="5"/>
  <c r="T19" i="5" s="1"/>
  <c r="R20" i="5"/>
  <c r="T20" i="5" s="1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T37" i="5" s="1"/>
  <c r="R38" i="5"/>
  <c r="T38" i="5" s="1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P3" i="5"/>
  <c r="P4" i="5"/>
  <c r="P6" i="5"/>
  <c r="P7" i="5"/>
  <c r="P8" i="5"/>
  <c r="P10" i="5"/>
  <c r="P11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A3" i="5"/>
  <c r="A4" i="5"/>
  <c r="A6" i="5"/>
  <c r="A7" i="5"/>
  <c r="A8" i="5"/>
  <c r="A10" i="5"/>
  <c r="A11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R49" i="5"/>
  <c r="T49" i="5" s="1"/>
  <c r="R50" i="5"/>
  <c r="T50" i="5" s="1"/>
  <c r="R51" i="5"/>
  <c r="T51" i="5" s="1"/>
  <c r="R52" i="5"/>
  <c r="T52" i="5" s="1"/>
  <c r="R53" i="5"/>
  <c r="T53" i="5" s="1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T66" i="5" s="1"/>
  <c r="R67" i="5"/>
  <c r="T67" i="5" s="1"/>
  <c r="R68" i="5"/>
  <c r="T68" i="5" s="1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R269" i="5"/>
  <c r="R270" i="5"/>
  <c r="T270" i="5" s="1"/>
  <c r="R271" i="5"/>
  <c r="T271" i="5" s="1"/>
  <c r="R272" i="5"/>
  <c r="T272" i="5" s="1"/>
  <c r="R273" i="5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R285" i="5"/>
  <c r="R286" i="5"/>
  <c r="T286" i="5" s="1"/>
  <c r="R287" i="5"/>
  <c r="T287" i="5" s="1"/>
  <c r="R288" i="5"/>
  <c r="R289" i="5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R301" i="5"/>
  <c r="R302" i="5"/>
  <c r="T302" i="5" s="1"/>
  <c r="R303" i="5"/>
  <c r="T303" i="5" s="1"/>
  <c r="R304" i="5"/>
  <c r="T304" i="5" s="1"/>
  <c r="R305" i="5"/>
  <c r="R306" i="5"/>
  <c r="T306" i="5" s="1"/>
  <c r="R307" i="5"/>
  <c r="T307" i="5" s="1"/>
  <c r="R308" i="5"/>
  <c r="T308" i="5" s="1"/>
  <c r="R309" i="5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R317" i="5"/>
  <c r="R318" i="5"/>
  <c r="T318" i="5" s="1"/>
  <c r="R319" i="5"/>
  <c r="T319" i="5" s="1"/>
  <c r="R320" i="5"/>
  <c r="R321" i="5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V331" i="5" s="1"/>
  <c r="R332" i="5"/>
  <c r="R333" i="5"/>
  <c r="R334" i="5"/>
  <c r="T334" i="5" s="1"/>
  <c r="R335" i="5"/>
  <c r="T335" i="5" s="1"/>
  <c r="R336" i="5"/>
  <c r="T336" i="5" s="1"/>
  <c r="R337" i="5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R346" i="5"/>
  <c r="T346" i="5" s="1"/>
  <c r="R347" i="5"/>
  <c r="T347" i="5" s="1"/>
  <c r="R348" i="5"/>
  <c r="R349" i="5"/>
  <c r="R350" i="5"/>
  <c r="T350" i="5" s="1"/>
  <c r="R351" i="5"/>
  <c r="T351" i="5" s="1"/>
  <c r="R352" i="5"/>
  <c r="T352" i="5" s="1"/>
  <c r="R353" i="5"/>
  <c r="R354" i="5"/>
  <c r="T354" i="5" s="1"/>
  <c r="R355" i="5"/>
  <c r="T355" i="5" s="1"/>
  <c r="R356" i="5"/>
  <c r="T356" i="5" s="1"/>
  <c r="R357" i="5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R365" i="5"/>
  <c r="R366" i="5"/>
  <c r="T366" i="5" s="1"/>
  <c r="R367" i="5"/>
  <c r="T367" i="5" s="1"/>
  <c r="R368" i="5"/>
  <c r="T368" i="5" s="1"/>
  <c r="R369" i="5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V378" i="5" s="1"/>
  <c r="R379" i="5"/>
  <c r="T379" i="5" s="1"/>
  <c r="R380" i="5"/>
  <c r="R381" i="5"/>
  <c r="R382" i="5"/>
  <c r="T382" i="5" s="1"/>
  <c r="R383" i="5"/>
  <c r="T383" i="5" s="1"/>
  <c r="R384" i="5"/>
  <c r="T384" i="5" s="1"/>
  <c r="R385" i="5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R397" i="5"/>
  <c r="R398" i="5"/>
  <c r="T398" i="5" s="1"/>
  <c r="R399" i="5"/>
  <c r="T399" i="5" s="1"/>
  <c r="R400" i="5"/>
  <c r="T400" i="5" s="1"/>
  <c r="R401" i="5"/>
  <c r="R402" i="5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R413" i="5"/>
  <c r="R414" i="5"/>
  <c r="T414" i="5" s="1"/>
  <c r="R415" i="5"/>
  <c r="T415" i="5" s="1"/>
  <c r="R416" i="5"/>
  <c r="T416" i="5" s="1"/>
  <c r="R417" i="5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V426" i="5" s="1"/>
  <c r="R427" i="5"/>
  <c r="T427" i="5" s="1"/>
  <c r="R428" i="5"/>
  <c r="R429" i="5"/>
  <c r="R430" i="5"/>
  <c r="T430" i="5" s="1"/>
  <c r="R431" i="5"/>
  <c r="T431" i="5" s="1"/>
  <c r="R432" i="5"/>
  <c r="T432" i="5" s="1"/>
  <c r="R433" i="5"/>
  <c r="R434" i="5"/>
  <c r="T434" i="5" s="1"/>
  <c r="R435" i="5"/>
  <c r="T435" i="5" s="1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B19" i="4"/>
  <c r="B18" i="4"/>
  <c r="B17" i="4"/>
  <c r="B16" i="4"/>
  <c r="C26" i="4"/>
  <c r="C27" i="4"/>
  <c r="C28" i="4"/>
  <c r="C29" i="4"/>
  <c r="C30" i="4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R2" i="5"/>
  <c r="T2" i="5" s="1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T268" i="5"/>
  <c r="T269" i="5"/>
  <c r="T273" i="5"/>
  <c r="V273" i="5" s="1"/>
  <c r="T284" i="5"/>
  <c r="T285" i="5"/>
  <c r="T288" i="5"/>
  <c r="T289" i="5"/>
  <c r="V289" i="5" s="1"/>
  <c r="T300" i="5"/>
  <c r="T301" i="5"/>
  <c r="T305" i="5"/>
  <c r="V305" i="5" s="1"/>
  <c r="T309" i="5"/>
  <c r="T316" i="5"/>
  <c r="T317" i="5"/>
  <c r="T320" i="5"/>
  <c r="T321" i="5"/>
  <c r="V321" i="5" s="1"/>
  <c r="T332" i="5"/>
  <c r="T333" i="5"/>
  <c r="T337" i="5"/>
  <c r="V337" i="5" s="1"/>
  <c r="T345" i="5"/>
  <c r="T348" i="5"/>
  <c r="T349" i="5"/>
  <c r="T353" i="5"/>
  <c r="T357" i="5"/>
  <c r="T364" i="5"/>
  <c r="T365" i="5"/>
  <c r="T369" i="5"/>
  <c r="T380" i="5"/>
  <c r="T381" i="5"/>
  <c r="T385" i="5"/>
  <c r="T396" i="5"/>
  <c r="T397" i="5"/>
  <c r="T401" i="5"/>
  <c r="T402" i="5"/>
  <c r="V402" i="5" s="1"/>
  <c r="T412" i="5"/>
  <c r="T413" i="5"/>
  <c r="T417" i="5"/>
  <c r="T428" i="5"/>
  <c r="T429" i="5"/>
  <c r="T433" i="5"/>
  <c r="R436" i="5"/>
  <c r="T436" i="5" s="1"/>
  <c r="V436" i="5" s="1"/>
  <c r="R437" i="5"/>
  <c r="T437" i="5" s="1"/>
  <c r="V437" i="5" s="1"/>
  <c r="R438" i="5"/>
  <c r="T438" i="5" s="1"/>
  <c r="R439" i="5"/>
  <c r="T439" i="5" s="1"/>
  <c r="R440" i="5"/>
  <c r="T440" i="5" s="1"/>
  <c r="R441" i="5"/>
  <c r="T441" i="5" s="1"/>
  <c r="R442" i="5"/>
  <c r="T442" i="5" s="1"/>
  <c r="V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V450" i="5" s="1"/>
  <c r="R451" i="5"/>
  <c r="T451" i="5" s="1"/>
  <c r="R452" i="5"/>
  <c r="T452" i="5" s="1"/>
  <c r="V452" i="5" s="1"/>
  <c r="R453" i="5"/>
  <c r="T453" i="5" s="1"/>
  <c r="V453" i="5" s="1"/>
  <c r="R454" i="5"/>
  <c r="T454" i="5" s="1"/>
  <c r="R455" i="5"/>
  <c r="T455" i="5" s="1"/>
  <c r="R456" i="5"/>
  <c r="T456" i="5" s="1"/>
  <c r="R457" i="5"/>
  <c r="T457" i="5" s="1"/>
  <c r="R458" i="5"/>
  <c r="T458" i="5" s="1"/>
  <c r="V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V466" i="5" s="1"/>
  <c r="R467" i="5"/>
  <c r="T467" i="5" s="1"/>
  <c r="R468" i="5"/>
  <c r="T468" i="5" s="1"/>
  <c r="V468" i="5" s="1"/>
  <c r="R469" i="5"/>
  <c r="T469" i="5" s="1"/>
  <c r="V469" i="5" s="1"/>
  <c r="R470" i="5"/>
  <c r="T470" i="5" s="1"/>
  <c r="R471" i="5"/>
  <c r="T471" i="5" s="1"/>
  <c r="R472" i="5"/>
  <c r="T472" i="5" s="1"/>
  <c r="R473" i="5"/>
  <c r="T473" i="5" s="1"/>
  <c r="R474" i="5"/>
  <c r="T474" i="5" s="1"/>
  <c r="V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V482" i="5" s="1"/>
  <c r="R483" i="5"/>
  <c r="T483" i="5" s="1"/>
  <c r="R484" i="5"/>
  <c r="T484" i="5" s="1"/>
  <c r="V484" i="5" s="1"/>
  <c r="R485" i="5"/>
  <c r="T485" i="5" s="1"/>
  <c r="V485" i="5" s="1"/>
  <c r="R486" i="5"/>
  <c r="T486" i="5" s="1"/>
  <c r="R487" i="5"/>
  <c r="T487" i="5" s="1"/>
  <c r="R488" i="5"/>
  <c r="T488" i="5" s="1"/>
  <c r="R489" i="5"/>
  <c r="T489" i="5" s="1"/>
  <c r="R490" i="5"/>
  <c r="T490" i="5" s="1"/>
  <c r="V490" i="5" s="1"/>
  <c r="R491" i="5"/>
  <c r="T491" i="5" s="1"/>
  <c r="R492" i="5"/>
  <c r="T492" i="5" s="1"/>
  <c r="R493" i="5"/>
  <c r="T493" i="5" s="1"/>
  <c r="R494" i="5"/>
  <c r="T494" i="5" s="1"/>
  <c r="R495" i="5"/>
  <c r="T495" i="5" s="1"/>
  <c r="R496" i="5"/>
  <c r="T496" i="5" s="1"/>
  <c r="R497" i="5"/>
  <c r="T497" i="5" s="1"/>
  <c r="R498" i="5"/>
  <c r="T498" i="5" s="1"/>
  <c r="V498" i="5" s="1"/>
  <c r="R499" i="5"/>
  <c r="T499" i="5" s="1"/>
  <c r="R500" i="5"/>
  <c r="T500" i="5" s="1"/>
  <c r="V500" i="5" s="1"/>
  <c r="R501" i="5"/>
  <c r="T501" i="5" s="1"/>
  <c r="V501" i="5" s="1"/>
  <c r="R502" i="5"/>
  <c r="T502" i="5" s="1"/>
  <c r="R503" i="5"/>
  <c r="T503" i="5" s="1"/>
  <c r="R504" i="5"/>
  <c r="T504" i="5" s="1"/>
  <c r="R505" i="5"/>
  <c r="T505" i="5" s="1"/>
  <c r="R506" i="5"/>
  <c r="T506" i="5" s="1"/>
  <c r="V506" i="5" s="1"/>
  <c r="R507" i="5"/>
  <c r="T507" i="5" s="1"/>
  <c r="R508" i="5"/>
  <c r="T508" i="5" s="1"/>
  <c r="R509" i="5"/>
  <c r="T509" i="5" s="1"/>
  <c r="R510" i="5"/>
  <c r="T510" i="5" s="1"/>
  <c r="R511" i="5"/>
  <c r="T511" i="5" s="1"/>
  <c r="R512" i="5"/>
  <c r="T512" i="5" s="1"/>
  <c r="R513" i="5"/>
  <c r="T513" i="5" s="1"/>
  <c r="R514" i="5"/>
  <c r="T514" i="5" s="1"/>
  <c r="V514" i="5" s="1"/>
  <c r="R515" i="5"/>
  <c r="T515" i="5" s="1"/>
  <c r="R516" i="5"/>
  <c r="T516" i="5" s="1"/>
  <c r="R517" i="5"/>
  <c r="T517" i="5" s="1"/>
  <c r="R518" i="5"/>
  <c r="T518" i="5" s="1"/>
  <c r="R519" i="5"/>
  <c r="T519" i="5" s="1"/>
  <c r="R520" i="5"/>
  <c r="T520" i="5" s="1"/>
  <c r="R521" i="5"/>
  <c r="T521" i="5" s="1"/>
  <c r="R522" i="5"/>
  <c r="T522" i="5" s="1"/>
  <c r="R523" i="5"/>
  <c r="T523" i="5" s="1"/>
  <c r="R524" i="5"/>
  <c r="T524" i="5" s="1"/>
  <c r="R525" i="5"/>
  <c r="T525" i="5" s="1"/>
  <c r="R526" i="5"/>
  <c r="T526" i="5" s="1"/>
  <c r="R527" i="5"/>
  <c r="T527" i="5" s="1"/>
  <c r="R528" i="5"/>
  <c r="T528" i="5" s="1"/>
  <c r="R529" i="5"/>
  <c r="T529" i="5" s="1"/>
  <c r="R530" i="5"/>
  <c r="T530" i="5" s="1"/>
  <c r="R531" i="5"/>
  <c r="T531" i="5" s="1"/>
  <c r="R532" i="5"/>
  <c r="T532" i="5" s="1"/>
  <c r="V532" i="5" s="1"/>
  <c r="R533" i="5"/>
  <c r="T533" i="5" s="1"/>
  <c r="R534" i="5"/>
  <c r="T534" i="5" s="1"/>
  <c r="R535" i="5"/>
  <c r="T535" i="5" s="1"/>
  <c r="R536" i="5"/>
  <c r="T536" i="5" s="1"/>
  <c r="R537" i="5"/>
  <c r="T537" i="5" s="1"/>
  <c r="R538" i="5"/>
  <c r="T538" i="5" s="1"/>
  <c r="R539" i="5"/>
  <c r="T539" i="5" s="1"/>
  <c r="R540" i="5"/>
  <c r="T540" i="5" s="1"/>
  <c r="R541" i="5"/>
  <c r="T541" i="5" s="1"/>
  <c r="R542" i="5"/>
  <c r="T542" i="5" s="1"/>
  <c r="R543" i="5"/>
  <c r="T543" i="5" s="1"/>
  <c r="R544" i="5"/>
  <c r="T544" i="5" s="1"/>
  <c r="R545" i="5"/>
  <c r="T545" i="5" s="1"/>
  <c r="R546" i="5"/>
  <c r="T546" i="5" s="1"/>
  <c r="R547" i="5"/>
  <c r="T547" i="5" s="1"/>
  <c r="R548" i="5"/>
  <c r="T548" i="5" s="1"/>
  <c r="V548" i="5" s="1"/>
  <c r="R549" i="5"/>
  <c r="T549" i="5" s="1"/>
  <c r="R550" i="5"/>
  <c r="T550" i="5" s="1"/>
  <c r="R551" i="5"/>
  <c r="T551" i="5" s="1"/>
  <c r="R552" i="5"/>
  <c r="T552" i="5" s="1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V516" i="5" l="1"/>
  <c r="V301" i="5"/>
  <c r="V339" i="5"/>
  <c r="V298" i="5"/>
  <c r="V268" i="5"/>
  <c r="V332" i="5"/>
  <c r="V546" i="5"/>
  <c r="V530" i="5"/>
  <c r="V285" i="5"/>
  <c r="V269" i="5"/>
  <c r="V362" i="5"/>
  <c r="V314" i="5"/>
  <c r="V34" i="5"/>
  <c r="V274" i="5"/>
  <c r="V317" i="5"/>
  <c r="V3" i="5"/>
  <c r="V333" i="5"/>
  <c r="V10" i="5"/>
  <c r="V335" i="5"/>
  <c r="V287" i="5"/>
  <c r="V36" i="5"/>
  <c r="V20" i="5"/>
  <c r="V549" i="5"/>
  <c r="V533" i="5"/>
  <c r="V517" i="5"/>
  <c r="V435" i="5"/>
  <c r="V419" i="5"/>
  <c r="V403" i="5"/>
  <c r="V387" i="5"/>
  <c r="V371" i="5"/>
  <c r="V355" i="5"/>
  <c r="V323" i="5"/>
  <c r="V307" i="5"/>
  <c r="V291" i="5"/>
  <c r="V275" i="5"/>
  <c r="V259" i="5"/>
  <c r="V243" i="5"/>
  <c r="V227" i="5"/>
  <c r="V211" i="5"/>
  <c r="V195" i="5"/>
  <c r="V179" i="5"/>
  <c r="V163" i="5"/>
  <c r="V147" i="5"/>
  <c r="V131" i="5"/>
  <c r="V115" i="5"/>
  <c r="V99" i="5"/>
  <c r="V83" i="5"/>
  <c r="V67" i="5"/>
  <c r="V51" i="5"/>
  <c r="V320" i="5"/>
  <c r="V145" i="5"/>
  <c r="V288" i="5"/>
  <c r="V47" i="5"/>
  <c r="V39" i="5"/>
  <c r="V31" i="5"/>
  <c r="V23" i="5"/>
  <c r="V11" i="5"/>
  <c r="V46" i="5"/>
  <c r="V38" i="5"/>
  <c r="V30" i="5"/>
  <c r="V22" i="5"/>
  <c r="V29" i="5"/>
  <c r="V18" i="5"/>
  <c r="V434" i="5"/>
  <c r="V418" i="5"/>
  <c r="V386" i="5"/>
  <c r="V370" i="5"/>
  <c r="V354" i="5"/>
  <c r="V338" i="5"/>
  <c r="V322" i="5"/>
  <c r="V306" i="5"/>
  <c r="V290" i="5"/>
  <c r="V336" i="5"/>
  <c r="V304" i="5"/>
  <c r="V272" i="5"/>
  <c r="V256" i="5"/>
  <c r="V240" i="5"/>
  <c r="V224" i="5"/>
  <c r="V208" i="5"/>
  <c r="V192" i="5"/>
  <c r="V176" i="5"/>
  <c r="V160" i="5"/>
  <c r="V144" i="5"/>
  <c r="V128" i="5"/>
  <c r="V112" i="5"/>
  <c r="V96" i="5"/>
  <c r="V80" i="5"/>
  <c r="V64" i="5"/>
  <c r="V40" i="5"/>
  <c r="V24" i="5"/>
  <c r="V37" i="5"/>
  <c r="V21" i="5"/>
  <c r="V35" i="5"/>
  <c r="V19" i="5"/>
  <c r="V33" i="5"/>
  <c r="V48" i="5"/>
  <c r="V32" i="5"/>
  <c r="V45" i="5"/>
  <c r="V44" i="5"/>
  <c r="V28" i="5"/>
  <c r="V43" i="5"/>
  <c r="V27" i="5"/>
  <c r="V6" i="5"/>
  <c r="V42" i="5"/>
  <c r="V26" i="5"/>
  <c r="V41" i="5"/>
  <c r="V25" i="5"/>
  <c r="V410" i="5"/>
  <c r="V394" i="5"/>
  <c r="V346" i="5"/>
  <c r="V330" i="5"/>
  <c r="V282" i="5"/>
  <c r="V266" i="5"/>
  <c r="V250" i="5"/>
  <c r="V234" i="5"/>
  <c r="V218" i="5"/>
  <c r="V202" i="5"/>
  <c r="V186" i="5"/>
  <c r="V170" i="5"/>
  <c r="V154" i="5"/>
  <c r="V138" i="5"/>
  <c r="V122" i="5"/>
  <c r="V106" i="5"/>
  <c r="V90" i="5"/>
  <c r="V74" i="5"/>
  <c r="V58" i="5"/>
  <c r="V372" i="5"/>
  <c r="V340" i="5"/>
  <c r="V420" i="5"/>
  <c r="V404" i="5"/>
  <c r="V388" i="5"/>
  <c r="V356" i="5"/>
  <c r="V324" i="5"/>
  <c r="V308" i="5"/>
  <c r="V292" i="5"/>
  <c r="V276" i="5"/>
  <c r="V4" i="5"/>
  <c r="V8" i="5"/>
  <c r="V7" i="5"/>
  <c r="V258" i="5"/>
  <c r="V242" i="5"/>
  <c r="V226" i="5"/>
  <c r="V210" i="5"/>
  <c r="V194" i="5"/>
  <c r="V178" i="5"/>
  <c r="V162" i="5"/>
  <c r="V146" i="5"/>
  <c r="V130" i="5"/>
  <c r="V114" i="5"/>
  <c r="V98" i="5"/>
  <c r="V82" i="5"/>
  <c r="V66" i="5"/>
  <c r="V50" i="5"/>
  <c r="V65" i="5"/>
  <c r="V49" i="5"/>
  <c r="V265" i="5"/>
  <c r="V345" i="5"/>
  <c r="V405" i="5"/>
  <c r="V389" i="5"/>
  <c r="V373" i="5"/>
  <c r="V341" i="5"/>
  <c r="V325" i="5"/>
  <c r="V293" i="5"/>
  <c r="V277" i="5"/>
  <c r="V260" i="5"/>
  <c r="V244" i="5"/>
  <c r="V228" i="5"/>
  <c r="V212" i="5"/>
  <c r="V196" i="5"/>
  <c r="V180" i="5"/>
  <c r="V164" i="5"/>
  <c r="V148" i="5"/>
  <c r="V132" i="5"/>
  <c r="V116" i="5"/>
  <c r="V100" i="5"/>
  <c r="V84" i="5"/>
  <c r="V68" i="5"/>
  <c r="V52" i="5"/>
  <c r="V754" i="5"/>
  <c r="V738" i="5"/>
  <c r="V315" i="5"/>
  <c r="V299" i="5"/>
  <c r="V283" i="5"/>
  <c r="V235" i="5"/>
  <c r="V219" i="5"/>
  <c r="V187" i="5"/>
  <c r="V155" i="5"/>
  <c r="V139" i="5"/>
  <c r="V123" i="5"/>
  <c r="V107" i="5"/>
  <c r="V75" i="5"/>
  <c r="V59" i="5"/>
  <c r="V357" i="5"/>
  <c r="V421" i="5"/>
  <c r="V316" i="5"/>
  <c r="V248" i="5"/>
  <c r="V232" i="5"/>
  <c r="V216" i="5"/>
  <c r="V200" i="5"/>
  <c r="V184" i="5"/>
  <c r="V168" i="5"/>
  <c r="V152" i="5"/>
  <c r="V136" i="5"/>
  <c r="V120" i="5"/>
  <c r="V104" i="5"/>
  <c r="V88" i="5"/>
  <c r="V72" i="5"/>
  <c r="V56" i="5"/>
  <c r="V309" i="5"/>
  <c r="V251" i="5"/>
  <c r="V203" i="5"/>
  <c r="V171" i="5"/>
  <c r="V91" i="5"/>
  <c r="V329" i="5"/>
  <c r="V313" i="5"/>
  <c r="V297" i="5"/>
  <c r="V281" i="5"/>
  <c r="V249" i="5"/>
  <c r="V233" i="5"/>
  <c r="V217" i="5"/>
  <c r="V201" i="5"/>
  <c r="V185" i="5"/>
  <c r="V169" i="5"/>
  <c r="V153" i="5"/>
  <c r="V137" i="5"/>
  <c r="V121" i="5"/>
  <c r="V105" i="5"/>
  <c r="V89" i="5"/>
  <c r="V73" i="5"/>
  <c r="V57" i="5"/>
  <c r="V257" i="5"/>
  <c r="V241" i="5"/>
  <c r="V225" i="5"/>
  <c r="V209" i="5"/>
  <c r="V193" i="5"/>
  <c r="V177" i="5"/>
  <c r="V161" i="5"/>
  <c r="V129" i="5"/>
  <c r="V113" i="5"/>
  <c r="V97" i="5"/>
  <c r="V81" i="5"/>
  <c r="V267" i="5"/>
  <c r="V334" i="5"/>
  <c r="V318" i="5"/>
  <c r="V302" i="5"/>
  <c r="V286" i="5"/>
  <c r="V270" i="5"/>
  <c r="V254" i="5"/>
  <c r="V238" i="5"/>
  <c r="V222" i="5"/>
  <c r="V206" i="5"/>
  <c r="V190" i="5"/>
  <c r="V174" i="5"/>
  <c r="V158" i="5"/>
  <c r="V142" i="5"/>
  <c r="V126" i="5"/>
  <c r="V110" i="5"/>
  <c r="V94" i="5"/>
  <c r="V78" i="5"/>
  <c r="V62" i="5"/>
  <c r="V253" i="5"/>
  <c r="V237" i="5"/>
  <c r="V221" i="5"/>
  <c r="V205" i="5"/>
  <c r="V189" i="5"/>
  <c r="V173" i="5"/>
  <c r="V157" i="5"/>
  <c r="V141" i="5"/>
  <c r="V125" i="5"/>
  <c r="V109" i="5"/>
  <c r="V93" i="5"/>
  <c r="V77" i="5"/>
  <c r="V61" i="5"/>
  <c r="V296" i="5"/>
  <c r="V280" i="5"/>
  <c r="V264" i="5"/>
  <c r="V866" i="5"/>
  <c r="V343" i="5"/>
  <c r="V327" i="5"/>
  <c r="V311" i="5"/>
  <c r="V295" i="5"/>
  <c r="V279" i="5"/>
  <c r="V263" i="5"/>
  <c r="V199" i="5"/>
  <c r="V183" i="5"/>
  <c r="V538" i="5"/>
  <c r="V522" i="5"/>
  <c r="V547" i="5"/>
  <c r="V531" i="5"/>
  <c r="V319" i="5"/>
  <c r="V255" i="5"/>
  <c r="V239" i="5"/>
  <c r="V223" i="5"/>
  <c r="V207" i="5"/>
  <c r="V191" i="5"/>
  <c r="V175" i="5"/>
  <c r="V159" i="5"/>
  <c r="V143" i="5"/>
  <c r="V127" i="5"/>
  <c r="V111" i="5"/>
  <c r="V95" i="5"/>
  <c r="V79" i="5"/>
  <c r="V63" i="5"/>
  <c r="V271" i="5"/>
  <c r="V931" i="5"/>
  <c r="V300" i="5"/>
  <c r="V284" i="5"/>
  <c r="V252" i="5"/>
  <c r="V236" i="5"/>
  <c r="V220" i="5"/>
  <c r="V204" i="5"/>
  <c r="V188" i="5"/>
  <c r="V172" i="5"/>
  <c r="V156" i="5"/>
  <c r="V140" i="5"/>
  <c r="V124" i="5"/>
  <c r="V108" i="5"/>
  <c r="V92" i="5"/>
  <c r="V76" i="5"/>
  <c r="V60" i="5"/>
  <c r="V344" i="5"/>
  <c r="V328" i="5"/>
  <c r="V312" i="5"/>
  <c r="V247" i="5"/>
  <c r="V231" i="5"/>
  <c r="V215" i="5"/>
  <c r="V167" i="5"/>
  <c r="V151" i="5"/>
  <c r="V135" i="5"/>
  <c r="V119" i="5"/>
  <c r="V103" i="5"/>
  <c r="V87" i="5"/>
  <c r="V71" i="5"/>
  <c r="V55" i="5"/>
  <c r="V342" i="5"/>
  <c r="V326" i="5"/>
  <c r="V310" i="5"/>
  <c r="V294" i="5"/>
  <c r="V278" i="5"/>
  <c r="V262" i="5"/>
  <c r="V246" i="5"/>
  <c r="V230" i="5"/>
  <c r="V214" i="5"/>
  <c r="V198" i="5"/>
  <c r="V182" i="5"/>
  <c r="V166" i="5"/>
  <c r="V150" i="5"/>
  <c r="V134" i="5"/>
  <c r="V118" i="5"/>
  <c r="V102" i="5"/>
  <c r="V86" i="5"/>
  <c r="V70" i="5"/>
  <c r="V54" i="5"/>
  <c r="V261" i="5"/>
  <c r="V245" i="5"/>
  <c r="V229" i="5"/>
  <c r="V213" i="5"/>
  <c r="V197" i="5"/>
  <c r="V181" i="5"/>
  <c r="V165" i="5"/>
  <c r="V149" i="5"/>
  <c r="V133" i="5"/>
  <c r="V117" i="5"/>
  <c r="V101" i="5"/>
  <c r="V85" i="5"/>
  <c r="V69" i="5"/>
  <c r="V53" i="5"/>
  <c r="V753" i="5"/>
  <c r="V303" i="5"/>
  <c r="V862" i="5"/>
  <c r="V846" i="5"/>
  <c r="V515" i="5"/>
  <c r="V499" i="5"/>
  <c r="V483" i="5"/>
  <c r="V467" i="5"/>
  <c r="V451" i="5"/>
  <c r="V1062" i="5"/>
  <c r="V1046" i="5"/>
  <c r="V998" i="5"/>
  <c r="V982" i="5"/>
  <c r="V950" i="5"/>
  <c r="V918" i="5"/>
  <c r="V870" i="5"/>
  <c r="V854" i="5"/>
  <c r="V838" i="5"/>
  <c r="V822" i="5"/>
  <c r="V790" i="5"/>
  <c r="V1043" i="5"/>
  <c r="V1027" i="5"/>
  <c r="V995" i="5"/>
  <c r="V963" i="5"/>
  <c r="V915" i="5"/>
  <c r="V1022" i="5"/>
  <c r="V535" i="5"/>
  <c r="V487" i="5"/>
  <c r="V439" i="5"/>
  <c r="V407" i="5"/>
  <c r="V375" i="5"/>
  <c r="V551" i="5"/>
  <c r="V503" i="5"/>
  <c r="V455" i="5"/>
  <c r="V391" i="5"/>
  <c r="V550" i="5"/>
  <c r="V534" i="5"/>
  <c r="V518" i="5"/>
  <c r="V502" i="5"/>
  <c r="V486" i="5"/>
  <c r="V470" i="5"/>
  <c r="V454" i="5"/>
  <c r="V438" i="5"/>
  <c r="V422" i="5"/>
  <c r="V406" i="5"/>
  <c r="V390" i="5"/>
  <c r="V374" i="5"/>
  <c r="V358" i="5"/>
  <c r="V519" i="5"/>
  <c r="V471" i="5"/>
  <c r="V423" i="5"/>
  <c r="V359" i="5"/>
  <c r="V1059" i="5"/>
  <c r="V1026" i="5"/>
  <c r="V574" i="5"/>
  <c r="V558" i="5"/>
  <c r="V510" i="5"/>
  <c r="V462" i="5"/>
  <c r="V414" i="5"/>
  <c r="V366" i="5"/>
  <c r="V766" i="5"/>
  <c r="V750" i="5"/>
  <c r="V734" i="5"/>
  <c r="V718" i="5"/>
  <c r="V580" i="5"/>
  <c r="V564" i="5"/>
  <c r="V542" i="5"/>
  <c r="V494" i="5"/>
  <c r="V446" i="5"/>
  <c r="V398" i="5"/>
  <c r="V579" i="5"/>
  <c r="V526" i="5"/>
  <c r="V478" i="5"/>
  <c r="V430" i="5"/>
  <c r="V382" i="5"/>
  <c r="V350" i="5"/>
  <c r="V578" i="5"/>
  <c r="V562" i="5"/>
  <c r="V1058" i="5"/>
  <c r="V1042" i="5"/>
  <c r="V1010" i="5"/>
  <c r="V994" i="5"/>
  <c r="V978" i="5"/>
  <c r="V962" i="5"/>
  <c r="V946" i="5"/>
  <c r="V930" i="5"/>
  <c r="V914" i="5"/>
  <c r="V898" i="5"/>
  <c r="V882" i="5"/>
  <c r="V850" i="5"/>
  <c r="V834" i="5"/>
  <c r="V818" i="5"/>
  <c r="V802" i="5"/>
  <c r="V786" i="5"/>
  <c r="V770" i="5"/>
  <c r="V1070" i="5"/>
  <c r="V1054" i="5"/>
  <c r="V1038" i="5"/>
  <c r="V1006" i="5"/>
  <c r="V990" i="5"/>
  <c r="V974" i="5"/>
  <c r="V958" i="5"/>
  <c r="V942" i="5"/>
  <c r="V926" i="5"/>
  <c r="V910" i="5"/>
  <c r="V894" i="5"/>
  <c r="V878" i="5"/>
  <c r="V830" i="5"/>
  <c r="V814" i="5"/>
  <c r="V798" i="5"/>
  <c r="V782" i="5"/>
  <c r="V758" i="5"/>
  <c r="V726" i="5"/>
  <c r="V710" i="5"/>
  <c r="V565" i="5"/>
  <c r="V582" i="5"/>
  <c r="V566" i="5"/>
  <c r="V509" i="5"/>
  <c r="V349" i="5"/>
  <c r="V573" i="5"/>
  <c r="V541" i="5"/>
  <c r="V525" i="5"/>
  <c r="V445" i="5"/>
  <c r="V365" i="5"/>
  <c r="V477" i="5"/>
  <c r="V413" i="5"/>
  <c r="V461" i="5"/>
  <c r="V397" i="5"/>
  <c r="V493" i="5"/>
  <c r="V429" i="5"/>
  <c r="V381" i="5"/>
  <c r="V1009" i="5"/>
  <c r="V945" i="5"/>
  <c r="V881" i="5"/>
  <c r="V817" i="5"/>
  <c r="V1013" i="5"/>
  <c r="V997" i="5"/>
  <c r="V981" i="5"/>
  <c r="V965" i="5"/>
  <c r="V957" i="5"/>
  <c r="V949" i="5"/>
  <c r="V877" i="5"/>
  <c r="V853" i="5"/>
  <c r="V837" i="5"/>
  <c r="V829" i="5"/>
  <c r="V821" i="5"/>
  <c r="V805" i="5"/>
  <c r="V789" i="5"/>
  <c r="V773" i="5"/>
  <c r="V757" i="5"/>
  <c r="V741" i="5"/>
  <c r="V725" i="5"/>
  <c r="V709" i="5"/>
  <c r="V1019" i="5"/>
  <c r="V883" i="5"/>
  <c r="V867" i="5"/>
  <c r="V819" i="5"/>
  <c r="V803" i="5"/>
  <c r="V787" i="5"/>
  <c r="V755" i="5"/>
  <c r="V739" i="5"/>
  <c r="V1024" i="5"/>
  <c r="V1016" i="5"/>
  <c r="V880" i="5"/>
  <c r="V824" i="5"/>
  <c r="V760" i="5"/>
  <c r="V712" i="5"/>
  <c r="V444" i="5"/>
  <c r="V1068" i="5"/>
  <c r="V1052" i="5"/>
  <c r="V1036" i="5"/>
  <c r="V1020" i="5"/>
  <c r="V1004" i="5"/>
  <c r="V988" i="5"/>
  <c r="V972" i="5"/>
  <c r="V956" i="5"/>
  <c r="V940" i="5"/>
  <c r="V860" i="5"/>
  <c r="V812" i="5"/>
  <c r="V796" i="5"/>
  <c r="V732" i="5"/>
  <c r="V716" i="5"/>
  <c r="V811" i="5"/>
  <c r="V747" i="5"/>
  <c r="V731" i="5"/>
  <c r="V524" i="5"/>
  <c r="V364" i="5"/>
  <c r="V1066" i="5"/>
  <c r="V1050" i="5"/>
  <c r="V1034" i="5"/>
  <c r="V1018" i="5"/>
  <c r="V1002" i="5"/>
  <c r="V986" i="5"/>
  <c r="V970" i="5"/>
  <c r="V938" i="5"/>
  <c r="V922" i="5"/>
  <c r="V906" i="5"/>
  <c r="V890" i="5"/>
  <c r="V874" i="5"/>
  <c r="V842" i="5"/>
  <c r="V826" i="5"/>
  <c r="V778" i="5"/>
  <c r="V762" i="5"/>
  <c r="V746" i="5"/>
  <c r="V730" i="5"/>
  <c r="V714" i="5"/>
  <c r="V508" i="5"/>
  <c r="V348" i="5"/>
  <c r="V460" i="5"/>
  <c r="V1063" i="5"/>
  <c r="V1047" i="5"/>
  <c r="V1031" i="5"/>
  <c r="V727" i="5"/>
  <c r="V572" i="5"/>
  <c r="V556" i="5"/>
  <c r="V476" i="5"/>
  <c r="V540" i="5"/>
  <c r="V380" i="5"/>
  <c r="V1060" i="5"/>
  <c r="V1044" i="5"/>
  <c r="V1028" i="5"/>
  <c r="V1012" i="5"/>
  <c r="V868" i="5"/>
  <c r="V852" i="5"/>
  <c r="V836" i="5"/>
  <c r="V820" i="5"/>
  <c r="V804" i="5"/>
  <c r="V788" i="5"/>
  <c r="V772" i="5"/>
  <c r="V724" i="5"/>
  <c r="V708" i="5"/>
  <c r="V492" i="5"/>
  <c r="V428" i="5"/>
  <c r="V722" i="5"/>
  <c r="V706" i="5"/>
  <c r="V396" i="5"/>
  <c r="V412" i="5"/>
  <c r="V715" i="5"/>
  <c r="V856" i="5"/>
  <c r="V571" i="5"/>
  <c r="V555" i="5"/>
  <c r="V539" i="5"/>
  <c r="V523" i="5"/>
  <c r="V507" i="5"/>
  <c r="V491" i="5"/>
  <c r="V475" i="5"/>
  <c r="V459" i="5"/>
  <c r="V443" i="5"/>
  <c r="V427" i="5"/>
  <c r="V411" i="5"/>
  <c r="V395" i="5"/>
  <c r="V379" i="5"/>
  <c r="V363" i="5"/>
  <c r="V347" i="5"/>
  <c r="V1067" i="5"/>
  <c r="V1051" i="5"/>
  <c r="V1035" i="5"/>
  <c r="V1003" i="5"/>
  <c r="V987" i="5"/>
  <c r="V971" i="5"/>
  <c r="V955" i="5"/>
  <c r="V939" i="5"/>
  <c r="V923" i="5"/>
  <c r="V907" i="5"/>
  <c r="V891" i="5"/>
  <c r="V875" i="5"/>
  <c r="V859" i="5"/>
  <c r="V843" i="5"/>
  <c r="V827" i="5"/>
  <c r="V1064" i="5"/>
  <c r="V1048" i="5"/>
  <c r="V1032" i="5"/>
  <c r="V759" i="5"/>
  <c r="V728" i="5"/>
  <c r="V1061" i="5"/>
  <c r="V1045" i="5"/>
  <c r="V1029" i="5"/>
  <c r="V1015" i="5"/>
  <c r="V1000" i="5"/>
  <c r="V984" i="5"/>
  <c r="V968" i="5"/>
  <c r="V954" i="5"/>
  <c r="V924" i="5"/>
  <c r="V908" i="5"/>
  <c r="V892" i="5"/>
  <c r="V876" i="5"/>
  <c r="V848" i="5"/>
  <c r="V756" i="5"/>
  <c r="V740" i="5"/>
  <c r="V711" i="5"/>
  <c r="V983" i="5"/>
  <c r="V967" i="5"/>
  <c r="V952" i="5"/>
  <c r="V951" i="5"/>
  <c r="V1011" i="5"/>
  <c r="V996" i="5"/>
  <c r="V980" i="5"/>
  <c r="V964" i="5"/>
  <c r="V936" i="5"/>
  <c r="V920" i="5"/>
  <c r="V904" i="5"/>
  <c r="V888" i="5"/>
  <c r="V872" i="5"/>
  <c r="V858" i="5"/>
  <c r="V844" i="5"/>
  <c r="V828" i="5"/>
  <c r="V570" i="5"/>
  <c r="V554" i="5"/>
  <c r="V935" i="5"/>
  <c r="V919" i="5"/>
  <c r="V903" i="5"/>
  <c r="V887" i="5"/>
  <c r="V568" i="5"/>
  <c r="V948" i="5"/>
  <c r="V933" i="5"/>
  <c r="V917" i="5"/>
  <c r="V901" i="5"/>
  <c r="V885" i="5"/>
  <c r="V795" i="5"/>
  <c r="V780" i="5"/>
  <c r="V764" i="5"/>
  <c r="V567" i="5"/>
  <c r="V1037" i="5"/>
  <c r="V947" i="5"/>
  <c r="V932" i="5"/>
  <c r="V916" i="5"/>
  <c r="V900" i="5"/>
  <c r="V884" i="5"/>
  <c r="V869" i="5"/>
  <c r="V855" i="5"/>
  <c r="V840" i="5"/>
  <c r="V810" i="5"/>
  <c r="V794" i="5"/>
  <c r="V779" i="5"/>
  <c r="V763" i="5"/>
  <c r="V748" i="5"/>
  <c r="V581" i="5"/>
  <c r="V839" i="5"/>
  <c r="V823" i="5"/>
  <c r="V808" i="5"/>
  <c r="V792" i="5"/>
  <c r="V807" i="5"/>
  <c r="V791" i="5"/>
  <c r="V776" i="5"/>
  <c r="V552" i="5"/>
  <c r="V536" i="5"/>
  <c r="V520" i="5"/>
  <c r="V504" i="5"/>
  <c r="V488" i="5"/>
  <c r="V472" i="5"/>
  <c r="V456" i="5"/>
  <c r="V440" i="5"/>
  <c r="V424" i="5"/>
  <c r="V408" i="5"/>
  <c r="V392" i="5"/>
  <c r="V376" i="5"/>
  <c r="V360" i="5"/>
  <c r="V775" i="5"/>
  <c r="V744" i="5"/>
  <c r="V1053" i="5"/>
  <c r="V973" i="5"/>
  <c r="V925" i="5"/>
  <c r="V909" i="5"/>
  <c r="V893" i="5"/>
  <c r="V845" i="5"/>
  <c r="V797" i="5"/>
  <c r="V781" i="5"/>
  <c r="V765" i="5"/>
  <c r="V717" i="5"/>
  <c r="V557" i="5"/>
  <c r="V899" i="5"/>
  <c r="V835" i="5"/>
  <c r="V771" i="5"/>
  <c r="V707" i="5"/>
  <c r="V563" i="5"/>
  <c r="V1008" i="5"/>
  <c r="V992" i="5"/>
  <c r="V960" i="5"/>
  <c r="V864" i="5"/>
  <c r="V832" i="5"/>
  <c r="V752" i="5"/>
  <c r="V736" i="5"/>
  <c r="V1030" i="5"/>
  <c r="V979" i="5"/>
  <c r="V1005" i="5"/>
  <c r="V966" i="5"/>
  <c r="V902" i="5"/>
  <c r="V851" i="5"/>
  <c r="V774" i="5"/>
  <c r="V723" i="5"/>
  <c r="V749" i="5"/>
  <c r="V989" i="5"/>
  <c r="V813" i="5"/>
  <c r="V861" i="5"/>
  <c r="V733" i="5"/>
  <c r="V1021" i="5"/>
  <c r="V1069" i="5"/>
  <c r="V941" i="5"/>
  <c r="V1014" i="5"/>
  <c r="V886" i="5"/>
  <c r="V934" i="5"/>
  <c r="V806" i="5"/>
  <c r="V742" i="5"/>
  <c r="V720" i="5"/>
  <c r="V959" i="5"/>
  <c r="V896" i="5"/>
  <c r="V496" i="5"/>
  <c r="V544" i="5"/>
  <c r="V512" i="5"/>
  <c r="V480" i="5"/>
  <c r="V448" i="5"/>
  <c r="V416" i="5"/>
  <c r="V384" i="5"/>
  <c r="V352" i="5"/>
  <c r="V543" i="5"/>
  <c r="V527" i="5"/>
  <c r="V511" i="5"/>
  <c r="V495" i="5"/>
  <c r="V479" i="5"/>
  <c r="V463" i="5"/>
  <c r="V447" i="5"/>
  <c r="V431" i="5"/>
  <c r="V415" i="5"/>
  <c r="V399" i="5"/>
  <c r="V383" i="5"/>
  <c r="V367" i="5"/>
  <c r="V351" i="5"/>
  <c r="V432" i="5"/>
  <c r="V831" i="5"/>
  <c r="V768" i="5"/>
  <c r="V368" i="5"/>
  <c r="V1056" i="5"/>
  <c r="V944" i="5"/>
  <c r="V560" i="5"/>
  <c r="V528" i="5"/>
  <c r="V784" i="5"/>
  <c r="V1040" i="5"/>
  <c r="V928" i="5"/>
  <c r="V816" i="5"/>
  <c r="V464" i="5"/>
  <c r="V976" i="5"/>
  <c r="V912" i="5"/>
  <c r="V800" i="5"/>
  <c r="V400" i="5"/>
  <c r="V1007" i="5"/>
  <c r="V879" i="5"/>
  <c r="V751" i="5"/>
  <c r="V1055" i="5"/>
  <c r="V927" i="5"/>
  <c r="V799" i="5"/>
  <c r="V559" i="5"/>
  <c r="V975" i="5"/>
  <c r="V847" i="5"/>
  <c r="V719" i="5"/>
  <c r="V1023" i="5"/>
  <c r="V895" i="5"/>
  <c r="V767" i="5"/>
  <c r="V1071" i="5"/>
  <c r="V943" i="5"/>
  <c r="V815" i="5"/>
  <c r="V991" i="5"/>
  <c r="V863" i="5"/>
  <c r="V735" i="5"/>
  <c r="V576" i="5"/>
  <c r="V575" i="5"/>
  <c r="V1039" i="5"/>
  <c r="V911" i="5"/>
  <c r="V783" i="5"/>
  <c r="V999" i="5"/>
  <c r="V871" i="5"/>
  <c r="V743" i="5"/>
  <c r="V1033" i="5"/>
  <c r="V969" i="5"/>
  <c r="V905" i="5"/>
  <c r="V841" i="5"/>
  <c r="V777" i="5"/>
  <c r="V713" i="5"/>
  <c r="V1057" i="5"/>
  <c r="V929" i="5"/>
  <c r="V865" i="5"/>
  <c r="V801" i="5"/>
  <c r="V737" i="5"/>
  <c r="V993" i="5"/>
  <c r="V1017" i="5"/>
  <c r="V953" i="5"/>
  <c r="V889" i="5"/>
  <c r="V825" i="5"/>
  <c r="V761" i="5"/>
  <c r="V561" i="5"/>
  <c r="V545" i="5"/>
  <c r="V529" i="5"/>
  <c r="V513" i="5"/>
  <c r="V497" i="5"/>
  <c r="V481" i="5"/>
  <c r="V465" i="5"/>
  <c r="V449" i="5"/>
  <c r="V433" i="5"/>
  <c r="V417" i="5"/>
  <c r="V401" i="5"/>
  <c r="V385" i="5"/>
  <c r="V369" i="5"/>
  <c r="V353" i="5"/>
  <c r="V1041" i="5"/>
  <c r="V977" i="5"/>
  <c r="V913" i="5"/>
  <c r="V849" i="5"/>
  <c r="V785" i="5"/>
  <c r="V721" i="5"/>
  <c r="V577" i="5"/>
  <c r="V1065" i="5"/>
  <c r="V1001" i="5"/>
  <c r="V937" i="5"/>
  <c r="V873" i="5"/>
  <c r="V809" i="5"/>
  <c r="V745" i="5"/>
  <c r="V897" i="5"/>
  <c r="V833" i="5"/>
  <c r="V769" i="5"/>
  <c r="V705" i="5"/>
  <c r="V1025" i="5"/>
  <c r="V961" i="5"/>
  <c r="V1049" i="5"/>
  <c r="V985" i="5"/>
  <c r="V921" i="5"/>
  <c r="V857" i="5"/>
  <c r="V793" i="5"/>
  <c r="V729" i="5"/>
  <c r="V569" i="5"/>
  <c r="V553" i="5"/>
  <c r="V537" i="5"/>
  <c r="V521" i="5"/>
  <c r="V505" i="5"/>
  <c r="V489" i="5"/>
  <c r="V473" i="5"/>
  <c r="V457" i="5"/>
  <c r="V441" i="5"/>
  <c r="V425" i="5"/>
  <c r="V409" i="5"/>
  <c r="V393" i="5"/>
  <c r="V377" i="5"/>
  <c r="V361" i="5"/>
  <c r="V2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C44" i="4" a="1"/>
  <c r="C44" i="4" s="1"/>
  <c r="C39" i="4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R583" i="5"/>
  <c r="T583" i="5" s="1"/>
  <c r="V583" i="5" s="1"/>
  <c r="A584" i="5"/>
  <c r="R584" i="5"/>
  <c r="T584" i="5" s="1"/>
  <c r="V584" i="5" s="1"/>
  <c r="A585" i="5"/>
  <c r="R585" i="5"/>
  <c r="T585" i="5" s="1"/>
  <c r="V585" i="5" s="1"/>
  <c r="A586" i="5"/>
  <c r="R586" i="5"/>
  <c r="T586" i="5" s="1"/>
  <c r="V586" i="5" s="1"/>
  <c r="A587" i="5"/>
  <c r="R587" i="5"/>
  <c r="T587" i="5" s="1"/>
  <c r="V587" i="5" s="1"/>
  <c r="A588" i="5"/>
  <c r="R588" i="5"/>
  <c r="T588" i="5" s="1"/>
  <c r="V588" i="5" s="1"/>
  <c r="A589" i="5"/>
  <c r="R589" i="5"/>
  <c r="T589" i="5" s="1"/>
  <c r="V589" i="5" s="1"/>
  <c r="A590" i="5"/>
  <c r="R590" i="5"/>
  <c r="T590" i="5" s="1"/>
  <c r="V590" i="5" s="1"/>
  <c r="A591" i="5"/>
  <c r="R591" i="5"/>
  <c r="T591" i="5" s="1"/>
  <c r="V591" i="5" s="1"/>
  <c r="A592" i="5"/>
  <c r="R592" i="5"/>
  <c r="T592" i="5" s="1"/>
  <c r="V592" i="5" s="1"/>
  <c r="A593" i="5"/>
  <c r="R593" i="5"/>
  <c r="T593" i="5" s="1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P698" i="5"/>
  <c r="R698" i="5"/>
  <c r="T698" i="5" s="1"/>
  <c r="V698" i="5" s="1"/>
  <c r="A699" i="5"/>
  <c r="P699" i="5"/>
  <c r="R699" i="5"/>
  <c r="T699" i="5" s="1"/>
  <c r="V699" i="5" s="1"/>
  <c r="A700" i="5"/>
  <c r="P700" i="5"/>
  <c r="R700" i="5"/>
  <c r="T700" i="5" s="1"/>
  <c r="V700" i="5" s="1"/>
  <c r="A701" i="5"/>
  <c r="P701" i="5"/>
  <c r="R701" i="5"/>
  <c r="T701" i="5" s="1"/>
  <c r="V701" i="5" s="1"/>
  <c r="A702" i="5"/>
  <c r="P702" i="5"/>
  <c r="R702" i="5"/>
  <c r="T702" i="5" s="1"/>
  <c r="V702" i="5" s="1"/>
  <c r="A703" i="5"/>
  <c r="P703" i="5"/>
  <c r="R703" i="5"/>
  <c r="T703" i="5" s="1"/>
  <c r="V703" i="5" s="1"/>
  <c r="A704" i="5"/>
  <c r="P704" i="5"/>
  <c r="R704" i="5"/>
  <c r="T704" i="5" s="1"/>
  <c r="V704" i="5" s="1"/>
  <c r="A705" i="5"/>
  <c r="P705" i="5"/>
  <c r="A706" i="5"/>
  <c r="P706" i="5"/>
  <c r="A707" i="5"/>
  <c r="P707" i="5"/>
  <c r="A708" i="5"/>
  <c r="P708" i="5"/>
  <c r="A709" i="5"/>
  <c r="P709" i="5"/>
  <c r="A710" i="5"/>
  <c r="P710" i="5"/>
  <c r="A711" i="5"/>
  <c r="P711" i="5"/>
  <c r="A712" i="5"/>
  <c r="P712" i="5"/>
  <c r="A713" i="5"/>
  <c r="P713" i="5"/>
  <c r="A714" i="5"/>
  <c r="P714" i="5"/>
  <c r="A715" i="5"/>
  <c r="P715" i="5"/>
  <c r="A716" i="5"/>
  <c r="P716" i="5"/>
  <c r="A717" i="5"/>
  <c r="P717" i="5"/>
  <c r="A718" i="5"/>
  <c r="P718" i="5"/>
  <c r="A719" i="5"/>
  <c r="P719" i="5"/>
  <c r="A720" i="5"/>
  <c r="P720" i="5"/>
  <c r="A721" i="5"/>
  <c r="P721" i="5"/>
  <c r="A722" i="5"/>
  <c r="P722" i="5"/>
  <c r="A723" i="5"/>
  <c r="P723" i="5"/>
  <c r="A724" i="5"/>
  <c r="P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190" i="5"/>
  <c r="R1190" i="5"/>
  <c r="T1190" i="5" s="1"/>
  <c r="U1190" i="5"/>
  <c r="W1190" i="5"/>
  <c r="A1191" i="5"/>
  <c r="R1191" i="5"/>
  <c r="T1191" i="5" s="1"/>
  <c r="U1191" i="5"/>
  <c r="W1191" i="5"/>
  <c r="A1192" i="5"/>
  <c r="R1192" i="5"/>
  <c r="T1192" i="5" s="1"/>
  <c r="U1192" i="5"/>
  <c r="W1192" i="5"/>
  <c r="A1193" i="5"/>
  <c r="R1193" i="5"/>
  <c r="T1193" i="5" s="1"/>
  <c r="U1193" i="5"/>
  <c r="W1193" i="5"/>
  <c r="A1194" i="5"/>
  <c r="R1194" i="5"/>
  <c r="T1194" i="5" s="1"/>
  <c r="U1194" i="5"/>
  <c r="W1194" i="5"/>
  <c r="A1195" i="5"/>
  <c r="R1195" i="5"/>
  <c r="T1195" i="5" s="1"/>
  <c r="U1195" i="5"/>
  <c r="W1195" i="5"/>
  <c r="A1196" i="5"/>
  <c r="R1196" i="5"/>
  <c r="T1196" i="5" s="1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U1202" i="5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U1216" i="5"/>
  <c r="W1216" i="5"/>
  <c r="A1217" i="5"/>
  <c r="R1217" i="5"/>
  <c r="T1217" i="5" s="1"/>
  <c r="U1217" i="5"/>
  <c r="W1217" i="5"/>
  <c r="A1218" i="5"/>
  <c r="R1218" i="5"/>
  <c r="T1218" i="5" s="1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W1225" i="5"/>
  <c r="A1226" i="5"/>
  <c r="R1226" i="5"/>
  <c r="T1226" i="5" s="1"/>
  <c r="U1226" i="5"/>
  <c r="W1226" i="5"/>
  <c r="A1227" i="5"/>
  <c r="R1227" i="5"/>
  <c r="T1227" i="5" s="1"/>
  <c r="W1227" i="5"/>
  <c r="A1228" i="5"/>
  <c r="R1228" i="5"/>
  <c r="T1228" i="5" s="1"/>
  <c r="U1228" i="5"/>
  <c r="W1228" i="5"/>
  <c r="A1229" i="5"/>
  <c r="R1229" i="5"/>
  <c r="T1229" i="5" s="1"/>
  <c r="W1229" i="5"/>
  <c r="A1230" i="5"/>
  <c r="R1230" i="5"/>
  <c r="T1230" i="5" s="1"/>
  <c r="U1230" i="5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U1233" i="5"/>
  <c r="W1233" i="5"/>
  <c r="A1234" i="5"/>
  <c r="R1234" i="5"/>
  <c r="T1234" i="5" s="1"/>
  <c r="U1234" i="5"/>
  <c r="W1234" i="5"/>
  <c r="A1235" i="5"/>
  <c r="R1235" i="5"/>
  <c r="T1235" i="5" s="1"/>
  <c r="U1235" i="5"/>
  <c r="W1235" i="5"/>
  <c r="A1236" i="5"/>
  <c r="R1236" i="5"/>
  <c r="T1236" i="5" s="1"/>
  <c r="U1236" i="5"/>
  <c r="W1236" i="5"/>
  <c r="A1237" i="5"/>
  <c r="R1237" i="5"/>
  <c r="T1237" i="5" s="1"/>
  <c r="U1237" i="5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U1246" i="5"/>
  <c r="W1246" i="5"/>
  <c r="A1247" i="5"/>
  <c r="R1247" i="5"/>
  <c r="T1247" i="5" s="1"/>
  <c r="U1247" i="5"/>
  <c r="W1247" i="5"/>
  <c r="A1248" i="5"/>
  <c r="R1248" i="5"/>
  <c r="T1248" i="5" s="1"/>
  <c r="W1248" i="5"/>
  <c r="A1249" i="5"/>
  <c r="R1249" i="5"/>
  <c r="T1249" i="5" s="1"/>
  <c r="U1249" i="5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U1254" i="5"/>
  <c r="W1254" i="5"/>
  <c r="A1255" i="5"/>
  <c r="R1255" i="5"/>
  <c r="T1255" i="5" s="1"/>
  <c r="U1255" i="5"/>
  <c r="W1255" i="5"/>
  <c r="A1256" i="5"/>
  <c r="R1256" i="5"/>
  <c r="T1256" i="5" s="1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U1262" i="5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W1272" i="5"/>
  <c r="A1273" i="5"/>
  <c r="R1273" i="5"/>
  <c r="T1273" i="5" s="1"/>
  <c r="U1273" i="5"/>
  <c r="W1273" i="5"/>
  <c r="A1274" i="5"/>
  <c r="R1274" i="5"/>
  <c r="T1274" i="5" s="1"/>
  <c r="U1274" i="5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U1278" i="5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W1297" i="5"/>
  <c r="A1298" i="5"/>
  <c r="R1298" i="5"/>
  <c r="T1298" i="5" s="1"/>
  <c r="U1298" i="5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W1301" i="5"/>
  <c r="A1302" i="5"/>
  <c r="R1302" i="5"/>
  <c r="T1302" i="5" s="1"/>
  <c r="U1302" i="5"/>
  <c r="W1302" i="5"/>
  <c r="A1303" i="5"/>
  <c r="R1303" i="5"/>
  <c r="T1303" i="5" s="1"/>
  <c r="U1303" i="5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W1306" i="5"/>
  <c r="A1307" i="5"/>
  <c r="R1307" i="5"/>
  <c r="T1307" i="5" s="1"/>
  <c r="U1307" i="5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U1312" i="5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W1322" i="5"/>
  <c r="A1323" i="5"/>
  <c r="R1323" i="5"/>
  <c r="T1323" i="5" s="1"/>
  <c r="U1323" i="5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U1328" i="5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W1357" i="5"/>
  <c r="A1358" i="5"/>
  <c r="R1358" i="5"/>
  <c r="T1358" i="5" s="1"/>
  <c r="U1358" i="5"/>
  <c r="W1358" i="5"/>
  <c r="A1359" i="5"/>
  <c r="R1359" i="5"/>
  <c r="T1359" i="5" s="1"/>
  <c r="U1359" i="5"/>
  <c r="W1359" i="5"/>
  <c r="A1360" i="5"/>
  <c r="R1360" i="5"/>
  <c r="T1360" i="5" s="1"/>
  <c r="U1360" i="5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U1363" i="5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W1381" i="5"/>
  <c r="A1382" i="5"/>
  <c r="R1382" i="5"/>
  <c r="T1382" i="5" s="1"/>
  <c r="W1382" i="5"/>
  <c r="A1383" i="5"/>
  <c r="R1383" i="5"/>
  <c r="T1383" i="5" s="1"/>
  <c r="U1383" i="5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W1386" i="5"/>
  <c r="A1387" i="5"/>
  <c r="R1387" i="5"/>
  <c r="T1387" i="5" s="1"/>
  <c r="U1387" i="5"/>
  <c r="W1387" i="5"/>
  <c r="A1388" i="5"/>
  <c r="R1388" i="5"/>
  <c r="T1388" i="5" s="1"/>
  <c r="U1388" i="5"/>
  <c r="W1388" i="5"/>
  <c r="A1389" i="5"/>
  <c r="R1389" i="5"/>
  <c r="T1389" i="5" s="1"/>
  <c r="W1389" i="5"/>
  <c r="A1390" i="5"/>
  <c r="R1390" i="5"/>
  <c r="T1390" i="5" s="1"/>
  <c r="U1390" i="5"/>
  <c r="W1390" i="5"/>
  <c r="A1391" i="5"/>
  <c r="R1391" i="5"/>
  <c r="T1391" i="5" s="1"/>
  <c r="W1391" i="5"/>
  <c r="A1392" i="5"/>
  <c r="R1392" i="5"/>
  <c r="T1392" i="5" s="1"/>
  <c r="U1392" i="5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U1395" i="5"/>
  <c r="W1395" i="5"/>
  <c r="A1396" i="5"/>
  <c r="R1396" i="5"/>
  <c r="T1396" i="5" s="1"/>
  <c r="U1396" i="5"/>
  <c r="W1396" i="5"/>
  <c r="A1397" i="5"/>
  <c r="R1397" i="5"/>
  <c r="T1397" i="5" s="1"/>
  <c r="U1397" i="5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W1400" i="5"/>
  <c r="R1401" i="5"/>
  <c r="T1401" i="5" s="1"/>
  <c r="W1401" i="5"/>
  <c r="R1402" i="5"/>
  <c r="T1402" i="5" s="1"/>
  <c r="U1402" i="5"/>
  <c r="W1402" i="5"/>
  <c r="R1403" i="5"/>
  <c r="T1403" i="5" s="1"/>
  <c r="U1403" i="5"/>
  <c r="W1403" i="5"/>
  <c r="R1404" i="5"/>
  <c r="T1404" i="5" s="1"/>
  <c r="U1404" i="5"/>
  <c r="W1404" i="5"/>
  <c r="R1405" i="5"/>
  <c r="T1405" i="5" s="1"/>
  <c r="U1405" i="5"/>
  <c r="W1405" i="5"/>
  <c r="R1406" i="5"/>
  <c r="T1406" i="5" s="1"/>
  <c r="U1406" i="5"/>
  <c r="W1406" i="5"/>
  <c r="R1407" i="5"/>
  <c r="T1407" i="5" s="1"/>
  <c r="U1407" i="5"/>
  <c r="W1407" i="5"/>
  <c r="R1408" i="5"/>
  <c r="T1408" i="5" s="1"/>
  <c r="U1408" i="5"/>
  <c r="W1408" i="5"/>
  <c r="R1409" i="5"/>
  <c r="T1409" i="5" s="1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U1415" i="5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W1435" i="5"/>
  <c r="R1436" i="5"/>
  <c r="T1436" i="5" s="1"/>
  <c r="U1436" i="5"/>
  <c r="W1436" i="5"/>
  <c r="R1437" i="5"/>
  <c r="T1437" i="5" s="1"/>
  <c r="U1437" i="5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U1441" i="5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U1227" i="5"/>
  <c r="E44" i="4" a="1"/>
  <c r="E44" i="4" s="1"/>
  <c r="C48" i="4" a="1"/>
  <c r="C48" i="4" s="1"/>
  <c r="E10" i="4"/>
  <c r="W1446" i="5"/>
  <c r="W1447" i="5"/>
  <c r="W1448" i="5"/>
  <c r="W1449" i="5"/>
  <c r="W1450" i="5"/>
  <c r="W1451" i="5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88" i="5"/>
  <c r="U6289" i="5"/>
  <c r="U6290" i="5"/>
  <c r="U6291" i="5"/>
  <c r="U6292" i="5"/>
  <c r="U6293" i="5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E9" i="4"/>
  <c r="E6" i="4"/>
  <c r="R1446" i="5"/>
  <c r="T1446" i="5" s="1"/>
  <c r="R1447" i="5"/>
  <c r="T1447" i="5" s="1"/>
  <c r="R1448" i="5"/>
  <c r="T1448" i="5" s="1"/>
  <c r="R1449" i="5"/>
  <c r="T1449" i="5" s="1"/>
  <c r="R1450" i="5"/>
  <c r="T1450" i="5" s="1"/>
  <c r="R1451" i="5"/>
  <c r="T1451" i="5" s="1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U1474" i="5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U1522" i="5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U1546" i="5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U1564" i="5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U1612" i="5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U1654" i="5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U1726" i="5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U1756" i="5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U1792" i="5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U1810" i="5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U1870" i="5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U1900" i="5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U1954" i="5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U1978" i="5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U2014" i="5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U2026" i="5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U2074" i="5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U2110" i="5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U2164" i="5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U2194" i="5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U2212" i="5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U2266" i="5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U2290" i="5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U2338" i="5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U2356" i="5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U2404" i="5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U2422" i="5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R9467" i="5"/>
  <c r="R9468" i="5"/>
  <c r="R9469" i="5"/>
  <c r="R9470" i="5"/>
  <c r="R9471" i="5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K364" i="3"/>
  <c r="J211" i="3"/>
  <c r="J364" i="3"/>
  <c r="U1447" i="5"/>
  <c r="U1449" i="5"/>
  <c r="U1450" i="5"/>
  <c r="U1451" i="5"/>
  <c r="U1454" i="5"/>
  <c r="U1455" i="5"/>
  <c r="U1456" i="5"/>
  <c r="U1457" i="5"/>
  <c r="U1458" i="5"/>
  <c r="U1459" i="5"/>
  <c r="U1460" i="5"/>
  <c r="U1461" i="5"/>
  <c r="U1464" i="5"/>
  <c r="U1466" i="5"/>
  <c r="U1468" i="5"/>
  <c r="U1469" i="5"/>
  <c r="U1471" i="5"/>
  <c r="U1472" i="5"/>
  <c r="U1473" i="5"/>
  <c r="U1475" i="5"/>
  <c r="U1476" i="5"/>
  <c r="U1478" i="5"/>
  <c r="U1479" i="5"/>
  <c r="U1480" i="5"/>
  <c r="U1481" i="5"/>
  <c r="U1482" i="5"/>
  <c r="U1483" i="5"/>
  <c r="U1484" i="5"/>
  <c r="U1485" i="5"/>
  <c r="U1486" i="5"/>
  <c r="U1488" i="5"/>
  <c r="U1489" i="5"/>
  <c r="U1491" i="5"/>
  <c r="U1492" i="5"/>
  <c r="U1495" i="5"/>
  <c r="U1496" i="5"/>
  <c r="U1497" i="5"/>
  <c r="U1499" i="5"/>
  <c r="U1501" i="5"/>
  <c r="U1502" i="5"/>
  <c r="U1503" i="5"/>
  <c r="U1504" i="5"/>
  <c r="U1505" i="5"/>
  <c r="U1506" i="5"/>
  <c r="U1507" i="5"/>
  <c r="U1508" i="5"/>
  <c r="U1512" i="5"/>
  <c r="U1513" i="5"/>
  <c r="U1514" i="5"/>
  <c r="U1515" i="5"/>
  <c r="U1516" i="5"/>
  <c r="U1517" i="5"/>
  <c r="U1518" i="5"/>
  <c r="U1520" i="5"/>
  <c r="U1523" i="5"/>
  <c r="U1525" i="5"/>
  <c r="U1526" i="5"/>
  <c r="U1527" i="5"/>
  <c r="U1528" i="5"/>
  <c r="U1530" i="5"/>
  <c r="U1531" i="5"/>
  <c r="U1532" i="5"/>
  <c r="U1533" i="5"/>
  <c r="U1535" i="5"/>
  <c r="U1538" i="5"/>
  <c r="U1540" i="5"/>
  <c r="U1541" i="5"/>
  <c r="U1543" i="5"/>
  <c r="U1544" i="5"/>
  <c r="U1545" i="5"/>
  <c r="U1547" i="5"/>
  <c r="U1548" i="5"/>
  <c r="U1549" i="5"/>
  <c r="U1550" i="5"/>
  <c r="U1551" i="5"/>
  <c r="U1552" i="5"/>
  <c r="U1553" i="5"/>
  <c r="U1559" i="5"/>
  <c r="U1560" i="5"/>
  <c r="U1561" i="5"/>
  <c r="U1562" i="5"/>
  <c r="U1563" i="5"/>
  <c r="U1565" i="5"/>
  <c r="U1566" i="5"/>
  <c r="U1567" i="5"/>
  <c r="U1568" i="5"/>
  <c r="U1569" i="5"/>
  <c r="U1571" i="5"/>
  <c r="U1576" i="5"/>
  <c r="U1577" i="5"/>
  <c r="U1578" i="5"/>
  <c r="U1579" i="5"/>
  <c r="U1582" i="5"/>
  <c r="U1583" i="5"/>
  <c r="U1584" i="5"/>
  <c r="U1586" i="5"/>
  <c r="U1587" i="5"/>
  <c r="U1588" i="5"/>
  <c r="U1589" i="5"/>
  <c r="U1593" i="5"/>
  <c r="U1594" i="5"/>
  <c r="U1595" i="5"/>
  <c r="U1596" i="5"/>
  <c r="U1597" i="5"/>
  <c r="U1598" i="5"/>
  <c r="U1599" i="5"/>
  <c r="U1601" i="5"/>
  <c r="U1603" i="5"/>
  <c r="U1604" i="5"/>
  <c r="U1607" i="5"/>
  <c r="U1610" i="5"/>
  <c r="U1611" i="5"/>
  <c r="U1613" i="5"/>
  <c r="U1614" i="5"/>
  <c r="U1615" i="5"/>
  <c r="U1616" i="5"/>
  <c r="U1617" i="5"/>
  <c r="U1618" i="5"/>
  <c r="U1619" i="5"/>
  <c r="U1620" i="5"/>
  <c r="U1621" i="5"/>
  <c r="U1623" i="5"/>
  <c r="U1624" i="5"/>
  <c r="U1625" i="5"/>
  <c r="U1626" i="5"/>
  <c r="U1627" i="5"/>
  <c r="U1628" i="5"/>
  <c r="U1629" i="5"/>
  <c r="U1630" i="5"/>
  <c r="U1631" i="5"/>
  <c r="U1632" i="5"/>
  <c r="U1633" i="5"/>
  <c r="U1634" i="5"/>
  <c r="U1635" i="5"/>
  <c r="U1636" i="5"/>
  <c r="U1637" i="5"/>
  <c r="U1642" i="5"/>
  <c r="U1643" i="5"/>
  <c r="U1644" i="5"/>
  <c r="U1646" i="5"/>
  <c r="U1647" i="5"/>
  <c r="U1648" i="5"/>
  <c r="U1649" i="5"/>
  <c r="U1650" i="5"/>
  <c r="U1651" i="5"/>
  <c r="U1652" i="5"/>
  <c r="U1653" i="5"/>
  <c r="U1658" i="5"/>
  <c r="U1659" i="5"/>
  <c r="U1661" i="5"/>
  <c r="U1662" i="5"/>
  <c r="U1664" i="5"/>
  <c r="U1665" i="5"/>
  <c r="U1666" i="5"/>
  <c r="U1667" i="5"/>
  <c r="U1668" i="5"/>
  <c r="U1669" i="5"/>
  <c r="U1672" i="5"/>
  <c r="U1674" i="5"/>
  <c r="U1675" i="5"/>
  <c r="U1676" i="5"/>
  <c r="U1677" i="5"/>
  <c r="U1678" i="5"/>
  <c r="U1679" i="5"/>
  <c r="U1680" i="5"/>
  <c r="U1681" i="5"/>
  <c r="U1682" i="5"/>
  <c r="U1683" i="5"/>
  <c r="U1684" i="5"/>
  <c r="U1685" i="5"/>
  <c r="U1686" i="5"/>
  <c r="U1687" i="5"/>
  <c r="U1688" i="5"/>
  <c r="U1690" i="5"/>
  <c r="U1691" i="5"/>
  <c r="U1693" i="5"/>
  <c r="U1694" i="5"/>
  <c r="U1695" i="5"/>
  <c r="U1696" i="5"/>
  <c r="U1697" i="5"/>
  <c r="U1699" i="5"/>
  <c r="U1700" i="5"/>
  <c r="U1702" i="5"/>
  <c r="U1703" i="5"/>
  <c r="U1705" i="5"/>
  <c r="U1707" i="5"/>
  <c r="U1708" i="5"/>
  <c r="U1709" i="5"/>
  <c r="U1710" i="5"/>
  <c r="U1711" i="5"/>
  <c r="U1712" i="5"/>
  <c r="U1713" i="5"/>
  <c r="U1714" i="5"/>
  <c r="U1715" i="5"/>
  <c r="U1717" i="5"/>
  <c r="U1720" i="5"/>
  <c r="U1721" i="5"/>
  <c r="U1722" i="5"/>
  <c r="U1724" i="5"/>
  <c r="U1725" i="5"/>
  <c r="U1727" i="5"/>
  <c r="U1728" i="5"/>
  <c r="U1729" i="5"/>
  <c r="U1730" i="5"/>
  <c r="U1731" i="5"/>
  <c r="U1736" i="5"/>
  <c r="U1737" i="5"/>
  <c r="U1738" i="5"/>
  <c r="U1740" i="5"/>
  <c r="U1741" i="5"/>
  <c r="U1742" i="5"/>
  <c r="U1743" i="5"/>
  <c r="U1744" i="5"/>
  <c r="U1745" i="5"/>
  <c r="U1746" i="5"/>
  <c r="U1747" i="5"/>
  <c r="U1750" i="5"/>
  <c r="U1751" i="5"/>
  <c r="U1752" i="5"/>
  <c r="U1753" i="5"/>
  <c r="U1754" i="5"/>
  <c r="U1755" i="5"/>
  <c r="U1757" i="5"/>
  <c r="U1758" i="5"/>
  <c r="U1759" i="5"/>
  <c r="U1760" i="5"/>
  <c r="U1761" i="5"/>
  <c r="U1762" i="5"/>
  <c r="U1763" i="5"/>
  <c r="U1766" i="5"/>
  <c r="U1767" i="5"/>
  <c r="U1768" i="5"/>
  <c r="U1769" i="5"/>
  <c r="U1770" i="5"/>
  <c r="U1771" i="5"/>
  <c r="U1774" i="5"/>
  <c r="U1775" i="5"/>
  <c r="U1776" i="5"/>
  <c r="U1777" i="5"/>
  <c r="U1778" i="5"/>
  <c r="U1779" i="5"/>
  <c r="U1781" i="5"/>
  <c r="U1782" i="5"/>
  <c r="U1783" i="5"/>
  <c r="U1784" i="5"/>
  <c r="U1785" i="5"/>
  <c r="U1791" i="5"/>
  <c r="U1793" i="5"/>
  <c r="U1794" i="5"/>
  <c r="U1795" i="5"/>
  <c r="U1798" i="5"/>
  <c r="U1799" i="5"/>
  <c r="U1800" i="5"/>
  <c r="U1801" i="5"/>
  <c r="U1802" i="5"/>
  <c r="U1804" i="5"/>
  <c r="U1805" i="5"/>
  <c r="U1806" i="5"/>
  <c r="U1807" i="5"/>
  <c r="U1808" i="5"/>
  <c r="U1809" i="5"/>
  <c r="U1811" i="5"/>
  <c r="U1812" i="5"/>
  <c r="U1815" i="5"/>
  <c r="U1816" i="5"/>
  <c r="U1818" i="5"/>
  <c r="U1820" i="5"/>
  <c r="U1821" i="5"/>
  <c r="U1823" i="5"/>
  <c r="U1824" i="5"/>
  <c r="U1825" i="5"/>
  <c r="U1826" i="5"/>
  <c r="U1827" i="5"/>
  <c r="U1831" i="5"/>
  <c r="U1835" i="5"/>
  <c r="U1837" i="5"/>
  <c r="U1838" i="5"/>
  <c r="U1839" i="5"/>
  <c r="U1840" i="5"/>
  <c r="U1841" i="5"/>
  <c r="U1842" i="5"/>
  <c r="U1843" i="5"/>
  <c r="U1845" i="5"/>
  <c r="U1846" i="5"/>
  <c r="U1847" i="5"/>
  <c r="U1849" i="5"/>
  <c r="U1851" i="5"/>
  <c r="U1852" i="5"/>
  <c r="U1853" i="5"/>
  <c r="U1854" i="5"/>
  <c r="U1855" i="5"/>
  <c r="U1856" i="5"/>
  <c r="U1857" i="5"/>
  <c r="U1858" i="5"/>
  <c r="U1860" i="5"/>
  <c r="U1861" i="5"/>
  <c r="U1862" i="5"/>
  <c r="U1864" i="5"/>
  <c r="U1866" i="5"/>
  <c r="U1867" i="5"/>
  <c r="U1871" i="5"/>
  <c r="U1873" i="5"/>
  <c r="U1874" i="5"/>
  <c r="U1875" i="5"/>
  <c r="U1876" i="5"/>
  <c r="U1877" i="5"/>
  <c r="U1879" i="5"/>
  <c r="U1882" i="5"/>
  <c r="U1883" i="5"/>
  <c r="U1884" i="5"/>
  <c r="U1886" i="5"/>
  <c r="U1887" i="5"/>
  <c r="U1888" i="5"/>
  <c r="U1889" i="5"/>
  <c r="U1890" i="5"/>
  <c r="U1891" i="5"/>
  <c r="U1896" i="5"/>
  <c r="U1897" i="5"/>
  <c r="U1898" i="5"/>
  <c r="U1899" i="5"/>
  <c r="U1901" i="5"/>
  <c r="U1904" i="5"/>
  <c r="U1905" i="5"/>
  <c r="U1906" i="5"/>
  <c r="U1908" i="5"/>
  <c r="U1909" i="5"/>
  <c r="U1910" i="5"/>
  <c r="U1912" i="5"/>
  <c r="U1914" i="5"/>
  <c r="U1915" i="5"/>
  <c r="U1916" i="5"/>
  <c r="U1917" i="5"/>
  <c r="U1920" i="5"/>
  <c r="U1921" i="5"/>
  <c r="U1923" i="5"/>
  <c r="U1924" i="5"/>
  <c r="U1925" i="5"/>
  <c r="U1928" i="5"/>
  <c r="U1930" i="5"/>
  <c r="U1931" i="5"/>
  <c r="U1932" i="5"/>
  <c r="U1933" i="5"/>
  <c r="U1935" i="5"/>
  <c r="U1936" i="5"/>
  <c r="U1937" i="5"/>
  <c r="U1938" i="5"/>
  <c r="U1939" i="5"/>
  <c r="U1942" i="5"/>
  <c r="U1943" i="5"/>
  <c r="U1944" i="5"/>
  <c r="U1946" i="5"/>
  <c r="U1947" i="5"/>
  <c r="U1950" i="5"/>
  <c r="U1951" i="5"/>
  <c r="U1952" i="5"/>
  <c r="U1955" i="5"/>
  <c r="U1956" i="5"/>
  <c r="U1957" i="5"/>
  <c r="U1959" i="5"/>
  <c r="U1960" i="5"/>
  <c r="U1962" i="5"/>
  <c r="U1963" i="5"/>
  <c r="U1964" i="5"/>
  <c r="U1968" i="5"/>
  <c r="U1969" i="5"/>
  <c r="U1970" i="5"/>
  <c r="U1974" i="5"/>
  <c r="U1975" i="5"/>
  <c r="U1976" i="5"/>
  <c r="U1977" i="5"/>
  <c r="U1979" i="5"/>
  <c r="U1980" i="5"/>
  <c r="U1981" i="5"/>
  <c r="U1983" i="5"/>
  <c r="U1984" i="5"/>
  <c r="U1985" i="5"/>
  <c r="U1988" i="5"/>
  <c r="U1991" i="5"/>
  <c r="U1992" i="5"/>
  <c r="U1993" i="5"/>
  <c r="U1995" i="5"/>
  <c r="U1996" i="5"/>
  <c r="U1997" i="5"/>
  <c r="U1999" i="5"/>
  <c r="U2000" i="5"/>
  <c r="U2001" i="5"/>
  <c r="U2003" i="5"/>
  <c r="U2004" i="5"/>
  <c r="U2007" i="5"/>
  <c r="U2008" i="5"/>
  <c r="U2010" i="5"/>
  <c r="U2011" i="5"/>
  <c r="U2012" i="5"/>
  <c r="U2013" i="5"/>
  <c r="U2017" i="5"/>
  <c r="U2018" i="5"/>
  <c r="U2021" i="5"/>
  <c r="U2022" i="5"/>
  <c r="U2024" i="5"/>
  <c r="U2027" i="5"/>
  <c r="U2028" i="5"/>
  <c r="U2029" i="5"/>
  <c r="U2030" i="5"/>
  <c r="U2031" i="5"/>
  <c r="U2032" i="5"/>
  <c r="U2033" i="5"/>
  <c r="U2034" i="5"/>
  <c r="U2035" i="5"/>
  <c r="U2036" i="5"/>
  <c r="U2037" i="5"/>
  <c r="U2038" i="5"/>
  <c r="U2040" i="5"/>
  <c r="U2041" i="5"/>
  <c r="U2043" i="5"/>
  <c r="U2044" i="5"/>
  <c r="U2045" i="5"/>
  <c r="U2046" i="5"/>
  <c r="U2047" i="5"/>
  <c r="U2048" i="5"/>
  <c r="U2049" i="5"/>
  <c r="U2050" i="5"/>
  <c r="U2051" i="5"/>
  <c r="U2052" i="5"/>
  <c r="U2053" i="5"/>
  <c r="U2059" i="5"/>
  <c r="U2060" i="5"/>
  <c r="U2061" i="5"/>
  <c r="U2064" i="5"/>
  <c r="U2065" i="5"/>
  <c r="U2066" i="5"/>
  <c r="U2067" i="5"/>
  <c r="U2069" i="5"/>
  <c r="U2075" i="5"/>
  <c r="U2077" i="5"/>
  <c r="U2079" i="5"/>
  <c r="U2080" i="5"/>
  <c r="U2082" i="5"/>
  <c r="U2084" i="5"/>
  <c r="U2085" i="5"/>
  <c r="U2086" i="5"/>
  <c r="U2090" i="5"/>
  <c r="U2091" i="5"/>
  <c r="U2092" i="5"/>
  <c r="U2093" i="5"/>
  <c r="U2094" i="5"/>
  <c r="U2095" i="5"/>
  <c r="U2096" i="5"/>
  <c r="U2097" i="5"/>
  <c r="U2099" i="5"/>
  <c r="U2100" i="5"/>
  <c r="U2101" i="5"/>
  <c r="U2103" i="5"/>
  <c r="U2105" i="5"/>
  <c r="U2106" i="5"/>
  <c r="U2108" i="5"/>
  <c r="U2109" i="5"/>
  <c r="U2111" i="5"/>
  <c r="U2112" i="5"/>
  <c r="U2114" i="5"/>
  <c r="U2116" i="5"/>
  <c r="U2117" i="5"/>
  <c r="U2118" i="5"/>
  <c r="U2119" i="5"/>
  <c r="U2120" i="5"/>
  <c r="U2123" i="5"/>
  <c r="U2124" i="5"/>
  <c r="U2125" i="5"/>
  <c r="U2126" i="5"/>
  <c r="U2127" i="5"/>
  <c r="U2128" i="5"/>
  <c r="U2129" i="5"/>
  <c r="U2130" i="5"/>
  <c r="U2132" i="5"/>
  <c r="U2133" i="5"/>
  <c r="U2134" i="5"/>
  <c r="U2135" i="5"/>
  <c r="U2138" i="5"/>
  <c r="U2139" i="5"/>
  <c r="U2141" i="5"/>
  <c r="U2145" i="5"/>
  <c r="U2146" i="5"/>
  <c r="U2147" i="5"/>
  <c r="U2149" i="5"/>
  <c r="U2150" i="5"/>
  <c r="U2152" i="5"/>
  <c r="U2153" i="5"/>
  <c r="U2155" i="5"/>
  <c r="U2156" i="5"/>
  <c r="U2158" i="5"/>
  <c r="U2159" i="5"/>
  <c r="U2160" i="5"/>
  <c r="U2161" i="5"/>
  <c r="U2162" i="5"/>
  <c r="U2163" i="5"/>
  <c r="U2165" i="5"/>
  <c r="U2166" i="5"/>
  <c r="U2168" i="5"/>
  <c r="U2171" i="5"/>
  <c r="U2172" i="5"/>
  <c r="U2173" i="5"/>
  <c r="U2175" i="5"/>
  <c r="U2176" i="5"/>
  <c r="U2177" i="5"/>
  <c r="U2179" i="5"/>
  <c r="U2181" i="5"/>
  <c r="U2182" i="5"/>
  <c r="U2184" i="5"/>
  <c r="U2186" i="5"/>
  <c r="U2187" i="5"/>
  <c r="U2189" i="5"/>
  <c r="U2191" i="5"/>
  <c r="U2193" i="5"/>
  <c r="U2195" i="5"/>
  <c r="U2196" i="5"/>
  <c r="U2197" i="5"/>
  <c r="U2202" i="5"/>
  <c r="U2203" i="5"/>
  <c r="U2204" i="5"/>
  <c r="U2205" i="5"/>
  <c r="U2206" i="5"/>
  <c r="U2207" i="5"/>
  <c r="U2208" i="5"/>
  <c r="U2210" i="5"/>
  <c r="U2211" i="5"/>
  <c r="U2213" i="5"/>
  <c r="U2215" i="5"/>
  <c r="U2216" i="5"/>
  <c r="U2219" i="5"/>
  <c r="U2220" i="5"/>
  <c r="U2222" i="5"/>
  <c r="U2224" i="5"/>
  <c r="U2226" i="5"/>
  <c r="U2227" i="5"/>
  <c r="U2228" i="5"/>
  <c r="U2229" i="5"/>
  <c r="U2230" i="5"/>
  <c r="U2232" i="5"/>
  <c r="U2235" i="5"/>
  <c r="U2236" i="5"/>
  <c r="U2237" i="5"/>
  <c r="U2238" i="5"/>
  <c r="U2239" i="5"/>
  <c r="U2240" i="5"/>
  <c r="U2241" i="5"/>
  <c r="U2242" i="5"/>
  <c r="U2243" i="5"/>
  <c r="U2244" i="5"/>
  <c r="U2245" i="5"/>
  <c r="U2246" i="5"/>
  <c r="U2249" i="5"/>
  <c r="U2251" i="5"/>
  <c r="U2252" i="5"/>
  <c r="U2253" i="5"/>
  <c r="U2254" i="5"/>
  <c r="U2255" i="5"/>
  <c r="U2256" i="5"/>
  <c r="U2258" i="5"/>
  <c r="U2259" i="5"/>
  <c r="U2260" i="5"/>
  <c r="U2261" i="5"/>
  <c r="U2262" i="5"/>
  <c r="U2265" i="5"/>
  <c r="U2268" i="5"/>
  <c r="U2269" i="5"/>
  <c r="U2270" i="5"/>
  <c r="U2272" i="5"/>
  <c r="U2273" i="5"/>
  <c r="U2275" i="5"/>
  <c r="U2276" i="5"/>
  <c r="U2277" i="5"/>
  <c r="U2278" i="5"/>
  <c r="U2279" i="5"/>
  <c r="U2282" i="5"/>
  <c r="U2283" i="5"/>
  <c r="U2284" i="5"/>
  <c r="U2285" i="5"/>
  <c r="U2286" i="5"/>
  <c r="U2287" i="5"/>
  <c r="U2288" i="5"/>
  <c r="U2289" i="5"/>
  <c r="U2291" i="5"/>
  <c r="U2292" i="5"/>
  <c r="U2293" i="5"/>
  <c r="U2294" i="5"/>
  <c r="U2295" i="5"/>
  <c r="U2296" i="5"/>
  <c r="U2300" i="5"/>
  <c r="U2301" i="5"/>
  <c r="U2302" i="5"/>
  <c r="U2303" i="5"/>
  <c r="U2305" i="5"/>
  <c r="U2306" i="5"/>
  <c r="U2308" i="5"/>
  <c r="U2309" i="5"/>
  <c r="U2310" i="5"/>
  <c r="U2311" i="5"/>
  <c r="U2314" i="5"/>
  <c r="U2315" i="5"/>
  <c r="U2317" i="5"/>
  <c r="U2318" i="5"/>
  <c r="U2320" i="5"/>
  <c r="U2321" i="5"/>
  <c r="U2322" i="5"/>
  <c r="U2323" i="5"/>
  <c r="U2325" i="5"/>
  <c r="U2326" i="5"/>
  <c r="U2327" i="5"/>
  <c r="U2329" i="5"/>
  <c r="U2332" i="5"/>
  <c r="U2333" i="5"/>
  <c r="U2334" i="5"/>
  <c r="U2335" i="5"/>
  <c r="U2336" i="5"/>
  <c r="U2339" i="5"/>
  <c r="U2340" i="5"/>
  <c r="U2341" i="5"/>
  <c r="U2343" i="5"/>
  <c r="U2346" i="5"/>
  <c r="U2347" i="5"/>
  <c r="U2348" i="5"/>
  <c r="U2349" i="5"/>
  <c r="U2350" i="5"/>
  <c r="U2351" i="5"/>
  <c r="U2352" i="5"/>
  <c r="U2355" i="5"/>
  <c r="U2357" i="5"/>
  <c r="U2358" i="5"/>
  <c r="U2360" i="5"/>
  <c r="U2361" i="5"/>
  <c r="U2362" i="5"/>
  <c r="U2363" i="5"/>
  <c r="U2365" i="5"/>
  <c r="U2366" i="5"/>
  <c r="U2367" i="5"/>
  <c r="U2368" i="5"/>
  <c r="U2369" i="5"/>
  <c r="U2370" i="5"/>
  <c r="U2372" i="5"/>
  <c r="U2374" i="5"/>
  <c r="U2375" i="5"/>
  <c r="U2377" i="5"/>
  <c r="U2380" i="5"/>
  <c r="U2381" i="5"/>
  <c r="U2382" i="5"/>
  <c r="U2383" i="5"/>
  <c r="U2386" i="5"/>
  <c r="U2387" i="5"/>
  <c r="U2388" i="5"/>
  <c r="U2390" i="5"/>
  <c r="U2392" i="5"/>
  <c r="U2394" i="5"/>
  <c r="U2395" i="5"/>
  <c r="U2396" i="5"/>
  <c r="U2397" i="5"/>
  <c r="U2398" i="5"/>
  <c r="U2399" i="5"/>
  <c r="U2400" i="5"/>
  <c r="U2401" i="5"/>
  <c r="U2402" i="5"/>
  <c r="U2403" i="5"/>
  <c r="U2405" i="5"/>
  <c r="U2410" i="5"/>
  <c r="U2411" i="5"/>
  <c r="U2412" i="5"/>
  <c r="U2413" i="5"/>
  <c r="U2414" i="5"/>
  <c r="U2415" i="5"/>
  <c r="U2416" i="5"/>
  <c r="U2417" i="5"/>
  <c r="U2418" i="5"/>
  <c r="U2420" i="5"/>
  <c r="U2421" i="5"/>
  <c r="U2425" i="5"/>
  <c r="U2426" i="5"/>
  <c r="U2428" i="5"/>
  <c r="U2430" i="5"/>
  <c r="U2431" i="5"/>
  <c r="U2432" i="5"/>
  <c r="U2433" i="5"/>
  <c r="U2434" i="5"/>
  <c r="U2435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E8" i="4"/>
  <c r="E7" i="4"/>
  <c r="E2" i="4"/>
  <c r="B35" i="4"/>
  <c r="V1241" i="5" l="1"/>
  <c r="U1990" i="5"/>
  <c r="U2076" i="5"/>
  <c r="V1244" i="5"/>
  <c r="V1238" i="5"/>
  <c r="V1308" i="5"/>
  <c r="V1200" i="5"/>
  <c r="U2373" i="5"/>
  <c r="V1277" i="5"/>
  <c r="V1261" i="5"/>
  <c r="V1245" i="5"/>
  <c r="V1197" i="5"/>
  <c r="U2107" i="5"/>
  <c r="V1484" i="5"/>
  <c r="U2062" i="5"/>
  <c r="U1698" i="5"/>
  <c r="U2391" i="5"/>
  <c r="U1210" i="5"/>
  <c r="V1210" i="5" s="1"/>
  <c r="V1474" i="5"/>
  <c r="V1264" i="5"/>
  <c r="U1865" i="5"/>
  <c r="V1262" i="5"/>
  <c r="V1226" i="5"/>
  <c r="U2389" i="5"/>
  <c r="V1280" i="5"/>
  <c r="V1523" i="5"/>
  <c r="V1455" i="5"/>
  <c r="U2078" i="5"/>
  <c r="U1881" i="5"/>
  <c r="V1252" i="5"/>
  <c r="U2002" i="5"/>
  <c r="U2019" i="5"/>
  <c r="U2330" i="5"/>
  <c r="V1340" i="5"/>
  <c r="V1422" i="5"/>
  <c r="V1363" i="5"/>
  <c r="V1347" i="5"/>
  <c r="V1331" i="5"/>
  <c r="V1251" i="5"/>
  <c r="V1203" i="5"/>
  <c r="V1359" i="5"/>
  <c r="V1343" i="5"/>
  <c r="V1263" i="5"/>
  <c r="U1973" i="5"/>
  <c r="V1517" i="5"/>
  <c r="V1287" i="5"/>
  <c r="V1271" i="5"/>
  <c r="V1254" i="5"/>
  <c r="V1223" i="5"/>
  <c r="V1290" i="5"/>
  <c r="V1194" i="5"/>
  <c r="U2344" i="5"/>
  <c r="V1546" i="5"/>
  <c r="V1402" i="5"/>
  <c r="U1663" i="5"/>
  <c r="U2081" i="5"/>
  <c r="U1556" i="5"/>
  <c r="U1581" i="5"/>
  <c r="U1907" i="5"/>
  <c r="U2192" i="5"/>
  <c r="U2169" i="5"/>
  <c r="V1366" i="5"/>
  <c r="V1270" i="5"/>
  <c r="V1459" i="5"/>
  <c r="V1372" i="5"/>
  <c r="V1392" i="5"/>
  <c r="V1356" i="5"/>
  <c r="V1371" i="5"/>
  <c r="V1291" i="5"/>
  <c r="V1275" i="5"/>
  <c r="U2271" i="5"/>
  <c r="U2016" i="5"/>
  <c r="U1834" i="5"/>
  <c r="U2281" i="5"/>
  <c r="U2057" i="5"/>
  <c r="U1537" i="5"/>
  <c r="U1689" i="5"/>
  <c r="V1550" i="5"/>
  <c r="V1430" i="5"/>
  <c r="V1418" i="5"/>
  <c r="V1406" i="5"/>
  <c r="V1293" i="5"/>
  <c r="U1885" i="5"/>
  <c r="V1506" i="5"/>
  <c r="V1483" i="5"/>
  <c r="V1411" i="5"/>
  <c r="U1706" i="5"/>
  <c r="U2312" i="5"/>
  <c r="U2337" i="5"/>
  <c r="U1573" i="5"/>
  <c r="U2098" i="5"/>
  <c r="U1585" i="5"/>
  <c r="V1228" i="5"/>
  <c r="U2214" i="5"/>
  <c r="U1787" i="5"/>
  <c r="V1321" i="5"/>
  <c r="U2378" i="5"/>
  <c r="V1337" i="5"/>
  <c r="V1408" i="5"/>
  <c r="V1432" i="5"/>
  <c r="V1428" i="5"/>
  <c r="V1404" i="5"/>
  <c r="V1384" i="5"/>
  <c r="V1285" i="5"/>
  <c r="V1269" i="5"/>
  <c r="V1288" i="5"/>
  <c r="U2178" i="5"/>
  <c r="U1377" i="5"/>
  <c r="U1934" i="5"/>
  <c r="V1233" i="5"/>
  <c r="U2190" i="5"/>
  <c r="V1552" i="5"/>
  <c r="V1520" i="5"/>
  <c r="V1302" i="5"/>
  <c r="U1467" i="5"/>
  <c r="V1450" i="5"/>
  <c r="V1237" i="5"/>
  <c r="V1221" i="5"/>
  <c r="V1205" i="5"/>
  <c r="V1227" i="5"/>
  <c r="V1489" i="5"/>
  <c r="U2354" i="5"/>
  <c r="V1530" i="5"/>
  <c r="V1336" i="5"/>
  <c r="V1367" i="5"/>
  <c r="U1602" i="5"/>
  <c r="U1352" i="5"/>
  <c r="U1773" i="5"/>
  <c r="U2142" i="5"/>
  <c r="U1580" i="5"/>
  <c r="V1492" i="5"/>
  <c r="U1718" i="5"/>
  <c r="V1504" i="5"/>
  <c r="U1536" i="5"/>
  <c r="U1790" i="5"/>
  <c r="V1395" i="5"/>
  <c r="V1215" i="5"/>
  <c r="U1297" i="5"/>
  <c r="V1398" i="5"/>
  <c r="V1334" i="5"/>
  <c r="U1256" i="5"/>
  <c r="U1872" i="5"/>
  <c r="U2419" i="5"/>
  <c r="V1207" i="5"/>
  <c r="V1249" i="5"/>
  <c r="V1319" i="5"/>
  <c r="U2200" i="5"/>
  <c r="U1470" i="5"/>
  <c r="U2299" i="5"/>
  <c r="U2231" i="5"/>
  <c r="U2342" i="5"/>
  <c r="U2221" i="5"/>
  <c r="U2083" i="5"/>
  <c r="U1961" i="5"/>
  <c r="V1419" i="5"/>
  <c r="U2151" i="5"/>
  <c r="V1505" i="5"/>
  <c r="U1902" i="5"/>
  <c r="U1554" i="5"/>
  <c r="U2359" i="5"/>
  <c r="V1349" i="5"/>
  <c r="V1209" i="5"/>
  <c r="V1193" i="5"/>
  <c r="U1994" i="5"/>
  <c r="U2274" i="5"/>
  <c r="U1989" i="5"/>
  <c r="V1199" i="5"/>
  <c r="U1948" i="5"/>
  <c r="V1473" i="5"/>
  <c r="U1494" i="5"/>
  <c r="U2188" i="5"/>
  <c r="U1832" i="5"/>
  <c r="U1719" i="5"/>
  <c r="U2144" i="5"/>
  <c r="U1739" i="5"/>
  <c r="U1819" i="5"/>
  <c r="U1836" i="5"/>
  <c r="U1465" i="5"/>
  <c r="U2140" i="5"/>
  <c r="U2009" i="5"/>
  <c r="U1895" i="5"/>
  <c r="V1512" i="5"/>
  <c r="U1605" i="5"/>
  <c r="U2089" i="5"/>
  <c r="U2072" i="5"/>
  <c r="U1796" i="5"/>
  <c r="U1733" i="5"/>
  <c r="U1572" i="5"/>
  <c r="U1521" i="5"/>
  <c r="U1490" i="5"/>
  <c r="U2307" i="5"/>
  <c r="U1828" i="5"/>
  <c r="U2183" i="5"/>
  <c r="U2005" i="5"/>
  <c r="U2248" i="5"/>
  <c r="U2319" i="5"/>
  <c r="U1716" i="5"/>
  <c r="U2263" i="5"/>
  <c r="U2384" i="5"/>
  <c r="U1850" i="5"/>
  <c r="V1458" i="5"/>
  <c r="U2063" i="5"/>
  <c r="U1966" i="5"/>
  <c r="U2225" i="5"/>
  <c r="U2088" i="5"/>
  <c r="U1859" i="5"/>
  <c r="U2113" i="5"/>
  <c r="U1732" i="5"/>
  <c r="U1789" i="5"/>
  <c r="U1919" i="5"/>
  <c r="U1903" i="5"/>
  <c r="U1822" i="5"/>
  <c r="U1788" i="5"/>
  <c r="U1772" i="5"/>
  <c r="V1544" i="5"/>
  <c r="U1692" i="5"/>
  <c r="U2174" i="5"/>
  <c r="U2371" i="5"/>
  <c r="U1813" i="5"/>
  <c r="U2324" i="5"/>
  <c r="U1967" i="5"/>
  <c r="U1918" i="5"/>
  <c r="U1868" i="5"/>
  <c r="U2385" i="5"/>
  <c r="U2015" i="5"/>
  <c r="U1982" i="5"/>
  <c r="U1949" i="5"/>
  <c r="U1803" i="5"/>
  <c r="U1529" i="5"/>
  <c r="V1250" i="5"/>
  <c r="V1414" i="5"/>
  <c r="V1421" i="5"/>
  <c r="V1417" i="5"/>
  <c r="V1413" i="5"/>
  <c r="V1405" i="5"/>
  <c r="V1267" i="5"/>
  <c r="U1306" i="5"/>
  <c r="V1327" i="5"/>
  <c r="V1397" i="5"/>
  <c r="V1362" i="5"/>
  <c r="V1298" i="5"/>
  <c r="U1381" i="5"/>
  <c r="V1545" i="5"/>
  <c r="V1283" i="5"/>
  <c r="V1312" i="5"/>
  <c r="V1342" i="5"/>
  <c r="V1202" i="5"/>
  <c r="V1513" i="5"/>
  <c r="V1497" i="5"/>
  <c r="V1466" i="5"/>
  <c r="V1426" i="5"/>
  <c r="U1272" i="5"/>
  <c r="V1328" i="5"/>
  <c r="V1360" i="5"/>
  <c r="V1295" i="5"/>
  <c r="V1383" i="5"/>
  <c r="V1300" i="5"/>
  <c r="V1259" i="5"/>
  <c r="V1235" i="5"/>
  <c r="V1230" i="5"/>
  <c r="V1198" i="5"/>
  <c r="V1390" i="5"/>
  <c r="V1296" i="5"/>
  <c r="V1274" i="5"/>
  <c r="V1255" i="5"/>
  <c r="V1239" i="5"/>
  <c r="V1236" i="5"/>
  <c r="U1833" i="5"/>
  <c r="U1641" i="5"/>
  <c r="U1542" i="5"/>
  <c r="U1929" i="5"/>
  <c r="U1880" i="5"/>
  <c r="U1863" i="5"/>
  <c r="U1704" i="5"/>
  <c r="U1673" i="5"/>
  <c r="U1657" i="5"/>
  <c r="U1640" i="5"/>
  <c r="U1591" i="5"/>
  <c r="U1575" i="5"/>
  <c r="U1558" i="5"/>
  <c r="U1446" i="5"/>
  <c r="U1448" i="5"/>
  <c r="U2298" i="5"/>
  <c r="U2264" i="5"/>
  <c r="U2199" i="5"/>
  <c r="U2137" i="5"/>
  <c r="U2121" i="5"/>
  <c r="U2104" i="5"/>
  <c r="U2071" i="5"/>
  <c r="U2056" i="5"/>
  <c r="U2023" i="5"/>
  <c r="U2006" i="5"/>
  <c r="U1958" i="5"/>
  <c r="U1926" i="5"/>
  <c r="U1893" i="5"/>
  <c r="U1609" i="5"/>
  <c r="U2393" i="5"/>
  <c r="U2364" i="5"/>
  <c r="U2185" i="5"/>
  <c r="U2154" i="5"/>
  <c r="U1749" i="5"/>
  <c r="U1606" i="5"/>
  <c r="U1590" i="5"/>
  <c r="U1574" i="5"/>
  <c r="U1557" i="5"/>
  <c r="U1493" i="5"/>
  <c r="U2407" i="5"/>
  <c r="U2376" i="5"/>
  <c r="U2345" i="5"/>
  <c r="U2328" i="5"/>
  <c r="U2313" i="5"/>
  <c r="U2297" i="5"/>
  <c r="U2280" i="5"/>
  <c r="U2247" i="5"/>
  <c r="U2198" i="5"/>
  <c r="U2167" i="5"/>
  <c r="U2087" i="5"/>
  <c r="U2070" i="5"/>
  <c r="U2055" i="5"/>
  <c r="U2039" i="5"/>
  <c r="U1941" i="5"/>
  <c r="U1511" i="5"/>
  <c r="U2233" i="5"/>
  <c r="U2217" i="5"/>
  <c r="U1911" i="5"/>
  <c r="U1894" i="5"/>
  <c r="U1878" i="5"/>
  <c r="U1814" i="5"/>
  <c r="U1797" i="5"/>
  <c r="U1780" i="5"/>
  <c r="U1764" i="5"/>
  <c r="U1748" i="5"/>
  <c r="U1734" i="5"/>
  <c r="U1671" i="5"/>
  <c r="U1655" i="5"/>
  <c r="U1638" i="5"/>
  <c r="U1622" i="5"/>
  <c r="U2409" i="5"/>
  <c r="U2025" i="5"/>
  <c r="U2423" i="5"/>
  <c r="U2406" i="5"/>
  <c r="U2331" i="5"/>
  <c r="U2250" i="5"/>
  <c r="U2201" i="5"/>
  <c r="U2170" i="5"/>
  <c r="U2073" i="5"/>
  <c r="U2042" i="5"/>
  <c r="U1765" i="5"/>
  <c r="U1639" i="5"/>
  <c r="U1509" i="5"/>
  <c r="U1848" i="5"/>
  <c r="U1817" i="5"/>
  <c r="U1592" i="5"/>
  <c r="U1462" i="5"/>
  <c r="U2234" i="5"/>
  <c r="V1478" i="5"/>
  <c r="V1480" i="5"/>
  <c r="U1477" i="5"/>
  <c r="U2267" i="5"/>
  <c r="U2218" i="5"/>
  <c r="U2058" i="5"/>
  <c r="U1735" i="5"/>
  <c r="U1656" i="5"/>
  <c r="U1927" i="5"/>
  <c r="V1526" i="5"/>
  <c r="U1913" i="5"/>
  <c r="V1461" i="5"/>
  <c r="U2223" i="5"/>
  <c r="U1786" i="5"/>
  <c r="U2054" i="5"/>
  <c r="U1487" i="5"/>
  <c r="V1476" i="5"/>
  <c r="V1485" i="5"/>
  <c r="U2257" i="5"/>
  <c r="U1670" i="5"/>
  <c r="V1234" i="5"/>
  <c r="V1345" i="5"/>
  <c r="V1394" i="5"/>
  <c r="V1303" i="5"/>
  <c r="V1284" i="5"/>
  <c r="U1196" i="5"/>
  <c r="V1196" i="5" s="1"/>
  <c r="V1350" i="5"/>
  <c r="V1403" i="5"/>
  <c r="V1396" i="5"/>
  <c r="V1304" i="5"/>
  <c r="V1407" i="5"/>
  <c r="V1355" i="5"/>
  <c r="V1307" i="5"/>
  <c r="U1231" i="5"/>
  <c r="V1212" i="5"/>
  <c r="V1282" i="5"/>
  <c r="V1247" i="5"/>
  <c r="V1364" i="5"/>
  <c r="V1361" i="5"/>
  <c r="U1382" i="5"/>
  <c r="V1441" i="5"/>
  <c r="V1553" i="5"/>
  <c r="V1538" i="5"/>
  <c r="V1507" i="5"/>
  <c r="V1491" i="5"/>
  <c r="V1475" i="5"/>
  <c r="V1460" i="5"/>
  <c r="V1294" i="5"/>
  <c r="V1329" i="5"/>
  <c r="V1246" i="5"/>
  <c r="U1322" i="5"/>
  <c r="V1412" i="5"/>
  <c r="V1374" i="5"/>
  <c r="V1373" i="5"/>
  <c r="V1325" i="5"/>
  <c r="V1437" i="5"/>
  <c r="V1219" i="5"/>
  <c r="V1311" i="5"/>
  <c r="U1391" i="5"/>
  <c r="V1190" i="5"/>
  <c r="V1258" i="5"/>
  <c r="U1268" i="5"/>
  <c r="U1386" i="5"/>
  <c r="U1225" i="5"/>
  <c r="V1257" i="5"/>
  <c r="V1299" i="5"/>
  <c r="V1213" i="5"/>
  <c r="V1368" i="5"/>
  <c r="V1369" i="5"/>
  <c r="V1242" i="5"/>
  <c r="V1222" i="5"/>
  <c r="V1206" i="5"/>
  <c r="V1265" i="5"/>
  <c r="V1309" i="5"/>
  <c r="V1201" i="5"/>
  <c r="V1253" i="5"/>
  <c r="C25" i="4"/>
  <c r="C24" i="4"/>
  <c r="U2353" i="5"/>
  <c r="U1940" i="5"/>
  <c r="V1518" i="5"/>
  <c r="U1965" i="5"/>
  <c r="V1543" i="5"/>
  <c r="U1892" i="5"/>
  <c r="U1971" i="5"/>
  <c r="V1549" i="5"/>
  <c r="U2068" i="5"/>
  <c r="V1516" i="5"/>
  <c r="V1468" i="5"/>
  <c r="V1496" i="5"/>
  <c r="V1454" i="5"/>
  <c r="U1972" i="5"/>
  <c r="U2115" i="5"/>
  <c r="V1503" i="5"/>
  <c r="U2429" i="5"/>
  <c r="U2102" i="5"/>
  <c r="U2304" i="5"/>
  <c r="U2143" i="5"/>
  <c r="U1534" i="5"/>
  <c r="V1533" i="5"/>
  <c r="V1522" i="5"/>
  <c r="U1510" i="5"/>
  <c r="V1551" i="5"/>
  <c r="V1535" i="5"/>
  <c r="V1502" i="5"/>
  <c r="V1527" i="5"/>
  <c r="V1528" i="5"/>
  <c r="V1482" i="5"/>
  <c r="U1519" i="5"/>
  <c r="U1844" i="5"/>
  <c r="U1453" i="5"/>
  <c r="V1547" i="5"/>
  <c r="U1987" i="5"/>
  <c r="U1555" i="5"/>
  <c r="U2131" i="5"/>
  <c r="U1570" i="5"/>
  <c r="U2157" i="5"/>
  <c r="U1608" i="5"/>
  <c r="V1488" i="5"/>
  <c r="V1449" i="5"/>
  <c r="U2020" i="5"/>
  <c r="V1499" i="5"/>
  <c r="V1380" i="5"/>
  <c r="V1423" i="5"/>
  <c r="V1278" i="5"/>
  <c r="V1192" i="5"/>
  <c r="V1351" i="5"/>
  <c r="V1385" i="5"/>
  <c r="V1214" i="5"/>
  <c r="V1379" i="5"/>
  <c r="V1310" i="5"/>
  <c r="V1324" i="5"/>
  <c r="V1427" i="5"/>
  <c r="V1440" i="5"/>
  <c r="V1445" i="5"/>
  <c r="V1208" i="5"/>
  <c r="U1248" i="5"/>
  <c r="V1316" i="5"/>
  <c r="V1315" i="5"/>
  <c r="U1431" i="5"/>
  <c r="V1348" i="5"/>
  <c r="V1273" i="5"/>
  <c r="V1276" i="5"/>
  <c r="V1433" i="5"/>
  <c r="V1425" i="5"/>
  <c r="V1339" i="5"/>
  <c r="U1301" i="5"/>
  <c r="V1301" i="5" s="1"/>
  <c r="V1313" i="5"/>
  <c r="V1191" i="5"/>
  <c r="U1354" i="5"/>
  <c r="V1204" i="5"/>
  <c r="U1409" i="5"/>
  <c r="V1332" i="5"/>
  <c r="V1211" i="5"/>
  <c r="V1436" i="5"/>
  <c r="V1279" i="5"/>
  <c r="V1353" i="5"/>
  <c r="V1444" i="5"/>
  <c r="V1220" i="5"/>
  <c r="V1439" i="5"/>
  <c r="V1260" i="5"/>
  <c r="V1399" i="5"/>
  <c r="V1486" i="5"/>
  <c r="U1829" i="5"/>
  <c r="U2209" i="5"/>
  <c r="U2122" i="5"/>
  <c r="V1515" i="5"/>
  <c r="U1500" i="5"/>
  <c r="V1500" i="5" s="1"/>
  <c r="U1539" i="5"/>
  <c r="V1456" i="5"/>
  <c r="U2180" i="5"/>
  <c r="V1541" i="5"/>
  <c r="V1481" i="5"/>
  <c r="V1479" i="5"/>
  <c r="V1525" i="5"/>
  <c r="V1469" i="5"/>
  <c r="V1457" i="5"/>
  <c r="U2424" i="5"/>
  <c r="V1471" i="5"/>
  <c r="U2408" i="5"/>
  <c r="V1508" i="5"/>
  <c r="U1463" i="5"/>
  <c r="U1524" i="5"/>
  <c r="V1531" i="5"/>
  <c r="V1540" i="5"/>
  <c r="U1723" i="5"/>
  <c r="U1600" i="5"/>
  <c r="V1548" i="5"/>
  <c r="V1501" i="5"/>
  <c r="U1945" i="5"/>
  <c r="V1416" i="5"/>
  <c r="U1401" i="5"/>
  <c r="V1216" i="5"/>
  <c r="V1443" i="5"/>
  <c r="V1420" i="5"/>
  <c r="V1434" i="5"/>
  <c r="V1415" i="5"/>
  <c r="V1378" i="5"/>
  <c r="V1375" i="5"/>
  <c r="V1341" i="5"/>
  <c r="V1338" i="5"/>
  <c r="V1335" i="5"/>
  <c r="V1438" i="5"/>
  <c r="V1330" i="5"/>
  <c r="V1344" i="5"/>
  <c r="V1217" i="5"/>
  <c r="V1424" i="5"/>
  <c r="V1266" i="5"/>
  <c r="V1333" i="5"/>
  <c r="V1232" i="5"/>
  <c r="V1358" i="5"/>
  <c r="V1195" i="5"/>
  <c r="V1451" i="5"/>
  <c r="U1498" i="5"/>
  <c r="V1464" i="5"/>
  <c r="V1514" i="5"/>
  <c r="V1532" i="5"/>
  <c r="C22" i="4"/>
  <c r="V1495" i="5"/>
  <c r="U2148" i="5"/>
  <c r="V1429" i="5"/>
  <c r="V1370" i="5"/>
  <c r="V1289" i="5"/>
  <c r="U1243" i="5"/>
  <c r="V1393" i="5"/>
  <c r="V1410" i="5"/>
  <c r="U1218" i="5"/>
  <c r="V1365" i="5"/>
  <c r="V1387" i="5"/>
  <c r="U1286" i="5"/>
  <c r="V1388" i="5"/>
  <c r="U1229" i="5"/>
  <c r="U1400" i="5"/>
  <c r="U1292" i="5"/>
  <c r="U1240" i="5"/>
  <c r="U1357" i="5"/>
  <c r="V1376" i="5"/>
  <c r="V1326" i="5"/>
  <c r="V1305" i="5"/>
  <c r="V1281" i="5"/>
  <c r="V1318" i="5"/>
  <c r="D16" i="4"/>
  <c r="C16" i="4"/>
  <c r="U1869" i="5"/>
  <c r="U1922" i="5"/>
  <c r="U1986" i="5"/>
  <c r="U1998" i="5"/>
  <c r="C21" i="4"/>
  <c r="U1452" i="5"/>
  <c r="U1645" i="5"/>
  <c r="U2316" i="5"/>
  <c r="V1447" i="5"/>
  <c r="U2427" i="5"/>
  <c r="U2379" i="5"/>
  <c r="U2136" i="5"/>
  <c r="U1953" i="5"/>
  <c r="U1830" i="5"/>
  <c r="U1701" i="5"/>
  <c r="V1472" i="5"/>
  <c r="U1346" i="5"/>
  <c r="V1323" i="5"/>
  <c r="U1224" i="5"/>
  <c r="U1317" i="5"/>
  <c r="U1389" i="5"/>
  <c r="V1314" i="5"/>
  <c r="V1320" i="5"/>
  <c r="V1442" i="5"/>
  <c r="U1435" i="5"/>
  <c r="V1286" i="5" l="1"/>
  <c r="V1272" i="5"/>
  <c r="V1519" i="5"/>
  <c r="V1465" i="5"/>
  <c r="V1556" i="5"/>
  <c r="V1297" i="5"/>
  <c r="V1256" i="5"/>
  <c r="V1554" i="5"/>
  <c r="V1509" i="5"/>
  <c r="V1225" i="5"/>
  <c r="V1453" i="5"/>
  <c r="V1467" i="5"/>
  <c r="V1477" i="5"/>
  <c r="V1537" i="5"/>
  <c r="V1536" i="5"/>
  <c r="V1557" i="5"/>
  <c r="V1494" i="5"/>
  <c r="V1386" i="5"/>
  <c r="V1352" i="5"/>
  <c r="V1470" i="5"/>
  <c r="V1268" i="5"/>
  <c r="V1539" i="5"/>
  <c r="V1306" i="5"/>
  <c r="V1322" i="5"/>
  <c r="V1231" i="5"/>
  <c r="V1463" i="5"/>
  <c r="V1431" i="5"/>
  <c r="V1534" i="5"/>
  <c r="V1377" i="5"/>
  <c r="V1511" i="5"/>
  <c r="V1292" i="5"/>
  <c r="V1354" i="5"/>
  <c r="V1381" i="5"/>
  <c r="V1401" i="5"/>
  <c r="V1510" i="5"/>
  <c r="V1462" i="5"/>
  <c r="V1382" i="5"/>
  <c r="V1391" i="5"/>
  <c r="V1409" i="5"/>
  <c r="V1558" i="5"/>
  <c r="V1542" i="5"/>
  <c r="V1529" i="5"/>
  <c r="D24" i="4"/>
  <c r="G24" i="4" s="1"/>
  <c r="V1248" i="5"/>
  <c r="V1240" i="5"/>
  <c r="V1490" i="5"/>
  <c r="V1224" i="5"/>
  <c r="V1521" i="5"/>
  <c r="V1435" i="5"/>
  <c r="V1446" i="5"/>
  <c r="V1487" i="5"/>
  <c r="V1493" i="5"/>
  <c r="V1448" i="5"/>
  <c r="V1317" i="5"/>
  <c r="D25" i="4"/>
  <c r="G25" i="4" s="1"/>
  <c r="V1555" i="5"/>
  <c r="V1400" i="5"/>
  <c r="V1218" i="5"/>
  <c r="G16" i="4"/>
  <c r="V1524" i="5"/>
  <c r="V1357" i="5"/>
  <c r="V1346" i="5"/>
  <c r="V1229" i="5"/>
  <c r="D22" i="4"/>
  <c r="G22" i="4" s="1"/>
  <c r="C23" i="4"/>
  <c r="D23" i="4"/>
  <c r="V1389" i="5"/>
  <c r="V1243" i="5"/>
  <c r="V1498" i="5"/>
  <c r="C19" i="4"/>
  <c r="D19" i="4"/>
  <c r="D21" i="4"/>
  <c r="G21" i="4" s="1"/>
  <c r="V1452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<sst xmlns="http://schemas.openxmlformats.org/spreadsheetml/2006/main" count="490" uniqueCount="236">
  <si>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</si>
  <si>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</si>
  <si>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</si>
  <si>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</si>
  <si>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</si>
  <si>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</si>
  <si>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</si>
  <si>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</si>
  <si>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</si>
  <si>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</si>
  <si>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</si>
  <si>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</si>
  <si>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</si>
  <si>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</si>
  <si>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</si>
  <si>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</si>
  <si>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</si>
  <si>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</si>
  <si>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</si>
  <si>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</si>
  <si>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</si>
  <si>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</si>
  <si>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</si>
  <si>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</si>
  <si>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</si>
  <si>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</si>
  <si>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</si>
  <si>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</si>
  <si>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</si>
  <si>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</si>
  <si>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</si>
  <si>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</si>
  <si>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</si>
  <si>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</si>
  <si>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</si>
  <si>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</si>
  <si>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</si>
  <si>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</si>
  <si>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</si>
  <si>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</si>
  <si>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</si>
  <si>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</si>
  <si>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</si>
  <si>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</si>
  <si>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</si>
  <si>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</si>
  <si>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</si>
  <si>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</si>
  <si>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</si>
  <si>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</si>
  <si>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</si>
  <si>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</si>
  <si>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</si>
  <si>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</si>
  <si>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</si>
  <si>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</si>
  <si>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</si>
  <si>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</si>
  <si>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</si>
  <si>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</si>
  <si>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</si>
  <si>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</si>
  <si>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</si>
  <si>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</si>
  <si>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</si>
  <si>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</si>
  <si>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</si>
  <si>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</si>
  <si>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</si>
  <si>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</si>
  <si>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</si>
  <si>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</si>
  <si>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</si>
  <si>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</si>
  <si>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</si>
  <si>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</si>
  <si>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</si>
  <si>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</si>
  <si>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</si>
  <si>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</si>
  <si>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</si>
  <si>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</si>
  <si>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</si>
  <si>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</si>
  <si>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</si>
  <si>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</si>
  <si>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</si>
  <si>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</si>
  <si>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</si>
  <si>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</si>
  <si>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</si>
  <si>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</si>
  <si>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</si>
  <si>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</si>
  <si>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</si>
  <si>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</si>
  <si>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</si>
  <si>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</si>
  <si>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</si>
  <si>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</si>
  <si>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</si>
  <si>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</si>
  <si>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</si>
  <si>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</si>
  <si>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</si>
  <si>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</si>
  <si>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</si>
  <si>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</si>
  <si>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</si>
  <si>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</si>
  <si>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</si>
  <si>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</si>
  <si>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</si>
  <si>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</si>
  <si>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</si>
  <si>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</si>
  <si>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</si>
  <si>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</si>
  <si>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</si>
  <si>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</si>
  <si>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</si>
  <si>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</si>
  <si>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</si>
  <si>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</si>
  <si>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</si>
  <si>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</si>
  <si>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</si>
  <si>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</si>
  <si>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Attn: Carla Ortiz 00705806</t>
  </si>
  <si>
    <t>carla.ortiz@hsc.utah.edu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</si>
  <si>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</si>
  <si>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</si>
  <si>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</si>
  <si>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</si>
  <si>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</si>
  <si>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</si>
  <si>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</si>
  <si>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</si>
  <si>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</si>
  <si>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</si>
  <si>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</si>
  <si>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</si>
  <si>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01-00879-5000-59700310-64303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</si>
  <si>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</si>
  <si>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</si>
  <si>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</si>
  <si>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</si>
  <si>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</si>
  <si>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</si>
  <si>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</si>
  <si>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</si>
  <si>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</si>
  <si>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</si>
  <si>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</si>
  <si>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</si>
  <si>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</si>
  <si>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</si>
  <si>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austin.stevens@hsc.utah.edu   alk.taylor@utah.edu</t>
  </si>
  <si>
    <t>Attn: Austin Stevens 00462637 Amy Taylor 06025966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</si>
  <si>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</si>
  <si>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</si>
  <si>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</si>
  <si>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</si>
  <si>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</si>
  <si>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</si>
  <si>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</si>
  <si>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</si>
  <si>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</si>
  <si>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</si>
  <si>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</si>
  <si>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</si>
  <si>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</si>
  <si>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</si>
  <si>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Guillaume Hoareau/Scott Youngquist</t>
  </si>
  <si>
    <t>Intramuscular Epinephrine Pharmacokinetics and Dose Optimization in a Swine Model of Out-of Hospital Cardiac Arrest</t>
  </si>
  <si>
    <t>EM Research Johnson</t>
  </si>
  <si>
    <t>Nebulized Nitroglycerin to Improve Blood Flow During Cardiac Arrest</t>
  </si>
  <si>
    <t>01-01777-5000-51006798-64303</t>
  </si>
  <si>
    <t> 01-01777-2000-30203-64303</t>
  </si>
  <si>
    <t>01-01777-5000-51006420-64303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</si>
  <si>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</si>
  <si>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</si>
  <si>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</si>
  <si>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</si>
  <si>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</si>
  <si>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</si>
  <si>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</si>
  <si>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</si>
  <si>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</si>
  <si>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</si>
  <si>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</si>
  <si>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</si>
  <si>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</si>
  <si>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carla.ortiz@hsc.utah.edu  CC matthew.zabriskie@hsc.utah.edu viola.rieke@utah.edu</t>
  </si>
  <si>
    <t>01-00879-2000-28647-64303</t>
  </si>
  <si>
    <t>Payne Professional Funds</t>
  </si>
  <si>
    <t>01-00879-6000-29784-64303</t>
  </si>
  <si>
    <t>MRI-GUIDED FOCUSED ULTRASOUND</t>
  </si>
  <si>
    <t>November</t>
  </si>
  <si>
    <t>15977747</t>
  </si>
  <si>
    <t>Active Palatinus #2140 Act # 51006798</t>
  </si>
  <si>
    <t>15977751</t>
  </si>
  <si>
    <t>15977754</t>
  </si>
  <si>
    <t>15977761</t>
  </si>
  <si>
    <t>15977766</t>
  </si>
  <si>
    <t>Active Ranjan #1669</t>
  </si>
  <si>
    <t>15977769</t>
  </si>
  <si>
    <t>Active Hoareau # 20-11010 Act # 51006420</t>
  </si>
  <si>
    <t>15977774</t>
  </si>
  <si>
    <t>15977780</t>
  </si>
  <si>
    <t>Active Johnson # 2148 Project # 30203</t>
  </si>
  <si>
    <t>15977786</t>
  </si>
  <si>
    <t>Radiology UCAIR</t>
  </si>
  <si>
    <t>Myocardial Substrate Driven Mechanistic Insight into Atrial Fabriation</t>
  </si>
  <si>
    <t>Attn: Eugene Kwan u1143632</t>
  </si>
  <si>
    <t>eugene.kwan@utah.edu</t>
  </si>
  <si>
    <t>01-00879-5000-59318460-64303</t>
  </si>
  <si>
    <t>Ravi Ranjan/ Ed DiBella, Ph.D.</t>
  </si>
  <si>
    <t>CL00350 -Active time (Hourly Rate)</t>
  </si>
  <si>
    <t>CL00950 -Active time (Hourly Rate)</t>
  </si>
  <si>
    <t>CL00250 -Active time (Hourly Rate)</t>
  </si>
  <si>
    <t>CL00150 -Active time (Hourly Rate)</t>
  </si>
  <si>
    <t>Active Johnson # 2148 Project # 30203 ethylene oxide sterilizer use by group</t>
  </si>
  <si>
    <t>CL00140 - Ethylene Oxide Sterilization (per run)</t>
  </si>
  <si>
    <t xml:space="preserve">01-00879-5000-59007833-64303  </t>
  </si>
  <si>
    <t>Active Hoareau # 20-11010 Act # 51006420 ethylene oxide sterilizer use by group</t>
  </si>
  <si>
    <t>Active Palatinus #2140 Act # 51006798   ethylene oxide sterilizer use by group</t>
  </si>
  <si>
    <t xml:space="preserve"> ethylene oxide sterilizer use by group</t>
  </si>
  <si>
    <t>CL00340 - Ethylene Oxide Sterilization (per run)</t>
  </si>
  <si>
    <t>CL00240 - Ethylene Oxide Sterilization (per run)</t>
  </si>
  <si>
    <t>CL00540 - Ethylene Oxide Sterilization (per run)</t>
  </si>
  <si>
    <t>CL00640 - Ethylene Oxide Sterilization (per run)</t>
  </si>
  <si>
    <t>CL00740 - Ethylene Oxide Sterilization (per run)</t>
  </si>
  <si>
    <t>CL00840 - Ethylene Oxide Sterilization (per run)</t>
  </si>
  <si>
    <t>associations and Foundations</t>
  </si>
  <si>
    <t>HHS Grant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</si>
</sst>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 MT"/>
    </font>
    <font>
      <sz val="8"/>
      <name val="Arial MT"/>
    </font>
    <font>
      <u/>
      <sz val="12"/>
      <color theme="10"/>
      <name val="Arial MT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u/>
      <sz val="12"/>
      <color rgb="FFFF0000"/>
      <name val="Arial MT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u/>
      <sz val="12"/>
      <color theme="1"/>
      <name val="Arial MT"/>
    </font>
    <font>
      <sz val="11"/>
      <name val="Calibri"/>
      <family val="2"/>
    </font>
    <font>
      <sz val="11"/>
      <name val="Calibri"/>
      <family val="2"/>
    </font>
    <font>
      <u/>
      <sz val="9"/>
      <color theme="1"/>
      <name val="Arial MT"/>
    </font>
    <font>
      <sz val="9"/>
      <color rgb="FF000000"/>
      <name val="Arial"/>
      <family val="2"/>
    </font>
    <font>
      <u/>
      <sz val="12"/>
      <color rgb="FF000000"/>
      <name val="Arial MT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2"/>
      <color rgb="FF323130"/>
      <name val="Calibri"/>
      <family val="2"/>
      <scheme val="minor"/>
    </font>
    <font>
      <sz val="10"/>
      <name val="Arial"/>
      <family val="2"/>
    </font>
    <font>
      <sz val="10"/>
      <color theme="1"/>
      <name val="Century Gothic"/>
      <family val="2"/>
    </font>
    <font>
      <sz val="11"/>
      <color rgb="FF201F1E"/>
      <name val="Calibri"/>
      <family val="2"/>
      <scheme val="minor"/>
    </font>
    <font>
      <sz val="12"/>
      <color rgb="FF201F1E"/>
      <name val="Calibri Light"/>
      <family val="2"/>
    </font>
    <font>
      <sz val="8"/>
      <color theme="1"/>
      <name val="Arial"/>
      <family val="2"/>
    </font>
    <font>
      <sz val="11"/>
      <color theme="1"/>
      <name val="Inherit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Arial"/>
      <family val="2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9"/>
      <color rgb="FF201F1E"/>
      <name val="Calibri"/>
      <family val="2"/>
      <scheme val="minor"/>
    </font>
    <font>
      <sz val="11"/>
      <name val="Calibri"/>
      <family val="2"/>
    </font>
    <font>
      <sz val="9"/>
      <color rgb="FF000000"/>
      <name val="Calibri"/>
      <family val="2"/>
      <scheme val="minor"/>
    </font>
    <font>
      <sz val="11"/>
      <name val="Calibri"/>
      <family val="2"/>
    </font>
    <font>
      <sz val="7.5"/>
      <color rgb="FF000000"/>
      <name val="Arial"/>
      <family val="2"/>
    </font>
    <font>
      <sz val="9"/>
      <color theme="1"/>
      <name val="Segoe UI"/>
      <family val="2"/>
    </font>
    <font>
      <sz val="11"/>
      <name val="Calibri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242424"/>
      <name val="Calibri"/>
      <family val="2"/>
      <scheme val="minor"/>
    </font>
    <font>
      <sz val="10"/>
      <color rgb="FF242424"/>
      <name val="Calibri"/>
      <family val="2"/>
      <scheme val="minor"/>
    </font>
    <font>
      <u/>
      <sz val="12"/>
      <color rgb="FF0563C1"/>
      <name val="Arial MT"/>
    </font>
    <font>
      <sz val="11"/>
      <name val="Calibri"/>
      <family val="2"/>
    </font>
    <font>
      <sz val="11"/>
      <name val="Calibri"/>
      <family val="2"/>
    </font>
    <font>
      <sz val="10"/>
      <color rgb="FF242424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u/>
      <sz val="12"/>
      <color rgb="FF42424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242424"/>
      <name val="Calibri"/>
      <family val="2"/>
      <scheme val="minor"/>
    </font>
    <font>
      <sz val="11"/>
      <color rgb="FF42424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4">
    <xf numFmtId="0" fontId="0" fillId="0" borderId="0"/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  <xf numFmtId="0" fontId="12" fillId="0" borderId="0">
      <alignment vertical="center" wrapText="1"/>
    </xf>
    <xf numFmtId="7" fontId="13" fillId="0" borderId="0" applyFont="0" applyFill="0" applyBorder="0" applyAlignment="0" applyProtection="0"/>
    <xf numFmtId="0" fontId="11" fillId="4" borderId="3" applyNumberFormat="0" applyAlignment="0" applyProtection="0"/>
    <xf numFmtId="0" fontId="14" fillId="0" borderId="0" applyNumberFormat="0" applyProtection="0">
      <alignment vertical="center" wrapText="1"/>
    </xf>
    <xf numFmtId="0" fontId="15" fillId="0" borderId="3" applyNumberFormat="0" applyFill="0" applyProtection="0">
      <alignment vertical="center"/>
    </xf>
    <xf numFmtId="10" fontId="16" fillId="0" borderId="0" applyFont="0" applyFill="0" applyBorder="0" applyAlignment="0" applyProtection="0"/>
    <xf numFmtId="164" fontId="17" fillId="0" borderId="0" applyFill="0" applyBorder="0">
      <alignment horizontal="left" vertical="top" wrapText="1"/>
    </xf>
    <xf numFmtId="0" fontId="17" fillId="0" borderId="0" applyNumberFormat="0" applyFill="0" applyBorder="0" applyProtection="0">
      <alignment vertical="top" wrapText="1"/>
    </xf>
    <xf numFmtId="37" fontId="16" fillId="0" borderId="0" applyFont="0" applyFill="0" applyBorder="0" applyProtection="0">
      <alignment horizontal="left" vertical="top"/>
    </xf>
    <xf numFmtId="0" fontId="17" fillId="0" borderId="0" applyNumberFormat="0" applyFill="0" applyBorder="0" applyProtection="0">
      <alignment wrapText="1"/>
    </xf>
    <xf numFmtId="14" fontId="17" fillId="0" borderId="0" applyFont="0" applyFill="0" applyBorder="0"/>
    <xf numFmtId="0" fontId="17" fillId="0" borderId="0" applyNumberFormat="0" applyFill="0" applyBorder="0" applyProtection="0">
      <alignment vertical="top"/>
    </xf>
    <xf numFmtId="0" fontId="18" fillId="0" borderId="0" applyNumberFormat="0" applyFill="0" applyProtection="0">
      <alignment horizontal="right" vertical="center"/>
    </xf>
    <xf numFmtId="0" fontId="19" fillId="0" borderId="0" applyNumberFormat="0" applyFill="0" applyBorder="0" applyProtection="0"/>
    <xf numFmtId="0" fontId="29" fillId="0" borderId="0"/>
    <xf numFmtId="0" fontId="36" fillId="0" borderId="0"/>
    <xf numFmtId="0" fontId="37" fillId="0" borderId="0"/>
    <xf numFmtId="44" fontId="1" fillId="0" borderId="0" applyFont="0" applyFill="0" applyBorder="0" applyAlignment="0" applyProtection="0"/>
    <xf numFmtId="0" fontId="29" fillId="0" borderId="0"/>
    <xf numFmtId="0" fontId="29" fillId="0" borderId="0"/>
    <xf numFmtId="0" fontId="59" fillId="0" borderId="0"/>
    <xf numFmtId="0" fontId="61" fillId="0" borderId="0"/>
    <xf numFmtId="0" fontId="64" fillId="0" borderId="0"/>
    <xf numFmtId="0" fontId="70" fillId="0" borderId="0"/>
    <xf numFmtId="0" fontId="71" fillId="0" borderId="0"/>
    <xf numFmtId="0" fontId="73" fillId="0" borderId="0"/>
    <xf numFmtId="0" fontId="73" fillId="0" borderId="0"/>
    <xf numFmtId="0" fontId="75" fillId="0" borderId="0"/>
    <xf numFmtId="0" fontId="78" fillId="0" borderId="0"/>
    <xf numFmtId="0" fontId="29" fillId="0" borderId="0"/>
  </cellStyleXfs>
  <cellXfs count="275">
    <xf numFmtId="0" fontId="0" fillId="0" borderId="0" xfId="0"/>
    <xf numFmtId="0" fontId="4" fillId="0" borderId="0" xfId="0" applyFont="1" applyAlignment="1">
      <alignment horizontal="center"/>
    </xf>
    <xf numFmtId="0" fontId="12" fillId="0" borderId="0" xfId="4">
      <alignment vertical="center" wrapText="1"/>
    </xf>
    <xf numFmtId="0" fontId="11" fillId="4" borderId="3" xfId="6" applyAlignment="1">
      <alignment vertical="center"/>
    </xf>
    <xf numFmtId="0" fontId="14" fillId="0" borderId="0" xfId="7">
      <alignment vertical="center" wrapText="1"/>
    </xf>
    <xf numFmtId="7" fontId="15" fillId="0" borderId="3" xfId="5" applyFont="1" applyBorder="1" applyAlignment="1">
      <alignment vertical="center"/>
    </xf>
    <xf numFmtId="0" fontId="15" fillId="0" borderId="3" xfId="8">
      <alignment vertical="center"/>
    </xf>
    <xf numFmtId="0" fontId="12" fillId="0" borderId="0" xfId="4" applyAlignment="1">
      <alignment horizontal="center"/>
    </xf>
    <xf numFmtId="164" fontId="17" fillId="0" borderId="0" xfId="10">
      <alignment horizontal="left" vertical="top" wrapText="1"/>
    </xf>
    <xf numFmtId="0" fontId="20" fillId="0" borderId="0" xfId="15" applyFont="1" applyAlignment="1">
      <alignment vertical="top" wrapText="1"/>
    </xf>
    <xf numFmtId="0" fontId="21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11" fillId="0" borderId="0" xfId="4" applyFont="1" applyAlignment="1">
      <alignment vertical="center"/>
    </xf>
    <xf numFmtId="44" fontId="10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7" fillId="0" borderId="0" xfId="14" applyAlignment="1">
      <alignment horizontal="left"/>
    </xf>
    <xf numFmtId="0" fontId="0" fillId="0" borderId="9" xfId="0" applyBorder="1"/>
    <xf numFmtId="164" fontId="22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12" fillId="3" borderId="0" xfId="4" applyFill="1">
      <alignment vertical="center" wrapText="1"/>
    </xf>
    <xf numFmtId="0" fontId="23" fillId="0" borderId="0" xfId="4" applyFont="1">
      <alignment vertical="center" wrapText="1"/>
    </xf>
    <xf numFmtId="37" fontId="12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7" fillId="3" borderId="0" xfId="12" applyFont="1" applyFill="1">
      <alignment horizontal="left" vertical="top"/>
    </xf>
    <xf numFmtId="0" fontId="24" fillId="4" borderId="0" xfId="4" applyFont="1" applyFill="1">
      <alignment vertical="center" wrapText="1"/>
    </xf>
    <xf numFmtId="14" fontId="12" fillId="0" borderId="0" xfId="4" applyNumberFormat="1" applyAlignment="1">
      <alignment horizontal="center" vertical="center" wrapText="1"/>
    </xf>
    <xf numFmtId="0" fontId="11" fillId="0" borderId="10" xfId="0" applyFont="1" applyBorder="1" applyAlignment="1">
      <alignment horizontal="center"/>
    </xf>
    <xf numFmtId="0" fontId="17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12" fillId="0" borderId="0" xfId="4" applyNumberFormat="1" applyAlignment="1">
      <alignment horizontal="center" vertical="center" wrapText="1"/>
    </xf>
    <xf numFmtId="0" fontId="12" fillId="0" borderId="0" xfId="4" applyAlignment="1">
      <alignment horizontal="center" vertical="center" wrapText="1"/>
    </xf>
    <xf numFmtId="0" fontId="17" fillId="3" borderId="0" xfId="13" applyFill="1">
      <alignment wrapText="1"/>
    </xf>
    <xf numFmtId="0" fontId="25" fillId="0" borderId="0" xfId="4" applyFont="1" applyAlignment="1">
      <alignment horizontal="center"/>
    </xf>
    <xf numFmtId="0" fontId="13" fillId="0" borderId="0" xfId="0" applyFont="1"/>
    <xf numFmtId="0" fontId="4" fillId="0" borderId="0" xfId="0" quotePrefix="1" applyFont="1" applyAlignment="1">
      <alignment horizontal="center"/>
    </xf>
    <xf numFmtId="0" fontId="6" fillId="0" borderId="0" xfId="0" applyFont="1" applyAlignment="1">
      <alignment horizontal="center"/>
    </xf>
    <xf numFmtId="0" fontId="26" fillId="0" borderId="0" xfId="2" applyFont="1" applyAlignment="1" applyProtection="1">
      <alignment horizontal="center"/>
    </xf>
    <xf numFmtId="0" fontId="6" fillId="0" borderId="0" xfId="0" applyFont="1"/>
    <xf numFmtId="0" fontId="4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0" xfId="2" applyFont="1" applyAlignment="1" applyProtection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3" fillId="0" borderId="0" xfId="0" applyFont="1" applyAlignment="1">
      <alignment horizontal="center"/>
    </xf>
    <xf numFmtId="0" fontId="17" fillId="0" borderId="0" xfId="11">
      <alignment vertical="top" wrapText="1"/>
    </xf>
    <xf numFmtId="0" fontId="17" fillId="0" borderId="0" xfId="13" applyAlignment="1">
      <alignment horizontal="left" wrapText="1"/>
    </xf>
    <xf numFmtId="0" fontId="0" fillId="0" borderId="11" xfId="0" applyBorder="1"/>
    <xf numFmtId="0" fontId="27" fillId="0" borderId="0" xfId="0" applyFont="1" applyAlignment="1">
      <alignment horizontal="center"/>
    </xf>
    <xf numFmtId="0" fontId="28" fillId="0" borderId="0" xfId="2" applyFont="1" applyAlignment="1" applyProtection="1">
      <alignment horizontal="center"/>
    </xf>
    <xf numFmtId="164" fontId="30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12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1" fillId="5" borderId="9" xfId="4" applyFont="1" applyFill="1" applyBorder="1" applyAlignment="1">
      <alignment vertical="center"/>
    </xf>
    <xf numFmtId="0" fontId="26" fillId="0" borderId="0" xfId="2" quotePrefix="1" applyFont="1" applyAlignment="1" applyProtection="1">
      <alignment horizontal="center"/>
    </xf>
    <xf numFmtId="0" fontId="0" fillId="0" borderId="7" xfId="0" applyBorder="1"/>
    <xf numFmtId="0" fontId="11" fillId="0" borderId="8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12" fillId="0" borderId="4" xfId="3" applyFont="1" applyBorder="1" applyAlignment="1">
      <alignment vertical="center" wrapText="1"/>
    </xf>
    <xf numFmtId="0" fontId="12" fillId="0" borderId="0" xfId="4" applyAlignment="1">
      <alignment horizontal="left" vertical="center" wrapText="1"/>
    </xf>
    <xf numFmtId="20" fontId="12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3" fillId="0" borderId="0" xfId="0" applyNumberFormat="1" applyFont="1" applyAlignment="1">
      <alignment horizontal="center"/>
    </xf>
    <xf numFmtId="44" fontId="12" fillId="0" borderId="0" xfId="4" applyNumberFormat="1">
      <alignment vertical="center" wrapText="1"/>
    </xf>
    <xf numFmtId="0" fontId="11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13" fillId="9" borderId="0" xfId="0" applyFont="1" applyFill="1" applyAlignment="1">
      <alignment horizontal="center"/>
    </xf>
    <xf numFmtId="0" fontId="6" fillId="0" borderId="0" xfId="0" quotePrefix="1" applyFont="1" applyAlignment="1">
      <alignment horizontal="center"/>
    </xf>
    <xf numFmtId="0" fontId="26" fillId="0" borderId="0" xfId="2" applyFont="1" applyAlignment="1" applyProtection="1">
      <alignment horizontal="center" wrapText="1"/>
    </xf>
    <xf numFmtId="0" fontId="26" fillId="0" borderId="0" xfId="2" applyFont="1" applyAlignment="1" applyProtection="1"/>
    <xf numFmtId="0" fontId="32" fillId="0" borderId="0" xfId="0" applyFont="1"/>
    <xf numFmtId="0" fontId="4" fillId="0" borderId="1" xfId="0" applyFont="1" applyBorder="1" applyAlignment="1">
      <alignment horizontal="center"/>
    </xf>
    <xf numFmtId="0" fontId="26" fillId="0" borderId="1" xfId="2" applyFont="1" applyBorder="1" applyAlignment="1" applyProtection="1">
      <alignment horizontal="center"/>
    </xf>
    <xf numFmtId="0" fontId="33" fillId="0" borderId="0" xfId="2" applyFont="1" applyAlignment="1" applyProtection="1">
      <alignment horizontal="center"/>
    </xf>
    <xf numFmtId="0" fontId="34" fillId="0" borderId="0" xfId="0" applyFont="1" applyAlignment="1">
      <alignment horizontal="center"/>
    </xf>
    <xf numFmtId="0" fontId="35" fillId="0" borderId="0" xfId="2" applyFont="1" applyAlignment="1" applyProtection="1">
      <alignment horizontal="center"/>
    </xf>
    <xf numFmtId="0" fontId="34" fillId="0" borderId="0" xfId="2" quotePrefix="1" applyFont="1" applyAlignment="1" applyProtection="1">
      <alignment horizontal="center"/>
    </xf>
    <xf numFmtId="14" fontId="0" fillId="0" borderId="0" xfId="0" applyNumberFormat="1" applyAlignment="1">
      <alignment horizontal="center"/>
    </xf>
    <xf numFmtId="0" fontId="35" fillId="0" borderId="0" xfId="2" quotePrefix="1" applyFont="1" applyAlignment="1" applyProtection="1">
      <alignment horizontal="center"/>
    </xf>
    <xf numFmtId="0" fontId="8" fillId="0" borderId="0" xfId="2" applyAlignment="1" applyProtection="1">
      <alignment horizontal="center" wrapText="1"/>
    </xf>
    <xf numFmtId="0" fontId="38" fillId="0" borderId="0" xfId="2" applyFont="1" applyAlignment="1" applyProtection="1">
      <alignment horizontal="center"/>
    </xf>
    <xf numFmtId="0" fontId="8" fillId="0" borderId="0" xfId="2" applyAlignment="1" applyProtection="1">
      <alignment horizontal="center"/>
    </xf>
    <xf numFmtId="0" fontId="39" fillId="0" borderId="0" xfId="0" applyFont="1" applyAlignment="1">
      <alignment horizontal="center"/>
    </xf>
    <xf numFmtId="0" fontId="40" fillId="0" borderId="0" xfId="2" applyFont="1" applyAlignment="1" applyProtection="1">
      <alignment horizontal="center"/>
    </xf>
    <xf numFmtId="0" fontId="40" fillId="0" borderId="0" xfId="2" quotePrefix="1" applyFont="1" applyAlignment="1" applyProtection="1">
      <alignment horizontal="center"/>
    </xf>
    <xf numFmtId="0" fontId="41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4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11" fillId="0" borderId="0" xfId="4" applyFont="1" applyAlignment="1">
      <alignment horizontal="center"/>
    </xf>
    <xf numFmtId="44" fontId="11" fillId="0" borderId="0" xfId="3" applyFont="1" applyAlignment="1">
      <alignment horizontal="center"/>
    </xf>
    <xf numFmtId="44" fontId="44" fillId="0" borderId="0" xfId="3" applyFont="1" applyAlignment="1">
      <alignment horizontal="center"/>
    </xf>
    <xf numFmtId="44" fontId="11" fillId="4" borderId="3" xfId="5" applyNumberFormat="1" applyFont="1" applyFill="1" applyBorder="1" applyAlignment="1">
      <alignment vertic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0" fontId="31" fillId="7" borderId="2" xfId="0" applyFont="1" applyFill="1" applyBorder="1"/>
    <xf numFmtId="0" fontId="31" fillId="8" borderId="2" xfId="0" applyFont="1" applyFill="1" applyBorder="1"/>
    <xf numFmtId="0" fontId="31" fillId="3" borderId="2" xfId="0" applyFont="1" applyFill="1" applyBorder="1"/>
    <xf numFmtId="0" fontId="31" fillId="0" borderId="2" xfId="0" applyFont="1" applyBorder="1"/>
    <xf numFmtId="0" fontId="31" fillId="0" borderId="2" xfId="0" pivotButton="1" applyFont="1" applyBorder="1"/>
    <xf numFmtId="0" fontId="43" fillId="7" borderId="2" xfId="0" applyFont="1" applyFill="1" applyBorder="1"/>
    <xf numFmtId="14" fontId="31" fillId="0" borderId="2" xfId="0" applyNumberFormat="1" applyFont="1" applyBorder="1"/>
    <xf numFmtId="165" fontId="31" fillId="0" borderId="2" xfId="0" applyNumberFormat="1" applyFont="1" applyBorder="1"/>
    <xf numFmtId="0" fontId="31" fillId="0" borderId="2" xfId="0" applyFont="1" applyBorder="1" applyAlignment="1">
      <alignment vertical="center"/>
    </xf>
    <xf numFmtId="44" fontId="31" fillId="7" borderId="2" xfId="3" applyFont="1" applyFill="1" applyBorder="1"/>
    <xf numFmtId="0" fontId="31" fillId="0" borderId="2" xfId="0" applyFont="1" applyBorder="1" applyAlignment="1">
      <alignment horizontal="left"/>
    </xf>
    <xf numFmtId="44" fontId="31" fillId="0" borderId="2" xfId="0" applyNumberFormat="1" applyFont="1" applyBorder="1"/>
    <xf numFmtId="0" fontId="31" fillId="2" borderId="2" xfId="0" applyFont="1" applyFill="1" applyBorder="1"/>
    <xf numFmtId="14" fontId="31" fillId="2" borderId="2" xfId="0" applyNumberFormat="1" applyFont="1" applyFill="1" applyBorder="1"/>
    <xf numFmtId="0" fontId="0" fillId="2" borderId="2" xfId="0" applyFill="1" applyBorder="1"/>
    <xf numFmtId="0" fontId="28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1" fillId="8" borderId="2" xfId="0" applyFont="1" applyFill="1" applyBorder="1" applyAlignment="1">
      <alignment horizontal="left"/>
    </xf>
    <xf numFmtId="0" fontId="39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4" fillId="0" borderId="2" xfId="26" applyBorder="1"/>
    <xf numFmtId="22" fontId="64" fillId="0" borderId="2" xfId="26" applyNumberFormat="1" applyBorder="1"/>
    <xf numFmtId="0" fontId="61" fillId="0" borderId="2" xfId="25" applyBorder="1"/>
    <xf numFmtId="22" fontId="61" fillId="0" borderId="2" xfId="25" applyNumberFormat="1" applyBorder="1"/>
    <xf numFmtId="0" fontId="59" fillId="0" borderId="2" xfId="24" applyBorder="1"/>
    <xf numFmtId="22" fontId="59" fillId="0" borderId="2" xfId="24" applyNumberFormat="1" applyBorder="1"/>
    <xf numFmtId="0" fontId="67" fillId="0" borderId="0" xfId="0" applyFont="1" applyAlignment="1">
      <alignment horizontal="center"/>
    </xf>
    <xf numFmtId="0" fontId="8" fillId="11" borderId="0" xfId="2" applyFill="1" applyAlignment="1" applyProtection="1">
      <alignment horizontal="center"/>
    </xf>
    <xf numFmtId="0" fontId="4" fillId="11" borderId="0" xfId="0" applyFont="1" applyFill="1" applyAlignment="1">
      <alignment horizontal="center"/>
    </xf>
    <xf numFmtId="0" fontId="34" fillId="11" borderId="0" xfId="0" applyFont="1" applyFill="1" applyAlignment="1">
      <alignment horizontal="center"/>
    </xf>
    <xf numFmtId="0" fontId="70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6" fillId="0" borderId="2" xfId="2" applyFont="1" applyBorder="1" applyAlignment="1" applyProtection="1">
      <alignment horizontal="center"/>
    </xf>
    <xf numFmtId="0" fontId="13" fillId="0" borderId="2" xfId="0" applyFont="1" applyBorder="1" applyAlignment="1">
      <alignment horizontal="center"/>
    </xf>
    <xf numFmtId="14" fontId="13" fillId="0" borderId="2" xfId="0" applyNumberFormat="1" applyFont="1" applyBorder="1" applyAlignment="1">
      <alignment horizontal="center"/>
    </xf>
    <xf numFmtId="0" fontId="13" fillId="0" borderId="2" xfId="0" applyFont="1" applyBorder="1"/>
    <xf numFmtId="0" fontId="6" fillId="0" borderId="2" xfId="0" applyFont="1" applyBorder="1" applyAlignment="1">
      <alignment horizontal="center"/>
    </xf>
    <xf numFmtId="0" fontId="8" fillId="0" borderId="2" xfId="2" applyBorder="1" applyAlignment="1" applyProtection="1">
      <alignment horizontal="center"/>
    </xf>
    <xf numFmtId="0" fontId="26" fillId="0" borderId="2" xfId="2" applyFont="1" applyBorder="1" applyAlignment="1" applyProtection="1">
      <alignment horizontal="center" wrapText="1"/>
    </xf>
    <xf numFmtId="0" fontId="13" fillId="6" borderId="2" xfId="0" applyFont="1" applyFill="1" applyBorder="1" applyAlignment="1">
      <alignment horizontal="center"/>
    </xf>
    <xf numFmtId="0" fontId="26" fillId="0" borderId="2" xfId="2" quotePrefix="1" applyFont="1" applyBorder="1" applyAlignment="1" applyProtection="1">
      <alignment horizontal="center"/>
    </xf>
    <xf numFmtId="0" fontId="34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6" fillId="3" borderId="2" xfId="2" applyFont="1" applyFill="1" applyBorder="1" applyAlignment="1" applyProtection="1">
      <alignment horizontal="center"/>
    </xf>
    <xf numFmtId="0" fontId="26" fillId="3" borderId="2" xfId="2" quotePrefix="1" applyFont="1" applyFill="1" applyBorder="1" applyAlignment="1" applyProtection="1">
      <alignment horizontal="center"/>
    </xf>
    <xf numFmtId="0" fontId="26" fillId="0" borderId="2" xfId="2" applyFont="1" applyBorder="1" applyAlignment="1" applyProtection="1"/>
    <xf numFmtId="0" fontId="33" fillId="0" borderId="2" xfId="2" applyFont="1" applyBorder="1" applyAlignment="1" applyProtection="1">
      <alignment horizontal="center"/>
    </xf>
    <xf numFmtId="0" fontId="41" fillId="0" borderId="2" xfId="0" applyFont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13" fillId="9" borderId="2" xfId="0" applyFont="1" applyFill="1" applyBorder="1" applyAlignment="1">
      <alignment horizontal="center"/>
    </xf>
    <xf numFmtId="0" fontId="13" fillId="9" borderId="2" xfId="0" applyFont="1" applyFill="1" applyBorder="1"/>
    <xf numFmtId="0" fontId="8" fillId="0" borderId="2" xfId="2" applyBorder="1" applyAlignment="1" applyProtection="1">
      <alignment horizontal="center" wrapText="1"/>
    </xf>
    <xf numFmtId="0" fontId="35" fillId="0" borderId="2" xfId="2" applyFont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52" fillId="0" borderId="2" xfId="0" applyFont="1" applyBorder="1" applyAlignment="1">
      <alignment horizontal="center"/>
    </xf>
    <xf numFmtId="0" fontId="39" fillId="12" borderId="2" xfId="0" applyFont="1" applyFill="1" applyBorder="1" applyAlignment="1">
      <alignment horizontal="center"/>
    </xf>
    <xf numFmtId="0" fontId="69" fillId="12" borderId="2" xfId="0" applyFont="1" applyFill="1" applyBorder="1" applyAlignment="1">
      <alignment horizontal="center"/>
    </xf>
    <xf numFmtId="0" fontId="33" fillId="0" borderId="2" xfId="2" quotePrefix="1" applyFont="1" applyBorder="1" applyAlignment="1" applyProtection="1">
      <alignment horizontal="center"/>
    </xf>
    <xf numFmtId="0" fontId="34" fillId="0" borderId="2" xfId="2" quotePrefix="1" applyFont="1" applyBorder="1" applyAlignment="1" applyProtection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50" fillId="0" borderId="2" xfId="0" applyFont="1" applyBorder="1"/>
    <xf numFmtId="0" fontId="50" fillId="0" borderId="2" xfId="0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2" xfId="2" quotePrefix="1" applyFont="1" applyBorder="1" applyAlignment="1" applyProtection="1">
      <alignment horizontal="center"/>
    </xf>
    <xf numFmtId="0" fontId="51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34" fillId="3" borderId="2" xfId="0" applyFont="1" applyFill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62" fillId="10" borderId="2" xfId="0" applyFont="1" applyFill="1" applyBorder="1" applyAlignment="1">
      <alignment horizontal="center" vertical="top" wrapText="1"/>
    </xf>
    <xf numFmtId="0" fontId="60" fillId="0" borderId="2" xfId="0" applyFont="1" applyBorder="1" applyAlignment="1">
      <alignment horizontal="center"/>
    </xf>
    <xf numFmtId="0" fontId="67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0" fontId="53" fillId="0" borderId="2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56" fillId="0" borderId="2" xfId="2" quotePrefix="1" applyFont="1" applyBorder="1" applyAlignment="1" applyProtection="1">
      <alignment horizontal="center"/>
    </xf>
    <xf numFmtId="0" fontId="0" fillId="0" borderId="2" xfId="0" applyBorder="1" applyAlignment="1">
      <alignment horizontal="center" wrapText="1"/>
    </xf>
    <xf numFmtId="0" fontId="68" fillId="0" borderId="2" xfId="0" applyFont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66" fillId="0" borderId="2" xfId="0" applyFont="1" applyBorder="1" applyAlignment="1">
      <alignment horizontal="center"/>
    </xf>
    <xf numFmtId="0" fontId="54" fillId="0" borderId="2" xfId="0" applyFont="1" applyBorder="1" applyAlignment="1">
      <alignment horizontal="center"/>
    </xf>
    <xf numFmtId="0" fontId="54" fillId="0" borderId="2" xfId="0" applyFont="1" applyBorder="1"/>
    <xf numFmtId="0" fontId="4" fillId="13" borderId="2" xfId="0" applyFont="1" applyFill="1" applyBorder="1" applyAlignment="1">
      <alignment horizontal="center"/>
    </xf>
    <xf numFmtId="0" fontId="26" fillId="13" borderId="2" xfId="2" applyFont="1" applyFill="1" applyBorder="1" applyAlignment="1" applyProtection="1">
      <alignment horizontal="center"/>
    </xf>
    <xf numFmtId="0" fontId="34" fillId="13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39" fillId="2" borderId="2" xfId="0" applyFont="1" applyFill="1" applyBorder="1" applyAlignment="1">
      <alignment horizontal="center"/>
    </xf>
    <xf numFmtId="0" fontId="69" fillId="2" borderId="2" xfId="0" applyFont="1" applyFill="1" applyBorder="1" applyAlignment="1">
      <alignment horizontal="center"/>
    </xf>
    <xf numFmtId="0" fontId="35" fillId="13" borderId="2" xfId="2" quotePrefix="1" applyFont="1" applyFill="1" applyBorder="1" applyAlignment="1" applyProtection="1">
      <alignment horizontal="center"/>
    </xf>
    <xf numFmtId="0" fontId="54" fillId="2" borderId="2" xfId="0" applyFont="1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71" fillId="0" borderId="0" xfId="28"/>
    <xf numFmtId="22" fontId="71" fillId="0" borderId="0" xfId="28" applyNumberFormat="1"/>
    <xf numFmtId="0" fontId="71" fillId="0" borderId="0" xfId="28" applyAlignment="1">
      <alignment wrapText="1"/>
    </xf>
    <xf numFmtId="0" fontId="72" fillId="0" borderId="0" xfId="0" applyFont="1"/>
    <xf numFmtId="0" fontId="34" fillId="11" borderId="2" xfId="0" applyFont="1" applyFill="1" applyBorder="1" applyAlignment="1">
      <alignment horizontal="center"/>
    </xf>
    <xf numFmtId="0" fontId="35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73" fillId="0" borderId="0" xfId="29"/>
    <xf numFmtId="22" fontId="73" fillId="0" borderId="0" xfId="29" applyNumberFormat="1"/>
    <xf numFmtId="0" fontId="8" fillId="0" borderId="0" xfId="2" applyAlignment="1" applyProtection="1"/>
    <xf numFmtId="0" fontId="34" fillId="0" borderId="2" xfId="2" applyFont="1" applyBorder="1" applyAlignment="1" applyProtection="1">
      <alignment horizontal="center"/>
    </xf>
    <xf numFmtId="0" fontId="35" fillId="2" borderId="2" xfId="2" applyFont="1" applyFill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73" fillId="0" borderId="0" xfId="30"/>
    <xf numFmtId="22" fontId="73" fillId="0" borderId="0" xfId="30" applyNumberFormat="1"/>
    <xf numFmtId="14" fontId="73" fillId="0" borderId="0" xfId="30" applyNumberFormat="1"/>
    <xf numFmtId="0" fontId="29" fillId="0" borderId="0" xfId="30" applyFont="1"/>
    <xf numFmtId="0" fontId="29" fillId="0" borderId="0" xfId="30" applyFont="1" applyAlignment="1">
      <alignment wrapText="1"/>
    </xf>
    <xf numFmtId="0" fontId="74" fillId="2" borderId="0" xfId="30" applyFont="1" applyFill="1"/>
    <xf numFmtId="0" fontId="74" fillId="0" borderId="0" xfId="30" applyFont="1"/>
    <xf numFmtId="0" fontId="75" fillId="0" borderId="0" xfId="31"/>
    <xf numFmtId="22" fontId="75" fillId="0" borderId="0" xfId="31" applyNumberFormat="1"/>
    <xf numFmtId="0" fontId="75" fillId="0" borderId="0" xfId="31" applyAlignment="1">
      <alignment wrapText="1"/>
    </xf>
    <xf numFmtId="0" fontId="75" fillId="0" borderId="0" xfId="31" applyAlignment="1">
      <alignment horizontal="left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34" fillId="3" borderId="0" xfId="0" applyFont="1" applyFill="1" applyAlignment="1">
      <alignment horizontal="center"/>
    </xf>
    <xf numFmtId="0" fontId="34" fillId="2" borderId="2" xfId="0" applyFont="1" applyFill="1" applyBorder="1" applyAlignment="1">
      <alignment horizontal="center"/>
    </xf>
    <xf numFmtId="0" fontId="68" fillId="0" borderId="0" xfId="0" applyFont="1"/>
    <xf numFmtId="0" fontId="78" fillId="0" borderId="0" xfId="32"/>
    <xf numFmtId="22" fontId="78" fillId="0" borderId="0" xfId="32" applyNumberFormat="1"/>
    <xf numFmtId="0" fontId="29" fillId="0" borderId="0" xfId="32" applyFont="1"/>
    <xf numFmtId="0" fontId="11" fillId="0" borderId="0" xfId="0" applyFont="1" applyAlignment="1">
      <alignment horizontal="center" wrapText="1"/>
    </xf>
    <xf numFmtId="0" fontId="79" fillId="0" borderId="0" xfId="0" applyFont="1" applyAlignment="1">
      <alignment horizontal="center"/>
    </xf>
    <xf numFmtId="0" fontId="80" fillId="0" borderId="0" xfId="0" applyFont="1" applyAlignment="1">
      <alignment horizontal="center"/>
    </xf>
    <xf numFmtId="44" fontId="0" fillId="0" borderId="11" xfId="3" applyFont="1" applyFill="1" applyBorder="1"/>
    <xf numFmtId="14" fontId="79" fillId="0" borderId="0" xfId="0" applyNumberFormat="1" applyFont="1" applyAlignment="1">
      <alignment horizontal="center"/>
    </xf>
    <xf numFmtId="0" fontId="29" fillId="0" borderId="0" xfId="33"/>
    <xf numFmtId="22" fontId="29" fillId="0" borderId="0" xfId="33" applyNumberFormat="1"/>
    <xf numFmtId="0" fontId="46" fillId="0" borderId="0" xfId="0" applyFont="1" applyAlignment="1">
      <alignment horizontal="center" wrapText="1"/>
    </xf>
    <xf numFmtId="165" fontId="12" fillId="0" borderId="0" xfId="4" applyNumberFormat="1" applyAlignment="1">
      <alignment horizontal="center" vertical="center" wrapText="1"/>
    </xf>
    <xf numFmtId="0" fontId="18" fillId="0" borderId="0" xfId="16">
      <alignment horizontal="right" vertical="center"/>
    </xf>
    <xf numFmtId="0" fontId="17" fillId="0" borderId="0" xfId="11" applyAlignment="1">
      <alignment horizontal="left" vertical="top" wrapText="1"/>
    </xf>
    <xf numFmtId="43" fontId="31" fillId="0" borderId="0" xfId="4" applyNumberFormat="1" applyFont="1" applyAlignment="1">
      <alignment horizontal="center"/>
    </xf>
    <xf numFmtId="164" fontId="17" fillId="0" borderId="0" xfId="10">
      <alignment horizontal="left" vertical="top" wrapText="1"/>
    </xf>
    <xf numFmtId="0" fontId="12" fillId="0" borderId="0" xfId="4" applyAlignment="1">
      <alignment horizontal="center" vertical="center" wrapText="1"/>
    </xf>
    <xf numFmtId="0" fontId="11" fillId="0" borderId="17" xfId="0" applyFont="1" applyBorder="1" applyAlignment="1">
      <alignment horizontal="center"/>
    </xf>
    <xf numFmtId="0" fontId="13" fillId="13" borderId="0" xfId="0" applyFont="1" applyFill="1" applyAlignment="1">
      <alignment horizontal="center"/>
    </xf>
  </cellXfs>
  <cellStyles count="34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90"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89"/>
      <tableStyleElement type="headerRow" dxfId="88"/>
      <tableStyleElement type="totalRow" dxfId="87"/>
      <tableStyleElement type="lastColumn" dxfId="86"/>
      <tableStyleElement type="firstRowStripe" dxfId="85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5279.447193287036" createdVersion="8" refreshedVersion="8" minRefreshableVersion="3" recordCount="11664" xr:uid="{F9DB02DF-D276-441B-BC90-4D5A6666022B}">
  <cacheSource type="worksheet">
    <worksheetSource ref="A1:V1048576" sheet="Raw Data"/>
  </cacheSource>
  <cacheFields count="22">
    <cacheField name="Reference" numFmtId="0">
      <sharedItems containsBlank="1" count="371">
        <s v="CL00350 -Active time (Hourly Rate)"/>
        <s v="CL00340 - Ethylene Oxide Sterilization (per run)"/>
        <s v="CL00950 -Active time (Hourly Rate)"/>
        <s v="CL00250 -Active time (Hourly Rate)"/>
        <s v="CL00240 - Ethylene Oxide Sterilization (per run)"/>
        <s v="CL00150 -Active time (Hourly Rate)"/>
        <s v="CL00140 - Ethylene Oxide Sterilization (per run)"/>
        <s v="CL00540 - Ethylene Oxide Sterilization (per run)"/>
        <s v="CL00640 - Ethylene Oxide Sterilization (per run)"/>
        <s v="CL00740 - Ethylene Oxide Sterilization (per run)"/>
        <s v="CL00840 - Ethylene Oxide Sterilization (per run)"/>
        <s v=""/>
        <m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Date="1" containsString="0" containsBlank="1" minDate="2023-11-03T08:00:00" maxDate="2023-11-29T08:30:00"/>
    </cacheField>
    <cacheField name="End Exam Time" numFmtId="0">
      <sharedItems containsNonDate="0" containsDate="1" containsString="0" containsBlank="1" minDate="2023-11-03T12:00:00" maxDate="2023-11-29T16:30:00"/>
    </cacheField>
    <cacheField name="Finalized Time" numFmtId="0">
      <sharedItems containsNonDate="0" containsDate="1" containsString="0" containsBlank="1" minDate="2023-11-30T19:16:02" maxDate="2023-11-30T19:47:43"/>
    </cacheField>
    <cacheField name="Reason for Exam" numFmtId="0">
      <sharedItems containsBlank="1"/>
    </cacheField>
    <cacheField name="MRE" numFmtId="0">
      <sharedItems containsBlank="1" count="136">
        <s v="CL003"/>
        <s v="CL009"/>
        <s v="CL002"/>
        <s v="CL001"/>
        <s v="CL005"/>
        <s v="CL006"/>
        <s v="CL007"/>
        <s v="CL008"/>
        <m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2023-11-30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0T08:00:00"/>
    </cacheField>
    <cacheField name="Billing Item" numFmtId="0">
      <sharedItems containsBlank="1"/>
    </cacheField>
    <cacheField name="Hours (Decimal)" numFmtId="0">
      <sharedItems containsString="0" containsBlank="1" containsNumber="1" minValue="0" maxValue="8"/>
    </cacheField>
    <cacheField name="Rate" numFmtId="0">
      <sharedItems containsBlank="1" containsMixedTypes="1" containsNumber="1" containsInteger="1" minValue="40" maxValue="50"/>
    </cacheField>
    <cacheField name="Charges" numFmtId="0">
      <sharedItems containsBlank="1" containsMixedTypes="1" containsNumber="1" minValue="8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64">
  <r>
    <x v="0"/>
    <s v="15977747"/>
    <s v="Research, Mri"/>
    <s v="00000013"/>
    <s v="IMG Research Cath Lab No Rpt"/>
    <s v="Final"/>
    <s v="INC RAD MR RECHARGE 2"/>
    <s v="INCMR [10754]"/>
    <s v="INC C-ARM 1"/>
    <s v="Radiology, Research"/>
    <d v="2023-11-03T08:00:00"/>
    <d v="2023-11-03T12:00:00"/>
    <d v="2023-11-30T19:16:02"/>
    <s v="Active Palatinus #2140 Act # 51006798"/>
    <x v="0"/>
    <d v="2023-11-03T00:00:00"/>
    <m/>
    <d v="1899-12-30T04:00:00"/>
    <s v="50 -Active time (Hourly Rate)"/>
    <n v="4"/>
    <n v="50"/>
    <n v="200"/>
  </r>
  <r>
    <x v="0"/>
    <s v="15977751"/>
    <s v="Research, Mri"/>
    <s v="00000013"/>
    <s v="IMG Research Cath Lab No Rpt"/>
    <s v="Final"/>
    <s v="INC RAD MR RECHARGE 2"/>
    <s v="INCMR [10754]"/>
    <s v="INC C-ARM 1"/>
    <s v="Radiology, Research"/>
    <d v="2023-11-16T08:30:00"/>
    <d v="2023-11-16T15:30:00"/>
    <d v="2023-11-30T19:19:05"/>
    <s v="Active Palatinus #2140 Act # 51006798"/>
    <x v="0"/>
    <d v="2023-11-16T00:00:00"/>
    <m/>
    <d v="1899-12-30T07:00:00"/>
    <s v="50 -Active time (Hourly Rate)"/>
    <n v="7"/>
    <n v="50"/>
    <n v="350"/>
  </r>
  <r>
    <x v="0"/>
    <s v="15977754"/>
    <s v="Research, Mri"/>
    <s v="00000013"/>
    <s v="IMG Research Cath Lab No Rpt"/>
    <s v="Final"/>
    <s v="INC RAD MR RECHARGE 2"/>
    <s v="INCMR [10754]"/>
    <s v="INC C-ARM 1"/>
    <s v="Radiology, Research"/>
    <d v="2023-11-20T08:30:00"/>
    <d v="2023-11-20T15:30:00"/>
    <d v="2023-11-30T19:21:58"/>
    <s v="Active Palatinus #2140 Act # 51006798"/>
    <x v="0"/>
    <d v="2023-11-20T00:00:00"/>
    <m/>
    <d v="1899-12-30T07:00:00"/>
    <s v="50 -Active time (Hourly Rate)"/>
    <n v="7"/>
    <n v="50"/>
    <n v="350"/>
  </r>
  <r>
    <x v="0"/>
    <s v="15977761"/>
    <s v="Research, Mri"/>
    <s v="00000013"/>
    <s v="IMG Research Cath Lab No Rpt"/>
    <s v="Final"/>
    <s v="INC RAD MR RECHARGE 2"/>
    <s v="INCMR [10754]"/>
    <s v="INC C-ARM 1"/>
    <s v="Radiology, Research"/>
    <d v="2023-11-27T08:30:00"/>
    <d v="2023-11-27T16:30:00"/>
    <d v="2023-11-30T19:24:49"/>
    <s v="Active Palatinus #2140 Act # 51006798"/>
    <x v="0"/>
    <d v="2023-11-27T00:00:00"/>
    <m/>
    <d v="1899-12-30T08:00:00"/>
    <s v="50 -Active time (Hourly Rate)"/>
    <n v="8"/>
    <n v="50"/>
    <n v="400"/>
  </r>
  <r>
    <x v="1"/>
    <s v="15977761"/>
    <s v="Research, Mri"/>
    <s v="00000013"/>
    <s v="IMG Research Cath Lab No Rpt"/>
    <s v="Final"/>
    <s v="INC RAD MR RECHARGE 2"/>
    <s v="INCMR [10754]"/>
    <s v="INC C-ARM 1"/>
    <s v="Radiology, Research"/>
    <m/>
    <m/>
    <m/>
    <s v="Active Palatinus #2140 Act # 51006798   ethylene oxide sterilizer use by group"/>
    <x v="0"/>
    <d v="1899-12-30T00:00:00"/>
    <m/>
    <d v="1899-12-30T00:00:00"/>
    <s v="40 - Ethylene Oxide Sterilization (per run)"/>
    <n v="0.7"/>
    <n v="40"/>
    <n v="28"/>
  </r>
  <r>
    <x v="2"/>
    <s v="15977766"/>
    <s v="Research, Mri"/>
    <s v="00000013"/>
    <s v="IMG Research Cath Lab No Rpt"/>
    <s v="Final"/>
    <s v="INC RAD MR RECHARGE 2"/>
    <s v="INCMR [10754]"/>
    <s v="INC C-ARM 1"/>
    <s v="Radiology, Research"/>
    <d v="2023-11-03T16:30:00"/>
    <d v="2023-11-03T17:30:00"/>
    <d v="2023-11-30T19:28:13"/>
    <s v="Active Ranjan #1669"/>
    <x v="1"/>
    <d v="2023-11-03T00:00:00"/>
    <m/>
    <d v="1899-12-30T01:00:00"/>
    <s v="50 -Active time (Hourly Rate)"/>
    <n v="1"/>
    <n v="50"/>
    <n v="50"/>
  </r>
  <r>
    <x v="3"/>
    <s v="15977769"/>
    <s v="Research, Mri"/>
    <s v="00000013"/>
    <s v="IMG Research Cath Lab No Rpt"/>
    <s v="Final"/>
    <s v="INC RAD MR RECHARGE 2"/>
    <s v="INCMR [10754]"/>
    <s v="INC C-ARM 1"/>
    <s v="Radiology, Research"/>
    <d v="2023-11-09T08:00:00"/>
    <d v="2023-11-09T13:00:00"/>
    <d v="2023-11-30T19:34:21"/>
    <s v="Active Hoareau # 20-11010 Act # 51006420"/>
    <x v="2"/>
    <d v="2023-11-09T00:00:00"/>
    <m/>
    <d v="1899-12-30T05:00:00"/>
    <s v="50 -Active time (Hourly Rate)"/>
    <n v="5"/>
    <n v="50"/>
    <n v="250"/>
  </r>
  <r>
    <x v="3"/>
    <s v="15977774"/>
    <s v="Research, Mri"/>
    <s v="00000013"/>
    <s v="IMG Research Cath Lab No Rpt"/>
    <s v="Final"/>
    <s v="INC RAD MR RECHARGE 2"/>
    <s v="INCMR [10754]"/>
    <s v="INC C-ARM 1"/>
    <s v="Radiology, Research"/>
    <d v="2023-11-21T08:30:00"/>
    <d v="2023-11-21T13:00:00"/>
    <d v="2023-11-30T19:40:20"/>
    <s v="Active Hoareau # 20-11010 Act # 51006420"/>
    <x v="2"/>
    <d v="2023-11-21T00:00:00"/>
    <m/>
    <d v="1899-12-30T04:30:00"/>
    <s v="50 -Active time (Hourly Rate)"/>
    <n v="4.5"/>
    <n v="50"/>
    <n v="225"/>
  </r>
  <r>
    <x v="4"/>
    <s v="15977774"/>
    <s v="Research, Mri"/>
    <s v="00000013"/>
    <s v="IMG Research Cath Lab No Rpt"/>
    <s v="Final"/>
    <s v="INC RAD MR RECHARGE 2"/>
    <s v="INCMR [10754]"/>
    <s v="INC C-ARM 1"/>
    <s v="Radiology, Research"/>
    <m/>
    <m/>
    <m/>
    <s v="Active Hoareau # 20-11010 Act # 51006420 ethylene oxide sterilizer use by group"/>
    <x v="2"/>
    <d v="1899-12-30T00:00:00"/>
    <m/>
    <d v="1899-12-30T00:00:00"/>
    <s v="40 - Ethylene Oxide Sterilization (per run)"/>
    <n v="4.3600000000000003"/>
    <n v="40"/>
    <n v="174.4"/>
  </r>
  <r>
    <x v="5"/>
    <s v="15977780"/>
    <s v="Research, Mri"/>
    <s v="00000013"/>
    <s v="IMG Research Cath Lab No Rpt"/>
    <s v="Final"/>
    <s v="INC RAD MR RECHARGE 2"/>
    <s v="INCMR [10754]"/>
    <s v="INC C-ARM 1"/>
    <s v="Radiology, Research"/>
    <d v="2023-11-13T08:00:00"/>
    <d v="2023-11-13T12:30:00"/>
    <d v="2023-11-30T19:44:33"/>
    <s v="Active Johnson # 2148 Project # 30203"/>
    <x v="3"/>
    <d v="2023-11-13T00:00:00"/>
    <m/>
    <d v="1899-12-30T04:30:00"/>
    <s v="50 -Active time (Hourly Rate)"/>
    <n v="4.5"/>
    <n v="50"/>
    <n v="225"/>
  </r>
  <r>
    <x v="5"/>
    <s v="15977786"/>
    <s v="Research, Mri"/>
    <s v="00000013"/>
    <s v="IMG Research Cath Lab No Rpt"/>
    <s v="Final"/>
    <s v="INC RAD MR RECHARGE 2"/>
    <s v="INCMR [10754]"/>
    <s v="INC C-ARM 1"/>
    <s v="Radiology, Research"/>
    <d v="2023-11-29T08:30:00"/>
    <d v="2023-11-29T16:30:00"/>
    <d v="2023-11-30T19:47:43"/>
    <s v="Active Johnson # 2148 Project # 30203"/>
    <x v="3"/>
    <d v="2023-11-29T00:00:00"/>
    <m/>
    <d v="1899-12-30T08:00:00"/>
    <s v="50 -Active time (Hourly Rate)"/>
    <n v="8"/>
    <n v="50"/>
    <n v="400"/>
  </r>
  <r>
    <x v="6"/>
    <s v="15977786"/>
    <s v="Research, Mri"/>
    <s v="00000013"/>
    <s v="IMG Research Cath Lab No Rpt"/>
    <s v="Final"/>
    <s v="INC RAD MR RECHARGE 2"/>
    <s v="INCMR [10754]"/>
    <s v="INC C-ARM 1"/>
    <s v="Radiology, Research"/>
    <m/>
    <m/>
    <m/>
    <s v="Active Johnson # 2148 Project # 30203 ethylene oxide sterilizer use by group"/>
    <x v="3"/>
    <d v="1899-12-30T00:00:00"/>
    <m/>
    <d v="1899-12-30T00:00:00"/>
    <s v="40 - Ethylene Oxide Sterilization (per run)"/>
    <n v="1.7"/>
    <n v="40"/>
    <n v="68"/>
  </r>
  <r>
    <x v="7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 ethylene oxide sterilizer use by group"/>
    <x v="4"/>
    <d v="1899-12-30T00:00:00"/>
    <m/>
    <d v="1899-12-30T00:00:00"/>
    <s v="40 - Ethylene Oxide Sterilization (per run)"/>
    <n v="1"/>
    <n v="40"/>
    <n v="40"/>
  </r>
  <r>
    <x v="8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 ethylene oxide sterilizer use by group"/>
    <x v="5"/>
    <d v="1899-12-30T00:00:00"/>
    <m/>
    <d v="1899-12-30T00:00:00"/>
    <s v="40 - Ethylene Oxide Sterilization (per run)"/>
    <n v="0.2"/>
    <n v="40"/>
    <n v="8"/>
  </r>
  <r>
    <x v="9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 ethylene oxide sterilizer use by group"/>
    <x v="6"/>
    <d v="1899-12-30T00:00:00"/>
    <m/>
    <d v="1899-12-30T00:00:00"/>
    <s v="40 - Ethylene Oxide Sterilization (per run)"/>
    <n v="7.03"/>
    <n v="40"/>
    <n v="281.2"/>
  </r>
  <r>
    <x v="1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 ethylene oxide sterilizer use by group"/>
    <x v="7"/>
    <d v="1899-12-30T00:00:00"/>
    <m/>
    <d v="1899-12-30T00:00:00"/>
    <s v="40 - Ethylene Oxide Sterilization (per run)"/>
    <n v="3"/>
    <n v="40"/>
    <n v="120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d v="1899-12-30T00:00:00"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d v="1899-12-30T00:00:00"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1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s v=""/>
    <s v=""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2"/>
    <m/>
    <m/>
    <m/>
    <m/>
    <m/>
    <m/>
    <m/>
    <m/>
    <m/>
    <m/>
    <m/>
    <m/>
    <m/>
    <x v="8"/>
    <m/>
    <m/>
    <m/>
    <m/>
    <n v="0"/>
    <m/>
    <m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1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s v=""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n v="0"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s v=""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d v="1899-12-30T00:00:00"/>
    <m/>
    <m/>
    <m/>
    <m/>
  </r>
  <r>
    <x v="12"/>
    <m/>
    <m/>
    <m/>
    <m/>
    <m/>
    <m/>
    <m/>
    <m/>
    <m/>
    <m/>
    <m/>
    <m/>
    <m/>
    <x v="8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11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7">
        <item x="8"/>
        <item m="1" x="113"/>
        <item m="1" x="129"/>
        <item m="1" x="117"/>
        <item m="1" x="110"/>
        <item m="1" x="103"/>
        <item m="1" x="94"/>
        <item m="1" x="90"/>
        <item m="1" x="88"/>
        <item m="1" x="80"/>
        <item m="1" x="135"/>
        <item m="1" x="123"/>
        <item m="1" x="109"/>
        <item m="1" x="107"/>
        <item m="1" x="99"/>
        <item m="1" x="40"/>
        <item m="1" x="34"/>
        <item m="1" x="27"/>
        <item m="1" x="22"/>
        <item m="1" x="18"/>
        <item m="1" x="14"/>
        <item m="1" x="120"/>
        <item m="1" x="56"/>
        <item m="1" x="52"/>
        <item m="1" x="48"/>
        <item m="1" x="43"/>
        <item m="1" x="38"/>
        <item m="1" x="24"/>
        <item m="1" x="17"/>
        <item m="1" x="11"/>
        <item m="1" x="32"/>
        <item m="1" x="79"/>
        <item m="1" x="71"/>
        <item m="1" x="64"/>
        <item m="1" x="60"/>
        <item m="1" x="55"/>
        <item m="1" x="51"/>
        <item m="1" x="46"/>
        <item m="1" x="19"/>
        <item m="1" x="41"/>
        <item m="1" x="98"/>
        <item m="1" x="92"/>
        <item m="1" x="86"/>
        <item m="1" x="69"/>
        <item m="1" x="95"/>
        <item m="1" x="63"/>
        <item m="1" x="112"/>
        <item m="1" x="106"/>
        <item m="1" x="97"/>
        <item m="1" x="83"/>
        <item m="1" x="74"/>
        <item m="1" x="67"/>
        <item m="1" x="66"/>
        <item m="1" x="47"/>
        <item m="1" x="37"/>
        <item m="1" x="31"/>
        <item m="1" x="102"/>
        <item m="1" x="93"/>
        <item m="1" x="87"/>
        <item m="1" x="78"/>
        <item m="1" x="70"/>
        <item m="1" x="59"/>
        <item m="1" x="122"/>
        <item m="1" x="10"/>
        <item m="1" x="13"/>
        <item m="1" x="105"/>
        <item m="1" x="96"/>
        <item m="1" x="23"/>
        <item m="1" x="132"/>
        <item m="1" x="100"/>
        <item m="1" x="124"/>
        <item m="1" x="127"/>
        <item m="1" x="116"/>
        <item m="1" x="50"/>
        <item m="1" x="45"/>
        <item m="1" x="36"/>
        <item m="1" x="21"/>
        <item m="1" x="15"/>
        <item m="1" x="134"/>
        <item m="1" x="53"/>
        <item m="1" x="49"/>
        <item m="1" x="39"/>
        <item m="1" x="33"/>
        <item m="1" x="73"/>
        <item m="1" x="42"/>
        <item m="1" x="77"/>
        <item m="1" x="121"/>
        <item m="1" x="114"/>
        <item m="1" x="108"/>
        <item m="1" x="91"/>
        <item m="1" x="85"/>
        <item m="1" x="82"/>
        <item m="1" x="65"/>
        <item m="1" x="128"/>
        <item m="1" x="133"/>
        <item m="1" x="126"/>
        <item m="1" x="26"/>
        <item m="1" x="30"/>
        <item m="1" x="9"/>
        <item m="1" x="16"/>
        <item m="1" x="58"/>
        <item m="1" x="54"/>
        <item m="1" x="35"/>
        <item m="1" x="62"/>
        <item m="1" x="57"/>
        <item m="1" x="125"/>
        <item m="1" x="119"/>
        <item m="1" x="89"/>
        <item m="1" x="81"/>
        <item m="1" x="72"/>
        <item m="1" x="76"/>
        <item m="1" x="84"/>
        <item m="1" x="118"/>
        <item m="1" x="115"/>
        <item m="1" x="75"/>
        <item m="1" x="68"/>
        <item m="1" x="101"/>
        <item m="1" x="12"/>
        <item m="1" x="131"/>
        <item m="1" x="29"/>
        <item m="1" x="20"/>
        <item m="1" x="104"/>
        <item m="1" x="111"/>
        <item m="1" x="25"/>
        <item m="1" x="130"/>
        <item m="1" x="28"/>
        <item m="1" x="61"/>
        <item m="1" x="44"/>
        <item x="1"/>
        <item x="7"/>
        <item x="6"/>
        <item x="5"/>
        <item x="4"/>
        <item x="0"/>
        <item x="2"/>
        <item x="3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10">
    <i>
      <x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49">
      <pivotArea outline="0" collapsedLevelsAreSubtotals="1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4" type="button" dataOnly="0" labelOnly="1" outline="0" axis="axisRow" fieldPosition="0"/>
    </format>
    <format dxfId="45">
      <pivotArea dataOnly="0" labelOnly="1" outline="0" axis="axisValues" fieldPosition="0"/>
    </format>
    <format dxfId="44">
      <pivotArea dataOnly="0" labelOnly="1" fieldPosition="0">
        <references count="1">
          <reference field="14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4" type="button" dataOnly="0" labelOnly="1" outline="0" axis="axisRow" fieldPosition="0"/>
    </format>
    <format dxfId="38">
      <pivotArea dataOnly="0" labelOnly="1" outline="0" axis="axisValues" fieldPosition="0"/>
    </format>
    <format dxfId="37">
      <pivotArea dataOnly="0" labelOnly="1" fieldPosition="0">
        <references count="1">
          <reference field="14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4" type="button" dataOnly="0" labelOnly="1" outline="0" axis="axisRow" fieldPosition="0"/>
    </format>
    <format dxfId="31">
      <pivotArea dataOnly="0" labelOnly="1" outline="0" axis="axisValues" fieldPosition="0"/>
    </format>
    <format dxfId="30">
      <pivotArea dataOnly="0" labelOnly="1" fieldPosition="0">
        <references count="1">
          <reference field="14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4" type="button" dataOnly="0" labelOnly="1" outline="0" axis="axisRow" fieldPosition="0"/>
    </format>
    <format dxfId="24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collapsedLevelsAreSubtotals="1" fieldPosition="0">
        <references count="1">
          <reference field="14" count="1">
            <x v="123"/>
          </reference>
        </references>
      </pivotArea>
    </format>
    <format dxfId="20">
      <pivotArea collapsedLevelsAreSubtotals="1" fieldPosition="0">
        <references count="1">
          <reference field="14" count="1">
            <x v="116"/>
          </reference>
        </references>
      </pivotArea>
    </format>
    <format dxfId="19">
      <pivotArea collapsedLevelsAreSubtotals="1" fieldPosition="0">
        <references count="1">
          <reference field="14" count="1">
            <x v="123"/>
          </reference>
        </references>
      </pivotArea>
    </format>
    <format dxfId="18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24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15" firstHeaderRow="1" firstDataRow="1" firstDataCol="1"/>
  <pivotFields count="22">
    <pivotField axis="axisRow" showAll="0">
      <items count="372">
        <item x="11"/>
        <item m="1" x="265"/>
        <item m="1" x="44"/>
        <item m="1" x="338"/>
        <item m="1" x="35"/>
        <item m="1" x="344"/>
        <item m="1" x="301"/>
        <item m="1" x="130"/>
        <item m="1" x="359"/>
        <item m="1" x="303"/>
        <item m="1" x="304"/>
        <item m="1" x="133"/>
        <item m="1" x="361"/>
        <item m="1" x="246"/>
        <item m="1" x="247"/>
        <item m="1" x="350"/>
        <item m="1" x="107"/>
        <item m="1" x="258"/>
        <item m="1" x="259"/>
        <item m="1" x="260"/>
        <item m="1" x="100"/>
        <item m="1" x="50"/>
        <item m="1" x="101"/>
        <item m="1" x="52"/>
        <item m="1" x="104"/>
        <item m="1" x="273"/>
        <item m="1" x="274"/>
        <item m="1" x="201"/>
        <item m="1" x="287"/>
        <item m="1" x="22"/>
        <item m="1" x="365"/>
        <item m="1" x="183"/>
        <item m="1" x="88"/>
        <item m="1" x="134"/>
        <item m="1" x="309"/>
        <item m="1" x="311"/>
        <item m="1" x="250"/>
        <item m="1" x="251"/>
        <item m="1" x="256"/>
        <item m="1" x="266"/>
        <item m="1" x="103"/>
        <item m="1" x="23"/>
        <item m="1" x="59"/>
        <item m="1" x="205"/>
        <item m="1" x="208"/>
        <item m="1" x="209"/>
        <item m="1" x="79"/>
        <item m="1" x="213"/>
        <item m="1" x="111"/>
        <item m="1" x="366"/>
        <item m="1" x="305"/>
        <item m="1" x="310"/>
        <item m="1" x="329"/>
        <item m="1" x="268"/>
        <item m="1" x="105"/>
        <item m="1" x="235"/>
        <item m="1" x="271"/>
        <item m="1" x="106"/>
        <item m="1" x="343"/>
        <item m="1" x="233"/>
        <item m="1" x="116"/>
        <item m="1" x="128"/>
        <item m="1" x="202"/>
        <item m="1" x="58"/>
        <item m="1" x="342"/>
        <item m="1" x="346"/>
        <item m="1" x="229"/>
        <item m="1" x="300"/>
        <item m="1" x="232"/>
        <item m="1" x="174"/>
        <item m="1" x="337"/>
        <item m="1" x="330"/>
        <item x="12"/>
        <item m="1" x="217"/>
        <item m="1" x="108"/>
        <item m="1" x="192"/>
        <item m="1" x="356"/>
        <item m="1" x="315"/>
        <item m="1" x="74"/>
        <item m="1" x="29"/>
        <item m="1" x="278"/>
        <item m="1" x="320"/>
        <item m="1" x="324"/>
        <item m="1" x="191"/>
        <item m="1" x="231"/>
        <item m="1" x="75"/>
        <item m="1" x="354"/>
        <item m="1" x="188"/>
        <item m="1" x="295"/>
        <item m="1" x="318"/>
        <item m="1" x="331"/>
        <item m="1" x="185"/>
        <item m="1" x="85"/>
        <item m="1" x="119"/>
        <item m="1" x="126"/>
        <item m="1" x="321"/>
        <item m="1" x="334"/>
        <item m="1" x="362"/>
        <item m="1" x="30"/>
        <item m="1" x="240"/>
        <item m="1" x="76"/>
        <item m="1" x="123"/>
        <item m="1" x="164"/>
        <item m="1" x="180"/>
        <item m="1" x="244"/>
        <item m="1" x="284"/>
        <item m="1" x="161"/>
        <item m="1" x="193"/>
        <item m="1" x="127"/>
        <item m="1" x="162"/>
        <item m="1" x="176"/>
        <item m="1" x="138"/>
        <item m="1" x="145"/>
        <item m="1" x="326"/>
        <item m="1" x="264"/>
        <item m="1" x="182"/>
        <item m="1" x="312"/>
        <item m="1" x="136"/>
        <item m="1" x="42"/>
        <item m="1" x="97"/>
        <item m="1" x="261"/>
        <item m="1" x="263"/>
        <item m="1" x="269"/>
        <item m="1" x="199"/>
        <item m="1" x="236"/>
        <item m="1" x="55"/>
        <item m="1" x="341"/>
        <item m="1" x="47"/>
        <item m="1" x="96"/>
        <item m="1" x="319"/>
        <item m="1" x="64"/>
        <item m="1" x="215"/>
        <item m="1" x="216"/>
        <item m="1" x="156"/>
        <item m="1" x="67"/>
        <item m="1" x="275"/>
        <item m="1" x="171"/>
        <item m="1" x="115"/>
        <item m="1" x="112"/>
        <item m="1" x="159"/>
        <item m="1" x="282"/>
        <item m="1" x="168"/>
        <item m="1" x="181"/>
        <item m="1" x="179"/>
        <item m="1" x="369"/>
        <item m="1" x="32"/>
        <item m="1" x="40"/>
        <item m="1" x="283"/>
        <item m="1" x="332"/>
        <item m="1" x="153"/>
        <item m="1" x="189"/>
        <item m="1" x="169"/>
        <item m="1" x="239"/>
        <item m="1" x="276"/>
        <item m="1" x="109"/>
        <item m="1" x="120"/>
        <item m="1" x="154"/>
        <item m="1" x="34"/>
        <item m="1" x="31"/>
        <item m="1" x="73"/>
        <item m="1" x="83"/>
        <item m="1" x="137"/>
        <item m="1" x="184"/>
        <item m="1" x="339"/>
        <item m="1" x="340"/>
        <item m="1" x="194"/>
        <item m="1" x="253"/>
        <item m="1" x="254"/>
        <item m="1" x="41"/>
        <item m="1" x="255"/>
        <item m="1" x="257"/>
        <item m="1" x="200"/>
        <item m="1" x="207"/>
        <item m="1" x="218"/>
        <item m="1" x="221"/>
        <item m="1" x="335"/>
        <item m="1" x="99"/>
        <item m="1" x="336"/>
        <item m="1" x="102"/>
        <item m="1" x="297"/>
        <item m="1" x="57"/>
        <item m="1" x="298"/>
        <item m="1" x="24"/>
        <item m="1" x="204"/>
        <item m="1" x="220"/>
        <item m="1" x="214"/>
        <item m="1" x="65"/>
        <item m="1" x="364"/>
        <item m="1" x="39"/>
        <item m="1" x="152"/>
        <item m="1" x="160"/>
        <item m="1" x="84"/>
        <item m="1" x="17"/>
        <item m="1" x="238"/>
        <item m="1" x="53"/>
        <item m="1" x="54"/>
        <item m="1" x="92"/>
        <item m="1" x="45"/>
        <item m="1" x="277"/>
        <item m="1" x="285"/>
        <item m="1" x="317"/>
        <item m="1" x="367"/>
        <item m="1" x="360"/>
        <item m="1" x="223"/>
        <item m="1" x="224"/>
        <item m="1" x="157"/>
        <item m="1" x="87"/>
        <item m="1" x="132"/>
        <item m="1" x="262"/>
        <item m="1" x="212"/>
        <item m="1" x="163"/>
        <item m="1" x="140"/>
        <item m="1" x="302"/>
        <item m="1" x="170"/>
        <item m="1" x="33"/>
        <item m="1" x="306"/>
        <item m="1" x="203"/>
        <item m="1" x="66"/>
        <item m="1" x="357"/>
        <item m="1" x="325"/>
        <item m="1" x="345"/>
        <item m="1" x="348"/>
        <item m="1" x="368"/>
        <item m="1" x="110"/>
        <item m="1" x="94"/>
        <item m="1" x="125"/>
        <item m="1" x="279"/>
        <item m="1" x="242"/>
        <item m="1" x="38"/>
        <item m="1" x="144"/>
        <item m="1" x="186"/>
        <item m="1" x="20"/>
        <item m="1" x="333"/>
        <item m="1" x="86"/>
        <item m="1" x="131"/>
        <item m="1" x="28"/>
        <item m="1" x="363"/>
        <item m="1" x="308"/>
        <item m="1" x="358"/>
        <item m="1" x="90"/>
        <item m="1" x="135"/>
        <item m="1" x="313"/>
        <item m="1" x="249"/>
        <item m="1" x="48"/>
        <item m="1" x="98"/>
        <item m="1" x="270"/>
        <item m="1" x="230"/>
        <item m="1" x="281"/>
        <item m="1" x="206"/>
        <item m="1" x="155"/>
        <item m="1" x="146"/>
        <item m="1" x="210"/>
        <item m="1" x="211"/>
        <item m="1" x="60"/>
        <item m="1" x="245"/>
        <item m="1" x="148"/>
        <item m="1" x="68"/>
        <item m="1" x="80"/>
        <item m="1" x="351"/>
        <item m="1" x="167"/>
        <item m="1" x="71"/>
        <item m="1" x="178"/>
        <item m="1" x="143"/>
        <item m="1" x="175"/>
        <item m="1" x="165"/>
        <item m="1" x="37"/>
        <item m="1" x="252"/>
        <item m="1" x="198"/>
        <item m="1" x="166"/>
        <item m="1" x="299"/>
        <item m="1" x="129"/>
        <item m="1" x="118"/>
        <item m="1" x="267"/>
        <item m="1" x="61"/>
        <item m="1" x="147"/>
        <item m="1" x="219"/>
        <item m="1" x="63"/>
        <item m="1" x="46"/>
        <item m="1" x="93"/>
        <item m="1" x="117"/>
        <item m="1" x="43"/>
        <item m="1" x="51"/>
        <item m="1" x="91"/>
        <item m="1" x="316"/>
        <item m="1" x="124"/>
        <item m="1" x="370"/>
        <item m="1" x="187"/>
        <item m="1" x="197"/>
        <item m="1" x="307"/>
        <item m="1" x="272"/>
        <item m="1" x="139"/>
        <item m="1" x="141"/>
        <item m="1" x="226"/>
        <item m="1" x="21"/>
        <item m="1" x="56"/>
        <item m="1" x="172"/>
        <item m="1" x="25"/>
        <item m="1" x="62"/>
        <item m="1" x="149"/>
        <item m="1" x="26"/>
        <item m="1" x="173"/>
        <item m="1" x="72"/>
        <item m="1" x="243"/>
        <item m="1" x="95"/>
        <item m="1" x="296"/>
        <item m="1" x="241"/>
        <item m="1" x="280"/>
        <item m="1" x="314"/>
        <item m="1" x="322"/>
        <item m="1" x="177"/>
        <item m="1" x="36"/>
        <item m="1" x="327"/>
        <item m="1" x="328"/>
        <item m="1" x="290"/>
        <item m="1" x="293"/>
        <item m="1" x="158"/>
        <item m="1" x="89"/>
        <item m="1" x="248"/>
        <item m="1" x="49"/>
        <item m="1" x="347"/>
        <item m="1" x="222"/>
        <item m="1" x="113"/>
        <item m="1" x="225"/>
        <item m="1" x="151"/>
        <item m="1" x="81"/>
        <item m="1" x="286"/>
        <item m="1" x="122"/>
        <item m="1" x="69"/>
        <item m="1" x="82"/>
        <item m="1" x="323"/>
        <item m="1" x="70"/>
        <item m="1" x="78"/>
        <item m="1" x="352"/>
        <item m="1" x="142"/>
        <item m="1" x="27"/>
        <item m="1" x="349"/>
        <item m="1" x="77"/>
        <item m="1" x="234"/>
        <item m="1" x="190"/>
        <item m="1" x="196"/>
        <item m="1" x="227"/>
        <item m="1" x="121"/>
        <item m="1" x="353"/>
        <item m="1" x="291"/>
        <item m="1" x="292"/>
        <item m="1" x="150"/>
        <item m="1" x="195"/>
        <item m="1" x="294"/>
        <item m="1" x="355"/>
        <item m="1" x="288"/>
        <item m="1" x="289"/>
        <item m="1" x="228"/>
        <item m="1" x="114"/>
        <item m="1" x="14"/>
        <item m="1" x="19"/>
        <item m="1" x="18"/>
        <item m="1" x="237"/>
        <item m="1" x="15"/>
        <item m="1" x="16"/>
        <item x="0"/>
        <item x="2"/>
        <item x="3"/>
        <item x="5"/>
        <item m="1" x="13"/>
        <item x="6"/>
        <item x="1"/>
        <item x="4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14">
    <i>
      <x/>
    </i>
    <i>
      <x v="72"/>
    </i>
    <i>
      <x v="359"/>
    </i>
    <i>
      <x v="360"/>
    </i>
    <i>
      <x v="361"/>
    </i>
    <i>
      <x v="362"/>
    </i>
    <i>
      <x v="364"/>
    </i>
    <i>
      <x v="365"/>
    </i>
    <i>
      <x v="366"/>
    </i>
    <i>
      <x v="367"/>
    </i>
    <i>
      <x v="368"/>
    </i>
    <i>
      <x v="369"/>
    </i>
    <i>
      <x v="370"/>
    </i>
    <i t="grand">
      <x/>
    </i>
  </rowItems>
  <colItems count="1">
    <i/>
  </colItems>
  <dataFields count="1">
    <dataField name="Sum of Hours (Decimal)" fld="19" baseField="0" baseItem="0"/>
  </dataFields>
  <formats count="27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outline="0" axis="axisValues" fieldPosition="0"/>
    </format>
    <format dxfId="72">
      <pivotArea dataOnly="0" labelOnly="1" fieldPosition="0">
        <references count="1">
          <reference field="0" count="1">
            <x v="0"/>
          </reference>
        </references>
      </pivotArea>
    </format>
    <format dxfId="71">
      <pivotArea dataOnly="0" labelOnly="1" grandRow="1" outline="0" fieldPosition="0"/>
    </format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outline="0" axis="axisValues" fieldPosition="0"/>
    </format>
    <format dxfId="65">
      <pivotArea dataOnly="0" labelOnly="1" fieldPosition="0">
        <references count="1">
          <reference field="0" count="1">
            <x v="0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0" type="button" dataOnly="0" labelOnly="1" outline="0" axis="axisRow" fieldPosition="0"/>
    </format>
    <format dxfId="59">
      <pivotArea dataOnly="0" labelOnly="1" outline="0" axis="axisValues" fieldPosition="0"/>
    </format>
    <format dxfId="58">
      <pivotArea dataOnly="0" labelOnly="1" fieldPosition="0">
        <references count="1">
          <reference field="0" count="1">
            <x v="0"/>
          </reference>
        </references>
      </pivotArea>
    </format>
    <format dxfId="57">
      <pivotArea dataOnly="0" labelOnly="1" grandRow="1" outline="0" fieldPosition="0"/>
    </format>
    <format dxfId="56">
      <pivotArea dataOnly="0" labelOnly="1" outline="0" axis="axisValues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fieldPosition="0">
        <references count="1">
          <reference field="0" count="1">
            <x v="0"/>
          </reference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84" totalsRowDxfId="83">
  <tableColumns count="6">
    <tableColumn id="1" xr3:uid="{00000000-0010-0000-0100-000001000000}" name="DESCRIPTION" totalsRowLabel="Total" dataDxfId="82"/>
    <tableColumn id="3" xr3:uid="{00000000-0010-0000-0100-000003000000}" name="Quantity" dataDxfId="81">
      <calculatedColumnFormula>IFERROR(VLOOKUP($G$3&amp;$B$16,'Raw Data'!A:V,16,FALSE),0)</calculatedColumnFormula>
    </tableColumn>
    <tableColumn id="2" xr3:uid="{00000000-0010-0000-0100-000002000000}" name="Rate" dataDxfId="80"/>
    <tableColumn id="5" xr3:uid="{00000000-0010-0000-0100-000005000000}" name="0" dataDxfId="79"/>
    <tableColumn id="6" xr3:uid="{00000000-0010-0000-0100-000006000000}" name="1" dataDxfId="78"/>
    <tableColumn id="4" xr3:uid="{00000000-0010-0000-0100-000004000000}" name="Charges" totalsRowFunction="count" dataDxfId="77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17" headerRowBorderDxfId="16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15"/>
    <tableColumn id="2" xr3:uid="{00000000-0010-0000-0200-000002000000}" name="#" dataDxfId="14"/>
    <tableColumn id="3" xr3:uid="{00000000-0010-0000-0200-000003000000}" name="PI" dataDxfId="13"/>
    <tableColumn id="4" xr3:uid="{00000000-0010-0000-0200-000004000000}" name="Department" dataDxfId="12"/>
    <tableColumn id="5" xr3:uid="{00000000-0010-0000-0200-000005000000}" name="Project Name" dataDxfId="11"/>
    <tableColumn id="6" xr3:uid="{00000000-0010-0000-0200-000006000000}" name="Contact" dataDxfId="10"/>
    <tableColumn id="7" xr3:uid="{00000000-0010-0000-0200-000007000000}" name="Email" dataDxfId="9"/>
    <tableColumn id="10" xr3:uid="{00000000-0010-0000-0200-00000A000000}" name="Funding Source" dataDxfId="8"/>
    <tableColumn id="8" xr3:uid="{00000000-0010-0000-0200-000008000000}" name="Chartfield" dataDxfId="7"/>
    <tableColumn id="11" xr3:uid="{00000000-0010-0000-0200-00000B000000}" name="Type of Award" dataDxfId="6"/>
    <tableColumn id="12" xr3:uid="{00000000-0010-0000-0200-00000C000000}" name="End Date" dataDxfId="5"/>
    <tableColumn id="9" xr3:uid="{00000000-0010-0000-0200-000009000000}" name="Ushop PO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arla.ortiz@hsc.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eugene.kwan@utah.edu" TargetMode="External"/><Relationship Id="rId5" Type="http://schemas.openxmlformats.org/officeDocument/2006/relationships/hyperlink" Target="mailto:carla.ortiz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carla.ortiz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90" zoomScaleNormal="90" workbookViewId="0">
      <selection activeCell="I23" sqref="I23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68" t="s">
        <v>1</v>
      </c>
      <c r="D1" s="268"/>
      <c r="E1" s="268"/>
      <c r="F1" s="268"/>
      <c r="G1" s="268"/>
      <c r="L1" s="2" t="s">
        <v>2</v>
      </c>
      <c r="M1" s="24" t="s">
        <v>198</v>
      </c>
    </row>
    <row r="2" spans="2:13" ht="30" customHeight="1">
      <c r="B2" s="9" t="s">
        <v>3</v>
      </c>
      <c r="D2" s="55" t="s">
        <v>4</v>
      </c>
      <c r="E2" s="17">
        <f ca="1">TODAY()</f>
        <v>45279</v>
      </c>
      <c r="F2" s="17"/>
      <c r="M2" s="76"/>
    </row>
    <row r="3" spans="2:13" ht="15" customHeight="1">
      <c r="D3" s="55" t="s">
        <v>5</v>
      </c>
      <c r="E3" s="38" t="s">
        <v>183</v>
      </c>
      <c r="F3" s="38"/>
      <c r="G3" s="29"/>
    </row>
    <row r="4" spans="2:13" ht="14.4">
      <c r="D4" s="33" t="s">
        <v>6</v>
      </c>
      <c r="E4" s="54">
        <v>8</v>
      </c>
      <c r="F4" s="54" t="s">
        <v>198</v>
      </c>
      <c r="G4" s="33">
        <v>206</v>
      </c>
    </row>
    <row r="5" spans="2:13" ht="14.4">
      <c r="B5" s="54" t="s">
        <v>7</v>
      </c>
      <c r="D5" s="269" t="s">
        <v>8</v>
      </c>
      <c r="E5" s="54"/>
      <c r="F5" s="54"/>
      <c r="G5" s="54"/>
    </row>
    <row r="6" spans="2:13" ht="14.4">
      <c r="B6" s="54" t="s">
        <v>9</v>
      </c>
      <c r="D6" s="269"/>
      <c r="E6" s="269" t="str">
        <f>VLOOKUP($E$3,'Customer List'!A:E,4,FALSE)</f>
        <v>Radiology Research</v>
      </c>
      <c r="F6" s="269"/>
      <c r="G6" s="269"/>
    </row>
    <row r="7" spans="2:13" ht="14.4">
      <c r="B7" s="8" t="s">
        <v>10</v>
      </c>
      <c r="D7" s="269"/>
      <c r="E7" s="269" t="str">
        <f>VLOOKUP($E$3,'Customer List'!A:D,3,FALSE)</f>
        <v>Lubdha Shah/Viola Rieke</v>
      </c>
      <c r="F7" s="269"/>
      <c r="G7" s="269"/>
    </row>
    <row r="8" spans="2:13" ht="14.4">
      <c r="B8" s="8" t="s">
        <v>11</v>
      </c>
      <c r="D8" s="269"/>
      <c r="E8" s="271" t="str">
        <f>VLOOKUP($E$3,'Customer List'!A:F,5,FALSE)</f>
        <v>Treatment for Cervical Spine Pain/ Goat MRI Guided Focused Ultrasound</v>
      </c>
      <c r="F8" s="271"/>
      <c r="G8" s="271"/>
    </row>
    <row r="9" spans="2:13" ht="14.4">
      <c r="B9" s="59"/>
      <c r="D9" s="269"/>
      <c r="E9" s="271" t="str">
        <f>VLOOKUP($E$3,'Customer List'!A:G,6,FALSE)</f>
        <v>Attn: Carla Ortiz 00705806</v>
      </c>
      <c r="F9" s="271"/>
      <c r="G9" s="271"/>
    </row>
    <row r="10" spans="2:13" ht="14.4" customHeight="1">
      <c r="B10" s="19"/>
      <c r="D10" s="33"/>
      <c r="E10" s="271" t="str">
        <f>VLOOKUP($E$3,'Customer List'!A:G,7,FALSE)</f>
        <v>carla.ortiz@hsc.utah.edu  CC matthew.zabriskie@hsc.utah.edu viola.rieke@utah.edu</v>
      </c>
      <c r="F10" s="271"/>
      <c r="G10" s="271"/>
    </row>
    <row r="11" spans="2:13" ht="14.4">
      <c r="B11" s="19"/>
      <c r="D11" s="54"/>
      <c r="E11" s="271"/>
      <c r="F11" s="271"/>
      <c r="G11" s="271"/>
    </row>
    <row r="12" spans="2:13" ht="14.4">
      <c r="B12" s="19"/>
      <c r="D12" s="54"/>
      <c r="E12" s="8"/>
      <c r="F12" s="8"/>
      <c r="G12" s="8"/>
    </row>
    <row r="13" spans="2:13" ht="14.4">
      <c r="B13" s="19"/>
      <c r="D13" s="54"/>
      <c r="E13" s="8"/>
      <c r="F13" s="8"/>
      <c r="G13" s="8"/>
      <c r="I13" s="72"/>
      <c r="J13" s="72"/>
      <c r="K13" s="73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77"/>
      <c r="J14" s="77"/>
      <c r="K14" s="77"/>
    </row>
    <row r="15" spans="2:13" ht="14.4">
      <c r="B15" s="12" t="s">
        <v>149</v>
      </c>
      <c r="C15" s="108"/>
      <c r="D15" s="108"/>
      <c r="E15" s="108"/>
      <c r="F15" s="108"/>
      <c r="G15" s="109"/>
    </row>
    <row r="16" spans="2:13" ht="14.4">
      <c r="B16" s="11" t="str">
        <f>HLOOKUP($B$15,References!$B$2:$B$7,2,FALSE)</f>
        <v>50 -Active time (Hourly Rate)</v>
      </c>
      <c r="C16" s="110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HLOOKUP($B$15,References!$B$2:$B$7,3,FALSE)</f>
        <v>25 -Non-Anesthesia &amp; Monitoring (Hourly Rate)</v>
      </c>
      <c r="C17" s="110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HLOOKUP($B$15,References!$B$2:$B$7,4,FALSE)</f>
        <v>15 -Non-Active time (Hourly Rate)</v>
      </c>
      <c r="C18" s="110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HLOOKUP($B$15,References!$B$2:$B$7,5,FALSE)</f>
        <v>40 - Ethylene Oxide Sterilization (per run)</v>
      </c>
      <c r="C19" s="110">
        <f>IFERROR(VLOOKUP($E$3&amp;$B19,'Raw Data'!Y:Z,2,FALSE),0)</f>
        <v>3</v>
      </c>
      <c r="D19" s="13">
        <f>IFERROR(IF($B$9="S",VLOOKUP($E$3&amp;$B$19,References!#REF!,2,FALSE),VLOOKUP($B$19,References!B:C,2,FALSE)),0)</f>
        <v>40</v>
      </c>
      <c r="E19" s="60"/>
      <c r="F19" s="60"/>
      <c r="G19" s="23">
        <f t="shared" si="0"/>
        <v>120</v>
      </c>
    </row>
    <row r="20" spans="2:7" ht="14.4">
      <c r="B20" s="11"/>
      <c r="C20" s="110">
        <f>IFERROR(VLOOKUP($E$3&amp;$B20,'Raw Data'!Y:Z,2,FALSE),0)</f>
        <v>0</v>
      </c>
      <c r="D20" s="13">
        <f>IFERROR(IF($B$9="S",VLOOKUP($E$3&amp;$B$20,References!#REF!,2,FALSE),VLOOKUP($B$20,References!B:C,2,FALSE)),0)</f>
        <v>0</v>
      </c>
      <c r="E20" s="60"/>
      <c r="F20" s="60"/>
      <c r="G20" s="23">
        <f t="shared" si="0"/>
        <v>0</v>
      </c>
    </row>
    <row r="21" spans="2:7" ht="14.4">
      <c r="B21" s="11"/>
      <c r="C21" s="110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60"/>
      <c r="F21" s="60"/>
      <c r="G21" s="23">
        <f t="shared" si="0"/>
        <v>0</v>
      </c>
    </row>
    <row r="22" spans="2:7" ht="14.4">
      <c r="B22" s="11"/>
      <c r="C22" s="110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60"/>
      <c r="F22" s="60"/>
      <c r="G22" s="23">
        <f t="shared" si="0"/>
        <v>0</v>
      </c>
    </row>
    <row r="23" spans="2:7" ht="14.4">
      <c r="B23" s="11"/>
      <c r="C23" s="110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60"/>
      <c r="F23" s="60"/>
      <c r="G23" s="23">
        <f t="shared" si="0"/>
        <v>0</v>
      </c>
    </row>
    <row r="24" spans="2:7" ht="14.4">
      <c r="B24" s="11"/>
      <c r="C24" s="110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60"/>
      <c r="F24" s="60"/>
      <c r="G24" s="23">
        <f t="shared" si="0"/>
        <v>0</v>
      </c>
    </row>
    <row r="25" spans="2:7" ht="14.4">
      <c r="B25" s="11"/>
      <c r="C25" s="110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60"/>
      <c r="F25" s="60"/>
      <c r="G25" s="23">
        <f t="shared" ref="G25" si="1">C25*D25</f>
        <v>0</v>
      </c>
    </row>
    <row r="26" spans="2:7" ht="14.4">
      <c r="B26" s="11"/>
      <c r="C26" s="110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110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110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110">
        <f>IFERROR(VLOOKUP($E$3&amp;$B$29,'Raw Data'!Y:Z,2,FALSE),0)</f>
        <v>0</v>
      </c>
      <c r="D29" s="13">
        <f>IFERROR(VLOOKUP($E$3&amp;$B$29,'Raw Data'!A:U,24,FALSE),0)</f>
        <v>0</v>
      </c>
      <c r="E29" s="60"/>
      <c r="F29" s="60"/>
      <c r="G29" s="23">
        <f>Data[[#This Row],[Quantity]]*Data[[#This Row],[Rate]]</f>
        <v>0</v>
      </c>
    </row>
    <row r="30" spans="2:7" ht="16.2">
      <c r="B30" s="11"/>
      <c r="C30" s="110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113">
        <f>Data[[#This Row],[Quantity]]*Data[[#This Row],[Rate]]</f>
        <v>0</v>
      </c>
    </row>
    <row r="31" spans="2:7" ht="14.4">
      <c r="B31" s="11"/>
      <c r="C31" s="60"/>
      <c r="D31" s="23"/>
      <c r="E31" s="111" t="s">
        <v>53</v>
      </c>
      <c r="F31" s="111"/>
      <c r="G31" s="112">
        <f>SUM(G16:G30)</f>
        <v>120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114">
        <f>G31</f>
        <v>120</v>
      </c>
      <c r="I33" s="75">
        <f>VLOOKUP($E$3,'Raw Data'!AC:AD,2,FALSE)</f>
        <v>120</v>
      </c>
      <c r="J33" s="81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70" t="str">
        <f>VLOOKUP($E$3,'Customer List'!A:L,9,FALSE)</f>
        <v>01-00879-5000-59700310-64303</v>
      </c>
      <c r="D39" s="270"/>
      <c r="E39" s="270"/>
      <c r="F39" s="270"/>
      <c r="G39" s="270"/>
      <c r="H39" s="34"/>
    </row>
    <row r="40" spans="2:11" ht="14.4">
      <c r="B40" s="25" t="s">
        <v>55</v>
      </c>
      <c r="C40" s="272"/>
      <c r="D40" s="272"/>
      <c r="E40" s="272"/>
      <c r="F40" s="272"/>
      <c r="G40" s="272"/>
      <c r="H40" s="272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82" t="s">
        <v>22</v>
      </c>
      <c r="C43" s="82" t="s">
        <v>23</v>
      </c>
      <c r="D43" s="82" t="s">
        <v>24</v>
      </c>
      <c r="E43" s="273" t="s">
        <v>25</v>
      </c>
      <c r="F43" s="273"/>
      <c r="G43" s="82" t="s">
        <v>26</v>
      </c>
      <c r="H43" s="35"/>
      <c r="I43"/>
      <c r="J43"/>
      <c r="K43"/>
    </row>
    <row r="44" spans="2:11" ht="28.5" customHeight="1">
      <c r="B44" s="31">
        <f>IFERROR(INDEX('Raw Data'!$P$2:$P$1038,_xlfn.AGGREGATE(15,3,('Raw Data'!$O$1:$O$1038=Invoice!$E$3)/('Raw Data'!$O$1:$O$1038=Invoice!$E$3)*(ROW('Raw Data'!$O$1:O1038)-ROW('Raw Data'!$O$1)),ROWS($A$44:A44))),"")</f>
        <v>0</v>
      </c>
      <c r="C44" s="36" t="str" cm="1">
        <f t="array" ref="C44">IFERROR(_xlfn.SINGLE(INDEX('Raw Data'!$C$2:$C$1038,_xlfn.AGGREGATE(15,3,('Raw Data'!$O$1:$O$1038=Invoice!$E$3)/('Raw Data'!$O$1:$O$1038=Invoice!$E$3)*(ROW('Raw Data'!$O$1:O1038)-ROW('Raw Data'!$O$1)),ROWS($A$44:A44)))),"")</f>
        <v>Research, Mri</v>
      </c>
      <c r="D44" s="36">
        <f>IFERROR(INDEX('Raw Data'!$R$2:$R$1038,_xlfn.AGGREGATE(15,3,('Raw Data'!$O$1:$O$1038=Invoice!$E$3)/('Raw Data'!$O$1:$O$1038=Invoice!$E$3)*(ROW('Raw Data'!$O$1:O1038)-ROW('Raw Data'!$O$1)),ROWS($A$44:B44))),"")</f>
        <v>0</v>
      </c>
      <c r="E44" s="267" t="str" cm="1">
        <f t="array" ref="E44">IFERROR(_xlfn.SINGLE(INDEX('Raw Data'!$N$2:$N$1038,_xlfn.AGGREGATE(15,3,('Raw Data'!$O$1:$O$1038=Invoice!$E$3)/('Raw Data'!$O$1:$O$1038=Invoice!$E$3)*(ROW('Raw Data'!$O$1:O1038)-ROW('Raw Data'!$O$1)),ROWS($A$44:B44)))),"")</f>
        <v xml:space="preserve"> ethylene oxide sterilizer use by group</v>
      </c>
      <c r="F44" s="267"/>
      <c r="G44" s="37" t="str">
        <f>IFERROR(_xlfn.SINGLE(INDEX('Raw Data'!#REF!,_xlfn.AGGREGATE(15,3,('Raw Data'!$O$1:$O$1038=Invoice!$E$3)/('Raw Data'!$O$1:$O$1038=Invoice!$E$3)*(ROW('Raw Data'!$O$1:O1038)-ROW('Raw Data'!$O$1)),ROWS($A$44:E44)))),"")</f>
        <v/>
      </c>
      <c r="J44" s="61"/>
    </row>
    <row r="45" spans="2:11" ht="14.25" customHeight="1">
      <c r="B45" s="31" t="str">
        <f>IFERROR(INDEX('Raw Data'!$P$2:$P$1038,_xlfn.AGGREGATE(15,3,('Raw Data'!$O$1:$O$1038=Invoice!$E$3)/('Raw Data'!$O$1:$O$1038=Invoice!$E$3)*(ROW('Raw Data'!$O$1:O1039)-ROW('Raw Data'!$O$1)),ROWS($A$44:A45))),"")</f>
        <v/>
      </c>
      <c r="C45" s="36" t="str">
        <f>IFERROR(INDEX('Raw Data'!$C$2:$C$1038,_xlfn.AGGREGATE(15,3,('Raw Data'!$O$1:$O$1038=Invoice!$E$3)/('Raw Data'!$O$1:$O$1038=Invoice!$E$3)*(ROW('Raw Data'!$O$1:O1039)-ROW('Raw Data'!$O$1)),ROWS($A$44:A45))),"")</f>
        <v/>
      </c>
      <c r="D45" s="36" t="str">
        <f>IFERROR(INDEX('Raw Data'!$R$2:$R$1038,_xlfn.AGGREGATE(15,3,('Raw Data'!$O$1:$O$1038=Invoice!$E$3)/('Raw Data'!$O$1:$O$1038=Invoice!$E$3)*(ROW('Raw Data'!$O$1:O1039)-ROW('Raw Data'!$O$1)),ROWS($A$44:B45))),"")</f>
        <v/>
      </c>
      <c r="E45" s="267" t="str">
        <f>IFERROR(INDEX('Raw Data'!$N$2:$N$1038,_xlfn.AGGREGATE(15,3,('Raw Data'!$O$1:$O$1038=Invoice!$E$3)/('Raw Data'!$O$1:$O$1038=Invoice!$E$3)*(ROW('Raw Data'!$O$1:O1039)-ROW('Raw Data'!$O$1)),ROWS($A$44:B45))),"")</f>
        <v/>
      </c>
      <c r="F45" s="267"/>
      <c r="G45" s="37" t="str">
        <f>IFERROR(_xlfn.SINGLE(INDEX('Raw Data'!#REF!,_xlfn.AGGREGATE(15,3,('Raw Data'!$O$1:$O$1038=Invoice!$E$3)/('Raw Data'!$O$1:$O$1038=Invoice!$E$3)*(ROW('Raw Data'!$O$1:O1039)-ROW('Raw Data'!$O$1)),ROWS($A$44:E45)))),"")</f>
        <v/>
      </c>
    </row>
    <row r="46" spans="2:11" ht="14.4" customHeight="1">
      <c r="B46" s="31" t="str">
        <f>IFERROR(INDEX('Raw Data'!$P$2:$P$1038,_xlfn.AGGREGATE(15,3,('Raw Data'!$O$1:$O$1038=Invoice!$E$3)/('Raw Data'!$O$1:$O$1038=Invoice!$E$3)*(ROW('Raw Data'!$O$1:O1040)-ROW('Raw Data'!$O$1)),ROWS($A$44:A46))),"")</f>
        <v/>
      </c>
      <c r="C46" s="36" t="str">
        <f>IFERROR(INDEX('Raw Data'!$C$2:$C$1038,_xlfn.AGGREGATE(15,3,('Raw Data'!$O$1:$O$1038=Invoice!$E$3)/('Raw Data'!$O$1:$O$1038=Invoice!$E$3)*(ROW('Raw Data'!$O$1:O1040)-ROW('Raw Data'!$O$1)),ROWS($A$44:A46))),"")</f>
        <v/>
      </c>
      <c r="D46" s="36" t="str">
        <f>IFERROR(INDEX('Raw Data'!$R$2:$R$1038,_xlfn.AGGREGATE(15,3,('Raw Data'!$O$1:$O$1038=Invoice!$E$3)/('Raw Data'!$O$1:$O$1038=Invoice!$E$3)*(ROW('Raw Data'!$O$1:O1040)-ROW('Raw Data'!$O$1)),ROWS($A$44:B46))),"")</f>
        <v/>
      </c>
      <c r="E46" s="267" t="str">
        <f>IFERROR(INDEX('Raw Data'!$N$2:$N$1038,_xlfn.AGGREGATE(15,3,('Raw Data'!$O$1:$O$1038=Invoice!$E$3)/('Raw Data'!$O$1:$O$1038=Invoice!$E$3)*(ROW('Raw Data'!$O$1:O1040)-ROW('Raw Data'!$O$1)),ROWS($A$44:B46))),"")</f>
        <v/>
      </c>
      <c r="F46" s="267"/>
      <c r="G46" s="37" t="str">
        <f>IFERROR(_xlfn.SINGLE(INDEX('Raw Data'!#REF!,_xlfn.AGGREGATE(15,3,('Raw Data'!$O$1:$O$1038=Invoice!$E$3)/('Raw Data'!$O$1:$O$1038=Invoice!$E$3)*(ROW('Raw Data'!$O$1:O1040)-ROW('Raw Data'!$O$1)),ROWS($A$44:E46)))),"")</f>
        <v/>
      </c>
    </row>
    <row r="47" spans="2:11" ht="14.4" customHeight="1">
      <c r="B47" s="31" t="str">
        <f>IFERROR(INDEX('Raw Data'!$P$2:$P$1038,_xlfn.AGGREGATE(15,3,('Raw Data'!$O$1:$O$1038=Invoice!$E$3)/('Raw Data'!$O$1:$O$1038=Invoice!$E$3)*(ROW('Raw Data'!$O$1:O1041)-ROW('Raw Data'!$O$1)),ROWS($A$44:A47))),"")</f>
        <v/>
      </c>
      <c r="C47" s="36" t="str">
        <f>IFERROR(INDEX('Raw Data'!$C$2:$C$1038,_xlfn.AGGREGATE(15,3,('Raw Data'!$O$1:$O$1038=Invoice!$E$3)/('Raw Data'!$O$1:$O$1038=Invoice!$E$3)*(ROW('Raw Data'!$O$1:O1041)-ROW('Raw Data'!$O$1)),ROWS($A$44:A47))),"")</f>
        <v/>
      </c>
      <c r="D47" s="36" t="str">
        <f>IFERROR(INDEX('Raw Data'!$R$2:$R$1038,_xlfn.AGGREGATE(15,3,('Raw Data'!$O$1:$O$1038=Invoice!$E$3)/('Raw Data'!$O$1:$O$1038=Invoice!$E$3)*(ROW('Raw Data'!$O$1:O1041)-ROW('Raw Data'!$O$1)),ROWS($A$44:B47))),"")</f>
        <v/>
      </c>
      <c r="E47" s="267" t="str">
        <f>IFERROR(INDEX('Raw Data'!$N$2:$N$1038,_xlfn.AGGREGATE(15,3,('Raw Data'!$O$1:$O$1038=Invoice!$E$3)/('Raw Data'!$O$1:$O$1038=Invoice!$E$3)*(ROW('Raw Data'!$O$1:O1041)-ROW('Raw Data'!$O$1)),ROWS($A$44:B47))),"")</f>
        <v/>
      </c>
      <c r="F47" s="267"/>
      <c r="G47" s="37" t="str">
        <f>IFERROR(_xlfn.SINGLE(INDEX('Raw Data'!#REF!,_xlfn.AGGREGATE(15,3,('Raw Data'!$O$1:$O$1038=Invoice!$E$3)/('Raw Data'!$O$1:$O$1038=Invoice!$E$3)*(ROW('Raw Data'!$O$1:O1041)-ROW('Raw Data'!$O$1)),ROWS($A$44:E47)))),"")</f>
        <v/>
      </c>
    </row>
    <row r="48" spans="2:11" ht="14.4" customHeight="1">
      <c r="B48" s="31" t="str">
        <f>IFERROR(INDEX('Raw Data'!$P$2:$P$1038,_xlfn.AGGREGATE(15,3,('Raw Data'!$O$1:$O$1038=Invoice!$E$3)/('Raw Data'!$O$1:$O$1038=Invoice!$E$3)*(ROW('Raw Data'!$O$1:O1042)-ROW('Raw Data'!$O$1)),ROWS($A$44:A48))),"")</f>
        <v/>
      </c>
      <c r="C48" s="36" t="str" cm="1">
        <f t="array" ref="C48">IFERROR(_xlfn.SINGLE(INDEX('Raw Data'!$C$2:$C$1038,_xlfn.AGGREGATE(15,3,('Raw Data'!$O$1:$O$1038=Invoice!$E$3)/('Raw Data'!$O$1:$O$1038=Invoice!$E$3)*(ROW('Raw Data'!$O$1:O1042)-ROW('Raw Data'!$O$1)),ROWS($A$44:A48)))),"")</f>
        <v/>
      </c>
      <c r="D48" s="36" t="str">
        <f>IFERROR(INDEX('Raw Data'!$R$2:$R$1038,_xlfn.AGGREGATE(15,3,('Raw Data'!$O$1:$O$1038=Invoice!$E$3)/('Raw Data'!$O$1:$O$1038=Invoice!$E$3)*(ROW('Raw Data'!$O$1:O1042)-ROW('Raw Data'!$O$1)),ROWS($A$44:B48))),"")</f>
        <v/>
      </c>
      <c r="E48" s="267" t="str">
        <f>IFERROR(INDEX('Raw Data'!$N$2:$N$1038,_xlfn.AGGREGATE(15,3,('Raw Data'!$O$1:$O$1038=Invoice!$E$3)/('Raw Data'!$O$1:$O$1038=Invoice!$E$3)*(ROW('Raw Data'!$O$1:O1042)-ROW('Raw Data'!$O$1)),ROWS($A$44:B48))),"")</f>
        <v/>
      </c>
      <c r="F48" s="267"/>
      <c r="G48" s="37" t="str">
        <f>IFERROR(_xlfn.SINGLE(INDEX('Raw Data'!#REF!,_xlfn.AGGREGATE(15,3,('Raw Data'!$O$1:$O$1038=Invoice!$E$3)/('Raw Data'!$O$1:$O$1038=Invoice!$E$3)*(ROW('Raw Data'!$O$1:O1042)-ROW('Raw Data'!$O$1)),ROWS($A$44:E48)))),"")</f>
        <v/>
      </c>
    </row>
    <row r="49" spans="2:7" ht="14.4" customHeight="1">
      <c r="B49" s="31" t="str">
        <f>IFERROR(INDEX('Raw Data'!$P$2:$P$1038,_xlfn.AGGREGATE(15,3,('Raw Data'!$O$1:$O$1038=Invoice!$E$3)/('Raw Data'!$O$1:$O$1038=Invoice!$E$3)*(ROW('Raw Data'!$O$1:O1043)-ROW('Raw Data'!$O$1)),ROWS($A$44:A49))),"")</f>
        <v/>
      </c>
      <c r="C49" s="36" t="str">
        <f>IFERROR(INDEX('Raw Data'!$C$2:$C$1038,_xlfn.AGGREGATE(15,3,('Raw Data'!$O$1:$O$1038=Invoice!$E$3)/('Raw Data'!$O$1:$O$1038=Invoice!$E$3)*(ROW('Raw Data'!$O$1:O1043)-ROW('Raw Data'!$O$1)),ROWS($A$44:A49))),"")</f>
        <v/>
      </c>
      <c r="D49" s="36" t="str">
        <f>IFERROR(INDEX('Raw Data'!$R$2:$R$1038,_xlfn.AGGREGATE(15,3,('Raw Data'!$O$1:$O$1038=Invoice!$E$3)/('Raw Data'!$O$1:$O$1038=Invoice!$E$3)*(ROW('Raw Data'!$O$1:O1043)-ROW('Raw Data'!$O$1)),ROWS($A$44:B49))),"")</f>
        <v/>
      </c>
      <c r="E49" s="267" t="str">
        <f>IFERROR(INDEX('Raw Data'!$N$2:$N$1038,_xlfn.AGGREGATE(15,3,('Raw Data'!$O$1:$O$1038=Invoice!$E$3)/('Raw Data'!$O$1:$O$1038=Invoice!$E$3)*(ROW('Raw Data'!$O$1:O1043)-ROW('Raw Data'!$O$1)),ROWS($A$44:B49))),"")</f>
        <v/>
      </c>
      <c r="F49" s="267"/>
      <c r="G49" s="37" t="str">
        <f>IFERROR(_xlfn.SINGLE(INDEX('Raw Data'!#REF!,_xlfn.AGGREGATE(15,3,('Raw Data'!$O$1:$O$1038=Invoice!$E$3)/('Raw Data'!$O$1:$O$1038=Invoice!$E$3)*(ROW('Raw Data'!$O$1:O1043)-ROW('Raw Data'!$O$1)),ROWS($A$44:E49)))),"")</f>
        <v/>
      </c>
    </row>
    <row r="50" spans="2:7" ht="14.4" customHeight="1">
      <c r="B50" s="31" t="str">
        <f>IFERROR(INDEX('Raw Data'!$P$2:$P$1038,_xlfn.AGGREGATE(15,3,('Raw Data'!$O$1:$O$1038=Invoice!$E$3)/('Raw Data'!$O$1:$O$1038=Invoice!$E$3)*(ROW('Raw Data'!$O$1:O1044)-ROW('Raw Data'!$O$1)),ROWS($A$44:A50))),"")</f>
        <v/>
      </c>
      <c r="C50" s="36" t="str">
        <f>IFERROR(INDEX('Raw Data'!$C$2:$C$1038,_xlfn.AGGREGATE(15,3,('Raw Data'!$O$1:$O$1038=Invoice!$E$3)/('Raw Data'!$O$1:$O$1038=Invoice!$E$3)*(ROW('Raw Data'!$O$1:O1044)-ROW('Raw Data'!$O$1)),ROWS($A$44:A50))),"")</f>
        <v/>
      </c>
      <c r="D50" s="36" t="str">
        <f>IFERROR(INDEX('Raw Data'!$R$2:$R$1038,_xlfn.AGGREGATE(15,3,('Raw Data'!$O$1:$O$1038=Invoice!$E$3)/('Raw Data'!$O$1:$O$1038=Invoice!$E$3)*(ROW('Raw Data'!$O$1:O1044)-ROW('Raw Data'!$O$1)),ROWS($A$44:B50))),"")</f>
        <v/>
      </c>
      <c r="E50" s="267" t="str">
        <f>IFERROR(INDEX('Raw Data'!$N$2:$N$1038,_xlfn.AGGREGATE(15,3,('Raw Data'!$O$1:$O$1038=Invoice!$E$3)/('Raw Data'!$O$1:$O$1038=Invoice!$E$3)*(ROW('Raw Data'!$O$1:O1044)-ROW('Raw Data'!$O$1)),ROWS($A$44:B50))),"")</f>
        <v/>
      </c>
      <c r="F50" s="267"/>
      <c r="G50" s="37" t="str">
        <f>IFERROR(_xlfn.SINGLE(INDEX('Raw Data'!#REF!,_xlfn.AGGREGATE(15,3,('Raw Data'!$O$1:$O$1038=Invoice!$E$3)/('Raw Data'!$O$1:$O$1038=Invoice!$E$3)*(ROW('Raw Data'!$O$1:O1044)-ROW('Raw Data'!$O$1)),ROWS($A$44:E50)))),"")</f>
        <v/>
      </c>
    </row>
    <row r="51" spans="2:7" ht="14.4" customHeight="1">
      <c r="B51" s="31" t="str">
        <f>IFERROR(INDEX('Raw Data'!$P$2:$P$1038,_xlfn.AGGREGATE(15,3,('Raw Data'!$O$1:$O$1038=Invoice!$E$3)/('Raw Data'!$O$1:$O$1038=Invoice!$E$3)*(ROW('Raw Data'!$O$1:O1045)-ROW('Raw Data'!$O$1)),ROWS($A$44:A51))),"")</f>
        <v/>
      </c>
      <c r="C51" s="36" t="str">
        <f>IFERROR(INDEX('Raw Data'!$C$2:$C$1038,_xlfn.AGGREGATE(15,3,('Raw Data'!$O$1:$O$1038=Invoice!$E$3)/('Raw Data'!$O$1:$O$1038=Invoice!$E$3)*(ROW('Raw Data'!$O$1:O1045)-ROW('Raw Data'!$O$1)),ROWS($A$44:A51))),"")</f>
        <v/>
      </c>
      <c r="D51" s="36" t="str">
        <f>IFERROR(INDEX('Raw Data'!$R$2:$R$1038,_xlfn.AGGREGATE(15,3,('Raw Data'!$O$1:$O$1038=Invoice!$E$3)/('Raw Data'!$O$1:$O$1038=Invoice!$E$3)*(ROW('Raw Data'!$O$1:O1045)-ROW('Raw Data'!$O$1)),ROWS($A$44:B51))),"")</f>
        <v/>
      </c>
      <c r="E51" s="267" t="str">
        <f>IFERROR(INDEX('Raw Data'!$N$2:$N$1038,_xlfn.AGGREGATE(15,3,('Raw Data'!$O$1:$O$1038=Invoice!$E$3)/('Raw Data'!$O$1:$O$1038=Invoice!$E$3)*(ROW('Raw Data'!$O$1:O1045)-ROW('Raw Data'!$O$1)),ROWS($A$44:B51))),"")</f>
        <v/>
      </c>
      <c r="F51" s="267"/>
      <c r="G51" s="37" t="str">
        <f>IFERROR(_xlfn.SINGLE(INDEX('Raw Data'!#REF!,_xlfn.AGGREGATE(15,3,('Raw Data'!$O$1:$O$1038=Invoice!$E$3)/('Raw Data'!$O$1:$O$1038=Invoice!$E$3)*(ROW('Raw Data'!$O$1:O1045)-ROW('Raw Data'!$O$1)),ROWS($A$44:E51)))),"")</f>
        <v/>
      </c>
    </row>
    <row r="52" spans="2:7" ht="14.4" customHeight="1">
      <c r="B52" s="31" t="str">
        <f>IFERROR(INDEX('Raw Data'!$P$2:$P$1038,_xlfn.AGGREGATE(15,3,('Raw Data'!$O$1:$O$1038=Invoice!$E$3)/('Raw Data'!$O$1:$O$1038=Invoice!$E$3)*(ROW('Raw Data'!$O$1:O1046)-ROW('Raw Data'!$O$1)),ROWS($A$44:A52))),"")</f>
        <v/>
      </c>
      <c r="C52" s="36" t="str">
        <f>IFERROR(INDEX('Raw Data'!$C$2:$C$1038,_xlfn.AGGREGATE(15,3,('Raw Data'!$O$1:$O$1038=Invoice!$E$3)/('Raw Data'!$O$1:$O$1038=Invoice!$E$3)*(ROW('Raw Data'!$O$1:O1046)-ROW('Raw Data'!$O$1)),ROWS($A$44:A52))),"")</f>
        <v/>
      </c>
      <c r="D52" s="36" t="str">
        <f>IFERROR(INDEX('Raw Data'!$R$2:$R$1038,_xlfn.AGGREGATE(15,3,('Raw Data'!$O$1:$O$1038=Invoice!$E$3)/('Raw Data'!$O$1:$O$1038=Invoice!$E$3)*(ROW('Raw Data'!$O$1:O1046)-ROW('Raw Data'!$O$1)),ROWS($A$44:B52))),"")</f>
        <v/>
      </c>
      <c r="E52" s="267" t="str">
        <f>IFERROR(INDEX('Raw Data'!$N$2:$N$1038,_xlfn.AGGREGATE(15,3,('Raw Data'!$O$1:$O$1038=Invoice!$E$3)/('Raw Data'!$O$1:$O$1038=Invoice!$E$3)*(ROW('Raw Data'!$O$1:O1046)-ROW('Raw Data'!$O$1)),ROWS($A$44:B52))),"")</f>
        <v/>
      </c>
      <c r="F52" s="267"/>
      <c r="G52" s="37" t="str">
        <f>IFERROR(_xlfn.SINGLE(INDEX('Raw Data'!#REF!,_xlfn.AGGREGATE(15,3,('Raw Data'!$O$1:$O$1038=Invoice!$E$3)/('Raw Data'!$O$1:$O$1038=Invoice!$E$3)*(ROW('Raw Data'!$O$1:O1046)-ROW('Raw Data'!$O$1)),ROWS($A$44:E52)))),"")</f>
        <v/>
      </c>
    </row>
    <row r="53" spans="2:7" ht="14.4" customHeight="1">
      <c r="B53" s="31" t="str">
        <f>IFERROR(INDEX('Raw Data'!$P$2:$P$1038,_xlfn.AGGREGATE(15,3,('Raw Data'!$O$1:$O$1038=Invoice!$E$3)/('Raw Data'!$O$1:$O$1038=Invoice!$E$3)*(ROW('Raw Data'!$O$1:O1047)-ROW('Raw Data'!$O$1)),ROWS($A$44:A53))),"")</f>
        <v/>
      </c>
      <c r="C53" s="36" t="str">
        <f>IFERROR(INDEX('Raw Data'!$C$2:$C$1038,_xlfn.AGGREGATE(15,3,('Raw Data'!$O$1:$O$1038=Invoice!$E$3)/('Raw Data'!$O$1:$O$1038=Invoice!$E$3)*(ROW('Raw Data'!$O$1:O1047)-ROW('Raw Data'!$O$1)),ROWS($A$44:A53))),"")</f>
        <v/>
      </c>
      <c r="D53" s="36" t="str">
        <f>IFERROR(INDEX('Raw Data'!$R$2:$R$1038,_xlfn.AGGREGATE(15,3,('Raw Data'!$O$1:$O$1038=Invoice!$E$3)/('Raw Data'!$O$1:$O$1038=Invoice!$E$3)*(ROW('Raw Data'!$O$1:O1047)-ROW('Raw Data'!$O$1)),ROWS($A$44:B53))),"")</f>
        <v/>
      </c>
      <c r="E53" s="267" t="str">
        <f>IFERROR(INDEX('Raw Data'!$N$2:$N$1038,_xlfn.AGGREGATE(15,3,('Raw Data'!$O$1:$O$1038=Invoice!$E$3)/('Raw Data'!$O$1:$O$1038=Invoice!$E$3)*(ROW('Raw Data'!$O$1:O1047)-ROW('Raw Data'!$O$1)),ROWS($A$44:B53))),"")</f>
        <v/>
      </c>
      <c r="F53" s="267"/>
      <c r="G53" s="37" t="str">
        <f>IFERROR(_xlfn.SINGLE(INDEX('Raw Data'!#REF!,_xlfn.AGGREGATE(15,3,('Raw Data'!$O$1:$O$1038=Invoice!$E$3)/('Raw Data'!$O$1:$O$1038=Invoice!$E$3)*(ROW('Raw Data'!$O$1:O1047)-ROW('Raw Data'!$O$1)),ROWS($A$44:E53)))),"")</f>
        <v/>
      </c>
    </row>
    <row r="54" spans="2:7" ht="14.4" customHeight="1">
      <c r="B54" s="31" t="str">
        <f>IFERROR(INDEX('Raw Data'!$P$2:$P$1038,_xlfn.AGGREGATE(15,3,('Raw Data'!$O$1:$O$1038=Invoice!$E$3)/('Raw Data'!$O$1:$O$1038=Invoice!$E$3)*(ROW('Raw Data'!$O$1:O1048)-ROW('Raw Data'!$O$1)),ROWS($A$44:A54))),"")</f>
        <v/>
      </c>
      <c r="C54" s="36" t="str">
        <f>IFERROR(INDEX('Raw Data'!$C$2:$C$1038,_xlfn.AGGREGATE(15,3,('Raw Data'!$O$1:$O$1038=Invoice!$E$3)/('Raw Data'!$O$1:$O$1038=Invoice!$E$3)*(ROW('Raw Data'!$O$1:O1048)-ROW('Raw Data'!$O$1)),ROWS($A$44:A54))),"")</f>
        <v/>
      </c>
      <c r="D54" s="36" t="str">
        <f>IFERROR(INDEX('Raw Data'!$R$2:$R$1038,_xlfn.AGGREGATE(15,3,('Raw Data'!$O$1:$O$1038=Invoice!$E$3)/('Raw Data'!$O$1:$O$1038=Invoice!$E$3)*(ROW('Raw Data'!$O$1:O1048)-ROW('Raw Data'!$O$1)),ROWS($A$44:B54))),"")</f>
        <v/>
      </c>
      <c r="E54" s="267" t="str">
        <f>IFERROR(INDEX('Raw Data'!$N$2:$N$1038,_xlfn.AGGREGATE(15,3,('Raw Data'!$O$1:$O$1038=Invoice!$E$3)/('Raw Data'!$O$1:$O$1038=Invoice!$E$3)*(ROW('Raw Data'!$O$1:O1048)-ROW('Raw Data'!$O$1)),ROWS($A$44:B54))),"")</f>
        <v/>
      </c>
      <c r="F54" s="267"/>
      <c r="G54" s="37" t="str">
        <f>IFERROR(_xlfn.SINGLE(INDEX('Raw Data'!#REF!,_xlfn.AGGREGATE(15,3,('Raw Data'!$O$1:$O$1038=Invoice!$E$3)/('Raw Data'!$O$1:$O$1038=Invoice!$E$3)*(ROW('Raw Data'!$O$1:O1048)-ROW('Raw Data'!$O$1)),ROWS($A$44:E54)))),"")</f>
        <v/>
      </c>
    </row>
    <row r="55" spans="2:7" ht="14.4" customHeight="1">
      <c r="B55" s="31" t="str">
        <f>IFERROR(INDEX('Raw Data'!$P$2:$P$1038,_xlfn.AGGREGATE(15,3,('Raw Data'!$O$1:$O$1038=Invoice!$E$3)/('Raw Data'!$O$1:$O$1038=Invoice!$E$3)*(ROW('Raw Data'!$O$1:O1049)-ROW('Raw Data'!$O$1)),ROWS($A$44:A55))),"")</f>
        <v/>
      </c>
      <c r="C55" s="36" t="str">
        <f>IFERROR(INDEX('Raw Data'!$C$2:$C$1038,_xlfn.AGGREGATE(15,3,('Raw Data'!$O$1:$O$1038=Invoice!$E$3)/('Raw Data'!$O$1:$O$1038=Invoice!$E$3)*(ROW('Raw Data'!$O$1:O1049)-ROW('Raw Data'!$O$1)),ROWS($A$44:A55))),"")</f>
        <v/>
      </c>
      <c r="D55" s="36" t="str">
        <f>IFERROR(INDEX('Raw Data'!$R$2:$R$1038,_xlfn.AGGREGATE(15,3,('Raw Data'!$O$1:$O$1038=Invoice!$E$3)/('Raw Data'!$O$1:$O$1038=Invoice!$E$3)*(ROW('Raw Data'!$O$1:O1049)-ROW('Raw Data'!$O$1)),ROWS($A$44:B55))),"")</f>
        <v/>
      </c>
      <c r="E55" s="267" t="str">
        <f>IFERROR(INDEX('Raw Data'!$N$2:$N$1038,_xlfn.AGGREGATE(15,3,('Raw Data'!$O$1:$O$1038=Invoice!$E$3)/('Raw Data'!$O$1:$O$1038=Invoice!$E$3)*(ROW('Raw Data'!$O$1:O1049)-ROW('Raw Data'!$O$1)),ROWS($A$44:B55))),"")</f>
        <v/>
      </c>
      <c r="F55" s="267"/>
      <c r="G55" s="37" t="str">
        <f>IFERROR(_xlfn.SINGLE(INDEX('Raw Data'!#REF!,_xlfn.AGGREGATE(15,3,('Raw Data'!$O$1:$O$1038=Invoice!$E$3)/('Raw Data'!$O$1:$O$1038=Invoice!$E$3)*(ROW('Raw Data'!$O$1:O1049)-ROW('Raw Data'!$O$1)),ROWS($A$44:E55)))),"")</f>
        <v/>
      </c>
    </row>
    <row r="56" spans="2:7" ht="14.4" customHeight="1">
      <c r="B56" s="31" t="str">
        <f>IFERROR(INDEX('Raw Data'!$P$2:$P$1038,_xlfn.AGGREGATE(15,3,('Raw Data'!$O$1:$O$1038=Invoice!$E$3)/('Raw Data'!$O$1:$O$1038=Invoice!$E$3)*(ROW('Raw Data'!$O$1:O1050)-ROW('Raw Data'!$O$1)),ROWS($A$44:A56))),"")</f>
        <v/>
      </c>
      <c r="C56" s="36" t="str">
        <f>IFERROR(INDEX('Raw Data'!$C$2:$C$1038,_xlfn.AGGREGATE(15,3,('Raw Data'!$O$1:$O$1038=Invoice!$E$3)/('Raw Data'!$O$1:$O$1038=Invoice!$E$3)*(ROW('Raw Data'!$O$1:O1050)-ROW('Raw Data'!$O$1)),ROWS($A$44:A56))),"")</f>
        <v/>
      </c>
      <c r="D56" s="36" t="str">
        <f>IFERROR(INDEX('Raw Data'!$R$2:$R$1038,_xlfn.AGGREGATE(15,3,('Raw Data'!$O$1:$O$1038=Invoice!$E$3)/('Raw Data'!$O$1:$O$1038=Invoice!$E$3)*(ROW('Raw Data'!$O$1:O1050)-ROW('Raw Data'!$O$1)),ROWS($A$44:B56))),"")</f>
        <v/>
      </c>
      <c r="E56" s="267" t="str">
        <f>IFERROR(INDEX('Raw Data'!$N$2:$N$1038,_xlfn.AGGREGATE(15,3,('Raw Data'!$O$1:$O$1038=Invoice!$E$3)/('Raw Data'!$O$1:$O$1038=Invoice!$E$3)*(ROW('Raw Data'!$O$1:O1050)-ROW('Raw Data'!$O$1)),ROWS($A$44:B56))),"")</f>
        <v/>
      </c>
      <c r="F56" s="267"/>
      <c r="G56" s="37" t="str">
        <f>IFERROR(_xlfn.SINGLE(INDEX('Raw Data'!#REF!,_xlfn.AGGREGATE(15,3,('Raw Data'!$O$1:$O$1038=Invoice!$E$3)/('Raw Data'!$O$1:$O$1038=Invoice!$E$3)*(ROW('Raw Data'!$O$1:O1050)-ROW('Raw Data'!$O$1)),ROWS($A$44:E56)))),"")</f>
        <v/>
      </c>
    </row>
    <row r="57" spans="2:7" ht="14.4" customHeight="1">
      <c r="B57" s="31" t="str">
        <f>IFERROR(INDEX('Raw Data'!$P$2:$P$1038,_xlfn.AGGREGATE(15,3,('Raw Data'!$O$1:$O$1038=Invoice!$E$3)/('Raw Data'!$O$1:$O$1038=Invoice!$E$3)*(ROW('Raw Data'!$O$1:O1051)-ROW('Raw Data'!$O$1)),ROWS($A$44:A57))),"")</f>
        <v/>
      </c>
      <c r="C57" s="36" t="str">
        <f>IFERROR(INDEX('Raw Data'!$C$2:$C$1038,_xlfn.AGGREGATE(15,3,('Raw Data'!$O$1:$O$1038=Invoice!$E$3)/('Raw Data'!$O$1:$O$1038=Invoice!$E$3)*(ROW('Raw Data'!$O$1:O1051)-ROW('Raw Data'!$O$1)),ROWS($A$44:A57))),"")</f>
        <v/>
      </c>
      <c r="D57" s="36" t="str">
        <f>IFERROR(INDEX('Raw Data'!$R$2:$R$1038,_xlfn.AGGREGATE(15,3,('Raw Data'!$O$1:$O$1038=Invoice!$E$3)/('Raw Data'!$O$1:$O$1038=Invoice!$E$3)*(ROW('Raw Data'!$O$1:O1051)-ROW('Raw Data'!$O$1)),ROWS($A$44:B57))),"")</f>
        <v/>
      </c>
      <c r="E57" s="267" t="str">
        <f>IFERROR(INDEX('Raw Data'!$N$2:$N$1038,_xlfn.AGGREGATE(15,3,('Raw Data'!$O$1:$O$1038=Invoice!$E$3)/('Raw Data'!$O$1:$O$1038=Invoice!$E$3)*(ROW('Raw Data'!$O$1:O1051)-ROW('Raw Data'!$O$1)),ROWS($A$44:B57))),"")</f>
        <v/>
      </c>
      <c r="F57" s="267"/>
      <c r="G57" s="37" t="str">
        <f>IFERROR(_xlfn.SINGLE(INDEX('Raw Data'!#REF!,_xlfn.AGGREGATE(15,3,('Raw Data'!$O$1:$O$1038=Invoice!$E$3)/('Raw Data'!$O$1:$O$1038=Invoice!$E$3)*(ROW('Raw Data'!$O$1:O1051)-ROW('Raw Data'!$O$1)),ROWS($A$44:E57)))),"")</f>
        <v/>
      </c>
    </row>
    <row r="58" spans="2:7" ht="14.4" customHeight="1">
      <c r="B58" s="31" t="str">
        <f>IFERROR(INDEX('Raw Data'!$P$2:$P$1038,_xlfn.AGGREGATE(15,3,('Raw Data'!$O$1:$O$1038=Invoice!$E$3)/('Raw Data'!$O$1:$O$1038=Invoice!$E$3)*(ROW('Raw Data'!$O$1:O1052)-ROW('Raw Data'!$O$1)),ROWS($A$44:A58))),"")</f>
        <v/>
      </c>
      <c r="C58" s="36" t="str">
        <f>IFERROR(INDEX('Raw Data'!$C$2:$C$1038,_xlfn.AGGREGATE(15,3,('Raw Data'!$O$1:$O$1038=Invoice!$E$3)/('Raw Data'!$O$1:$O$1038=Invoice!$E$3)*(ROW('Raw Data'!$O$1:O1052)-ROW('Raw Data'!$O$1)),ROWS($A$44:A58))),"")</f>
        <v/>
      </c>
      <c r="D58" s="36" t="str">
        <f>IFERROR(INDEX('Raw Data'!$R$2:$R$1038,_xlfn.AGGREGATE(15,3,('Raw Data'!$O$1:$O$1038=Invoice!$E$3)/('Raw Data'!$O$1:$O$1038=Invoice!$E$3)*(ROW('Raw Data'!$O$1:O1052)-ROW('Raw Data'!$O$1)),ROWS($A$44:B58))),"")</f>
        <v/>
      </c>
      <c r="E58" s="267" t="str">
        <f>IFERROR(INDEX('Raw Data'!$N$2:$N$1038,_xlfn.AGGREGATE(15,3,('Raw Data'!$O$1:$O$1038=Invoice!$E$3)/('Raw Data'!$O$1:$O$1038=Invoice!$E$3)*(ROW('Raw Data'!$O$1:O1052)-ROW('Raw Data'!$O$1)),ROWS($A$44:B58))),"")</f>
        <v/>
      </c>
      <c r="F58" s="267"/>
      <c r="G58" s="37" t="str">
        <f>IFERROR(_xlfn.SINGLE(INDEX('Raw Data'!#REF!,_xlfn.AGGREGATE(15,3,('Raw Data'!$O$1:$O$1038=Invoice!$E$3)/('Raw Data'!$O$1:$O$1038=Invoice!$E$3)*(ROW('Raw Data'!$O$1:O1052)-ROW('Raw Data'!$O$1)),ROWS($A$44:E58)))),"")</f>
        <v/>
      </c>
    </row>
    <row r="59" spans="2:7" ht="14.4" customHeight="1">
      <c r="B59" s="31" t="str">
        <f>IFERROR(INDEX('Raw Data'!$P$2:$P$1038,_xlfn.AGGREGATE(15,3,('Raw Data'!$O$1:$O$1038=Invoice!$E$3)/('Raw Data'!$O$1:$O$1038=Invoice!$E$3)*(ROW('Raw Data'!$O$1:O1053)-ROW('Raw Data'!$O$1)),ROWS($A$44:A59))),"")</f>
        <v/>
      </c>
      <c r="C59" s="36" t="str">
        <f>IFERROR(INDEX('Raw Data'!$C$2:$C$1038,_xlfn.AGGREGATE(15,3,('Raw Data'!$O$1:$O$1038=Invoice!$E$3)/('Raw Data'!$O$1:$O$1038=Invoice!$E$3)*(ROW('Raw Data'!$O$1:O1053)-ROW('Raw Data'!$O$1)),ROWS($A$44:A59))),"")</f>
        <v/>
      </c>
      <c r="D59" s="36" t="str">
        <f>IFERROR(INDEX('Raw Data'!$R$2:$R$1038,_xlfn.AGGREGATE(15,3,('Raw Data'!$O$1:$O$1038=Invoice!$E$3)/('Raw Data'!$O$1:$O$1038=Invoice!$E$3)*(ROW('Raw Data'!$O$1:O1053)-ROW('Raw Data'!$O$1)),ROWS($A$44:B59))),"")</f>
        <v/>
      </c>
      <c r="E59" s="267" t="str">
        <f>IFERROR(INDEX('Raw Data'!$N$2:$N$1038,_xlfn.AGGREGATE(15,3,('Raw Data'!$O$1:$O$1038=Invoice!$E$3)/('Raw Data'!$O$1:$O$1038=Invoice!$E$3)*(ROW('Raw Data'!$O$1:O1053)-ROW('Raw Data'!$O$1)),ROWS($A$44:B59))),"")</f>
        <v/>
      </c>
      <c r="F59" s="267"/>
      <c r="G59" s="37" t="str">
        <f>IFERROR(_xlfn.SINGLE(INDEX('Raw Data'!#REF!,_xlfn.AGGREGATE(15,3,('Raw Data'!$O$1:$O$1038=Invoice!$E$3)/('Raw Data'!$O$1:$O$1038=Invoice!$E$3)*(ROW('Raw Data'!$O$1:O1053)-ROW('Raw Data'!$O$1)),ROWS($A$44:E59)))),"")</f>
        <v/>
      </c>
    </row>
    <row r="60" spans="2:7" ht="14.4" customHeight="1">
      <c r="B60" s="31" t="str">
        <f>IFERROR(INDEX('Raw Data'!$P$2:$P$1038,_xlfn.AGGREGATE(15,3,('Raw Data'!$O$1:$O$1038=Invoice!$E$3)/('Raw Data'!$O$1:$O$1038=Invoice!$E$3)*(ROW('Raw Data'!$O$1:O1054)-ROW('Raw Data'!$O$1)),ROWS($A$44:A60))),"")</f>
        <v/>
      </c>
      <c r="C60" s="36" t="str">
        <f>IFERROR(INDEX('Raw Data'!$C$2:$C$1038,_xlfn.AGGREGATE(15,3,('Raw Data'!$O$1:$O$1038=Invoice!$E$3)/('Raw Data'!$O$1:$O$1038=Invoice!$E$3)*(ROW('Raw Data'!$O$1:O1054)-ROW('Raw Data'!$O$1)),ROWS($A$44:A60))),"")</f>
        <v/>
      </c>
      <c r="D60" s="36" t="str">
        <f>IFERROR(INDEX('Raw Data'!$R$2:$R$1038,_xlfn.AGGREGATE(15,3,('Raw Data'!$O$1:$O$1038=Invoice!$E$3)/('Raw Data'!$O$1:$O$1038=Invoice!$E$3)*(ROW('Raw Data'!$O$1:O1054)-ROW('Raw Data'!$O$1)),ROWS($A$44:B60))),"")</f>
        <v/>
      </c>
      <c r="E60" s="267" t="str">
        <f>IFERROR(INDEX('Raw Data'!$N$2:$N$1038,_xlfn.AGGREGATE(15,3,('Raw Data'!$O$1:$O$1038=Invoice!$E$3)/('Raw Data'!$O$1:$O$1038=Invoice!$E$3)*(ROW('Raw Data'!$O$1:O1054)-ROW('Raw Data'!$O$1)),ROWS($A$44:B60))),"")</f>
        <v/>
      </c>
      <c r="F60" s="267"/>
      <c r="G60" s="37" t="str">
        <f>IFERROR(_xlfn.SINGLE(INDEX('Raw Data'!#REF!,_xlfn.AGGREGATE(15,3,('Raw Data'!$O$1:$O$1038=Invoice!$E$3)/('Raw Data'!$O$1:$O$1038=Invoice!$E$3)*(ROW('Raw Data'!$O$1:O1054)-ROW('Raw Data'!$O$1)),ROWS($A$44:E60)))),"")</f>
        <v/>
      </c>
    </row>
    <row r="61" spans="2:7" ht="14.4" customHeight="1">
      <c r="B61" s="31" t="str">
        <f>IFERROR(INDEX('Raw Data'!$P$2:$P$1038,_xlfn.AGGREGATE(15,3,('Raw Data'!$O$1:$O$1038=Invoice!$E$3)/('Raw Data'!$O$1:$O$1038=Invoice!$E$3)*(ROW('Raw Data'!$O$1:O1055)-ROW('Raw Data'!$O$1)),ROWS($A$44:A61))),"")</f>
        <v/>
      </c>
      <c r="C61" s="36" t="str">
        <f>IFERROR(INDEX('Raw Data'!$C$2:$C$1038,_xlfn.AGGREGATE(15,3,('Raw Data'!$O$1:$O$1038=Invoice!$E$3)/('Raw Data'!$O$1:$O$1038=Invoice!$E$3)*(ROW('Raw Data'!$O$1:O1055)-ROW('Raw Data'!$O$1)),ROWS($A$44:A61))),"")</f>
        <v/>
      </c>
      <c r="D61" s="36" t="str">
        <f>IFERROR(INDEX('Raw Data'!$R$2:$R$1038,_xlfn.AGGREGATE(15,3,('Raw Data'!$O$1:$O$1038=Invoice!$E$3)/('Raw Data'!$O$1:$O$1038=Invoice!$E$3)*(ROW('Raw Data'!$O$1:O1055)-ROW('Raw Data'!$O$1)),ROWS($A$44:B61))),"")</f>
        <v/>
      </c>
      <c r="E61" s="267" t="str">
        <f>IFERROR(INDEX('Raw Data'!$N$2:$N$1038,_xlfn.AGGREGATE(15,3,('Raw Data'!$O$1:$O$1038=Invoice!$E$3)/('Raw Data'!$O$1:$O$1038=Invoice!$E$3)*(ROW('Raw Data'!$O$1:O1055)-ROW('Raw Data'!$O$1)),ROWS($A$44:B61))),"")</f>
        <v/>
      </c>
      <c r="F61" s="267"/>
      <c r="G61" s="37" t="str">
        <f>IFERROR(_xlfn.SINGLE(INDEX('Raw Data'!#REF!,_xlfn.AGGREGATE(15,3,('Raw Data'!$O$1:$O$1038=Invoice!$E$3)/('Raw Data'!$O$1:$O$1038=Invoice!$E$3)*(ROW('Raw Data'!$O$1:O1055)-ROW('Raw Data'!$O$1)),ROWS($A$44:E61)))),"")</f>
        <v/>
      </c>
    </row>
    <row r="62" spans="2:7" ht="14.4" customHeight="1">
      <c r="B62" s="31" t="str">
        <f>IFERROR(INDEX('Raw Data'!$P$2:$P$1038,_xlfn.AGGREGATE(15,3,('Raw Data'!$O$1:$O$1038=Invoice!$E$3)/('Raw Data'!$O$1:$O$1038=Invoice!$E$3)*(ROW('Raw Data'!$O$1:O1056)-ROW('Raw Data'!$O$1)),ROWS($A$44:A62))),"")</f>
        <v/>
      </c>
      <c r="C62" s="36" t="str">
        <f>IFERROR(INDEX('Raw Data'!$C$2:$C$1038,_xlfn.AGGREGATE(15,3,('Raw Data'!$O$1:$O$1038=Invoice!$E$3)/('Raw Data'!$O$1:$O$1038=Invoice!$E$3)*(ROW('Raw Data'!$O$1:O1056)-ROW('Raw Data'!$O$1)),ROWS($A$44:A62))),"")</f>
        <v/>
      </c>
      <c r="D62" s="36" t="str">
        <f>IFERROR(INDEX('Raw Data'!$R$2:$R$1038,_xlfn.AGGREGATE(15,3,('Raw Data'!$O$1:$O$1038=Invoice!$E$3)/('Raw Data'!$O$1:$O$1038=Invoice!$E$3)*(ROW('Raw Data'!$O$1:O1056)-ROW('Raw Data'!$O$1)),ROWS($A$44:B62))),"")</f>
        <v/>
      </c>
      <c r="E62" s="267" t="str">
        <f>IFERROR(INDEX('Raw Data'!$N$2:$N$1038,_xlfn.AGGREGATE(15,3,('Raw Data'!$O$1:$O$1038=Invoice!$E$3)/('Raw Data'!$O$1:$O$1038=Invoice!$E$3)*(ROW('Raw Data'!$O$1:O1056)-ROW('Raw Data'!$O$1)),ROWS($A$44:B62))),"")</f>
        <v/>
      </c>
      <c r="F62" s="267"/>
      <c r="G62" s="37" t="str">
        <f>IFERROR(_xlfn.SINGLE(INDEX('Raw Data'!#REF!,_xlfn.AGGREGATE(15,3,('Raw Data'!$O$1:$O$1038=Invoice!$E$3)/('Raw Data'!$O$1:$O$1038=Invoice!$E$3)*(ROW('Raw Data'!$O$1:O1056)-ROW('Raw Data'!$O$1)),ROWS($A$44:E62)))),"")</f>
        <v/>
      </c>
    </row>
    <row r="63" spans="2:7" ht="14.4" customHeight="1">
      <c r="B63" s="31" t="str">
        <f>IFERROR(INDEX('Raw Data'!$P$2:$P$1038,_xlfn.AGGREGATE(15,3,('Raw Data'!$O$1:$O$1038=Invoice!$E$3)/('Raw Data'!$O$1:$O$1038=Invoice!$E$3)*(ROW('Raw Data'!$O$1:O1057)-ROW('Raw Data'!$O$1)),ROWS($A$44:A63))),"")</f>
        <v/>
      </c>
      <c r="C63" s="36" t="str">
        <f>IFERROR(INDEX('Raw Data'!$C$2:$C$1038,_xlfn.AGGREGATE(15,3,('Raw Data'!$O$1:$O$1038=Invoice!$E$3)/('Raw Data'!$O$1:$O$1038=Invoice!$E$3)*(ROW('Raw Data'!$O$1:O1057)-ROW('Raw Data'!$O$1)),ROWS($A$44:A63))),"")</f>
        <v/>
      </c>
      <c r="D63" s="36" t="str">
        <f>IFERROR(INDEX('Raw Data'!$R$2:$R$1038,_xlfn.AGGREGATE(15,3,('Raw Data'!$O$1:$O$1038=Invoice!$E$3)/('Raw Data'!$O$1:$O$1038=Invoice!$E$3)*(ROW('Raw Data'!$O$1:O1057)-ROW('Raw Data'!$O$1)),ROWS($A$44:B63))),"")</f>
        <v/>
      </c>
      <c r="E63" s="267" t="str">
        <f>IFERROR(INDEX('Raw Data'!$N$2:$N$1038,_xlfn.AGGREGATE(15,3,('Raw Data'!$O$1:$O$1038=Invoice!$E$3)/('Raw Data'!$O$1:$O$1038=Invoice!$E$3)*(ROW('Raw Data'!$O$1:O1057)-ROW('Raw Data'!$O$1)),ROWS($A$44:B63))),"")</f>
        <v/>
      </c>
      <c r="F63" s="267"/>
      <c r="G63" s="37" t="str">
        <f>IFERROR(_xlfn.SINGLE(INDEX('Raw Data'!#REF!,_xlfn.AGGREGATE(15,3,('Raw Data'!$O$1:$O$1038=Invoice!$E$3)/('Raw Data'!$O$1:$O$1038=Invoice!$E$3)*(ROW('Raw Data'!$O$1:O1057)-ROW('Raw Data'!$O$1)),ROWS($A$44:E63)))),"")</f>
        <v/>
      </c>
    </row>
    <row r="64" spans="2:7" ht="14.4">
      <c r="B64" s="31" t="str">
        <f>IFERROR(INDEX('Raw Data'!$P$2:$P$1038,_xlfn.AGGREGATE(15,3,('Raw Data'!$O$1:$O$1038=Invoice!$E$3)/('Raw Data'!$O$1:$O$1038=Invoice!$E$3)*(ROW('Raw Data'!$O$1:O1058)-ROW('Raw Data'!$O$1)),ROWS($A$44:A64))),"")</f>
        <v/>
      </c>
      <c r="C64" s="36" t="str">
        <f>IFERROR(INDEX('Raw Data'!$C$2:$C$1038,_xlfn.AGGREGATE(15,3,('Raw Data'!$O$1:$O$1038=Invoice!$E$3)/('Raw Data'!$O$1:$O$1038=Invoice!$E$3)*(ROW('Raw Data'!$O$1:O1058)-ROW('Raw Data'!$O$1)),ROWS($A$44:A64))),"")</f>
        <v/>
      </c>
      <c r="D64" s="36" t="str">
        <f>IFERROR(INDEX('Raw Data'!$R$2:$R$1038,_xlfn.AGGREGATE(15,3,('Raw Data'!$O$1:$O$1038=Invoice!$E$3)/('Raw Data'!$O$1:$O$1038=Invoice!$E$3)*(ROW('Raw Data'!$O$1:O1058)-ROW('Raw Data'!$O$1)),ROWS($A$44:B64))),"")</f>
        <v/>
      </c>
      <c r="E64" s="267" t="str">
        <f>IFERROR(INDEX('Raw Data'!$N$2:$N$1038,_xlfn.AGGREGATE(15,3,('Raw Data'!$O$1:$O$1038=Invoice!$E$3)/('Raw Data'!$O$1:$O$1038=Invoice!$E$3)*(ROW('Raw Data'!$O$1:O1058)-ROW('Raw Data'!$O$1)),ROWS($A$44:B64))),"")</f>
        <v/>
      </c>
      <c r="F64" s="267"/>
      <c r="G64" s="37" t="str">
        <f>IFERROR(_xlfn.SINGLE(INDEX('Raw Data'!#REF!,_xlfn.AGGREGATE(15,3,('Raw Data'!$O$1:$O$1038=Invoice!$E$3)/('Raw Data'!$O$1:$O$1038=Invoice!$E$3)*(ROW('Raw Data'!$O$1:O1058)-ROW('Raw Data'!$O$1)),ROWS($A$44:E64)))),"")</f>
        <v/>
      </c>
    </row>
    <row r="65" spans="2:7" ht="14.4">
      <c r="B65" s="31" t="str">
        <f>IFERROR(INDEX('Raw Data'!$P$2:$P$1038,_xlfn.AGGREGATE(15,3,('Raw Data'!$O$1:$O$1038=Invoice!$E$3)/('Raw Data'!$O$1:$O$1038=Invoice!$E$3)*(ROW('Raw Data'!$O$1:O1059)-ROW('Raw Data'!$O$1)),ROWS($A$44:A65))),"")</f>
        <v/>
      </c>
      <c r="C65" s="36" t="str">
        <f>IFERROR(INDEX('Raw Data'!$C$2:$C$1038,_xlfn.AGGREGATE(15,3,('Raw Data'!$O$1:$O$1038=Invoice!$E$3)/('Raw Data'!$O$1:$O$1038=Invoice!$E$3)*(ROW('Raw Data'!$O$1:O1059)-ROW('Raw Data'!$O$1)),ROWS($A$44:A65))),"")</f>
        <v/>
      </c>
      <c r="D65" s="36" t="str">
        <f>IFERROR(INDEX('Raw Data'!$R$2:$R$1038,_xlfn.AGGREGATE(15,3,('Raw Data'!$O$1:$O$1038=Invoice!$E$3)/('Raw Data'!$O$1:$O$1038=Invoice!$E$3)*(ROW('Raw Data'!$O$1:O1059)-ROW('Raw Data'!$O$1)),ROWS($A$44:B65))),"")</f>
        <v/>
      </c>
      <c r="E65" s="267" t="str">
        <f>IFERROR(INDEX('Raw Data'!$N$2:$N$1038,_xlfn.AGGREGATE(15,3,('Raw Data'!$O$1:$O$1038=Invoice!$E$3)/('Raw Data'!$O$1:$O$1038=Invoice!$E$3)*(ROW('Raw Data'!$O$1:O1059)-ROW('Raw Data'!$O$1)),ROWS($A$44:B65))),"")</f>
        <v/>
      </c>
      <c r="F65" s="267"/>
      <c r="G65" s="37" t="str">
        <f>IFERROR(_xlfn.SINGLE(INDEX('Raw Data'!#REF!,_xlfn.AGGREGATE(15,3,('Raw Data'!$O$1:$O$1038=Invoice!$E$3)/('Raw Data'!$O$1:$O$1038=Invoice!$E$3)*(ROW('Raw Data'!$O$1:O1059)-ROW('Raw Data'!$O$1)),ROWS($A$44:E65)))),"")</f>
        <v/>
      </c>
    </row>
    <row r="66" spans="2:7" ht="14.4">
      <c r="B66" s="31" t="str">
        <f>IFERROR(INDEX('Raw Data'!$P$2:$P$1038,_xlfn.AGGREGATE(15,3,('Raw Data'!$O$1:$O$1038=Invoice!$E$3)/('Raw Data'!$O$1:$O$1038=Invoice!$E$3)*(ROW('Raw Data'!$O$1:O1060)-ROW('Raw Data'!$O$1)),ROWS($A$44:A66))),"")</f>
        <v/>
      </c>
      <c r="C66" s="36" t="str">
        <f>IFERROR(INDEX('Raw Data'!$C$2:$C$1038,_xlfn.AGGREGATE(15,3,('Raw Data'!$O$1:$O$1038=Invoice!$E$3)/('Raw Data'!$O$1:$O$1038=Invoice!$E$3)*(ROW('Raw Data'!$O$1:O1060)-ROW('Raw Data'!$O$1)),ROWS($A$44:A66))),"")</f>
        <v/>
      </c>
      <c r="D66" s="36" t="str">
        <f>IFERROR(INDEX('Raw Data'!$R$2:$R$1038,_xlfn.AGGREGATE(15,3,('Raw Data'!$O$1:$O$1038=Invoice!$E$3)/('Raw Data'!$O$1:$O$1038=Invoice!$E$3)*(ROW('Raw Data'!$O$1:O1060)-ROW('Raw Data'!$O$1)),ROWS($A$44:B66))),"")</f>
        <v/>
      </c>
      <c r="E66" s="267" t="str">
        <f>IFERROR(INDEX('Raw Data'!$N$2:$N$1038,_xlfn.AGGREGATE(15,3,('Raw Data'!$O$1:$O$1038=Invoice!$E$3)/('Raw Data'!$O$1:$O$1038=Invoice!$E$3)*(ROW('Raw Data'!$O$1:O1060)-ROW('Raw Data'!$O$1)),ROWS($A$44:B66))),"")</f>
        <v/>
      </c>
      <c r="F66" s="267"/>
      <c r="G66" s="37" t="str">
        <f>IFERROR(_xlfn.SINGLE(INDEX('Raw Data'!#REF!,_xlfn.AGGREGATE(15,3,('Raw Data'!$O$1:$O$1038=Invoice!$E$3)/('Raw Data'!$O$1:$O$1038=Invoice!$E$3)*(ROW('Raw Data'!$O$1:O1060)-ROW('Raw Data'!$O$1)),ROWS($A$44:E66)))),"")</f>
        <v/>
      </c>
    </row>
    <row r="67" spans="2:7" ht="14.4">
      <c r="B67" s="31" t="str">
        <f>IFERROR(INDEX('Raw Data'!$P$2:$P$1038,_xlfn.AGGREGATE(15,3,('Raw Data'!$O$1:$O$1038=Invoice!$E$3)/('Raw Data'!$O$1:$O$1038=Invoice!$E$3)*(ROW('Raw Data'!$O$1:O1061)-ROW('Raw Data'!$O$1)),ROWS($A$44:A67))),"")</f>
        <v/>
      </c>
      <c r="C67" s="36" t="str">
        <f>IFERROR(INDEX('Raw Data'!$C$2:$C$1038,_xlfn.AGGREGATE(15,3,('Raw Data'!$O$1:$O$1038=Invoice!$E$3)/('Raw Data'!$O$1:$O$1038=Invoice!$E$3)*(ROW('Raw Data'!$O$1:O1061)-ROW('Raw Data'!$O$1)),ROWS($A$44:A67))),"")</f>
        <v/>
      </c>
      <c r="D67" s="36" t="str">
        <f>IFERROR(INDEX('Raw Data'!$R$2:$R$1038,_xlfn.AGGREGATE(15,3,('Raw Data'!$O$1:$O$1038=Invoice!$E$3)/('Raw Data'!$O$1:$O$1038=Invoice!$E$3)*(ROW('Raw Data'!$O$1:O1061)-ROW('Raw Data'!$O$1)),ROWS($A$44:B67))),"")</f>
        <v/>
      </c>
      <c r="E67" s="267" t="str">
        <f>IFERROR(INDEX('Raw Data'!$N$2:$N$1038,_xlfn.AGGREGATE(15,3,('Raw Data'!$O$1:$O$1038=Invoice!$E$3)/('Raw Data'!$O$1:$O$1038=Invoice!$E$3)*(ROW('Raw Data'!$O$1:O1061)-ROW('Raw Data'!$O$1)),ROWS($A$44:B67))),"")</f>
        <v/>
      </c>
      <c r="F67" s="267"/>
      <c r="G67" s="37" t="str">
        <f>IFERROR(_xlfn.SINGLE(INDEX('Raw Data'!#REF!,_xlfn.AGGREGATE(15,3,('Raw Data'!$O$1:$O$1038=Invoice!$E$3)/('Raw Data'!$O$1:$O$1038=Invoice!$E$3)*(ROW('Raw Data'!$O$1:O1061)-ROW('Raw Data'!$O$1)),ROWS($A$44:E67)))),"")</f>
        <v/>
      </c>
    </row>
    <row r="68" spans="2:7" ht="14.4">
      <c r="B68" s="31" t="str">
        <f>IFERROR(INDEX('Raw Data'!$P$2:$P$1038,_xlfn.AGGREGATE(15,3,('Raw Data'!$O$1:$O$1038=Invoice!$E$3)/('Raw Data'!$O$1:$O$1038=Invoice!$E$3)*(ROW('Raw Data'!$O$1:O1062)-ROW('Raw Data'!$O$1)),ROWS($A$44:A68))),"")</f>
        <v/>
      </c>
      <c r="C68" s="36" t="str">
        <f>IFERROR(INDEX('Raw Data'!$C$2:$C$1038,_xlfn.AGGREGATE(15,3,('Raw Data'!$O$1:$O$1038=Invoice!$E$3)/('Raw Data'!$O$1:$O$1038=Invoice!$E$3)*(ROW('Raw Data'!$O$1:O1062)-ROW('Raw Data'!$O$1)),ROWS($A$44:A68))),"")</f>
        <v/>
      </c>
      <c r="D68" s="36" t="str">
        <f>IFERROR(INDEX('Raw Data'!$R$2:$R$1038,_xlfn.AGGREGATE(15,3,('Raw Data'!$O$1:$O$1038=Invoice!$E$3)/('Raw Data'!$O$1:$O$1038=Invoice!$E$3)*(ROW('Raw Data'!$O$1:O1062)-ROW('Raw Data'!$O$1)),ROWS($A$44:B68))),"")</f>
        <v/>
      </c>
      <c r="E68" s="267" t="str">
        <f>IFERROR(INDEX('Raw Data'!$N$2:$N$1038,_xlfn.AGGREGATE(15,3,('Raw Data'!$O$1:$O$1038=Invoice!$E$3)/('Raw Data'!$O$1:$O$1038=Invoice!$E$3)*(ROW('Raw Data'!$O$1:O1062)-ROW('Raw Data'!$O$1)),ROWS($A$44:B68))),"")</f>
        <v/>
      </c>
      <c r="F68" s="267"/>
      <c r="G68" s="37" t="str">
        <f>IFERROR(_xlfn.SINGLE(INDEX('Raw Data'!#REF!,_xlfn.AGGREGATE(15,3,('Raw Data'!$O$1:$O$1038=Invoice!$E$3)/('Raw Data'!$O$1:$O$1038=Invoice!$E$3)*(ROW('Raw Data'!$O$1:O1062)-ROW('Raw Data'!$O$1)),ROWS($A$44:E68)))),"")</f>
        <v/>
      </c>
    </row>
    <row r="69" spans="2:7" ht="14.4">
      <c r="B69" s="31" t="str">
        <f>IFERROR(INDEX('Raw Data'!$P$2:$P$1038,_xlfn.AGGREGATE(15,3,('Raw Data'!$O$1:$O$1038=Invoice!$E$3)/('Raw Data'!$O$1:$O$1038=Invoice!$E$3)*(ROW('Raw Data'!$O$1:O1063)-ROW('Raw Data'!$O$1)),ROWS($A$44:A69))),"")</f>
        <v/>
      </c>
      <c r="C69" s="36" t="str">
        <f>IFERROR(INDEX('Raw Data'!$C$2:$C$1038,_xlfn.AGGREGATE(15,3,('Raw Data'!$O$1:$O$1038=Invoice!$E$3)/('Raw Data'!$O$1:$O$1038=Invoice!$E$3)*(ROW('Raw Data'!$O$1:O1063)-ROW('Raw Data'!$O$1)),ROWS($A$44:A69))),"")</f>
        <v/>
      </c>
      <c r="D69" s="36" t="str">
        <f>IFERROR(INDEX('Raw Data'!$R$2:$R$1038,_xlfn.AGGREGATE(15,3,('Raw Data'!$O$1:$O$1038=Invoice!$E$3)/('Raw Data'!$O$1:$O$1038=Invoice!$E$3)*(ROW('Raw Data'!$O$1:O1063)-ROW('Raw Data'!$O$1)),ROWS($A$44:B69))),"")</f>
        <v/>
      </c>
      <c r="E69" s="267" t="str">
        <f>IFERROR(INDEX('Raw Data'!$N$2:$N$1038,_xlfn.AGGREGATE(15,3,('Raw Data'!$O$1:$O$1038=Invoice!$E$3)/('Raw Data'!$O$1:$O$1038=Invoice!$E$3)*(ROW('Raw Data'!$O$1:O1063)-ROW('Raw Data'!$O$1)),ROWS($A$44:B69))),"")</f>
        <v/>
      </c>
      <c r="F69" s="267"/>
      <c r="G69" s="37" t="str">
        <f>IFERROR(_xlfn.SINGLE(INDEX('Raw Data'!#REF!,_xlfn.AGGREGATE(15,3,('Raw Data'!$O$1:$O$1038=Invoice!$E$3)/('Raw Data'!$O$1:$O$1038=Invoice!$E$3)*(ROW('Raw Data'!$O$1:O1063)-ROW('Raw Data'!$O$1)),ROWS($A$44:E69)))),"")</f>
        <v/>
      </c>
    </row>
    <row r="70" spans="2:7" ht="14.4">
      <c r="B70" s="31" t="str">
        <f>IFERROR(INDEX('Raw Data'!$P$2:$P$1038,_xlfn.AGGREGATE(15,3,('Raw Data'!$O$1:$O$1038=Invoice!$E$3)/('Raw Data'!$O$1:$O$1038=Invoice!$E$3)*(ROW('Raw Data'!$O$1:O1064)-ROW('Raw Data'!$O$1)),ROWS($A$44:A70))),"")</f>
        <v/>
      </c>
      <c r="C70" s="36" t="str">
        <f>IFERROR(INDEX('Raw Data'!$C$2:$C$1038,_xlfn.AGGREGATE(15,3,('Raw Data'!$O$1:$O$1038=Invoice!$E$3)/('Raw Data'!$O$1:$O$1038=Invoice!$E$3)*(ROW('Raw Data'!$O$1:O1064)-ROW('Raw Data'!$O$1)),ROWS($A$44:A70))),"")</f>
        <v/>
      </c>
      <c r="D70" s="36" t="str">
        <f>IFERROR(INDEX('Raw Data'!$R$2:$R$1038,_xlfn.AGGREGATE(15,3,('Raw Data'!$O$1:$O$1038=Invoice!$E$3)/('Raw Data'!$O$1:$O$1038=Invoice!$E$3)*(ROW('Raw Data'!$O$1:O1064)-ROW('Raw Data'!$O$1)),ROWS($A$44:B70))),"")</f>
        <v/>
      </c>
      <c r="E70" s="267" t="str">
        <f>IFERROR(INDEX('Raw Data'!$N$2:$N$1038,_xlfn.AGGREGATE(15,3,('Raw Data'!$O$1:$O$1038=Invoice!$E$3)/('Raw Data'!$O$1:$O$1038=Invoice!$E$3)*(ROW('Raw Data'!$O$1:O1064)-ROW('Raw Data'!$O$1)),ROWS($A$44:B70))),"")</f>
        <v/>
      </c>
      <c r="F70" s="267"/>
      <c r="G70" s="37" t="str">
        <f>IFERROR(_xlfn.SINGLE(INDEX('Raw Data'!#REF!,_xlfn.AGGREGATE(15,3,('Raw Data'!$O$1:$O$1038=Invoice!$E$3)/('Raw Data'!$O$1:$O$1038=Invoice!$E$3)*(ROW('Raw Data'!$O$1:O1064)-ROW('Raw Data'!$O$1)),ROWS($A$44:E70)))),"")</f>
        <v/>
      </c>
    </row>
    <row r="71" spans="2:7" ht="14.4">
      <c r="B71" s="31" t="str">
        <f>IFERROR(INDEX('Raw Data'!$P$2:$P$1038,_xlfn.AGGREGATE(15,3,('Raw Data'!$O$1:$O$1038=Invoice!$E$3)/('Raw Data'!$O$1:$O$1038=Invoice!$E$3)*(ROW('Raw Data'!$O$1:O1065)-ROW('Raw Data'!$O$1)),ROWS($A$44:A71))),"")</f>
        <v/>
      </c>
      <c r="C71" s="36" t="str">
        <f>IFERROR(INDEX('Raw Data'!$C$2:$C$1038,_xlfn.AGGREGATE(15,3,('Raw Data'!$O$1:$O$1038=Invoice!$E$3)/('Raw Data'!$O$1:$O$1038=Invoice!$E$3)*(ROW('Raw Data'!$O$1:O1065)-ROW('Raw Data'!$O$1)),ROWS($A$44:A71))),"")</f>
        <v/>
      </c>
      <c r="D71" s="36" t="str">
        <f>IFERROR(INDEX('Raw Data'!$R$2:$R$1038,_xlfn.AGGREGATE(15,3,('Raw Data'!$O$1:$O$1038=Invoice!$E$3)/('Raw Data'!$O$1:$O$1038=Invoice!$E$3)*(ROW('Raw Data'!$O$1:O1065)-ROW('Raw Data'!$O$1)),ROWS($A$44:B71))),"")</f>
        <v/>
      </c>
      <c r="E71" s="267" t="str">
        <f>IFERROR(INDEX('Raw Data'!$N$2:$N$1038,_xlfn.AGGREGATE(15,3,('Raw Data'!$O$1:$O$1038=Invoice!$E$3)/('Raw Data'!$O$1:$O$1038=Invoice!$E$3)*(ROW('Raw Data'!$O$1:O1065)-ROW('Raw Data'!$O$1)),ROWS($A$44:B71))),"")</f>
        <v/>
      </c>
      <c r="F71" s="267"/>
      <c r="G71" s="37" t="str">
        <f>IFERROR(_xlfn.SINGLE(INDEX('Raw Data'!#REF!,_xlfn.AGGREGATE(15,3,('Raw Data'!$O$1:$O$1038=Invoice!$E$3)/('Raw Data'!$O$1:$O$1038=Invoice!$E$3)*(ROW('Raw Data'!$O$1:O1065)-ROW('Raw Data'!$O$1)),ROWS($A$44:E71)))),"")</f>
        <v/>
      </c>
    </row>
    <row r="72" spans="2:7" ht="14.4">
      <c r="B72" s="31" t="str">
        <f>IFERROR(INDEX('Raw Data'!$P$2:$P$1038,_xlfn.AGGREGATE(15,3,('Raw Data'!$O$1:$O$1038=Invoice!$E$3)/('Raw Data'!$O$1:$O$1038=Invoice!$E$3)*(ROW('Raw Data'!$O$1:O1066)-ROW('Raw Data'!$O$1)),ROWS($A$44:A72))),"")</f>
        <v/>
      </c>
      <c r="C72" s="36" t="str">
        <f>IFERROR(INDEX('Raw Data'!$C$2:$C$1038,_xlfn.AGGREGATE(15,3,('Raw Data'!$O$1:$O$1038=Invoice!$E$3)/('Raw Data'!$O$1:$O$1038=Invoice!$E$3)*(ROW('Raw Data'!$O$1:O1066)-ROW('Raw Data'!$O$1)),ROWS($A$44:A72))),"")</f>
        <v/>
      </c>
      <c r="D72" s="36" t="str">
        <f>IFERROR(INDEX('Raw Data'!$R$2:$R$1038,_xlfn.AGGREGATE(15,3,('Raw Data'!$O$1:$O$1038=Invoice!$E$3)/('Raw Data'!$O$1:$O$1038=Invoice!$E$3)*(ROW('Raw Data'!$O$1:O1066)-ROW('Raw Data'!$O$1)),ROWS($A$44:B72))),"")</f>
        <v/>
      </c>
      <c r="E72" s="267" t="str">
        <f>IFERROR(INDEX('Raw Data'!$N$2:$N$1038,_xlfn.AGGREGATE(15,3,('Raw Data'!$O$1:$O$1038=Invoice!$E$3)/('Raw Data'!$O$1:$O$1038=Invoice!$E$3)*(ROW('Raw Data'!$O$1:O1066)-ROW('Raw Data'!$O$1)),ROWS($A$44:B72))),"")</f>
        <v/>
      </c>
      <c r="F72" s="267"/>
      <c r="G72" s="37" t="str">
        <f>IFERROR(_xlfn.SINGLE(INDEX('Raw Data'!#REF!,_xlfn.AGGREGATE(15,3,('Raw Data'!$O$1:$O$1038=Invoice!$E$3)/('Raw Data'!$O$1:$O$1038=Invoice!$E$3)*(ROW('Raw Data'!$O$1:O1066)-ROW('Raw Data'!$O$1)),ROWS($A$44:E72)))),"")</f>
        <v/>
      </c>
    </row>
    <row r="73" spans="2:7" ht="14.4">
      <c r="B73" s="31" t="str">
        <f>IFERROR(INDEX('Raw Data'!$P$2:$P$1038,_xlfn.AGGREGATE(15,3,('Raw Data'!$O$1:$O$1038=Invoice!$E$3)/('Raw Data'!$O$1:$O$1038=Invoice!$E$3)*(ROW('Raw Data'!$O$1:O1067)-ROW('Raw Data'!$O$1)),ROWS($A$44:A73))),"")</f>
        <v/>
      </c>
      <c r="C73" s="36" t="str">
        <f>IFERROR(INDEX('Raw Data'!$C$2:$C$1038,_xlfn.AGGREGATE(15,3,('Raw Data'!$O$1:$O$1038=Invoice!$E$3)/('Raw Data'!$O$1:$O$1038=Invoice!$E$3)*(ROW('Raw Data'!$O$1:O1067)-ROW('Raw Data'!$O$1)),ROWS($A$44:A73))),"")</f>
        <v/>
      </c>
      <c r="D73" s="36" t="str">
        <f>IFERROR(INDEX('Raw Data'!$R$2:$R$1038,_xlfn.AGGREGATE(15,3,('Raw Data'!$O$1:$O$1038=Invoice!$E$3)/('Raw Data'!$O$1:$O$1038=Invoice!$E$3)*(ROW('Raw Data'!$O$1:O1067)-ROW('Raw Data'!$O$1)),ROWS($A$44:B73))),"")</f>
        <v/>
      </c>
      <c r="E73" s="267" t="str">
        <f>IFERROR(INDEX('Raw Data'!$N$2:$N$1038,_xlfn.AGGREGATE(15,3,('Raw Data'!$O$1:$O$1038=Invoice!$E$3)/('Raw Data'!$O$1:$O$1038=Invoice!$E$3)*(ROW('Raw Data'!$O$1:O1067)-ROW('Raw Data'!$O$1)),ROWS($A$44:B73))),"")</f>
        <v/>
      </c>
      <c r="F73" s="267"/>
      <c r="G73" s="37" t="str">
        <f>IFERROR(_xlfn.SINGLE(INDEX('Raw Data'!#REF!,_xlfn.AGGREGATE(15,3,('Raw Data'!$O$1:$O$1038=Invoice!$E$3)/('Raw Data'!$O$1:$O$1038=Invoice!$E$3)*(ROW('Raw Data'!$O$1:O1067)-ROW('Raw Data'!$O$1)),ROWS($A$44:E73)))),"")</f>
        <v/>
      </c>
    </row>
    <row r="74" spans="2:7" ht="14.4">
      <c r="B74" s="31" t="str">
        <f>IFERROR(INDEX('Raw Data'!$P$2:$P$1038,_xlfn.AGGREGATE(15,3,('Raw Data'!$O$1:$O$1038=Invoice!$E$3)/('Raw Data'!$O$1:$O$1038=Invoice!$E$3)*(ROW('Raw Data'!$O$1:O1068)-ROW('Raw Data'!$O$1)),ROWS($A$44:A74))),"")</f>
        <v/>
      </c>
      <c r="C74" s="36" t="str">
        <f>IFERROR(INDEX('Raw Data'!$C$2:$C$1038,_xlfn.AGGREGATE(15,3,('Raw Data'!$O$1:$O$1038=Invoice!$E$3)/('Raw Data'!$O$1:$O$1038=Invoice!$E$3)*(ROW('Raw Data'!$O$1:O1068)-ROW('Raw Data'!$O$1)),ROWS($A$44:A74))),"")</f>
        <v/>
      </c>
      <c r="D74" s="36" t="str">
        <f>IFERROR(INDEX('Raw Data'!$R$2:$R$1038,_xlfn.AGGREGATE(15,3,('Raw Data'!$O$1:$O$1038=Invoice!$E$3)/('Raw Data'!$O$1:$O$1038=Invoice!$E$3)*(ROW('Raw Data'!$O$1:O1068)-ROW('Raw Data'!$O$1)),ROWS($A$44:B74))),"")</f>
        <v/>
      </c>
      <c r="E74" s="267" t="str">
        <f>IFERROR(INDEX('Raw Data'!$N$2:$N$1038,_xlfn.AGGREGATE(15,3,('Raw Data'!$O$1:$O$1038=Invoice!$E$3)/('Raw Data'!$O$1:$O$1038=Invoice!$E$3)*(ROW('Raw Data'!$O$1:O1068)-ROW('Raw Data'!$O$1)),ROWS($A$44:B74))),"")</f>
        <v/>
      </c>
      <c r="F74" s="267"/>
      <c r="G74" s="37" t="str">
        <f>IFERROR(_xlfn.SINGLE(INDEX('Raw Data'!#REF!,_xlfn.AGGREGATE(15,3,('Raw Data'!$O$1:$O$1038=Invoice!$E$3)/('Raw Data'!$O$1:$O$1038=Invoice!$E$3)*(ROW('Raw Data'!$O$1:O1068)-ROW('Raw Data'!$O$1)),ROWS($A$44:E74)))),"")</f>
        <v/>
      </c>
    </row>
    <row r="75" spans="2:7" ht="14.4">
      <c r="B75" s="31" t="str">
        <f>IFERROR(INDEX('Raw Data'!$P$2:$P$1038,_xlfn.AGGREGATE(15,3,('Raw Data'!$O$1:$O$1038=Invoice!$E$3)/('Raw Data'!$O$1:$O$1038=Invoice!$E$3)*(ROW('Raw Data'!$O$1:O1069)-ROW('Raw Data'!$O$1)),ROWS($A$44:A75))),"")</f>
        <v/>
      </c>
      <c r="C75" s="36" t="str">
        <f>IFERROR(INDEX('Raw Data'!$C$2:$C$1038,_xlfn.AGGREGATE(15,3,('Raw Data'!$O$1:$O$1038=Invoice!$E$3)/('Raw Data'!$O$1:$O$1038=Invoice!$E$3)*(ROW('Raw Data'!$O$1:O1069)-ROW('Raw Data'!$O$1)),ROWS($A$44:A75))),"")</f>
        <v/>
      </c>
      <c r="D75" s="36" t="str">
        <f>IFERROR(INDEX('Raw Data'!$R$2:$R$1038,_xlfn.AGGREGATE(15,3,('Raw Data'!$O$1:$O$1038=Invoice!$E$3)/('Raw Data'!$O$1:$O$1038=Invoice!$E$3)*(ROW('Raw Data'!$O$1:O1069)-ROW('Raw Data'!$O$1)),ROWS($A$44:B75))),"")</f>
        <v/>
      </c>
      <c r="E75" s="267" t="str">
        <f>IFERROR(INDEX('Raw Data'!$N$2:$N$1038,_xlfn.AGGREGATE(15,3,('Raw Data'!$O$1:$O$1038=Invoice!$E$3)/('Raw Data'!$O$1:$O$1038=Invoice!$E$3)*(ROW('Raw Data'!$O$1:O1069)-ROW('Raw Data'!$O$1)),ROWS($A$44:B75))),"")</f>
        <v/>
      </c>
      <c r="F75" s="267"/>
      <c r="G75" s="37" t="str">
        <f>IFERROR(_xlfn.SINGLE(INDEX('Raw Data'!#REF!,_xlfn.AGGREGATE(15,3,('Raw Data'!$O$1:$O$1038=Invoice!$E$3)/('Raw Data'!$O$1:$O$1038=Invoice!$E$3)*(ROW('Raw Data'!$O$1:O1069)-ROW('Raw Data'!$O$1)),ROWS($A$44:E75)))),"")</f>
        <v/>
      </c>
    </row>
    <row r="76" spans="2:7" ht="14.4">
      <c r="B76" s="31" t="str">
        <f>IFERROR(INDEX('Raw Data'!$P$2:$P$1038,_xlfn.AGGREGATE(15,3,('Raw Data'!$O$1:$O$1038=Invoice!$E$3)/('Raw Data'!$O$1:$O$1038=Invoice!$E$3)*(ROW('Raw Data'!$O$1:O1070)-ROW('Raw Data'!$O$1)),ROWS($A$44:A76))),"")</f>
        <v/>
      </c>
      <c r="C76" s="36" t="str">
        <f>IFERROR(INDEX('Raw Data'!$C$2:$C$1038,_xlfn.AGGREGATE(15,3,('Raw Data'!$O$1:$O$1038=Invoice!$E$3)/('Raw Data'!$O$1:$O$1038=Invoice!$E$3)*(ROW('Raw Data'!$O$1:O1070)-ROW('Raw Data'!$O$1)),ROWS($A$44:A76))),"")</f>
        <v/>
      </c>
      <c r="D76" s="36" t="str">
        <f>IFERROR(INDEX('Raw Data'!$R$2:$R$1038,_xlfn.AGGREGATE(15,3,('Raw Data'!$O$1:$O$1038=Invoice!$E$3)/('Raw Data'!$O$1:$O$1038=Invoice!$E$3)*(ROW('Raw Data'!$O$1:O1070)-ROW('Raw Data'!$O$1)),ROWS($A$44:B76))),"")</f>
        <v/>
      </c>
      <c r="E76" s="267" t="str">
        <f>IFERROR(INDEX('Raw Data'!$N$2:$N$1038,_xlfn.AGGREGATE(15,3,('Raw Data'!$O$1:$O$1038=Invoice!$E$3)/('Raw Data'!$O$1:$O$1038=Invoice!$E$3)*(ROW('Raw Data'!$O$1:O1070)-ROW('Raw Data'!$O$1)),ROWS($A$44:B76))),"")</f>
        <v/>
      </c>
      <c r="F76" s="267"/>
      <c r="G76" s="37" t="str">
        <f>IFERROR(_xlfn.SINGLE(INDEX('Raw Data'!#REF!,_xlfn.AGGREGATE(15,3,('Raw Data'!$O$1:$O$1038=Invoice!$E$3)/('Raw Data'!$O$1:$O$1038=Invoice!$E$3)*(ROW('Raw Data'!$O$1:O1070)-ROW('Raw Data'!$O$1)),ROWS($A$44:E76)))),"")</f>
        <v/>
      </c>
    </row>
    <row r="77" spans="2:7" ht="14.4">
      <c r="B77" s="31" t="str">
        <f>IFERROR(INDEX('Raw Data'!$P$2:$P$1038,_xlfn.AGGREGATE(15,3,('Raw Data'!$O$1:$O$1038=Invoice!$E$3)/('Raw Data'!$O$1:$O$1038=Invoice!$E$3)*(ROW('Raw Data'!$O$1:O1071)-ROW('Raw Data'!$O$1)),ROWS($A$44:A77))),"")</f>
        <v/>
      </c>
      <c r="C77" s="36" t="str">
        <f>IFERROR(INDEX('Raw Data'!$C$2:$C$1038,_xlfn.AGGREGATE(15,3,('Raw Data'!$O$1:$O$1038=Invoice!$E$3)/('Raw Data'!$O$1:$O$1038=Invoice!$E$3)*(ROW('Raw Data'!$O$1:O1071)-ROW('Raw Data'!$O$1)),ROWS($A$44:A77))),"")</f>
        <v/>
      </c>
      <c r="D77" s="36" t="str">
        <f>IFERROR(INDEX('Raw Data'!$R$2:$R$1038,_xlfn.AGGREGATE(15,3,('Raw Data'!$O$1:$O$1038=Invoice!$E$3)/('Raw Data'!$O$1:$O$1038=Invoice!$E$3)*(ROW('Raw Data'!$O$1:O1071)-ROW('Raw Data'!$O$1)),ROWS($A$44:B77))),"")</f>
        <v/>
      </c>
      <c r="E77" s="267" t="str">
        <f>IFERROR(INDEX('Raw Data'!$N$2:$N$1038,_xlfn.AGGREGATE(15,3,('Raw Data'!$O$1:$O$1038=Invoice!$E$3)/('Raw Data'!$O$1:$O$1038=Invoice!$E$3)*(ROW('Raw Data'!$O$1:O1071)-ROW('Raw Data'!$O$1)),ROWS($A$44:B77))),"")</f>
        <v/>
      </c>
      <c r="F77" s="267"/>
      <c r="G77" s="37" t="str">
        <f>IFERROR(_xlfn.SINGLE(INDEX('Raw Data'!#REF!,_xlfn.AGGREGATE(15,3,('Raw Data'!$O$1:$O$1038=Invoice!$E$3)/('Raw Data'!$O$1:$O$1038=Invoice!$E$3)*(ROW('Raw Data'!$O$1:O1071)-ROW('Raw Data'!$O$1)),ROWS($A$44:E77)))),"")</f>
        <v/>
      </c>
    </row>
    <row r="78" spans="2:7" ht="14.4">
      <c r="B78" s="31" t="str">
        <f>IFERROR(INDEX('Raw Data'!$P$2:$P$1038,_xlfn.AGGREGATE(15,3,('Raw Data'!$O$1:$O$1038=Invoice!$E$3)/('Raw Data'!$O$1:$O$1038=Invoice!$E$3)*(ROW('Raw Data'!$O$1:O1072)-ROW('Raw Data'!$O$1)),ROWS($A$44:A78))),"")</f>
        <v/>
      </c>
      <c r="C78" s="36" t="str">
        <f>IFERROR(INDEX('Raw Data'!$C$2:$C$1038,_xlfn.AGGREGATE(15,3,('Raw Data'!$O$1:$O$1038=Invoice!$E$3)/('Raw Data'!$O$1:$O$1038=Invoice!$E$3)*(ROW('Raw Data'!$O$1:O1072)-ROW('Raw Data'!$O$1)),ROWS($A$44:A78))),"")</f>
        <v/>
      </c>
      <c r="D78" s="36" t="str">
        <f>IFERROR(INDEX('Raw Data'!$R$2:$R$1038,_xlfn.AGGREGATE(15,3,('Raw Data'!$O$1:$O$1038=Invoice!$E$3)/('Raw Data'!$O$1:$O$1038=Invoice!$E$3)*(ROW('Raw Data'!$O$1:O1072)-ROW('Raw Data'!$O$1)),ROWS($A$44:B78))),"")</f>
        <v/>
      </c>
      <c r="E78" s="267" t="str">
        <f>IFERROR(INDEX('Raw Data'!$N$2:$N$1038,_xlfn.AGGREGATE(15,3,('Raw Data'!$O$1:$O$1038=Invoice!$E$3)/('Raw Data'!$O$1:$O$1038=Invoice!$E$3)*(ROW('Raw Data'!$O$1:O1072)-ROW('Raw Data'!$O$1)),ROWS($A$44:B78))),"")</f>
        <v/>
      </c>
      <c r="F78" s="267"/>
      <c r="G78" s="37" t="str">
        <f>IFERROR(_xlfn.SINGLE(INDEX('Raw Data'!#REF!,_xlfn.AGGREGATE(15,3,('Raw Data'!$O$1:$O$1038=Invoice!$E$3)/('Raw Data'!$O$1:$O$1038=Invoice!$E$3)*(ROW('Raw Data'!$O$1:O1072)-ROW('Raw Data'!$O$1)),ROWS($A$44:E78)))),"")</f>
        <v/>
      </c>
    </row>
    <row r="79" spans="2:7" ht="14.4">
      <c r="B79" s="31" t="str">
        <f>IFERROR(INDEX('Raw Data'!$P$2:$P$1038,_xlfn.AGGREGATE(15,3,('Raw Data'!$O$1:$O$1038=Invoice!$E$3)/('Raw Data'!$O$1:$O$1038=Invoice!$E$3)*(ROW('Raw Data'!$O$1:O1073)-ROW('Raw Data'!$O$1)),ROWS($A$44:A79))),"")</f>
        <v/>
      </c>
      <c r="C79" s="36" t="str">
        <f>IFERROR(INDEX('Raw Data'!$C$2:$C$1038,_xlfn.AGGREGATE(15,3,('Raw Data'!$O$1:$O$1038=Invoice!$E$3)/('Raw Data'!$O$1:$O$1038=Invoice!$E$3)*(ROW('Raw Data'!$O$1:O1073)-ROW('Raw Data'!$O$1)),ROWS($A$44:A79))),"")</f>
        <v/>
      </c>
      <c r="D79" s="36" t="str">
        <f>IFERROR(INDEX('Raw Data'!$R$2:$R$1038,_xlfn.AGGREGATE(15,3,('Raw Data'!$O$1:$O$1038=Invoice!$E$3)/('Raw Data'!$O$1:$O$1038=Invoice!$E$3)*(ROW('Raw Data'!$O$1:O1073)-ROW('Raw Data'!$O$1)),ROWS($A$44:B79))),"")</f>
        <v/>
      </c>
      <c r="E79" s="267" t="str">
        <f>IFERROR(INDEX('Raw Data'!$N$2:$N$1038,_xlfn.AGGREGATE(15,3,('Raw Data'!$O$1:$O$1038=Invoice!$E$3)/('Raw Data'!$O$1:$O$1038=Invoice!$E$3)*(ROW('Raw Data'!$O$1:O1073)-ROW('Raw Data'!$O$1)),ROWS($A$44:B79))),"")</f>
        <v/>
      </c>
      <c r="F79" s="267"/>
      <c r="G79" s="37" t="str">
        <f>IFERROR(_xlfn.SINGLE(INDEX('Raw Data'!#REF!,_xlfn.AGGREGATE(15,3,('Raw Data'!$O$1:$O$1038=Invoice!$E$3)/('Raw Data'!$O$1:$O$1038=Invoice!$E$3)*(ROW('Raw Data'!$O$1:O1073)-ROW('Raw Data'!$O$1)),ROWS($A$44:E79)))),"")</f>
        <v/>
      </c>
    </row>
    <row r="80" spans="2:7" ht="14.4">
      <c r="B80" s="31" t="str">
        <f>IFERROR(INDEX('Raw Data'!$P$2:$P$1038,_xlfn.AGGREGATE(15,3,('Raw Data'!$O$1:$O$1038=Invoice!$E$3)/('Raw Data'!$O$1:$O$1038=Invoice!$E$3)*(ROW('Raw Data'!$O$1:O1074)-ROW('Raw Data'!$O$1)),ROWS($A$44:A80))),"")</f>
        <v/>
      </c>
      <c r="C80" s="36" t="str">
        <f>IFERROR(INDEX('Raw Data'!$C$2:$C$1038,_xlfn.AGGREGATE(15,3,('Raw Data'!$O$1:$O$1038=Invoice!$E$3)/('Raw Data'!$O$1:$O$1038=Invoice!$E$3)*(ROW('Raw Data'!$O$1:O1074)-ROW('Raw Data'!$O$1)),ROWS($A$44:A80))),"")</f>
        <v/>
      </c>
      <c r="D80" s="36" t="str">
        <f>IFERROR(INDEX('Raw Data'!$R$2:$R$1038,_xlfn.AGGREGATE(15,3,('Raw Data'!$O$1:$O$1038=Invoice!$E$3)/('Raw Data'!$O$1:$O$1038=Invoice!$E$3)*(ROW('Raw Data'!$O$1:O1074)-ROW('Raw Data'!$O$1)),ROWS($A$44:B80))),"")</f>
        <v/>
      </c>
      <c r="E80" s="267" t="str">
        <f>IFERROR(INDEX('Raw Data'!$N$2:$N$1038,_xlfn.AGGREGATE(15,3,('Raw Data'!$O$1:$O$1038=Invoice!$E$3)/('Raw Data'!$O$1:$O$1038=Invoice!$E$3)*(ROW('Raw Data'!$O$1:O1074)-ROW('Raw Data'!$O$1)),ROWS($A$44:B80))),"")</f>
        <v/>
      </c>
      <c r="F80" s="267"/>
      <c r="G80" s="37" t="str">
        <f>IFERROR(_xlfn.SINGLE(INDEX('Raw Data'!#REF!,_xlfn.AGGREGATE(15,3,('Raw Data'!$O$1:$O$1038=Invoice!$E$3)/('Raw Data'!$O$1:$O$1038=Invoice!$E$3)*(ROW('Raw Data'!$O$1:O1074)-ROW('Raw Data'!$O$1)),ROWS($A$44:E80)))),"")</f>
        <v/>
      </c>
    </row>
    <row r="81" spans="2:7" ht="14.4">
      <c r="B81" s="31" t="str">
        <f>IFERROR(INDEX('Raw Data'!$P$2:$P$1038,_xlfn.AGGREGATE(15,3,('Raw Data'!$O$1:$O$1038=Invoice!$E$3)/('Raw Data'!$O$1:$O$1038=Invoice!$E$3)*(ROW('Raw Data'!$O$1:O1075)-ROW('Raw Data'!$O$1)),ROWS($A$44:A81))),"")</f>
        <v/>
      </c>
      <c r="C81" s="36" t="str">
        <f>IFERROR(INDEX('Raw Data'!$C$2:$C$1038,_xlfn.AGGREGATE(15,3,('Raw Data'!$O$1:$O$1038=Invoice!$E$3)/('Raw Data'!$O$1:$O$1038=Invoice!$E$3)*(ROW('Raw Data'!$O$1:O1075)-ROW('Raw Data'!$O$1)),ROWS($A$44:A81))),"")</f>
        <v/>
      </c>
      <c r="D81" s="36" t="str">
        <f>IFERROR(INDEX('Raw Data'!$R$2:$R$1038,_xlfn.AGGREGATE(15,3,('Raw Data'!$O$1:$O$1038=Invoice!$E$3)/('Raw Data'!$O$1:$O$1038=Invoice!$E$3)*(ROW('Raw Data'!$O$1:O1075)-ROW('Raw Data'!$O$1)),ROWS($A$44:B81))),"")</f>
        <v/>
      </c>
      <c r="E81" s="267" t="str">
        <f>IFERROR(INDEX('Raw Data'!$N$2:$N$1038,_xlfn.AGGREGATE(15,3,('Raw Data'!$O$1:$O$1038=Invoice!$E$3)/('Raw Data'!$O$1:$O$1038=Invoice!$E$3)*(ROW('Raw Data'!$O$1:O1075)-ROW('Raw Data'!$O$1)),ROWS($A$44:B81))),"")</f>
        <v/>
      </c>
      <c r="F81" s="267"/>
      <c r="G81" s="37" t="str">
        <f>IFERROR(_xlfn.SINGLE(INDEX('Raw Data'!#REF!,_xlfn.AGGREGATE(15,3,('Raw Data'!$O$1:$O$1038=Invoice!$E$3)/('Raw Data'!$O$1:$O$1038=Invoice!$E$3)*(ROW('Raw Data'!$O$1:O1075)-ROW('Raw Data'!$O$1)),ROWS($A$44:E81)))),"")</f>
        <v/>
      </c>
    </row>
    <row r="82" spans="2:7" ht="14.4">
      <c r="B82" s="31" t="str">
        <f>IFERROR(INDEX('Raw Data'!$P$2:$P$1038,_xlfn.AGGREGATE(15,3,('Raw Data'!$O$1:$O$1038=Invoice!$E$3)/('Raw Data'!$O$1:$O$1038=Invoice!$E$3)*(ROW('Raw Data'!$O$1:O1076)-ROW('Raw Data'!$O$1)),ROWS($A$44:A82))),"")</f>
        <v/>
      </c>
      <c r="C82" s="36" t="str">
        <f>IFERROR(INDEX('Raw Data'!$C$2:$C$1038,_xlfn.AGGREGATE(15,3,('Raw Data'!$O$1:$O$1038=Invoice!$E$3)/('Raw Data'!$O$1:$O$1038=Invoice!$E$3)*(ROW('Raw Data'!$O$1:O1076)-ROW('Raw Data'!$O$1)),ROWS($A$44:A82))),"")</f>
        <v/>
      </c>
      <c r="D82" s="36" t="str">
        <f>IFERROR(INDEX('Raw Data'!$R$2:$R$1038,_xlfn.AGGREGATE(15,3,('Raw Data'!$O$1:$O$1038=Invoice!$E$3)/('Raw Data'!$O$1:$O$1038=Invoice!$E$3)*(ROW('Raw Data'!$O$1:O1076)-ROW('Raw Data'!$O$1)),ROWS($A$44:B82))),"")</f>
        <v/>
      </c>
      <c r="E82" s="267" t="str">
        <f>IFERROR(INDEX('Raw Data'!$N$2:$N$1038,_xlfn.AGGREGATE(15,3,('Raw Data'!$O$1:$O$1038=Invoice!$E$3)/('Raw Data'!$O$1:$O$1038=Invoice!$E$3)*(ROW('Raw Data'!$O$1:O1076)-ROW('Raw Data'!$O$1)),ROWS($A$44:B82))),"")</f>
        <v/>
      </c>
      <c r="F82" s="267"/>
      <c r="G82" s="37" t="str">
        <f>IFERROR(_xlfn.SINGLE(INDEX('Raw Data'!#REF!,_xlfn.AGGREGATE(15,3,('Raw Data'!$O$1:$O$1038=Invoice!$E$3)/('Raw Data'!$O$1:$O$1038=Invoice!$E$3)*(ROW('Raw Data'!$O$1:O1076)-ROW('Raw Data'!$O$1)),ROWS($A$44:E82)))),"")</f>
        <v/>
      </c>
    </row>
    <row r="83" spans="2:7" ht="14.4">
      <c r="B83" s="31" t="str">
        <f>IFERROR(INDEX('Raw Data'!$P$2:$P$1038,_xlfn.AGGREGATE(15,3,('Raw Data'!$O$1:$O$1038=Invoice!$E$3)/('Raw Data'!$O$1:$O$1038=Invoice!$E$3)*(ROW('Raw Data'!$O$1:O1077)-ROW('Raw Data'!$O$1)),ROWS($A$44:A83))),"")</f>
        <v/>
      </c>
      <c r="C83" s="36" t="str">
        <f>IFERROR(INDEX('Raw Data'!$C$2:$C$1038,_xlfn.AGGREGATE(15,3,('Raw Data'!$O$1:$O$1038=Invoice!$E$3)/('Raw Data'!$O$1:$O$1038=Invoice!$E$3)*(ROW('Raw Data'!$O$1:O1077)-ROW('Raw Data'!$O$1)),ROWS($A$44:A83))),"")</f>
        <v/>
      </c>
      <c r="D83" s="36" t="str">
        <f>IFERROR(INDEX('Raw Data'!$R$2:$R$1038,_xlfn.AGGREGATE(15,3,('Raw Data'!$O$1:$O$1038=Invoice!$E$3)/('Raw Data'!$O$1:$O$1038=Invoice!$E$3)*(ROW('Raw Data'!$O$1:O1077)-ROW('Raw Data'!$O$1)),ROWS($A$44:B83))),"")</f>
        <v/>
      </c>
      <c r="E83" s="267" t="str">
        <f>IFERROR(INDEX('Raw Data'!$N$2:$N$1038,_xlfn.AGGREGATE(15,3,('Raw Data'!$O$1:$O$1038=Invoice!$E$3)/('Raw Data'!$O$1:$O$1038=Invoice!$E$3)*(ROW('Raw Data'!$O$1:O1077)-ROW('Raw Data'!$O$1)),ROWS($A$44:B83))),"")</f>
        <v/>
      </c>
      <c r="F83" s="267"/>
      <c r="G83" s="37" t="str">
        <f>IFERROR(_xlfn.SINGLE(INDEX('Raw Data'!#REF!,_xlfn.AGGREGATE(15,3,('Raw Data'!$O$1:$O$1038=Invoice!$E$3)/('Raw Data'!$O$1:$O$1038=Invoice!$E$3)*(ROW('Raw Data'!$O$1:O1077)-ROW('Raw Data'!$O$1)),ROWS($A$44:E83)))),"")</f>
        <v/>
      </c>
    </row>
    <row r="84" spans="2:7" ht="14.4">
      <c r="B84" s="31" t="str">
        <f>IFERROR(INDEX('Raw Data'!$P$2:$P$1038,_xlfn.AGGREGATE(15,3,('Raw Data'!$O$1:$O$1038=Invoice!$E$3)/('Raw Data'!$O$1:$O$1038=Invoice!$E$3)*(ROW('Raw Data'!$O$1:O1078)-ROW('Raw Data'!$O$1)),ROWS($A$44:A84))),"")</f>
        <v/>
      </c>
      <c r="C84" s="36" t="str">
        <f>IFERROR(INDEX('Raw Data'!$C$2:$C$1038,_xlfn.AGGREGATE(15,3,('Raw Data'!$O$1:$O$1038=Invoice!$E$3)/('Raw Data'!$O$1:$O$1038=Invoice!$E$3)*(ROW('Raw Data'!$O$1:O1078)-ROW('Raw Data'!$O$1)),ROWS($A$44:A84))),"")</f>
        <v/>
      </c>
      <c r="D84" s="36" t="str">
        <f>IFERROR(INDEX('Raw Data'!$R$2:$R$1038,_xlfn.AGGREGATE(15,3,('Raw Data'!$O$1:$O$1038=Invoice!$E$3)/('Raw Data'!$O$1:$O$1038=Invoice!$E$3)*(ROW('Raw Data'!$O$1:O1078)-ROW('Raw Data'!$O$1)),ROWS($A$44:B84))),"")</f>
        <v/>
      </c>
      <c r="E84" s="267" t="str">
        <f>IFERROR(INDEX('Raw Data'!$N$2:$N$1038,_xlfn.AGGREGATE(15,3,('Raw Data'!$O$1:$O$1038=Invoice!$E$3)/('Raw Data'!$O$1:$O$1038=Invoice!$E$3)*(ROW('Raw Data'!$O$1:O1078)-ROW('Raw Data'!$O$1)),ROWS($A$44:B84))),"")</f>
        <v/>
      </c>
      <c r="F84" s="267"/>
      <c r="G84" s="37" t="str">
        <f>IFERROR(_xlfn.SINGLE(INDEX('Raw Data'!#REF!,_xlfn.AGGREGATE(15,3,('Raw Data'!$O$1:$O$1038=Invoice!$E$3)/('Raw Data'!$O$1:$O$1038=Invoice!$E$3)*(ROW('Raw Data'!$O$1:O1078)-ROW('Raw Data'!$O$1)),ROWS($A$44:E84)))),"")</f>
        <v/>
      </c>
    </row>
    <row r="85" spans="2:7" ht="14.4">
      <c r="B85" s="31" t="str">
        <f>IFERROR(INDEX('Raw Data'!$P$2:$P$1038,_xlfn.AGGREGATE(15,3,('Raw Data'!$O$1:$O$1038=Invoice!$E$3)/('Raw Data'!$O$1:$O$1038=Invoice!$E$3)*(ROW('Raw Data'!$O$1:O1079)-ROW('Raw Data'!$O$1)),ROWS($A$44:A85))),"")</f>
        <v/>
      </c>
      <c r="C85" s="36" t="str">
        <f>IFERROR(INDEX('Raw Data'!$C$2:$C$1038,_xlfn.AGGREGATE(15,3,('Raw Data'!$O$1:$O$1038=Invoice!$E$3)/('Raw Data'!$O$1:$O$1038=Invoice!$E$3)*(ROW('Raw Data'!$O$1:O1079)-ROW('Raw Data'!$O$1)),ROWS($A$44:A85))),"")</f>
        <v/>
      </c>
      <c r="D85" s="36" t="str">
        <f>IFERROR(INDEX('Raw Data'!$R$2:$R$1038,_xlfn.AGGREGATE(15,3,('Raw Data'!$O$1:$O$1038=Invoice!$E$3)/('Raw Data'!$O$1:$O$1038=Invoice!$E$3)*(ROW('Raw Data'!$O$1:O1079)-ROW('Raw Data'!$O$1)),ROWS($A$44:B85))),"")</f>
        <v/>
      </c>
      <c r="E85" s="267" t="str">
        <f>IFERROR(INDEX('Raw Data'!$N$2:$N$1038,_xlfn.AGGREGATE(15,3,('Raw Data'!$O$1:$O$1038=Invoice!$E$3)/('Raw Data'!$O$1:$O$1038=Invoice!$E$3)*(ROW('Raw Data'!$O$1:O1079)-ROW('Raw Data'!$O$1)),ROWS($A$44:B85))),"")</f>
        <v/>
      </c>
      <c r="F85" s="267"/>
      <c r="G85" s="37" t="str">
        <f>IFERROR(_xlfn.SINGLE(INDEX('Raw Data'!#REF!,_xlfn.AGGREGATE(15,3,('Raw Data'!$O$1:$O$1038=Invoice!$E$3)/('Raw Data'!$O$1:$O$1038=Invoice!$E$3)*(ROW('Raw Data'!$O$1:O1079)-ROW('Raw Data'!$O$1)),ROWS($A$44:E85)))),"")</f>
        <v/>
      </c>
    </row>
    <row r="86" spans="2:7" ht="14.4">
      <c r="B86" s="31" t="str">
        <f>IFERROR(INDEX('Raw Data'!$P$2:$P$1038,_xlfn.AGGREGATE(15,3,('Raw Data'!$O$1:$O$1038=Invoice!$E$3)/('Raw Data'!$O$1:$O$1038=Invoice!$E$3)*(ROW('Raw Data'!$O$1:O1080)-ROW('Raw Data'!$O$1)),ROWS($A$44:A86))),"")</f>
        <v/>
      </c>
      <c r="C86" s="36" t="str">
        <f>IFERROR(INDEX('Raw Data'!$C$2:$C$1038,_xlfn.AGGREGATE(15,3,('Raw Data'!$O$1:$O$1038=Invoice!$E$3)/('Raw Data'!$O$1:$O$1038=Invoice!$E$3)*(ROW('Raw Data'!$O$1:O1080)-ROW('Raw Data'!$O$1)),ROWS($A$44:A86))),"")</f>
        <v/>
      </c>
      <c r="D86" s="36" t="str">
        <f>IFERROR(INDEX('Raw Data'!$R$2:$R$1038,_xlfn.AGGREGATE(15,3,('Raw Data'!$O$1:$O$1038=Invoice!$E$3)/('Raw Data'!$O$1:$O$1038=Invoice!$E$3)*(ROW('Raw Data'!$O$1:O1080)-ROW('Raw Data'!$O$1)),ROWS($A$44:B86))),"")</f>
        <v/>
      </c>
      <c r="E86" s="267" t="str">
        <f>IFERROR(INDEX('Raw Data'!$N$2:$N$1038,_xlfn.AGGREGATE(15,3,('Raw Data'!$O$1:$O$1038=Invoice!$E$3)/('Raw Data'!$O$1:$O$1038=Invoice!$E$3)*(ROW('Raw Data'!$O$1:O1080)-ROW('Raw Data'!$O$1)),ROWS($A$44:B86))),"")</f>
        <v/>
      </c>
      <c r="F86" s="267"/>
      <c r="G86" s="37" t="str">
        <f>IFERROR(_xlfn.SINGLE(INDEX('Raw Data'!#REF!,_xlfn.AGGREGATE(15,3,('Raw Data'!$O$1:$O$1038=Invoice!$E$3)/('Raw Data'!$O$1:$O$1038=Invoice!$E$3)*(ROW('Raw Data'!$O$1:O1080)-ROW('Raw Data'!$O$1)),ROWS($A$44:E86)))),"")</f>
        <v/>
      </c>
    </row>
    <row r="87" spans="2:7" ht="14.4">
      <c r="B87" s="31" t="str">
        <f>IFERROR(INDEX('Raw Data'!$P$2:$P$1038,_xlfn.AGGREGATE(15,3,('Raw Data'!$O$1:$O$1038=Invoice!$E$3)/('Raw Data'!$O$1:$O$1038=Invoice!$E$3)*(ROW('Raw Data'!$O$1:O1081)-ROW('Raw Data'!$O$1)),ROWS($A$44:A87))),"")</f>
        <v/>
      </c>
      <c r="C87" s="36" t="str">
        <f>IFERROR(INDEX('Raw Data'!$C$2:$C$1038,_xlfn.AGGREGATE(15,3,('Raw Data'!$O$1:$O$1038=Invoice!$E$3)/('Raw Data'!$O$1:$O$1038=Invoice!$E$3)*(ROW('Raw Data'!$O$1:O1081)-ROW('Raw Data'!$O$1)),ROWS($A$44:A87))),"")</f>
        <v/>
      </c>
      <c r="D87" s="36" t="str">
        <f>IFERROR(INDEX('Raw Data'!$R$2:$R$1038,_xlfn.AGGREGATE(15,3,('Raw Data'!$O$1:$O$1038=Invoice!$E$3)/('Raw Data'!$O$1:$O$1038=Invoice!$E$3)*(ROW('Raw Data'!$O$1:O1081)-ROW('Raw Data'!$O$1)),ROWS($A$44:B87))),"")</f>
        <v/>
      </c>
      <c r="E87" s="267" t="str">
        <f>IFERROR(INDEX('Raw Data'!$N$2:$N$1038,_xlfn.AGGREGATE(15,3,('Raw Data'!$O$1:$O$1038=Invoice!$E$3)/('Raw Data'!$O$1:$O$1038=Invoice!$E$3)*(ROW('Raw Data'!$O$1:O1081)-ROW('Raw Data'!$O$1)),ROWS($A$44:B87))),"")</f>
        <v/>
      </c>
      <c r="F87" s="267"/>
      <c r="G87" s="37" t="str">
        <f>IFERROR(_xlfn.SINGLE(INDEX('Raw Data'!#REF!,_xlfn.AGGREGATE(15,3,('Raw Data'!$O$1:$O$1038=Invoice!$E$3)/('Raw Data'!$O$1:$O$1038=Invoice!$E$3)*(ROW('Raw Data'!$O$1:O1081)-ROW('Raw Data'!$O$1)),ROWS($A$44:E87)))),"")</f>
        <v/>
      </c>
    </row>
    <row r="88" spans="2:7" ht="30" customHeight="1">
      <c r="B88" s="31" t="str">
        <f>IFERROR(INDEX('Raw Data'!$P$2:$P$1038,_xlfn.AGGREGATE(15,3,('Raw Data'!$O$1:$O$1038=Invoice!$E$3)/('Raw Data'!$O$1:$O$1038=Invoice!$E$3)*(ROW('Raw Data'!$O$1:O1082)-ROW('Raw Data'!$O$1)),ROWS($A$44:A88))),"")</f>
        <v/>
      </c>
      <c r="C88" s="36" t="str">
        <f>IFERROR(INDEX('Raw Data'!$C$2:$C$1038,_xlfn.AGGREGATE(15,3,('Raw Data'!$O$1:$O$1038=Invoice!$E$3)/('Raw Data'!$O$1:$O$1038=Invoice!$E$3)*(ROW('Raw Data'!$O$1:O1082)-ROW('Raw Data'!$O$1)),ROWS($A$44:A88))),"")</f>
        <v/>
      </c>
      <c r="D88" s="36" t="str">
        <f>IFERROR(INDEX('Raw Data'!$R$2:$R$1038,_xlfn.AGGREGATE(15,3,('Raw Data'!$O$1:$O$1038=Invoice!$E$3)/('Raw Data'!$O$1:$O$1038=Invoice!$E$3)*(ROW('Raw Data'!$O$1:O1082)-ROW('Raw Data'!$O$1)),ROWS($A$44:B88))),"")</f>
        <v/>
      </c>
      <c r="E88" s="267" t="str">
        <f>IFERROR(INDEX('Raw Data'!$N$2:$N$1038,_xlfn.AGGREGATE(15,3,('Raw Data'!$O$1:$O$1038=Invoice!$E$3)/('Raw Data'!$O$1:$O$1038=Invoice!$E$3)*(ROW('Raw Data'!$O$1:O1082)-ROW('Raw Data'!$O$1)),ROWS($A$44:B88))),"")</f>
        <v/>
      </c>
      <c r="F88" s="267"/>
      <c r="G88" s="37" t="str">
        <f>IFERROR(_xlfn.SINGLE(INDEX('Raw Data'!#REF!,_xlfn.AGGREGATE(15,3,('Raw Data'!$O$1:$O$1038=Invoice!$E$3)/('Raw Data'!$O$1:$O$1038=Invoice!$E$3)*(ROW('Raw Data'!$O$1:O1082)-ROW('Raw Data'!$O$1)),ROWS($A$44:E88)))),"")</f>
        <v/>
      </c>
    </row>
    <row r="89" spans="2:7" ht="30" customHeight="1">
      <c r="B89" s="31" t="str">
        <f>IFERROR(INDEX('Raw Data'!$P$2:$P$1038,_xlfn.AGGREGATE(15,3,('Raw Data'!$O$1:$O$1038=Invoice!$E$3)/('Raw Data'!$O$1:$O$1038=Invoice!$E$3)*(ROW('Raw Data'!$O$1:O1083)-ROW('Raw Data'!$O$1)),ROWS($A$44:A89))),"")</f>
        <v/>
      </c>
      <c r="C89" s="36" t="str">
        <f>IFERROR(INDEX('Raw Data'!$C$2:$C$1038,_xlfn.AGGREGATE(15,3,('Raw Data'!$O$1:$O$1038=Invoice!$E$3)/('Raw Data'!$O$1:$O$1038=Invoice!$E$3)*(ROW('Raw Data'!$O$1:O1083)-ROW('Raw Data'!$O$1)),ROWS($A$44:A89))),"")</f>
        <v/>
      </c>
      <c r="D89" s="36" t="str">
        <f>IFERROR(INDEX('Raw Data'!$R$2:$R$1038,_xlfn.AGGREGATE(15,3,('Raw Data'!$O$1:$O$1038=Invoice!$E$3)/('Raw Data'!$O$1:$O$1038=Invoice!$E$3)*(ROW('Raw Data'!$O$1:O1083)-ROW('Raw Data'!$O$1)),ROWS($A$44:B89))),"")</f>
        <v/>
      </c>
      <c r="E89" s="267" t="str">
        <f>IFERROR(INDEX('Raw Data'!$N$2:$N$1038,_xlfn.AGGREGATE(15,3,('Raw Data'!$O$1:$O$1038=Invoice!$E$3)/('Raw Data'!$O$1:$O$1038=Invoice!$E$3)*(ROW('Raw Data'!$O$1:O1083)-ROW('Raw Data'!$O$1)),ROWS($A$44:B89))),"")</f>
        <v/>
      </c>
      <c r="F89" s="267"/>
      <c r="G89" s="37" t="str">
        <f>IFERROR(_xlfn.SINGLE(INDEX('Raw Data'!#REF!,_xlfn.AGGREGATE(15,3,('Raw Data'!$O$1:$O$1038=Invoice!$E$3)/('Raw Data'!$O$1:$O$1038=Invoice!$E$3)*(ROW('Raw Data'!$O$1:O1083)-ROW('Raw Data'!$O$1)),ROWS($A$44:E89)))),"")</f>
        <v/>
      </c>
    </row>
    <row r="90" spans="2:7" ht="30" customHeight="1">
      <c r="B90" s="31" t="str">
        <f>IFERROR(INDEX('Raw Data'!$P$2:$P$1038,_xlfn.AGGREGATE(15,3,('Raw Data'!$O$1:$O$1038=Invoice!$E$3)/('Raw Data'!$O$1:$O$1038=Invoice!$E$3)*(ROW('Raw Data'!$O$1:O1084)-ROW('Raw Data'!$O$1)),ROWS($A$44:A90))),"")</f>
        <v/>
      </c>
      <c r="C90" s="36" t="str">
        <f>IFERROR(INDEX('Raw Data'!$C$2:$C$1038,_xlfn.AGGREGATE(15,3,('Raw Data'!$O$1:$O$1038=Invoice!$E$3)/('Raw Data'!$O$1:$O$1038=Invoice!$E$3)*(ROW('Raw Data'!$O$1:O1084)-ROW('Raw Data'!$O$1)),ROWS($A$44:A90))),"")</f>
        <v/>
      </c>
      <c r="D90" s="36" t="str">
        <f>IFERROR(INDEX('Raw Data'!$R$2:$R$1038,_xlfn.AGGREGATE(15,3,('Raw Data'!$O$1:$O$1038=Invoice!$E$3)/('Raw Data'!$O$1:$O$1038=Invoice!$E$3)*(ROW('Raw Data'!$O$1:O1084)-ROW('Raw Data'!$O$1)),ROWS($A$44:B90))),"")</f>
        <v/>
      </c>
      <c r="E90" s="267" t="str">
        <f>IFERROR(INDEX('Raw Data'!$N$2:$N$1038,_xlfn.AGGREGATE(15,3,('Raw Data'!$O$1:$O$1038=Invoice!$E$3)/('Raw Data'!$O$1:$O$1038=Invoice!$E$3)*(ROW('Raw Data'!$O$1:O1084)-ROW('Raw Data'!$O$1)),ROWS($A$44:B90))),"")</f>
        <v/>
      </c>
      <c r="F90" s="267"/>
      <c r="G90" s="37" t="str">
        <f>IFERROR(_xlfn.SINGLE(INDEX('Raw Data'!#REF!,_xlfn.AGGREGATE(15,3,('Raw Data'!$O$1:$O$1038=Invoice!$E$3)/('Raw Data'!$O$1:$O$1038=Invoice!$E$3)*(ROW('Raw Data'!$O$1:O1084)-ROW('Raw Data'!$O$1)),ROWS($A$44:E90)))),"")</f>
        <v/>
      </c>
    </row>
    <row r="91" spans="2:7" ht="30" customHeight="1">
      <c r="B91" s="31" t="str">
        <f>IFERROR(INDEX('Raw Data'!$P$2:$P$1038,_xlfn.AGGREGATE(15,3,('Raw Data'!$O$1:$O$1038=Invoice!$E$3)/('Raw Data'!$O$1:$O$1038=Invoice!$E$3)*(ROW('Raw Data'!$O$1:O1085)-ROW('Raw Data'!$O$1)),ROWS($A$44:A91))),"")</f>
        <v/>
      </c>
      <c r="C91" s="36" t="str">
        <f>IFERROR(INDEX('Raw Data'!$C$2:$C$1038,_xlfn.AGGREGATE(15,3,('Raw Data'!$O$1:$O$1038=Invoice!$E$3)/('Raw Data'!$O$1:$O$1038=Invoice!$E$3)*(ROW('Raw Data'!$O$1:O1085)-ROW('Raw Data'!$O$1)),ROWS($A$44:A91))),"")</f>
        <v/>
      </c>
      <c r="D91" s="36" t="str">
        <f>IFERROR(INDEX('Raw Data'!$R$2:$R$1038,_xlfn.AGGREGATE(15,3,('Raw Data'!$O$1:$O$1038=Invoice!$E$3)/('Raw Data'!$O$1:$O$1038=Invoice!$E$3)*(ROW('Raw Data'!$O$1:O1085)-ROW('Raw Data'!$O$1)),ROWS($A$44:B91))),"")</f>
        <v/>
      </c>
      <c r="E91" s="267" t="str">
        <f>IFERROR(INDEX('Raw Data'!$N$2:$N$1038,_xlfn.AGGREGATE(15,3,('Raw Data'!$O$1:$O$1038=Invoice!$E$3)/('Raw Data'!$O$1:$O$1038=Invoice!$E$3)*(ROW('Raw Data'!$O$1:O1085)-ROW('Raw Data'!$O$1)),ROWS($A$44:B91))),"")</f>
        <v/>
      </c>
      <c r="F91" s="267"/>
      <c r="G91" s="37" t="str">
        <f>IFERROR(_xlfn.SINGLE(INDEX('Raw Data'!#REF!,_xlfn.AGGREGATE(15,3,('Raw Data'!$O$1:$O$1038=Invoice!$E$3)/('Raw Data'!$O$1:$O$1038=Invoice!$E$3)*(ROW('Raw Data'!$O$1:O1085)-ROW('Raw Data'!$O$1)),ROWS($A$44:E91)))),"")</f>
        <v/>
      </c>
    </row>
    <row r="92" spans="2:7" ht="30" customHeight="1">
      <c r="B92" s="31" t="str">
        <f>IFERROR(INDEX('Raw Data'!$P$2:$P$1038,_xlfn.AGGREGATE(15,3,('Raw Data'!$O$1:$O$1038=Invoice!$E$3)/('Raw Data'!$O$1:$O$1038=Invoice!$E$3)*(ROW('Raw Data'!$O$1:O1086)-ROW('Raw Data'!$O$1)),ROWS($A$44:A92))),"")</f>
        <v/>
      </c>
      <c r="C92" s="36" t="str">
        <f>IFERROR(INDEX('Raw Data'!$C$2:$C$1038,_xlfn.AGGREGATE(15,3,('Raw Data'!$O$1:$O$1038=Invoice!$E$3)/('Raw Data'!$O$1:$O$1038=Invoice!$E$3)*(ROW('Raw Data'!$O$1:O1086)-ROW('Raw Data'!$O$1)),ROWS($A$44:A92))),"")</f>
        <v/>
      </c>
      <c r="D92" s="36" t="str">
        <f>IFERROR(INDEX('Raw Data'!$R$2:$R$1038,_xlfn.AGGREGATE(15,3,('Raw Data'!$O$1:$O$1038=Invoice!$E$3)/('Raw Data'!$O$1:$O$1038=Invoice!$E$3)*(ROW('Raw Data'!$O$1:O1086)-ROW('Raw Data'!$O$1)),ROWS($A$44:B92))),"")</f>
        <v/>
      </c>
      <c r="E92" s="267" t="str">
        <f>IFERROR(INDEX('Raw Data'!$N$2:$N$1038,_xlfn.AGGREGATE(15,3,('Raw Data'!$O$1:$O$1038=Invoice!$E$3)/('Raw Data'!$O$1:$O$1038=Invoice!$E$3)*(ROW('Raw Data'!$O$1:O1086)-ROW('Raw Data'!$O$1)),ROWS($A$44:B92))),"")</f>
        <v/>
      </c>
      <c r="F92" s="267"/>
      <c r="G92" s="37" t="str">
        <f>IFERROR(_xlfn.SINGLE(INDEX('Raw Data'!#REF!,_xlfn.AGGREGATE(15,3,('Raw Data'!$O$1:$O$1038=Invoice!$E$3)/('Raw Data'!$O$1:$O$1038=Invoice!$E$3)*(ROW('Raw Data'!$O$1:O1086)-ROW('Raw Data'!$O$1)),ROWS($A$44:E92)))),"")</f>
        <v/>
      </c>
    </row>
    <row r="93" spans="2:7" ht="30" customHeight="1">
      <c r="B93" s="31" t="str">
        <f>IFERROR(INDEX('Raw Data'!$P$2:$P$1038,_xlfn.AGGREGATE(15,3,('Raw Data'!$O$1:$O$1038=Invoice!$E$3)/('Raw Data'!$O$1:$O$1038=Invoice!$E$3)*(ROW('Raw Data'!$O$1:O1087)-ROW('Raw Data'!$O$1)),ROWS($A$44:A93))),"")</f>
        <v/>
      </c>
      <c r="C93" s="36" t="str">
        <f>IFERROR(INDEX('Raw Data'!$C$2:$C$1038,_xlfn.AGGREGATE(15,3,('Raw Data'!$O$1:$O$1038=Invoice!$E$3)/('Raw Data'!$O$1:$O$1038=Invoice!$E$3)*(ROW('Raw Data'!$O$1:O1087)-ROW('Raw Data'!$O$1)),ROWS($A$44:A93))),"")</f>
        <v/>
      </c>
      <c r="D93" s="36" t="str">
        <f>IFERROR(INDEX('Raw Data'!$R$2:$R$1038,_xlfn.AGGREGATE(15,3,('Raw Data'!$O$1:$O$1038=Invoice!$E$3)/('Raw Data'!$O$1:$O$1038=Invoice!$E$3)*(ROW('Raw Data'!$O$1:O1087)-ROW('Raw Data'!$O$1)),ROWS($A$44:B93))),"")</f>
        <v/>
      </c>
      <c r="E93" s="267" t="str">
        <f>IFERROR(INDEX('Raw Data'!$N$2:$N$1038,_xlfn.AGGREGATE(15,3,('Raw Data'!$O$1:$O$1038=Invoice!$E$3)/('Raw Data'!$O$1:$O$1038=Invoice!$E$3)*(ROW('Raw Data'!$O$1:O1087)-ROW('Raw Data'!$O$1)),ROWS($A$44:B93))),"")</f>
        <v/>
      </c>
      <c r="F93" s="267"/>
      <c r="G93" s="37" t="str">
        <f>IFERROR(_xlfn.SINGLE(INDEX('Raw Data'!#REF!,_xlfn.AGGREGATE(15,3,('Raw Data'!$O$1:$O$1038=Invoice!$E$3)/('Raw Data'!$O$1:$O$1038=Invoice!$E$3)*(ROW('Raw Data'!$O$1:O1087)-ROW('Raw Data'!$O$1)),ROWS($A$44:E93)))),"")</f>
        <v/>
      </c>
    </row>
    <row r="94" spans="2:7" ht="30" customHeight="1">
      <c r="B94" s="31" t="str">
        <f>IFERROR(INDEX('Raw Data'!$P$2:$P$1038,_xlfn.AGGREGATE(15,3,('Raw Data'!$O$1:$O$1038=Invoice!$E$3)/('Raw Data'!$O$1:$O$1038=Invoice!$E$3)*(ROW('Raw Data'!$O$1:O1088)-ROW('Raw Data'!$O$1)),ROWS($A$44:A94))),"")</f>
        <v/>
      </c>
      <c r="C94" s="36" t="str">
        <f>IFERROR(INDEX('Raw Data'!$C$2:$C$1038,_xlfn.AGGREGATE(15,3,('Raw Data'!$O$1:$O$1038=Invoice!$E$3)/('Raw Data'!$O$1:$O$1038=Invoice!$E$3)*(ROW('Raw Data'!$O$1:O1088)-ROW('Raw Data'!$O$1)),ROWS($A$44:A94))),"")</f>
        <v/>
      </c>
      <c r="D94" s="36" t="str">
        <f>IFERROR(INDEX('Raw Data'!$R$2:$R$1038,_xlfn.AGGREGATE(15,3,('Raw Data'!$O$1:$O$1038=Invoice!$E$3)/('Raw Data'!$O$1:$O$1038=Invoice!$E$3)*(ROW('Raw Data'!$O$1:O1088)-ROW('Raw Data'!$O$1)),ROWS($A$44:B94))),"")</f>
        <v/>
      </c>
      <c r="E94" s="267" t="str">
        <f>IFERROR(INDEX('Raw Data'!$N$2:$N$1038,_xlfn.AGGREGATE(15,3,('Raw Data'!$O$1:$O$1038=Invoice!$E$3)/('Raw Data'!$O$1:$O$1038=Invoice!$E$3)*(ROW('Raw Data'!$O$1:O1088)-ROW('Raw Data'!$O$1)),ROWS($A$44:B94))),"")</f>
        <v/>
      </c>
      <c r="F94" s="267"/>
      <c r="G94" s="37" t="str">
        <f>IFERROR(_xlfn.SINGLE(INDEX('Raw Data'!#REF!,_xlfn.AGGREGATE(15,3,('Raw Data'!$O$1:$O$1038=Invoice!$E$3)/('Raw Data'!$O$1:$O$1038=Invoice!$E$3)*(ROW('Raw Data'!$O$1:O1088)-ROW('Raw Data'!$O$1)),ROWS($A$44:E94)))),"")</f>
        <v/>
      </c>
    </row>
    <row r="95" spans="2:7" ht="30" customHeight="1">
      <c r="B95" s="31" t="str">
        <f>IFERROR(INDEX('Raw Data'!$P$2:$P$1038,_xlfn.AGGREGATE(15,3,('Raw Data'!$O$1:$O$1038=Invoice!$E$3)/('Raw Data'!$O$1:$O$1038=Invoice!$E$3)*(ROW('Raw Data'!$O$1:O1089)-ROW('Raw Data'!$O$1)),ROWS($A$44:A95))),"")</f>
        <v/>
      </c>
      <c r="C95" s="36" t="str">
        <f>IFERROR(INDEX('Raw Data'!$C$2:$C$1038,_xlfn.AGGREGATE(15,3,('Raw Data'!$O$1:$O$1038=Invoice!$E$3)/('Raw Data'!$O$1:$O$1038=Invoice!$E$3)*(ROW('Raw Data'!$O$1:O1089)-ROW('Raw Data'!$O$1)),ROWS($A$44:A95))),"")</f>
        <v/>
      </c>
      <c r="D95" s="36" t="str">
        <f>IFERROR(INDEX('Raw Data'!$R$2:$R$1038,_xlfn.AGGREGATE(15,3,('Raw Data'!$O$1:$O$1038=Invoice!$E$3)/('Raw Data'!$O$1:$O$1038=Invoice!$E$3)*(ROW('Raw Data'!$O$1:O1089)-ROW('Raw Data'!$O$1)),ROWS($A$44:B95))),"")</f>
        <v/>
      </c>
      <c r="E95" s="267" t="str">
        <f>IFERROR(INDEX('Raw Data'!$N$2:$N$1038,_xlfn.AGGREGATE(15,3,('Raw Data'!$O$1:$O$1038=Invoice!$E$3)/('Raw Data'!$O$1:$O$1038=Invoice!$E$3)*(ROW('Raw Data'!$O$1:O1089)-ROW('Raw Data'!$O$1)),ROWS($A$44:B95))),"")</f>
        <v/>
      </c>
      <c r="F95" s="267"/>
      <c r="G95" s="37" t="str">
        <f>IFERROR(_xlfn.SINGLE(INDEX('Raw Data'!#REF!,_xlfn.AGGREGATE(15,3,('Raw Data'!$O$1:$O$1038=Invoice!$E$3)/('Raw Data'!$O$1:$O$1038=Invoice!$E$3)*(ROW('Raw Data'!$O$1:O1089)-ROW('Raw Data'!$O$1)),ROWS($A$44:E95)))),"")</f>
        <v/>
      </c>
    </row>
    <row r="96" spans="2:7" ht="30" customHeight="1">
      <c r="B96" s="31" t="str">
        <f>IFERROR(INDEX('Raw Data'!$P$2:$P$1038,_xlfn.AGGREGATE(15,3,('Raw Data'!$O$1:$O$1038=Invoice!$E$3)/('Raw Data'!$O$1:$O$1038=Invoice!$E$3)*(ROW('Raw Data'!$O$1:O1090)-ROW('Raw Data'!$O$1)),ROWS($A$44:A96))),"")</f>
        <v/>
      </c>
      <c r="C96" s="36" t="str">
        <f>IFERROR(INDEX('Raw Data'!$C$2:$C$1038,_xlfn.AGGREGATE(15,3,('Raw Data'!$O$1:$O$1038=Invoice!$E$3)/('Raw Data'!$O$1:$O$1038=Invoice!$E$3)*(ROW('Raw Data'!$O$1:O1090)-ROW('Raw Data'!$O$1)),ROWS($A$44:A96))),"")</f>
        <v/>
      </c>
      <c r="D96" s="36" t="str">
        <f>IFERROR(INDEX('Raw Data'!$R$2:$R$1038,_xlfn.AGGREGATE(15,3,('Raw Data'!$O$1:$O$1038=Invoice!$E$3)/('Raw Data'!$O$1:$O$1038=Invoice!$E$3)*(ROW('Raw Data'!$O$1:O1090)-ROW('Raw Data'!$O$1)),ROWS($A$44:B96))),"")</f>
        <v/>
      </c>
      <c r="E96" s="267" t="str">
        <f>IFERROR(INDEX('Raw Data'!$N$2:$N$1038,_xlfn.AGGREGATE(15,3,('Raw Data'!$O$1:$O$1038=Invoice!$E$3)/('Raw Data'!$O$1:$O$1038=Invoice!$E$3)*(ROW('Raw Data'!$O$1:O1090)-ROW('Raw Data'!$O$1)),ROWS($A$44:B96))),"")</f>
        <v/>
      </c>
      <c r="F96" s="267"/>
      <c r="G96" s="37" t="str">
        <f>IFERROR(_xlfn.SINGLE(INDEX('Raw Data'!#REF!,_xlfn.AGGREGATE(15,3,('Raw Data'!$O$1:$O$1038=Invoice!$E$3)/('Raw Data'!$O$1:$O$1038=Invoice!$E$3)*(ROW('Raw Data'!$O$1:O1090)-ROW('Raw Data'!$O$1)),ROWS($A$44:E96)))),"")</f>
        <v/>
      </c>
    </row>
    <row r="97" spans="2:7" ht="30" customHeight="1">
      <c r="B97" s="31" t="str">
        <f>IFERROR(INDEX('Raw Data'!$P$2:$P$1038,_xlfn.AGGREGATE(15,3,('Raw Data'!$O$1:$O$1038=Invoice!$E$3)/('Raw Data'!$O$1:$O$1038=Invoice!$E$3)*(ROW('Raw Data'!$O$1:O1091)-ROW('Raw Data'!$O$1)),ROWS($A$44:A97))),"")</f>
        <v/>
      </c>
      <c r="C97" s="36" t="str">
        <f>IFERROR(INDEX('Raw Data'!$C$2:$C$1038,_xlfn.AGGREGATE(15,3,('Raw Data'!$O$1:$O$1038=Invoice!$E$3)/('Raw Data'!$O$1:$O$1038=Invoice!$E$3)*(ROW('Raw Data'!$O$1:O1091)-ROW('Raw Data'!$O$1)),ROWS($A$44:A97))),"")</f>
        <v/>
      </c>
      <c r="D97" s="36" t="str">
        <f>IFERROR(INDEX('Raw Data'!$R$2:$R$1038,_xlfn.AGGREGATE(15,3,('Raw Data'!$O$1:$O$1038=Invoice!$E$3)/('Raw Data'!$O$1:$O$1038=Invoice!$E$3)*(ROW('Raw Data'!$O$1:O1091)-ROW('Raw Data'!$O$1)),ROWS($A$44:B97))),"")</f>
        <v/>
      </c>
      <c r="E97" s="267" t="str">
        <f>IFERROR(INDEX('Raw Data'!$N$2:$N$1038,_xlfn.AGGREGATE(15,3,('Raw Data'!$O$1:$O$1038=Invoice!$E$3)/('Raw Data'!$O$1:$O$1038=Invoice!$E$3)*(ROW('Raw Data'!$O$1:O1091)-ROW('Raw Data'!$O$1)),ROWS($A$44:B97))),"")</f>
        <v/>
      </c>
      <c r="F97" s="267"/>
      <c r="G97" s="37" t="str">
        <f>IFERROR(_xlfn.SINGLE(INDEX('Raw Data'!#REF!,_xlfn.AGGREGATE(15,3,('Raw Data'!$O$1:$O$1038=Invoice!$E$3)/('Raw Data'!$O$1:$O$1038=Invoice!$E$3)*(ROW('Raw Data'!$O$1:O1091)-ROW('Raw Data'!$O$1)),ROWS($A$44:E97)))),"")</f>
        <v/>
      </c>
    </row>
    <row r="98" spans="2:7" ht="30" customHeight="1">
      <c r="B98" s="31" t="str">
        <f>IFERROR(INDEX('Raw Data'!$P$2:$P$1038,_xlfn.AGGREGATE(15,3,('Raw Data'!$O$1:$O$1038=Invoice!$E$3)/('Raw Data'!$O$1:$O$1038=Invoice!$E$3)*(ROW('Raw Data'!$O$1:O1092)-ROW('Raw Data'!$O$1)),ROWS($A$44:A98))),"")</f>
        <v/>
      </c>
      <c r="C98" s="36" t="str">
        <f>IFERROR(INDEX('Raw Data'!$C$2:$C$1038,_xlfn.AGGREGATE(15,3,('Raw Data'!$O$1:$O$1038=Invoice!$E$3)/('Raw Data'!$O$1:$O$1038=Invoice!$E$3)*(ROW('Raw Data'!$O$1:O1092)-ROW('Raw Data'!$O$1)),ROWS($A$44:A98))),"")</f>
        <v/>
      </c>
      <c r="D98" s="36" t="str">
        <f>IFERROR(INDEX('Raw Data'!$R$2:$R$1038,_xlfn.AGGREGATE(15,3,('Raw Data'!$O$1:$O$1038=Invoice!$E$3)/('Raw Data'!$O$1:$O$1038=Invoice!$E$3)*(ROW('Raw Data'!$O$1:O1092)-ROW('Raw Data'!$O$1)),ROWS($A$44:B98))),"")</f>
        <v/>
      </c>
      <c r="E98" s="267" t="str">
        <f>IFERROR(INDEX('Raw Data'!$N$2:$N$1038,_xlfn.AGGREGATE(15,3,('Raw Data'!$O$1:$O$1038=Invoice!$E$3)/('Raw Data'!$O$1:$O$1038=Invoice!$E$3)*(ROW('Raw Data'!$O$1:O1092)-ROW('Raw Data'!$O$1)),ROWS($A$44:B98))),"")</f>
        <v/>
      </c>
      <c r="F98" s="267"/>
      <c r="G98" s="37" t="str">
        <f>IFERROR(_xlfn.SINGLE(INDEX('Raw Data'!#REF!,_xlfn.AGGREGATE(15,3,('Raw Data'!$O$1:$O$1038=Invoice!$E$3)/('Raw Data'!$O$1:$O$1038=Invoice!$E$3)*(ROW('Raw Data'!$O$1:O1092)-ROW('Raw Data'!$O$1)),ROWS($A$44:E98)))),"")</f>
        <v/>
      </c>
    </row>
    <row r="99" spans="2:7" ht="30" customHeight="1">
      <c r="B99" s="31" t="str">
        <f>IFERROR(INDEX('Raw Data'!$P$2:$P$1038,_xlfn.AGGREGATE(15,3,('Raw Data'!$O$1:$O$1038=Invoice!$E$3)/('Raw Data'!$O$1:$O$1038=Invoice!$E$3)*(ROW('Raw Data'!$O$1:O1093)-ROW('Raw Data'!$O$1)),ROWS($A$44:A99))),"")</f>
        <v/>
      </c>
      <c r="C99" s="36" t="str">
        <f>IFERROR(INDEX('Raw Data'!$C$2:$C$1038,_xlfn.AGGREGATE(15,3,('Raw Data'!$O$1:$O$1038=Invoice!$E$3)/('Raw Data'!$O$1:$O$1038=Invoice!$E$3)*(ROW('Raw Data'!$O$1:O1093)-ROW('Raw Data'!$O$1)),ROWS($A$44:A99))),"")</f>
        <v/>
      </c>
      <c r="D99" s="36" t="str">
        <f>IFERROR(INDEX('Raw Data'!$R$2:$R$1038,_xlfn.AGGREGATE(15,3,('Raw Data'!$O$1:$O$1038=Invoice!$E$3)/('Raw Data'!$O$1:$O$1038=Invoice!$E$3)*(ROW('Raw Data'!$O$1:O1093)-ROW('Raw Data'!$O$1)),ROWS($A$44:B99))),"")</f>
        <v/>
      </c>
      <c r="E99" s="267" t="str">
        <f>IFERROR(INDEX('Raw Data'!$N$2:$N$1038,_xlfn.AGGREGATE(15,3,('Raw Data'!$O$1:$O$1038=Invoice!$E$3)/('Raw Data'!$O$1:$O$1038=Invoice!$E$3)*(ROW('Raw Data'!$O$1:O1093)-ROW('Raw Data'!$O$1)),ROWS($A$44:B99))),"")</f>
        <v/>
      </c>
      <c r="F99" s="267"/>
      <c r="G99" s="37" t="str">
        <f>IFERROR(_xlfn.SINGLE(INDEX('Raw Data'!#REF!,_xlfn.AGGREGATE(15,3,('Raw Data'!$O$1:$O$1038=Invoice!$E$3)/('Raw Data'!$O$1:$O$1038=Invoice!$E$3)*(ROW('Raw Data'!$O$1:O1093)-ROW('Raw Data'!$O$1)),ROWS($A$44:E99)))),"")</f>
        <v/>
      </c>
    </row>
    <row r="100" spans="2:7" ht="30" customHeight="1">
      <c r="B100" s="31" t="str">
        <f>IFERROR(INDEX('Raw Data'!$P$2:$P$1038,_xlfn.AGGREGATE(15,3,('Raw Data'!$O$1:$O$1038=Invoice!$E$3)/('Raw Data'!$O$1:$O$1038=Invoice!$E$3)*(ROW('Raw Data'!$O$1:O1094)-ROW('Raw Data'!$O$1)),ROWS($A$44:A100))),"")</f>
        <v/>
      </c>
      <c r="C100" s="36" t="str">
        <f>IFERROR(INDEX('Raw Data'!$C$2:$C$1038,_xlfn.AGGREGATE(15,3,('Raw Data'!$O$1:$O$1038=Invoice!$E$3)/('Raw Data'!$O$1:$O$1038=Invoice!$E$3)*(ROW('Raw Data'!$O$1:O1094)-ROW('Raw Data'!$O$1)),ROWS($A$44:A100))),"")</f>
        <v/>
      </c>
      <c r="D100" s="36" t="str">
        <f>IFERROR(INDEX('Raw Data'!$R$2:$R$1038,_xlfn.AGGREGATE(15,3,('Raw Data'!$O$1:$O$1038=Invoice!$E$3)/('Raw Data'!$O$1:$O$1038=Invoice!$E$3)*(ROW('Raw Data'!$O$1:O1094)-ROW('Raw Data'!$O$1)),ROWS($A$44:B100))),"")</f>
        <v/>
      </c>
      <c r="E100" s="267" t="str">
        <f>IFERROR(INDEX('Raw Data'!$N$2:$N$1038,_xlfn.AGGREGATE(15,3,('Raw Data'!$O$1:$O$1038=Invoice!$E$3)/('Raw Data'!$O$1:$O$1038=Invoice!$E$3)*(ROW('Raw Data'!$O$1:O1094)-ROW('Raw Data'!$O$1)),ROWS($A$44:B100))),"")</f>
        <v/>
      </c>
      <c r="F100" s="267"/>
      <c r="G100" s="37" t="str">
        <f>IFERROR(_xlfn.SINGLE(INDEX('Raw Data'!#REF!,_xlfn.AGGREGATE(15,3,('Raw Data'!$O$1:$O$1038=Invoice!$E$3)/('Raw Data'!$O$1:$O$1038=Invoice!$E$3)*(ROW('Raw Data'!$O$1:O1094)-ROW('Raw Data'!$O$1)),ROWS($A$44:E100)))),"")</f>
        <v/>
      </c>
    </row>
    <row r="101" spans="2:7" ht="30" customHeight="1">
      <c r="B101" s="31" t="str">
        <f>IFERROR(INDEX('Raw Data'!$P$2:$P$1038,_xlfn.AGGREGATE(15,3,('Raw Data'!$O$1:$O$1038=Invoice!$E$3)/('Raw Data'!$O$1:$O$1038=Invoice!$E$3)*(ROW('Raw Data'!$O$1:O1095)-ROW('Raw Data'!$O$1)),ROWS($A$44:A101))),"")</f>
        <v/>
      </c>
      <c r="C101" s="36" t="str">
        <f>IFERROR(INDEX('Raw Data'!$C$2:$C$1038,_xlfn.AGGREGATE(15,3,('Raw Data'!$O$1:$O$1038=Invoice!$E$3)/('Raw Data'!$O$1:$O$1038=Invoice!$E$3)*(ROW('Raw Data'!$O$1:O1095)-ROW('Raw Data'!$O$1)),ROWS($A$44:A101))),"")</f>
        <v/>
      </c>
      <c r="D101" s="36" t="str">
        <f>IFERROR(INDEX('Raw Data'!$R$2:$R$1038,_xlfn.AGGREGATE(15,3,('Raw Data'!$O$1:$O$1038=Invoice!$E$3)/('Raw Data'!$O$1:$O$1038=Invoice!$E$3)*(ROW('Raw Data'!$O$1:O1095)-ROW('Raw Data'!$O$1)),ROWS($A$44:B101))),"")</f>
        <v/>
      </c>
      <c r="E101" s="267" t="str">
        <f>IFERROR(INDEX('Raw Data'!$N$2:$N$1038,_xlfn.AGGREGATE(15,3,('Raw Data'!$O$1:$O$1038=Invoice!$E$3)/('Raw Data'!$O$1:$O$1038=Invoice!$E$3)*(ROW('Raw Data'!$O$1:O1095)-ROW('Raw Data'!$O$1)),ROWS($A$44:B101))),"")</f>
        <v/>
      </c>
      <c r="F101" s="267"/>
      <c r="G101" s="37" t="str">
        <f>IFERROR(_xlfn.SINGLE(INDEX('Raw Data'!#REF!,_xlfn.AGGREGATE(15,3,('Raw Data'!$O$1:$O$1038=Invoice!$E$3)/('Raw Data'!$O$1:$O$1038=Invoice!$E$3)*(ROW('Raw Data'!$O$1:O1095)-ROW('Raw Data'!$O$1)),ROWS($A$44:E101)))),"")</f>
        <v/>
      </c>
    </row>
    <row r="102" spans="2:7" ht="30" customHeight="1">
      <c r="B102" s="31" t="str">
        <f>IFERROR(INDEX('Raw Data'!$P$2:$P$1038,_xlfn.AGGREGATE(15,3,('Raw Data'!$O$1:$O$1038=Invoice!$E$3)/('Raw Data'!$O$1:$O$1038=Invoice!$E$3)*(ROW('Raw Data'!$O$1:O1096)-ROW('Raw Data'!$O$1)),ROWS($A$44:A102))),"")</f>
        <v/>
      </c>
      <c r="C102" s="36" t="str">
        <f>IFERROR(INDEX('Raw Data'!$C$2:$C$1038,_xlfn.AGGREGATE(15,3,('Raw Data'!$O$1:$O$1038=Invoice!$E$3)/('Raw Data'!$O$1:$O$1038=Invoice!$E$3)*(ROW('Raw Data'!$O$1:O1096)-ROW('Raw Data'!$O$1)),ROWS($A$44:A102))),"")</f>
        <v/>
      </c>
      <c r="D102" s="36" t="str">
        <f>IFERROR(INDEX('Raw Data'!$R$2:$R$1038,_xlfn.AGGREGATE(15,3,('Raw Data'!$O$1:$O$1038=Invoice!$E$3)/('Raw Data'!$O$1:$O$1038=Invoice!$E$3)*(ROW('Raw Data'!$O$1:O1096)-ROW('Raw Data'!$O$1)),ROWS($A$44:B102))),"")</f>
        <v/>
      </c>
      <c r="E102" s="267" t="str">
        <f>IFERROR(INDEX('Raw Data'!$N$2:$N$1038,_xlfn.AGGREGATE(15,3,('Raw Data'!$O$1:$O$1038=Invoice!$E$3)/('Raw Data'!$O$1:$O$1038=Invoice!$E$3)*(ROW('Raw Data'!$O$1:O1096)-ROW('Raw Data'!$O$1)),ROWS($A$44:B102))),"")</f>
        <v/>
      </c>
      <c r="F102" s="267"/>
      <c r="G102" s="37" t="str">
        <f>IFERROR(_xlfn.SINGLE(INDEX('Raw Data'!#REF!,_xlfn.AGGREGATE(15,3,('Raw Data'!$O$1:$O$1038=Invoice!$E$3)/('Raw Data'!$O$1:$O$1038=Invoice!$E$3)*(ROW('Raw Data'!$O$1:O1096)-ROW('Raw Data'!$O$1)),ROWS($A$44:E102)))),"")</f>
        <v/>
      </c>
    </row>
    <row r="103" spans="2:7" ht="30" customHeight="1">
      <c r="B103" s="31" t="str">
        <f>IFERROR(INDEX('Raw Data'!$P$2:$P$1038,_xlfn.AGGREGATE(15,3,('Raw Data'!$O$1:$O$1038=Invoice!$E$3)/('Raw Data'!$O$1:$O$1038=Invoice!$E$3)*(ROW('Raw Data'!$O$1:O1097)-ROW('Raw Data'!$O$1)),ROWS($A$44:A103))),"")</f>
        <v/>
      </c>
      <c r="C103" s="36" t="str">
        <f>IFERROR(INDEX('Raw Data'!$C$2:$C$1038,_xlfn.AGGREGATE(15,3,('Raw Data'!$O$1:$O$1038=Invoice!$E$3)/('Raw Data'!$O$1:$O$1038=Invoice!$E$3)*(ROW('Raw Data'!$O$1:O1097)-ROW('Raw Data'!$O$1)),ROWS($A$44:A103))),"")</f>
        <v/>
      </c>
      <c r="D103" s="36" t="str">
        <f>IFERROR(INDEX('Raw Data'!$R$2:$R$1038,_xlfn.AGGREGATE(15,3,('Raw Data'!$O$1:$O$1038=Invoice!$E$3)/('Raw Data'!$O$1:$O$1038=Invoice!$E$3)*(ROW('Raw Data'!$O$1:O1097)-ROW('Raw Data'!$O$1)),ROWS($A$44:B103))),"")</f>
        <v/>
      </c>
      <c r="E103" s="267" t="str">
        <f>IFERROR(INDEX('Raw Data'!$N$2:$N$1038,_xlfn.AGGREGATE(15,3,('Raw Data'!$O$1:$O$1038=Invoice!$E$3)/('Raw Data'!$O$1:$O$1038=Invoice!$E$3)*(ROW('Raw Data'!$O$1:O1097)-ROW('Raw Data'!$O$1)),ROWS($A$44:B103))),"")</f>
        <v/>
      </c>
      <c r="F103" s="267"/>
      <c r="G103" s="37" t="str">
        <f>IFERROR(_xlfn.SINGLE(INDEX('Raw Data'!#REF!,_xlfn.AGGREGATE(15,3,('Raw Data'!$O$1:$O$1038=Invoice!$E$3)/('Raw Data'!$O$1:$O$1038=Invoice!$E$3)*(ROW('Raw Data'!$O$1:O1097)-ROW('Raw Data'!$O$1)),ROWS($A$44:E103)))),"")</f>
        <v/>
      </c>
    </row>
    <row r="104" spans="2:7" ht="30" customHeight="1">
      <c r="B104" s="31" t="str">
        <f>IFERROR(INDEX('Raw Data'!$P$2:$P$1038,_xlfn.AGGREGATE(15,3,('Raw Data'!$O$1:$O$1038=Invoice!$E$3)/('Raw Data'!$O$1:$O$1038=Invoice!$E$3)*(ROW('Raw Data'!$O$1:O1098)-ROW('Raw Data'!$O$1)),ROWS($A$44:A104))),"")</f>
        <v/>
      </c>
      <c r="C104" s="36" t="str">
        <f>IFERROR(INDEX('Raw Data'!$C$2:$C$1038,_xlfn.AGGREGATE(15,3,('Raw Data'!$O$1:$O$1038=Invoice!$E$3)/('Raw Data'!$O$1:$O$1038=Invoice!$E$3)*(ROW('Raw Data'!$O$1:O1098)-ROW('Raw Data'!$O$1)),ROWS($A$44:A104))),"")</f>
        <v/>
      </c>
      <c r="D104" s="36" t="str">
        <f>IFERROR(INDEX('Raw Data'!$R$2:$R$1038,_xlfn.AGGREGATE(15,3,('Raw Data'!$O$1:$O$1038=Invoice!$E$3)/('Raw Data'!$O$1:$O$1038=Invoice!$E$3)*(ROW('Raw Data'!$O$1:O1098)-ROW('Raw Data'!$O$1)),ROWS($A$44:B104))),"")</f>
        <v/>
      </c>
      <c r="E104" s="267" t="str">
        <f>IFERROR(INDEX('Raw Data'!$N$2:$N$1038,_xlfn.AGGREGATE(15,3,('Raw Data'!$O$1:$O$1038=Invoice!$E$3)/('Raw Data'!$O$1:$O$1038=Invoice!$E$3)*(ROW('Raw Data'!$O$1:O1098)-ROW('Raw Data'!$O$1)),ROWS($A$44:B104))),"")</f>
        <v/>
      </c>
      <c r="F104" s="267"/>
      <c r="G104" s="37" t="str">
        <f>IFERROR(_xlfn.SINGLE(INDEX('Raw Data'!#REF!,_xlfn.AGGREGATE(15,3,('Raw Data'!$O$1:$O$1038=Invoice!$E$3)/('Raw Data'!$O$1:$O$1038=Invoice!$E$3)*(ROW('Raw Data'!$O$1:O1098)-ROW('Raw Data'!$O$1)),ROWS($A$44:E104)))),"")</f>
        <v/>
      </c>
    </row>
    <row r="105" spans="2:7" ht="30" customHeight="1">
      <c r="B105" s="31" t="str">
        <f>IFERROR(INDEX('Raw Data'!$P$2:$P$1038,_xlfn.AGGREGATE(15,3,('Raw Data'!$O$1:$O$1038=Invoice!$E$3)/('Raw Data'!$O$1:$O$1038=Invoice!$E$3)*(ROW('Raw Data'!$O$1:O1099)-ROW('Raw Data'!$O$1)),ROWS($A$44:A105))),"")</f>
        <v/>
      </c>
      <c r="C105" s="36" t="str">
        <f>IFERROR(INDEX('Raw Data'!$C$2:$C$1038,_xlfn.AGGREGATE(15,3,('Raw Data'!$O$1:$O$1038=Invoice!$E$3)/('Raw Data'!$O$1:$O$1038=Invoice!$E$3)*(ROW('Raw Data'!$O$1:O1099)-ROW('Raw Data'!$O$1)),ROWS($A$44:A105))),"")</f>
        <v/>
      </c>
      <c r="D105" s="36" t="str">
        <f>IFERROR(INDEX('Raw Data'!$R$2:$R$1038,_xlfn.AGGREGATE(15,3,('Raw Data'!$O$1:$O$1038=Invoice!$E$3)/('Raw Data'!$O$1:$O$1038=Invoice!$E$3)*(ROW('Raw Data'!$O$1:O1099)-ROW('Raw Data'!$O$1)),ROWS($A$44:B105))),"")</f>
        <v/>
      </c>
      <c r="E105" s="267" t="str">
        <f>IFERROR(INDEX('Raw Data'!$N$2:$N$1038,_xlfn.AGGREGATE(15,3,('Raw Data'!$O$1:$O$1038=Invoice!$E$3)/('Raw Data'!$O$1:$O$1038=Invoice!$E$3)*(ROW('Raw Data'!$O$1:O1099)-ROW('Raw Data'!$O$1)),ROWS($A$44:B105))),"")</f>
        <v/>
      </c>
      <c r="F105" s="267"/>
      <c r="G105" s="37" t="str">
        <f>IFERROR(_xlfn.SINGLE(INDEX('Raw Data'!#REF!,_xlfn.AGGREGATE(15,3,('Raw Data'!$O$1:$O$1038=Invoice!$E$3)/('Raw Data'!$O$1:$O$1038=Invoice!$E$3)*(ROW('Raw Data'!$O$1:O1099)-ROW('Raw Data'!$O$1)),ROWS($A$44:E105)))),"")</f>
        <v/>
      </c>
    </row>
    <row r="106" spans="2:7" ht="30" customHeight="1">
      <c r="B106" s="31" t="str">
        <f>IFERROR(INDEX('Raw Data'!$P$2:$P$1038,_xlfn.AGGREGATE(15,3,('Raw Data'!$O$1:$O$1038=Invoice!$E$3)/('Raw Data'!$O$1:$O$1038=Invoice!$E$3)*(ROW('Raw Data'!$O$1:O1100)-ROW('Raw Data'!$O$1)),ROWS($A$44:A106))),"")</f>
        <v/>
      </c>
      <c r="C106" s="36" t="str">
        <f>IFERROR(INDEX('Raw Data'!$C$2:$C$1038,_xlfn.AGGREGATE(15,3,('Raw Data'!$O$1:$O$1038=Invoice!$E$3)/('Raw Data'!$O$1:$O$1038=Invoice!$E$3)*(ROW('Raw Data'!$O$1:O1100)-ROW('Raw Data'!$O$1)),ROWS($A$44:A106))),"")</f>
        <v/>
      </c>
      <c r="D106" s="36" t="str">
        <f>IFERROR(INDEX('Raw Data'!$R$2:$R$1038,_xlfn.AGGREGATE(15,3,('Raw Data'!$O$1:$O$1038=Invoice!$E$3)/('Raw Data'!$O$1:$O$1038=Invoice!$E$3)*(ROW('Raw Data'!$O$1:O1100)-ROW('Raw Data'!$O$1)),ROWS($A$44:B106))),"")</f>
        <v/>
      </c>
      <c r="E106" s="267" t="str">
        <f>IFERROR(INDEX('Raw Data'!$N$2:$N$1038,_xlfn.AGGREGATE(15,3,('Raw Data'!$O$1:$O$1038=Invoice!$E$3)/('Raw Data'!$O$1:$O$1038=Invoice!$E$3)*(ROW('Raw Data'!$O$1:O1100)-ROW('Raw Data'!$O$1)),ROWS($A$44:B106))),"")</f>
        <v/>
      </c>
      <c r="F106" s="267"/>
      <c r="G106" s="37" t="str">
        <f>IFERROR(_xlfn.SINGLE(INDEX('Raw Data'!#REF!,_xlfn.AGGREGATE(15,3,('Raw Data'!$O$1:$O$1038=Invoice!$E$3)/('Raw Data'!$O$1:$O$1038=Invoice!$E$3)*(ROW('Raw Data'!$O$1:O1100)-ROW('Raw Data'!$O$1)),ROWS($A$44:E106)))),"")</f>
        <v/>
      </c>
    </row>
    <row r="107" spans="2:7" ht="30" customHeight="1">
      <c r="B107" s="31" t="str">
        <f>IFERROR(INDEX('Raw Data'!$P$2:$P$1038,_xlfn.AGGREGATE(15,3,('Raw Data'!$O$1:$O$1038=Invoice!$E$3)/('Raw Data'!$O$1:$O$1038=Invoice!$E$3)*(ROW('Raw Data'!$O$1:O1101)-ROW('Raw Data'!$O$1)),ROWS($A$44:A107))),"")</f>
        <v/>
      </c>
      <c r="C107" s="36" t="str">
        <f>IFERROR(INDEX('Raw Data'!$C$2:$C$1038,_xlfn.AGGREGATE(15,3,('Raw Data'!$O$1:$O$1038=Invoice!$E$3)/('Raw Data'!$O$1:$O$1038=Invoice!$E$3)*(ROW('Raw Data'!$O$1:O1101)-ROW('Raw Data'!$O$1)),ROWS($A$44:A107))),"")</f>
        <v/>
      </c>
      <c r="D107" s="36" t="str">
        <f>IFERROR(INDEX('Raw Data'!$R$2:$R$1038,_xlfn.AGGREGATE(15,3,('Raw Data'!$O$1:$O$1038=Invoice!$E$3)/('Raw Data'!$O$1:$O$1038=Invoice!$E$3)*(ROW('Raw Data'!$O$1:O1101)-ROW('Raw Data'!$O$1)),ROWS($A$44:B107))),"")</f>
        <v/>
      </c>
      <c r="E107" s="267" t="str">
        <f>IFERROR(INDEX('Raw Data'!$N$2:$N$1038,_xlfn.AGGREGATE(15,3,('Raw Data'!$O$1:$O$1038=Invoice!$E$3)/('Raw Data'!$O$1:$O$1038=Invoice!$E$3)*(ROW('Raw Data'!$O$1:O1101)-ROW('Raw Data'!$O$1)),ROWS($A$44:B107))),"")</f>
        <v/>
      </c>
      <c r="F107" s="267"/>
      <c r="G107" s="37" t="str">
        <f>IFERROR(_xlfn.SINGLE(INDEX('Raw Data'!#REF!,_xlfn.AGGREGATE(15,3,('Raw Data'!$O$1:$O$1038=Invoice!$E$3)/('Raw Data'!$O$1:$O$1038=Invoice!$E$3)*(ROW('Raw Data'!$O$1:O1101)-ROW('Raw Data'!$O$1)),ROWS($A$44:E107)))),"")</f>
        <v/>
      </c>
    </row>
    <row r="108" spans="2:7" ht="30" customHeight="1">
      <c r="B108" s="31" t="str">
        <f>IFERROR(INDEX('Raw Data'!$P$2:$P$1038,_xlfn.AGGREGATE(15,3,('Raw Data'!$O$1:$O$1038=Invoice!$E$3)/('Raw Data'!$O$1:$O$1038=Invoice!$E$3)*(ROW('Raw Data'!$O$1:O1102)-ROW('Raw Data'!$O$1)),ROWS($A$44:A108))),"")</f>
        <v/>
      </c>
      <c r="C108" s="36" t="str">
        <f>IFERROR(INDEX('Raw Data'!$C$2:$C$1038,_xlfn.AGGREGATE(15,3,('Raw Data'!$O$1:$O$1038=Invoice!$E$3)/('Raw Data'!$O$1:$O$1038=Invoice!$E$3)*(ROW('Raw Data'!$O$1:O1102)-ROW('Raw Data'!$O$1)),ROWS($A$44:A108))),"")</f>
        <v/>
      </c>
      <c r="D108" s="36" t="str">
        <f>IFERROR(INDEX('Raw Data'!$R$2:$R$1038,_xlfn.AGGREGATE(15,3,('Raw Data'!$O$1:$O$1038=Invoice!$E$3)/('Raw Data'!$O$1:$O$1038=Invoice!$E$3)*(ROW('Raw Data'!$O$1:O1102)-ROW('Raw Data'!$O$1)),ROWS($A$44:B108))),"")</f>
        <v/>
      </c>
      <c r="E108" s="267" t="str">
        <f>IFERROR(INDEX('Raw Data'!$N$2:$N$1038,_xlfn.AGGREGATE(15,3,('Raw Data'!$O$1:$O$1038=Invoice!$E$3)/('Raw Data'!$O$1:$O$1038=Invoice!$E$3)*(ROW('Raw Data'!$O$1:O1102)-ROW('Raw Data'!$O$1)),ROWS($A$44:B108))),"")</f>
        <v/>
      </c>
      <c r="F108" s="267"/>
      <c r="G108" s="37" t="str">
        <f>IFERROR(_xlfn.SINGLE(INDEX('Raw Data'!#REF!,_xlfn.AGGREGATE(15,3,('Raw Data'!$O$1:$O$1038=Invoice!$E$3)/('Raw Data'!$O$1:$O$1038=Invoice!$E$3)*(ROW('Raw Data'!$O$1:O1102)-ROW('Raw Data'!$O$1)),ROWS($A$44:E108)))),"")</f>
        <v/>
      </c>
    </row>
    <row r="109" spans="2:7" ht="30" customHeight="1">
      <c r="B109" s="31" t="str">
        <f>IFERROR(INDEX('Raw Data'!$P$2:$P$1038,_xlfn.AGGREGATE(15,3,('Raw Data'!$O$1:$O$1038=Invoice!$E$3)/('Raw Data'!$O$1:$O$1038=Invoice!$E$3)*(ROW('Raw Data'!$O$1:O1103)-ROW('Raw Data'!$O$1)),ROWS($A$44:A109))),"")</f>
        <v/>
      </c>
      <c r="C109" s="36" t="str">
        <f>IFERROR(INDEX('Raw Data'!$C$2:$C$1038,_xlfn.AGGREGATE(15,3,('Raw Data'!$O$1:$O$1038=Invoice!$E$3)/('Raw Data'!$O$1:$O$1038=Invoice!$E$3)*(ROW('Raw Data'!$O$1:O1103)-ROW('Raw Data'!$O$1)),ROWS($A$44:A109))),"")</f>
        <v/>
      </c>
      <c r="D109" s="36" t="str">
        <f>IFERROR(INDEX('Raw Data'!$R$2:$R$1038,_xlfn.AGGREGATE(15,3,('Raw Data'!$O$1:$O$1038=Invoice!$E$3)/('Raw Data'!$O$1:$O$1038=Invoice!$E$3)*(ROW('Raw Data'!$O$1:O1103)-ROW('Raw Data'!$O$1)),ROWS($A$44:B109))),"")</f>
        <v/>
      </c>
      <c r="E109" s="267" t="str">
        <f>IFERROR(INDEX('Raw Data'!$N$2:$N$1038,_xlfn.AGGREGATE(15,3,('Raw Data'!$O$1:$O$1038=Invoice!$E$3)/('Raw Data'!$O$1:$O$1038=Invoice!$E$3)*(ROW('Raw Data'!$O$1:O1103)-ROW('Raw Data'!$O$1)),ROWS($A$44:B109))),"")</f>
        <v/>
      </c>
      <c r="F109" s="267"/>
      <c r="G109" s="37" t="str">
        <f>IFERROR(_xlfn.SINGLE(INDEX('Raw Data'!#REF!,_xlfn.AGGREGATE(15,3,('Raw Data'!$O$1:$O$1038=Invoice!$E$3)/('Raw Data'!$O$1:$O$1038=Invoice!$E$3)*(ROW('Raw Data'!$O$1:O1103)-ROW('Raw Data'!$O$1)),ROWS($A$44:E109)))),"")</f>
        <v/>
      </c>
    </row>
    <row r="110" spans="2:7" ht="30" customHeight="1">
      <c r="B110" s="31" t="str">
        <f>IFERROR(INDEX('Raw Data'!$P$2:$P$1038,_xlfn.AGGREGATE(15,3,('Raw Data'!$O$1:$O$1038=Invoice!$E$3)/('Raw Data'!$O$1:$O$1038=Invoice!$E$3)*(ROW('Raw Data'!$O$1:O1104)-ROW('Raw Data'!$O$1)),ROWS($A$44:A110))),"")</f>
        <v/>
      </c>
      <c r="C110" s="36" t="str">
        <f>IFERROR(INDEX('Raw Data'!$C$2:$C$1038,_xlfn.AGGREGATE(15,3,('Raw Data'!$O$1:$O$1038=Invoice!$E$3)/('Raw Data'!$O$1:$O$1038=Invoice!$E$3)*(ROW('Raw Data'!$O$1:O1104)-ROW('Raw Data'!$O$1)),ROWS($A$44:A110))),"")</f>
        <v/>
      </c>
      <c r="D110" s="36" t="str">
        <f>IFERROR(INDEX('Raw Data'!$R$2:$R$1038,_xlfn.AGGREGATE(15,3,('Raw Data'!$O$1:$O$1038=Invoice!$E$3)/('Raw Data'!$O$1:$O$1038=Invoice!$E$3)*(ROW('Raw Data'!$O$1:O1104)-ROW('Raw Data'!$O$1)),ROWS($A$44:B110))),"")</f>
        <v/>
      </c>
      <c r="E110" s="267" t="str">
        <f>IFERROR(INDEX('Raw Data'!$N$2:$N$1038,_xlfn.AGGREGATE(15,3,('Raw Data'!$O$1:$O$1038=Invoice!$E$3)/('Raw Data'!$O$1:$O$1038=Invoice!$E$3)*(ROW('Raw Data'!$O$1:O1104)-ROW('Raw Data'!$O$1)),ROWS($A$44:B110))),"")</f>
        <v/>
      </c>
      <c r="F110" s="267"/>
      <c r="G110" s="37" t="str">
        <f>IFERROR(_xlfn.SINGLE(INDEX('Raw Data'!#REF!,_xlfn.AGGREGATE(15,3,('Raw Data'!$O$1:$O$1038=Invoice!$E$3)/('Raw Data'!$O$1:$O$1038=Invoice!$E$3)*(ROW('Raw Data'!$O$1:O1104)-ROW('Raw Data'!$O$1)),ROWS($A$44:E110)))),"")</f>
        <v/>
      </c>
    </row>
    <row r="111" spans="2:7" ht="30" customHeight="1">
      <c r="B111" s="31" t="str">
        <f>IFERROR(INDEX('Raw Data'!$P$2:$P$1038,_xlfn.AGGREGATE(15,3,('Raw Data'!$O$1:$O$1038=Invoice!$E$3)/('Raw Data'!$O$1:$O$1038=Invoice!$E$3)*(ROW('Raw Data'!$O$1:O1105)-ROW('Raw Data'!$O$1)),ROWS($A$44:A111))),"")</f>
        <v/>
      </c>
      <c r="C111" s="36" t="str">
        <f>IFERROR(INDEX('Raw Data'!$C$2:$C$1038,_xlfn.AGGREGATE(15,3,('Raw Data'!$O$1:$O$1038=Invoice!$E$3)/('Raw Data'!$O$1:$O$1038=Invoice!$E$3)*(ROW('Raw Data'!$O$1:O1105)-ROW('Raw Data'!$O$1)),ROWS($A$44:A111))),"")</f>
        <v/>
      </c>
      <c r="D111" s="36" t="str">
        <f>IFERROR(INDEX('Raw Data'!$R$2:$R$1038,_xlfn.AGGREGATE(15,3,('Raw Data'!$O$1:$O$1038=Invoice!$E$3)/('Raw Data'!$O$1:$O$1038=Invoice!$E$3)*(ROW('Raw Data'!$O$1:O1105)-ROW('Raw Data'!$O$1)),ROWS($A$44:B111))),"")</f>
        <v/>
      </c>
      <c r="E111" s="267" t="str">
        <f>IFERROR(INDEX('Raw Data'!$N$2:$N$1038,_xlfn.AGGREGATE(15,3,('Raw Data'!$O$1:$O$1038=Invoice!$E$3)/('Raw Data'!$O$1:$O$1038=Invoice!$E$3)*(ROW('Raw Data'!$O$1:O1105)-ROW('Raw Data'!$O$1)),ROWS($A$44:B111))),"")</f>
        <v/>
      </c>
      <c r="F111" s="267"/>
      <c r="G111" s="37" t="str">
        <f>IFERROR(_xlfn.SINGLE(INDEX('Raw Data'!#REF!,_xlfn.AGGREGATE(15,3,('Raw Data'!$O$1:$O$1038=Invoice!$E$3)/('Raw Data'!$O$1:$O$1038=Invoice!$E$3)*(ROW('Raw Data'!$O$1:O1105)-ROW('Raw Data'!$O$1)),ROWS($A$44:E111)))),"")</f>
        <v/>
      </c>
    </row>
    <row r="112" spans="2:7" ht="30" customHeight="1">
      <c r="B112" s="31" t="str">
        <f>IFERROR(INDEX('Raw Data'!$P$2:$P$1038,_xlfn.AGGREGATE(15,3,('Raw Data'!$O$1:$O$1038=Invoice!$E$3)/('Raw Data'!$O$1:$O$1038=Invoice!$E$3)*(ROW('Raw Data'!$O$1:O1106)-ROW('Raw Data'!$O$1)),ROWS($A$44:A112))),"")</f>
        <v/>
      </c>
      <c r="C112" s="36" t="str">
        <f>IFERROR(INDEX('Raw Data'!$C$2:$C$1038,_xlfn.AGGREGATE(15,3,('Raw Data'!$O$1:$O$1038=Invoice!$E$3)/('Raw Data'!$O$1:$O$1038=Invoice!$E$3)*(ROW('Raw Data'!$O$1:O1106)-ROW('Raw Data'!$O$1)),ROWS($A$44:A112))),"")</f>
        <v/>
      </c>
      <c r="D112" s="36" t="str">
        <f>IFERROR(INDEX('Raw Data'!$R$2:$R$1038,_xlfn.AGGREGATE(15,3,('Raw Data'!$O$1:$O$1038=Invoice!$E$3)/('Raw Data'!$O$1:$O$1038=Invoice!$E$3)*(ROW('Raw Data'!$O$1:O1106)-ROW('Raw Data'!$O$1)),ROWS($A$44:B112))),"")</f>
        <v/>
      </c>
      <c r="E112" s="267" t="str">
        <f>IFERROR(INDEX('Raw Data'!$N$2:$N$1038,_xlfn.AGGREGATE(15,3,('Raw Data'!$O$1:$O$1038=Invoice!$E$3)/('Raw Data'!$O$1:$O$1038=Invoice!$E$3)*(ROW('Raw Data'!$O$1:O1106)-ROW('Raw Data'!$O$1)),ROWS($A$44:B112))),"")</f>
        <v/>
      </c>
      <c r="F112" s="267"/>
      <c r="G112" s="37" t="str">
        <f>IFERROR(_xlfn.SINGLE(INDEX('Raw Data'!#REF!,_xlfn.AGGREGATE(15,3,('Raw Data'!$O$1:$O$1038=Invoice!$E$3)/('Raw Data'!$O$1:$O$1038=Invoice!$E$3)*(ROW('Raw Data'!$O$1:O1106)-ROW('Raw Data'!$O$1)),ROWS($A$44:E112)))),"")</f>
        <v/>
      </c>
    </row>
    <row r="113" spans="2:7" ht="30" customHeight="1">
      <c r="B113" s="31" t="str">
        <f>IFERROR(INDEX('Raw Data'!$P$2:$P$1038,_xlfn.AGGREGATE(15,3,('Raw Data'!$O$1:$O$1038=Invoice!$E$3)/('Raw Data'!$O$1:$O$1038=Invoice!$E$3)*(ROW('Raw Data'!$O$1:O1107)-ROW('Raw Data'!$O$1)),ROWS($A$44:A113))),"")</f>
        <v/>
      </c>
      <c r="C113" s="36" t="str">
        <f>IFERROR(INDEX('Raw Data'!$C$2:$C$1038,_xlfn.AGGREGATE(15,3,('Raw Data'!$O$1:$O$1038=Invoice!$E$3)/('Raw Data'!$O$1:$O$1038=Invoice!$E$3)*(ROW('Raw Data'!$O$1:O1107)-ROW('Raw Data'!$O$1)),ROWS($A$44:A113))),"")</f>
        <v/>
      </c>
      <c r="D113" s="36" t="str">
        <f>IFERROR(INDEX('Raw Data'!$R$2:$R$1038,_xlfn.AGGREGATE(15,3,('Raw Data'!$O$1:$O$1038=Invoice!$E$3)/('Raw Data'!$O$1:$O$1038=Invoice!$E$3)*(ROW('Raw Data'!$O$1:O1107)-ROW('Raw Data'!$O$1)),ROWS($A$44:B113))),"")</f>
        <v/>
      </c>
      <c r="E113" s="267" t="str">
        <f>IFERROR(INDEX('Raw Data'!$N$2:$N$1038,_xlfn.AGGREGATE(15,3,('Raw Data'!$O$1:$O$1038=Invoice!$E$3)/('Raw Data'!$O$1:$O$1038=Invoice!$E$3)*(ROW('Raw Data'!$O$1:O1107)-ROW('Raw Data'!$O$1)),ROWS($A$44:B113))),"")</f>
        <v/>
      </c>
      <c r="F113" s="267"/>
      <c r="G113" s="37" t="str">
        <f>IFERROR(_xlfn.SINGLE(INDEX('Raw Data'!#REF!,_xlfn.AGGREGATE(15,3,('Raw Data'!$O$1:$O$1038=Invoice!$E$3)/('Raw Data'!$O$1:$O$1038=Invoice!$E$3)*(ROW('Raw Data'!$O$1:O1107)-ROW('Raw Data'!$O$1)),ROWS($A$44:E113)))),"")</f>
        <v/>
      </c>
    </row>
    <row r="114" spans="2:7" ht="30" customHeight="1">
      <c r="B114" s="31" t="str">
        <f>IFERROR(INDEX('Raw Data'!$P$2:$P$1038,_xlfn.AGGREGATE(15,3,('Raw Data'!$O$1:$O$1038=Invoice!$E$3)/('Raw Data'!$O$1:$O$1038=Invoice!$E$3)*(ROW('Raw Data'!$O$1:O1108)-ROW('Raw Data'!$O$1)),ROWS($A$44:A114))),"")</f>
        <v/>
      </c>
      <c r="C114" s="36" t="str">
        <f>IFERROR(INDEX('Raw Data'!$C$2:$C$1038,_xlfn.AGGREGATE(15,3,('Raw Data'!$O$1:$O$1038=Invoice!$E$3)/('Raw Data'!$O$1:$O$1038=Invoice!$E$3)*(ROW('Raw Data'!$O$1:O1108)-ROW('Raw Data'!$O$1)),ROWS($A$44:A114))),"")</f>
        <v/>
      </c>
      <c r="D114" s="36" t="str">
        <f>IFERROR(INDEX('Raw Data'!$R$2:$R$1038,_xlfn.AGGREGATE(15,3,('Raw Data'!$O$1:$O$1038=Invoice!$E$3)/('Raw Data'!$O$1:$O$1038=Invoice!$E$3)*(ROW('Raw Data'!$O$1:O1108)-ROW('Raw Data'!$O$1)),ROWS($A$44:B114))),"")</f>
        <v/>
      </c>
      <c r="E114" s="267" t="str">
        <f>IFERROR(INDEX('Raw Data'!$N$2:$N$1038,_xlfn.AGGREGATE(15,3,('Raw Data'!$O$1:$O$1038=Invoice!$E$3)/('Raw Data'!$O$1:$O$1038=Invoice!$E$3)*(ROW('Raw Data'!$O$1:O1108)-ROW('Raw Data'!$O$1)),ROWS($A$44:B114))),"")</f>
        <v/>
      </c>
      <c r="F114" s="267"/>
      <c r="G114" s="37" t="str">
        <f>IFERROR(_xlfn.SINGLE(INDEX('Raw Data'!#REF!,_xlfn.AGGREGATE(15,3,('Raw Data'!$O$1:$O$1038=Invoice!$E$3)/('Raw Data'!$O$1:$O$1038=Invoice!$E$3)*(ROW('Raw Data'!$O$1:O1108)-ROW('Raw Data'!$O$1)),ROWS($A$44:E114)))),"")</f>
        <v/>
      </c>
    </row>
    <row r="115" spans="2:7" ht="30" customHeight="1">
      <c r="B115" s="31" t="str">
        <f>IFERROR(INDEX('Raw Data'!$P$2:$P$1038,_xlfn.AGGREGATE(15,3,('Raw Data'!$O$1:$O$1038=Invoice!$E$3)/('Raw Data'!$O$1:$O$1038=Invoice!$E$3)*(ROW('Raw Data'!$O$1:O1109)-ROW('Raw Data'!$O$1)),ROWS($A$44:A115))),"")</f>
        <v/>
      </c>
      <c r="C115" s="36" t="str">
        <f>IFERROR(INDEX('Raw Data'!$C$2:$C$1038,_xlfn.AGGREGATE(15,3,('Raw Data'!$O$1:$O$1038=Invoice!$E$3)/('Raw Data'!$O$1:$O$1038=Invoice!$E$3)*(ROW('Raw Data'!$O$1:O1109)-ROW('Raw Data'!$O$1)),ROWS($A$44:A115))),"")</f>
        <v/>
      </c>
      <c r="D115" s="36" t="str">
        <f>IFERROR(INDEX('Raw Data'!$R$2:$R$1038,_xlfn.AGGREGATE(15,3,('Raw Data'!$O$1:$O$1038=Invoice!$E$3)/('Raw Data'!$O$1:$O$1038=Invoice!$E$3)*(ROW('Raw Data'!$O$1:O1109)-ROW('Raw Data'!$O$1)),ROWS($A$44:B115))),"")</f>
        <v/>
      </c>
      <c r="E115" s="267" t="str">
        <f>IFERROR(INDEX('Raw Data'!$N$2:$N$1038,_xlfn.AGGREGATE(15,3,('Raw Data'!$O$1:$O$1038=Invoice!$E$3)/('Raw Data'!$O$1:$O$1038=Invoice!$E$3)*(ROW('Raw Data'!$O$1:O1109)-ROW('Raw Data'!$O$1)),ROWS($A$44:B115))),"")</f>
        <v/>
      </c>
      <c r="F115" s="267"/>
      <c r="G115" s="37" t="str">
        <f>IFERROR(_xlfn.SINGLE(INDEX('Raw Data'!#REF!,_xlfn.AGGREGATE(15,3,('Raw Data'!$O$1:$O$1038=Invoice!$E$3)/('Raw Data'!$O$1:$O$1038=Invoice!$E$3)*(ROW('Raw Data'!$O$1:O1109)-ROW('Raw Data'!$O$1)),ROWS($A$44:E115)))),"")</f>
        <v/>
      </c>
    </row>
    <row r="116" spans="2:7" ht="30" customHeight="1">
      <c r="B116" s="31" t="str">
        <f>IFERROR(INDEX('Raw Data'!$P$2:$P$1038,_xlfn.AGGREGATE(15,3,('Raw Data'!$O$1:$O$1038=Invoice!$E$3)/('Raw Data'!$O$1:$O$1038=Invoice!$E$3)*(ROW('Raw Data'!$O$1:O1110)-ROW('Raw Data'!$O$1)),ROWS($A$44:A116))),"")</f>
        <v/>
      </c>
      <c r="C116" s="36" t="str">
        <f>IFERROR(INDEX('Raw Data'!$C$2:$C$1038,_xlfn.AGGREGATE(15,3,('Raw Data'!$O$1:$O$1038=Invoice!$E$3)/('Raw Data'!$O$1:$O$1038=Invoice!$E$3)*(ROW('Raw Data'!$O$1:O1110)-ROW('Raw Data'!$O$1)),ROWS($A$44:A116))),"")</f>
        <v/>
      </c>
      <c r="D116" s="36" t="str">
        <f>IFERROR(INDEX('Raw Data'!$R$2:$R$1038,_xlfn.AGGREGATE(15,3,('Raw Data'!$O$1:$O$1038=Invoice!$E$3)/('Raw Data'!$O$1:$O$1038=Invoice!$E$3)*(ROW('Raw Data'!$O$1:O1110)-ROW('Raw Data'!$O$1)),ROWS($A$44:B116))),"")</f>
        <v/>
      </c>
      <c r="E116" s="267" t="str">
        <f>IFERROR(INDEX('Raw Data'!$N$2:$N$1038,_xlfn.AGGREGATE(15,3,('Raw Data'!$O$1:$O$1038=Invoice!$E$3)/('Raw Data'!$O$1:$O$1038=Invoice!$E$3)*(ROW('Raw Data'!$O$1:O1110)-ROW('Raw Data'!$O$1)),ROWS($A$44:B116))),"")</f>
        <v/>
      </c>
      <c r="F116" s="267"/>
      <c r="G116" s="37" t="str">
        <f>IFERROR(_xlfn.SINGLE(INDEX('Raw Data'!#REF!,_xlfn.AGGREGATE(15,3,('Raw Data'!$O$1:$O$1038=Invoice!$E$3)/('Raw Data'!$O$1:$O$1038=Invoice!$E$3)*(ROW('Raw Data'!$O$1:O1110)-ROW('Raw Data'!$O$1)),ROWS($A$44:E116)))),"")</f>
        <v/>
      </c>
    </row>
    <row r="117" spans="2:7" ht="30" customHeight="1">
      <c r="B117" s="31" t="str">
        <f>IFERROR(INDEX('Raw Data'!$P$2:$P$1038,_xlfn.AGGREGATE(15,3,('Raw Data'!$O$1:$O$1038=Invoice!$E$3)/('Raw Data'!$O$1:$O$1038=Invoice!$E$3)*(ROW('Raw Data'!$O$1:O1111)-ROW('Raw Data'!$O$1)),ROWS($A$44:A117))),"")</f>
        <v/>
      </c>
      <c r="C117" s="36" t="str">
        <f>IFERROR(INDEX('Raw Data'!$C$2:$C$1038,_xlfn.AGGREGATE(15,3,('Raw Data'!$O$1:$O$1038=Invoice!$E$3)/('Raw Data'!$O$1:$O$1038=Invoice!$E$3)*(ROW('Raw Data'!$O$1:O1111)-ROW('Raw Data'!$O$1)),ROWS($A$44:A117))),"")</f>
        <v/>
      </c>
      <c r="D117" s="36" t="str">
        <f>IFERROR(INDEX('Raw Data'!$R$2:$R$1038,_xlfn.AGGREGATE(15,3,('Raw Data'!$O$1:$O$1038=Invoice!$E$3)/('Raw Data'!$O$1:$O$1038=Invoice!$E$3)*(ROW('Raw Data'!$O$1:O1111)-ROW('Raw Data'!$O$1)),ROWS($A$44:B117))),"")</f>
        <v/>
      </c>
      <c r="E117" s="267" t="str">
        <f>IFERROR(INDEX('Raw Data'!$N$2:$N$1038,_xlfn.AGGREGATE(15,3,('Raw Data'!$O$1:$O$1038=Invoice!$E$3)/('Raw Data'!$O$1:$O$1038=Invoice!$E$3)*(ROW('Raw Data'!$O$1:O1111)-ROW('Raw Data'!$O$1)),ROWS($A$44:B117))),"")</f>
        <v/>
      </c>
      <c r="F117" s="267"/>
      <c r="G117" s="37" t="str">
        <f>IFERROR(_xlfn.SINGLE(INDEX('Raw Data'!#REF!,_xlfn.AGGREGATE(15,3,('Raw Data'!$O$1:$O$1038=Invoice!$E$3)/('Raw Data'!$O$1:$O$1038=Invoice!$E$3)*(ROW('Raw Data'!$O$1:O1111)-ROW('Raw Data'!$O$1)),ROWS($A$44:E117)))),"")</f>
        <v/>
      </c>
    </row>
    <row r="118" spans="2:7" ht="30" customHeight="1">
      <c r="B118" s="31" t="str">
        <f>IFERROR(INDEX('Raw Data'!$P$2:$P$1038,_xlfn.AGGREGATE(15,3,('Raw Data'!$O$1:$O$1038=Invoice!$E$3)/('Raw Data'!$O$1:$O$1038=Invoice!$E$3)*(ROW('Raw Data'!$O$1:O1112)-ROW('Raw Data'!$O$1)),ROWS($A$44:A118))),"")</f>
        <v/>
      </c>
      <c r="C118" s="36" t="str">
        <f>IFERROR(INDEX('Raw Data'!$C$2:$C$1038,_xlfn.AGGREGATE(15,3,('Raw Data'!$O$1:$O$1038=Invoice!$E$3)/('Raw Data'!$O$1:$O$1038=Invoice!$E$3)*(ROW('Raw Data'!$O$1:O1112)-ROW('Raw Data'!$O$1)),ROWS($A$44:A118))),"")</f>
        <v/>
      </c>
      <c r="D118" s="36" t="str">
        <f>IFERROR(INDEX('Raw Data'!$R$2:$R$1038,_xlfn.AGGREGATE(15,3,('Raw Data'!$O$1:$O$1038=Invoice!$E$3)/('Raw Data'!$O$1:$O$1038=Invoice!$E$3)*(ROW('Raw Data'!$O$1:O1112)-ROW('Raw Data'!$O$1)),ROWS($A$44:B118))),"")</f>
        <v/>
      </c>
      <c r="E118" s="267" t="str">
        <f>IFERROR(INDEX('Raw Data'!$N$2:$N$1038,_xlfn.AGGREGATE(15,3,('Raw Data'!$O$1:$O$1038=Invoice!$E$3)/('Raw Data'!$O$1:$O$1038=Invoice!$E$3)*(ROW('Raw Data'!$O$1:O1112)-ROW('Raw Data'!$O$1)),ROWS($A$44:B118))),"")</f>
        <v/>
      </c>
      <c r="F118" s="267"/>
      <c r="G118" s="37" t="str">
        <f>IFERROR(_xlfn.SINGLE(INDEX('Raw Data'!#REF!,_xlfn.AGGREGATE(15,3,('Raw Data'!$O$1:$O$1038=Invoice!$E$3)/('Raw Data'!$O$1:$O$1038=Invoice!$E$3)*(ROW('Raw Data'!$O$1:O1112)-ROW('Raw Data'!$O$1)),ROWS($A$44:E118)))),"")</f>
        <v/>
      </c>
    </row>
    <row r="119" spans="2:7" ht="30" customHeight="1">
      <c r="B119" s="31" t="str">
        <f>IFERROR(INDEX('Raw Data'!$P$2:$P$1038,_xlfn.AGGREGATE(15,3,('Raw Data'!$O$1:$O$1038=Invoice!$E$3)/('Raw Data'!$O$1:$O$1038=Invoice!$E$3)*(ROW('Raw Data'!$O$1:O1113)-ROW('Raw Data'!$O$1)),ROWS($A$44:A119))),"")</f>
        <v/>
      </c>
      <c r="C119" s="36" t="str">
        <f>IFERROR(INDEX('Raw Data'!$C$2:$C$1038,_xlfn.AGGREGATE(15,3,('Raw Data'!$O$1:$O$1038=Invoice!$E$3)/('Raw Data'!$O$1:$O$1038=Invoice!$E$3)*(ROW('Raw Data'!$O$1:O1113)-ROW('Raw Data'!$O$1)),ROWS($A$44:A119))),"")</f>
        <v/>
      </c>
      <c r="D119" s="36" t="str">
        <f>IFERROR(INDEX('Raw Data'!$R$2:$R$1038,_xlfn.AGGREGATE(15,3,('Raw Data'!$O$1:$O$1038=Invoice!$E$3)/('Raw Data'!$O$1:$O$1038=Invoice!$E$3)*(ROW('Raw Data'!$O$1:O1113)-ROW('Raw Data'!$O$1)),ROWS($A$44:B119))),"")</f>
        <v/>
      </c>
      <c r="E119" s="267" t="str">
        <f>IFERROR(INDEX('Raw Data'!$N$2:$N$1038,_xlfn.AGGREGATE(15,3,('Raw Data'!$O$1:$O$1038=Invoice!$E$3)/('Raw Data'!$O$1:$O$1038=Invoice!$E$3)*(ROW('Raw Data'!$O$1:O1113)-ROW('Raw Data'!$O$1)),ROWS($A$44:B119))),"")</f>
        <v/>
      </c>
      <c r="F119" s="267"/>
      <c r="G119" s="37" t="str">
        <f>IFERROR(_xlfn.SINGLE(INDEX('Raw Data'!#REF!,_xlfn.AGGREGATE(15,3,('Raw Data'!$O$1:$O$1038=Invoice!$E$3)/('Raw Data'!$O$1:$O$1038=Invoice!$E$3)*(ROW('Raw Data'!$O$1:O1113)-ROW('Raw Data'!$O$1)),ROWS($A$44:E119)))),"")</f>
        <v/>
      </c>
    </row>
    <row r="120" spans="2:7" ht="30" customHeight="1">
      <c r="B120" s="31" t="str">
        <f>IFERROR(INDEX('Raw Data'!$P$2:$P$1038,_xlfn.AGGREGATE(15,3,('Raw Data'!$O$1:$O$1038=Invoice!$E$3)/('Raw Data'!$O$1:$O$1038=Invoice!$E$3)*(ROW('Raw Data'!$O$1:O1114)-ROW('Raw Data'!$O$1)),ROWS($A$44:A120))),"")</f>
        <v/>
      </c>
      <c r="C120" s="36" t="str">
        <f>IFERROR(INDEX('Raw Data'!$C$2:$C$1038,_xlfn.AGGREGATE(15,3,('Raw Data'!$O$1:$O$1038=Invoice!$E$3)/('Raw Data'!$O$1:$O$1038=Invoice!$E$3)*(ROW('Raw Data'!$O$1:O1114)-ROW('Raw Data'!$O$1)),ROWS($A$44:A120))),"")</f>
        <v/>
      </c>
      <c r="D120" s="36" t="str">
        <f>IFERROR(INDEX('Raw Data'!$R$2:$R$1038,_xlfn.AGGREGATE(15,3,('Raw Data'!$O$1:$O$1038=Invoice!$E$3)/('Raw Data'!$O$1:$O$1038=Invoice!$E$3)*(ROW('Raw Data'!$O$1:O1114)-ROW('Raw Data'!$O$1)),ROWS($A$44:B120))),"")</f>
        <v/>
      </c>
      <c r="E120" s="267" t="str">
        <f>IFERROR(INDEX('Raw Data'!$N$2:$N$1038,_xlfn.AGGREGATE(15,3,('Raw Data'!$O$1:$O$1038=Invoice!$E$3)/('Raw Data'!$O$1:$O$1038=Invoice!$E$3)*(ROW('Raw Data'!$O$1:O1114)-ROW('Raw Data'!$O$1)),ROWS($A$44:B120))),"")</f>
        <v/>
      </c>
      <c r="F120" s="267"/>
      <c r="G120" s="37" t="str">
        <f>IFERROR(_xlfn.SINGLE(INDEX('Raw Data'!#REF!,_xlfn.AGGREGATE(15,3,('Raw Data'!$O$1:$O$1038=Invoice!$E$3)/('Raw Data'!$O$1:$O$1038=Invoice!$E$3)*(ROW('Raw Data'!$O$1:O1114)-ROW('Raw Data'!$O$1)),ROWS($A$44:E120)))),"")</f>
        <v/>
      </c>
    </row>
    <row r="121" spans="2:7" ht="30" customHeight="1">
      <c r="B121" s="31" t="str">
        <f>IFERROR(INDEX('Raw Data'!$P$2:$P$1038,_xlfn.AGGREGATE(15,3,('Raw Data'!$O$1:$O$1038=Invoice!$E$3)/('Raw Data'!$O$1:$O$1038=Invoice!$E$3)*(ROW('Raw Data'!$O$1:O1115)-ROW('Raw Data'!$O$1)),ROWS($A$44:A121))),"")</f>
        <v/>
      </c>
      <c r="C121" s="36" t="str">
        <f>IFERROR(INDEX('Raw Data'!$C$2:$C$1038,_xlfn.AGGREGATE(15,3,('Raw Data'!$O$1:$O$1038=Invoice!$E$3)/('Raw Data'!$O$1:$O$1038=Invoice!$E$3)*(ROW('Raw Data'!$O$1:O1115)-ROW('Raw Data'!$O$1)),ROWS($A$44:A121))),"")</f>
        <v/>
      </c>
      <c r="D121" s="36" t="str">
        <f>IFERROR(INDEX('Raw Data'!$R$2:$R$1038,_xlfn.AGGREGATE(15,3,('Raw Data'!$O$1:$O$1038=Invoice!$E$3)/('Raw Data'!$O$1:$O$1038=Invoice!$E$3)*(ROW('Raw Data'!$O$1:O1115)-ROW('Raw Data'!$O$1)),ROWS($A$44:B121))),"")</f>
        <v/>
      </c>
      <c r="E121" s="267" t="str">
        <f>IFERROR(INDEX('Raw Data'!$N$2:$N$1038,_xlfn.AGGREGATE(15,3,('Raw Data'!$O$1:$O$1038=Invoice!$E$3)/('Raw Data'!$O$1:$O$1038=Invoice!$E$3)*(ROW('Raw Data'!$O$1:O1115)-ROW('Raw Data'!$O$1)),ROWS($A$44:B121))),"")</f>
        <v/>
      </c>
      <c r="F121" s="267"/>
      <c r="G121" s="37" t="str">
        <f>IFERROR(_xlfn.SINGLE(INDEX('Raw Data'!#REF!,_xlfn.AGGREGATE(15,3,('Raw Data'!$O$1:$O$1038=Invoice!$E$3)/('Raw Data'!$O$1:$O$1038=Invoice!$E$3)*(ROW('Raw Data'!$O$1:O1115)-ROW('Raw Data'!$O$1)),ROWS($A$44:E121)))),"")</f>
        <v/>
      </c>
    </row>
    <row r="122" spans="2:7" ht="30" customHeight="1">
      <c r="B122" s="31" t="str">
        <f>IFERROR(INDEX('Raw Data'!$P$2:$P$1038,_xlfn.AGGREGATE(15,3,('Raw Data'!$O$1:$O$1038=Invoice!$E$3)/('Raw Data'!$O$1:$O$1038=Invoice!$E$3)*(ROW('Raw Data'!$O$1:O1116)-ROW('Raw Data'!$O$1)),ROWS($A$44:A122))),"")</f>
        <v/>
      </c>
      <c r="C122" s="36" t="str">
        <f>IFERROR(INDEX('Raw Data'!$C$2:$C$1038,_xlfn.AGGREGATE(15,3,('Raw Data'!$O$1:$O$1038=Invoice!$E$3)/('Raw Data'!$O$1:$O$1038=Invoice!$E$3)*(ROW('Raw Data'!$O$1:O1116)-ROW('Raw Data'!$O$1)),ROWS($A$44:A122))),"")</f>
        <v/>
      </c>
      <c r="D122" s="36" t="str">
        <f>IFERROR(INDEX('Raw Data'!$R$2:$R$1038,_xlfn.AGGREGATE(15,3,('Raw Data'!$O$1:$O$1038=Invoice!$E$3)/('Raw Data'!$O$1:$O$1038=Invoice!$E$3)*(ROW('Raw Data'!$O$1:O1116)-ROW('Raw Data'!$O$1)),ROWS($A$44:B122))),"")</f>
        <v/>
      </c>
      <c r="E122" s="267" t="str">
        <f>IFERROR(INDEX('Raw Data'!$N$2:$N$1038,_xlfn.AGGREGATE(15,3,('Raw Data'!$O$1:$O$1038=Invoice!$E$3)/('Raw Data'!$O$1:$O$1038=Invoice!$E$3)*(ROW('Raw Data'!$O$1:O1116)-ROW('Raw Data'!$O$1)),ROWS($A$44:B122))),"")</f>
        <v/>
      </c>
      <c r="F122" s="267"/>
      <c r="G122" s="37" t="str">
        <f>IFERROR(_xlfn.SINGLE(INDEX('Raw Data'!#REF!,_xlfn.AGGREGATE(15,3,('Raw Data'!$O$1:$O$1038=Invoice!$E$3)/('Raw Data'!$O$1:$O$1038=Invoice!$E$3)*(ROW('Raw Data'!$O$1:O1116)-ROW('Raw Data'!$O$1)),ROWS($A$44:E122)))),"")</f>
        <v/>
      </c>
    </row>
    <row r="123" spans="2:7" ht="30" customHeight="1">
      <c r="B123" s="31" t="str">
        <f>IFERROR(INDEX('Raw Data'!$P$2:$P$1038,_xlfn.AGGREGATE(15,3,('Raw Data'!$O$1:$O$1038=Invoice!$E$3)/('Raw Data'!$O$1:$O$1038=Invoice!$E$3)*(ROW('Raw Data'!$O$1:O1117)-ROW('Raw Data'!$O$1)),ROWS($A$44:A123))),"")</f>
        <v/>
      </c>
      <c r="C123" s="36" t="str">
        <f>IFERROR(INDEX('Raw Data'!$C$2:$C$1038,_xlfn.AGGREGATE(15,3,('Raw Data'!$O$1:$O$1038=Invoice!$E$3)/('Raw Data'!$O$1:$O$1038=Invoice!$E$3)*(ROW('Raw Data'!$O$1:O1117)-ROW('Raw Data'!$O$1)),ROWS($A$44:A123))),"")</f>
        <v/>
      </c>
      <c r="D123" s="36" t="str">
        <f>IFERROR(INDEX('Raw Data'!$R$2:$R$1038,_xlfn.AGGREGATE(15,3,('Raw Data'!$O$1:$O$1038=Invoice!$E$3)/('Raw Data'!$O$1:$O$1038=Invoice!$E$3)*(ROW('Raw Data'!$O$1:O1117)-ROW('Raw Data'!$O$1)),ROWS($A$44:B123))),"")</f>
        <v/>
      </c>
      <c r="E123" s="267" t="str">
        <f>IFERROR(INDEX('Raw Data'!$N$2:$N$1038,_xlfn.AGGREGATE(15,3,('Raw Data'!$O$1:$O$1038=Invoice!$E$3)/('Raw Data'!$O$1:$O$1038=Invoice!$E$3)*(ROW('Raw Data'!$O$1:O1117)-ROW('Raw Data'!$O$1)),ROWS($A$44:B123))),"")</f>
        <v/>
      </c>
      <c r="F123" s="267"/>
      <c r="G123" s="37" t="str">
        <f>IFERROR(_xlfn.SINGLE(INDEX('Raw Data'!#REF!,_xlfn.AGGREGATE(15,3,('Raw Data'!$O$1:$O$1038=Invoice!$E$3)/('Raw Data'!$O$1:$O$1038=Invoice!$E$3)*(ROW('Raw Data'!$O$1:O1117)-ROW('Raw Data'!$O$1)),ROWS($A$44:E123)))),"")</f>
        <v/>
      </c>
    </row>
    <row r="124" spans="2:7" ht="30" customHeight="1">
      <c r="B124" s="31" t="str">
        <f>IFERROR(INDEX('Raw Data'!$P$2:$P$1038,_xlfn.AGGREGATE(15,3,('Raw Data'!$O$1:$O$1038=Invoice!$E$3)/('Raw Data'!$O$1:$O$1038=Invoice!$E$3)*(ROW('Raw Data'!$O$1:O1118)-ROW('Raw Data'!$O$1)),ROWS($A$44:A124))),"")</f>
        <v/>
      </c>
      <c r="C124" s="36" t="str">
        <f>IFERROR(INDEX('Raw Data'!$C$2:$C$1038,_xlfn.AGGREGATE(15,3,('Raw Data'!$O$1:$O$1038=Invoice!$E$3)/('Raw Data'!$O$1:$O$1038=Invoice!$E$3)*(ROW('Raw Data'!$O$1:O1118)-ROW('Raw Data'!$O$1)),ROWS($A$44:A124))),"")</f>
        <v/>
      </c>
      <c r="D124" s="36" t="str">
        <f>IFERROR(INDEX('Raw Data'!$R$2:$R$1038,_xlfn.AGGREGATE(15,3,('Raw Data'!$O$1:$O$1038=Invoice!$E$3)/('Raw Data'!$O$1:$O$1038=Invoice!$E$3)*(ROW('Raw Data'!$O$1:O1118)-ROW('Raw Data'!$O$1)),ROWS($A$44:B124))),"")</f>
        <v/>
      </c>
      <c r="E124" s="267" t="str">
        <f>IFERROR(INDEX('Raw Data'!$N$2:$N$1038,_xlfn.AGGREGATE(15,3,('Raw Data'!$O$1:$O$1038=Invoice!$E$3)/('Raw Data'!$O$1:$O$1038=Invoice!$E$3)*(ROW('Raw Data'!$O$1:O1118)-ROW('Raw Data'!$O$1)),ROWS($A$44:B124))),"")</f>
        <v/>
      </c>
      <c r="F124" s="267"/>
      <c r="G124" s="37" t="str">
        <f>IFERROR(_xlfn.SINGLE(INDEX('Raw Data'!#REF!,_xlfn.AGGREGATE(15,3,('Raw Data'!$O$1:$O$1038=Invoice!$E$3)/('Raw Data'!$O$1:$O$1038=Invoice!$E$3)*(ROW('Raw Data'!$O$1:O1118)-ROW('Raw Data'!$O$1)),ROWS($A$44:E124)))),"")</f>
        <v/>
      </c>
    </row>
    <row r="125" spans="2:7" ht="30" customHeight="1">
      <c r="B125" s="31" t="str">
        <f>IFERROR(INDEX('Raw Data'!$P$2:$P$1038,_xlfn.AGGREGATE(15,3,('Raw Data'!$O$1:$O$1038=Invoice!$E$3)/('Raw Data'!$O$1:$O$1038=Invoice!$E$3)*(ROW('Raw Data'!$O$1:O1119)-ROW('Raw Data'!$O$1)),ROWS($A$44:A125))),"")</f>
        <v/>
      </c>
      <c r="C125" s="36" t="str">
        <f>IFERROR(INDEX('Raw Data'!$C$2:$C$1038,_xlfn.AGGREGATE(15,3,('Raw Data'!$O$1:$O$1038=Invoice!$E$3)/('Raw Data'!$O$1:$O$1038=Invoice!$E$3)*(ROW('Raw Data'!$O$1:O1119)-ROW('Raw Data'!$O$1)),ROWS($A$44:A125))),"")</f>
        <v/>
      </c>
      <c r="D125" s="36" t="str">
        <f>IFERROR(INDEX('Raw Data'!$R$2:$R$1038,_xlfn.AGGREGATE(15,3,('Raw Data'!$O$1:$O$1038=Invoice!$E$3)/('Raw Data'!$O$1:$O$1038=Invoice!$E$3)*(ROW('Raw Data'!$O$1:O1119)-ROW('Raw Data'!$O$1)),ROWS($A$44:B125))),"")</f>
        <v/>
      </c>
      <c r="E125" s="267" t="str">
        <f>IFERROR(INDEX('Raw Data'!$N$2:$N$1038,_xlfn.AGGREGATE(15,3,('Raw Data'!$O$1:$O$1038=Invoice!$E$3)/('Raw Data'!$O$1:$O$1038=Invoice!$E$3)*(ROW('Raw Data'!$O$1:O1119)-ROW('Raw Data'!$O$1)),ROWS($A$44:B125))),"")</f>
        <v/>
      </c>
      <c r="F125" s="267"/>
      <c r="G125" s="37" t="str">
        <f>IFERROR(_xlfn.SINGLE(INDEX('Raw Data'!#REF!,_xlfn.AGGREGATE(15,3,('Raw Data'!$O$1:$O$1038=Invoice!$E$3)/('Raw Data'!$O$1:$O$1038=Invoice!$E$3)*(ROW('Raw Data'!$O$1:O1119)-ROW('Raw Data'!$O$1)),ROWS($A$44:E125)))),"")</f>
        <v/>
      </c>
    </row>
    <row r="126" spans="2:7" ht="30" customHeight="1">
      <c r="B126" s="31" t="str">
        <f>IFERROR(INDEX('Raw Data'!$P$2:$P$1038,_xlfn.AGGREGATE(15,3,('Raw Data'!$O$1:$O$1038=Invoice!$E$3)/('Raw Data'!$O$1:$O$1038=Invoice!$E$3)*(ROW('Raw Data'!$O$1:O1120)-ROW('Raw Data'!$O$1)),ROWS($A$44:A126))),"")</f>
        <v/>
      </c>
      <c r="C126" s="36" t="str">
        <f>IFERROR(INDEX('Raw Data'!$C$2:$C$1038,_xlfn.AGGREGATE(15,3,('Raw Data'!$O$1:$O$1038=Invoice!$E$3)/('Raw Data'!$O$1:$O$1038=Invoice!$E$3)*(ROW('Raw Data'!$O$1:O1120)-ROW('Raw Data'!$O$1)),ROWS($A$44:A126))),"")</f>
        <v/>
      </c>
      <c r="D126" s="36" t="str">
        <f>IFERROR(INDEX('Raw Data'!$R$2:$R$1038,_xlfn.AGGREGATE(15,3,('Raw Data'!$O$1:$O$1038=Invoice!$E$3)/('Raw Data'!$O$1:$O$1038=Invoice!$E$3)*(ROW('Raw Data'!$O$1:O1120)-ROW('Raw Data'!$O$1)),ROWS($A$44:B126))),"")</f>
        <v/>
      </c>
      <c r="E126" s="267" t="str">
        <f>IFERROR(INDEX('Raw Data'!$N$2:$N$1038,_xlfn.AGGREGATE(15,3,('Raw Data'!$O$1:$O$1038=Invoice!$E$3)/('Raw Data'!$O$1:$O$1038=Invoice!$E$3)*(ROW('Raw Data'!$O$1:O1120)-ROW('Raw Data'!$O$1)),ROWS($A$44:B126))),"")</f>
        <v/>
      </c>
      <c r="F126" s="267"/>
      <c r="G126" s="37" t="str">
        <f>IFERROR(_xlfn.SINGLE(INDEX('Raw Data'!#REF!,_xlfn.AGGREGATE(15,3,('Raw Data'!$O$1:$O$1038=Invoice!$E$3)/('Raw Data'!$O$1:$O$1038=Invoice!$E$3)*(ROW('Raw Data'!$O$1:O1120)-ROW('Raw Data'!$O$1)),ROWS($A$44:E126)))),"")</f>
        <v/>
      </c>
    </row>
    <row r="127" spans="2:7" ht="30" customHeight="1">
      <c r="B127" s="31" t="str">
        <f>IFERROR(INDEX('Raw Data'!$P$2:$P$1038,_xlfn.AGGREGATE(15,3,('Raw Data'!$O$1:$O$1038=Invoice!$E$3)/('Raw Data'!$O$1:$O$1038=Invoice!$E$3)*(ROW('Raw Data'!$O$1:O1121)-ROW('Raw Data'!$O$1)),ROWS($A$44:A127))),"")</f>
        <v/>
      </c>
      <c r="C127" s="36" t="str">
        <f>IFERROR(INDEX('Raw Data'!$C$2:$C$1038,_xlfn.AGGREGATE(15,3,('Raw Data'!$O$1:$O$1038=Invoice!$E$3)/('Raw Data'!$O$1:$O$1038=Invoice!$E$3)*(ROW('Raw Data'!$O$1:O1121)-ROW('Raw Data'!$O$1)),ROWS($A$44:A127))),"")</f>
        <v/>
      </c>
      <c r="D127" s="36" t="str">
        <f>IFERROR(INDEX('Raw Data'!$R$2:$R$1038,_xlfn.AGGREGATE(15,3,('Raw Data'!$O$1:$O$1038=Invoice!$E$3)/('Raw Data'!$O$1:$O$1038=Invoice!$E$3)*(ROW('Raw Data'!$O$1:O1121)-ROW('Raw Data'!$O$1)),ROWS($A$44:B127))),"")</f>
        <v/>
      </c>
      <c r="E127" s="267" t="str">
        <f>IFERROR(INDEX('Raw Data'!$N$2:$N$1038,_xlfn.AGGREGATE(15,3,('Raw Data'!$O$1:$O$1038=Invoice!$E$3)/('Raw Data'!$O$1:$O$1038=Invoice!$E$3)*(ROW('Raw Data'!$O$1:O1121)-ROW('Raw Data'!$O$1)),ROWS($A$44:B127))),"")</f>
        <v/>
      </c>
      <c r="F127" s="267"/>
      <c r="G127" s="37" t="str">
        <f>IFERROR(_xlfn.SINGLE(INDEX('Raw Data'!#REF!,_xlfn.AGGREGATE(15,3,('Raw Data'!$O$1:$O$1038=Invoice!$E$3)/('Raw Data'!$O$1:$O$1038=Invoice!$E$3)*(ROW('Raw Data'!$O$1:O1121)-ROW('Raw Data'!$O$1)),ROWS($A$44:E127)))),"")</f>
        <v/>
      </c>
    </row>
    <row r="128" spans="2:7" ht="30" customHeight="1">
      <c r="B128" s="31" t="str">
        <f>IFERROR(INDEX('Raw Data'!$P$2:$P$1038,_xlfn.AGGREGATE(15,3,('Raw Data'!$O$1:$O$1038=Invoice!$E$3)/('Raw Data'!$O$1:$O$1038=Invoice!$E$3)*(ROW('Raw Data'!$O$1:O1122)-ROW('Raw Data'!$O$1)),ROWS($A$44:A128))),"")</f>
        <v/>
      </c>
      <c r="C128" s="36" t="str">
        <f>IFERROR(INDEX('Raw Data'!$C$2:$C$1038,_xlfn.AGGREGATE(15,3,('Raw Data'!$O$1:$O$1038=Invoice!$E$3)/('Raw Data'!$O$1:$O$1038=Invoice!$E$3)*(ROW('Raw Data'!$O$1:O1122)-ROW('Raw Data'!$O$1)),ROWS($A$44:A128))),"")</f>
        <v/>
      </c>
      <c r="D128" s="36" t="str">
        <f>IFERROR(INDEX('Raw Data'!$R$2:$R$1038,_xlfn.AGGREGATE(15,3,('Raw Data'!$O$1:$O$1038=Invoice!$E$3)/('Raw Data'!$O$1:$O$1038=Invoice!$E$3)*(ROW('Raw Data'!$O$1:O1122)-ROW('Raw Data'!$O$1)),ROWS($A$44:B128))),"")</f>
        <v/>
      </c>
      <c r="E128" s="267" t="str">
        <f>IFERROR(INDEX('Raw Data'!$N$2:$N$1038,_xlfn.AGGREGATE(15,3,('Raw Data'!$O$1:$O$1038=Invoice!$E$3)/('Raw Data'!$O$1:$O$1038=Invoice!$E$3)*(ROW('Raw Data'!$O$1:O1122)-ROW('Raw Data'!$O$1)),ROWS($A$44:B128))),"")</f>
        <v/>
      </c>
      <c r="F128" s="267"/>
      <c r="G128" s="37" t="str">
        <f>IFERROR(_xlfn.SINGLE(INDEX('Raw Data'!#REF!,_xlfn.AGGREGATE(15,3,('Raw Data'!$O$1:$O$1038=Invoice!$E$3)/('Raw Data'!$O$1:$O$1038=Invoice!$E$3)*(ROW('Raw Data'!$O$1:O1122)-ROW('Raw Data'!$O$1)),ROWS($A$44:E128)))),"")</f>
        <v/>
      </c>
    </row>
    <row r="129" spans="2:7" ht="30" customHeight="1">
      <c r="B129" s="31" t="str">
        <f>IFERROR(INDEX('Raw Data'!$P$2:$P$1038,_xlfn.AGGREGATE(15,3,('Raw Data'!$O$1:$O$1038=Invoice!$E$3)/('Raw Data'!$O$1:$O$1038=Invoice!$E$3)*(ROW('Raw Data'!$O$1:O1123)-ROW('Raw Data'!$O$1)),ROWS($A$44:A129))),"")</f>
        <v/>
      </c>
      <c r="C129" s="36" t="str">
        <f>IFERROR(INDEX('Raw Data'!$C$2:$C$1038,_xlfn.AGGREGATE(15,3,('Raw Data'!$O$1:$O$1038=Invoice!$E$3)/('Raw Data'!$O$1:$O$1038=Invoice!$E$3)*(ROW('Raw Data'!$O$1:O1123)-ROW('Raw Data'!$O$1)),ROWS($A$44:A129))),"")</f>
        <v/>
      </c>
      <c r="D129" s="36" t="str">
        <f>IFERROR(INDEX('Raw Data'!$R$2:$R$1038,_xlfn.AGGREGATE(15,3,('Raw Data'!$O$1:$O$1038=Invoice!$E$3)/('Raw Data'!$O$1:$O$1038=Invoice!$E$3)*(ROW('Raw Data'!$O$1:O1123)-ROW('Raw Data'!$O$1)),ROWS($A$44:B129))),"")</f>
        <v/>
      </c>
      <c r="E129" s="267" t="str">
        <f>IFERROR(INDEX('Raw Data'!$N$2:$N$1038,_xlfn.AGGREGATE(15,3,('Raw Data'!$O$1:$O$1038=Invoice!$E$3)/('Raw Data'!$O$1:$O$1038=Invoice!$E$3)*(ROW('Raw Data'!$O$1:O1123)-ROW('Raw Data'!$O$1)),ROWS($A$44:B129))),"")</f>
        <v/>
      </c>
      <c r="F129" s="267"/>
      <c r="G129" s="37" t="str">
        <f>IFERROR(_xlfn.SINGLE(INDEX('Raw Data'!#REF!,_xlfn.AGGREGATE(15,3,('Raw Data'!$O$1:$O$1038=Invoice!$E$3)/('Raw Data'!$O$1:$O$1038=Invoice!$E$3)*(ROW('Raw Data'!$O$1:O1123)-ROW('Raw Data'!$O$1)),ROWS($A$44:E129)))),"")</f>
        <v/>
      </c>
    </row>
    <row r="130" spans="2:7" ht="30" customHeight="1">
      <c r="B130" s="31" t="str">
        <f>IFERROR(INDEX('Raw Data'!$P$2:$P$1038,_xlfn.AGGREGATE(15,3,('Raw Data'!$O$1:$O$1038=Invoice!$E$3)/('Raw Data'!$O$1:$O$1038=Invoice!$E$3)*(ROW('Raw Data'!$O$1:O1124)-ROW('Raw Data'!$O$1)),ROWS($A$44:A130))),"")</f>
        <v/>
      </c>
      <c r="C130" s="36" t="str">
        <f>IFERROR(INDEX('Raw Data'!$C$2:$C$1038,_xlfn.AGGREGATE(15,3,('Raw Data'!$O$1:$O$1038=Invoice!$E$3)/('Raw Data'!$O$1:$O$1038=Invoice!$E$3)*(ROW('Raw Data'!$O$1:O1124)-ROW('Raw Data'!$O$1)),ROWS($A$44:A130))),"")</f>
        <v/>
      </c>
      <c r="D130" s="36" t="str">
        <f>IFERROR(INDEX('Raw Data'!$R$2:$R$1038,_xlfn.AGGREGATE(15,3,('Raw Data'!$O$1:$O$1038=Invoice!$E$3)/('Raw Data'!$O$1:$O$1038=Invoice!$E$3)*(ROW('Raw Data'!$O$1:O1124)-ROW('Raw Data'!$O$1)),ROWS($A$44:B130))),"")</f>
        <v/>
      </c>
      <c r="E130" s="267" t="str">
        <f>IFERROR(INDEX('Raw Data'!$N$2:$N$1038,_xlfn.AGGREGATE(15,3,('Raw Data'!$O$1:$O$1038=Invoice!$E$3)/('Raw Data'!$O$1:$O$1038=Invoice!$E$3)*(ROW('Raw Data'!$O$1:O1124)-ROW('Raw Data'!$O$1)),ROWS($A$44:B130))),"")</f>
        <v/>
      </c>
      <c r="F130" s="267"/>
      <c r="G130" s="37" t="str">
        <f>IFERROR(_xlfn.SINGLE(INDEX('Raw Data'!#REF!,_xlfn.AGGREGATE(15,3,('Raw Data'!$O$1:$O$1038=Invoice!$E$3)/('Raw Data'!$O$1:$O$1038=Invoice!$E$3)*(ROW('Raw Data'!$O$1:O1124)-ROW('Raw Data'!$O$1)),ROWS($A$44:E130)))),"")</f>
        <v/>
      </c>
    </row>
    <row r="131" spans="2:7" ht="30" customHeight="1">
      <c r="B131" s="31" t="str">
        <f>IFERROR(INDEX('Raw Data'!$P$2:$P$1038,_xlfn.AGGREGATE(15,3,('Raw Data'!$O$1:$O$1038=Invoice!$E$3)/('Raw Data'!$O$1:$O$1038=Invoice!$E$3)*(ROW('Raw Data'!$O$1:O1125)-ROW('Raw Data'!$O$1)),ROWS($A$44:A131))),"")</f>
        <v/>
      </c>
      <c r="C131" s="36" t="str">
        <f>IFERROR(INDEX('Raw Data'!$C$2:$C$1038,_xlfn.AGGREGATE(15,3,('Raw Data'!$O$1:$O$1038=Invoice!$E$3)/('Raw Data'!$O$1:$O$1038=Invoice!$E$3)*(ROW('Raw Data'!$O$1:O1125)-ROW('Raw Data'!$O$1)),ROWS($A$44:A131))),"")</f>
        <v/>
      </c>
      <c r="D131" s="36" t="str">
        <f>IFERROR(INDEX('Raw Data'!$R$2:$R$1038,_xlfn.AGGREGATE(15,3,('Raw Data'!$O$1:$O$1038=Invoice!$E$3)/('Raw Data'!$O$1:$O$1038=Invoice!$E$3)*(ROW('Raw Data'!$O$1:O1125)-ROW('Raw Data'!$O$1)),ROWS($A$44:B131))),"")</f>
        <v/>
      </c>
      <c r="E131" s="267" t="str">
        <f>IFERROR(INDEX('Raw Data'!$N$2:$N$1038,_xlfn.AGGREGATE(15,3,('Raw Data'!$O$1:$O$1038=Invoice!$E$3)/('Raw Data'!$O$1:$O$1038=Invoice!$E$3)*(ROW('Raw Data'!$O$1:O1125)-ROW('Raw Data'!$O$1)),ROWS($A$44:B131))),"")</f>
        <v/>
      </c>
      <c r="F131" s="267"/>
      <c r="G131" s="37" t="str">
        <f>IFERROR(_xlfn.SINGLE(INDEX('Raw Data'!#REF!,_xlfn.AGGREGATE(15,3,('Raw Data'!$O$1:$O$1038=Invoice!$E$3)/('Raw Data'!$O$1:$O$1038=Invoice!$E$3)*(ROW('Raw Data'!$O$1:O1125)-ROW('Raw Data'!$O$1)),ROWS($A$44:E131)))),"")</f>
        <v/>
      </c>
    </row>
    <row r="132" spans="2:7" ht="30" customHeight="1">
      <c r="B132" s="31" t="str">
        <f>IFERROR(INDEX('Raw Data'!$P$2:$P$1038,_xlfn.AGGREGATE(15,3,('Raw Data'!$O$1:$O$1038=Invoice!$E$3)/('Raw Data'!$O$1:$O$1038=Invoice!$E$3)*(ROW('Raw Data'!$O$1:O1126)-ROW('Raw Data'!$O$1)),ROWS($A$44:A132))),"")</f>
        <v/>
      </c>
      <c r="C132" s="36" t="str">
        <f>IFERROR(INDEX('Raw Data'!$C$2:$C$1038,_xlfn.AGGREGATE(15,3,('Raw Data'!$O$1:$O$1038=Invoice!$E$3)/('Raw Data'!$O$1:$O$1038=Invoice!$E$3)*(ROW('Raw Data'!$O$1:O1126)-ROW('Raw Data'!$O$1)),ROWS($A$44:A132))),"")</f>
        <v/>
      </c>
      <c r="D132" s="36" t="str">
        <f>IFERROR(INDEX('Raw Data'!$R$2:$R$1038,_xlfn.AGGREGATE(15,3,('Raw Data'!$O$1:$O$1038=Invoice!$E$3)/('Raw Data'!$O$1:$O$1038=Invoice!$E$3)*(ROW('Raw Data'!$O$1:O1126)-ROW('Raw Data'!$O$1)),ROWS($A$44:B132))),"")</f>
        <v/>
      </c>
      <c r="E132" s="267" t="str">
        <f>IFERROR(INDEX('Raw Data'!$N$2:$N$1038,_xlfn.AGGREGATE(15,3,('Raw Data'!$O$1:$O$1038=Invoice!$E$3)/('Raw Data'!$O$1:$O$1038=Invoice!$E$3)*(ROW('Raw Data'!$O$1:O1126)-ROW('Raw Data'!$O$1)),ROWS($A$44:B132))),"")</f>
        <v/>
      </c>
      <c r="F132" s="267"/>
      <c r="G132" s="37" t="str">
        <f>IFERROR(_xlfn.SINGLE(INDEX('Raw Data'!#REF!,_xlfn.AGGREGATE(15,3,('Raw Data'!$O$1:$O$1038=Invoice!$E$3)/('Raw Data'!$O$1:$O$1038=Invoice!$E$3)*(ROW('Raw Data'!$O$1:O1126)-ROW('Raw Data'!$O$1)),ROWS($A$44:E132)))),"")</f>
        <v/>
      </c>
    </row>
    <row r="133" spans="2:7" ht="30" customHeight="1">
      <c r="B133" s="31" t="str">
        <f>IFERROR(INDEX('Raw Data'!$P$2:$P$1038,_xlfn.AGGREGATE(15,3,('Raw Data'!$O$1:$O$1038=Invoice!$E$3)/('Raw Data'!$O$1:$O$1038=Invoice!$E$3)*(ROW('Raw Data'!$O$1:O1127)-ROW('Raw Data'!$O$1)),ROWS($A$44:A133))),"")</f>
        <v/>
      </c>
      <c r="C133" s="36" t="str">
        <f>IFERROR(INDEX('Raw Data'!$C$2:$C$1038,_xlfn.AGGREGATE(15,3,('Raw Data'!$O$1:$O$1038=Invoice!$E$3)/('Raw Data'!$O$1:$O$1038=Invoice!$E$3)*(ROW('Raw Data'!$O$1:O1127)-ROW('Raw Data'!$O$1)),ROWS($A$44:A133))),"")</f>
        <v/>
      </c>
      <c r="D133" s="36" t="str">
        <f>IFERROR(INDEX('Raw Data'!$R$2:$R$1038,_xlfn.AGGREGATE(15,3,('Raw Data'!$O$1:$O$1038=Invoice!$E$3)/('Raw Data'!$O$1:$O$1038=Invoice!$E$3)*(ROW('Raw Data'!$O$1:O1127)-ROW('Raw Data'!$O$1)),ROWS($A$44:B133))),"")</f>
        <v/>
      </c>
      <c r="E133" s="267" t="str">
        <f>IFERROR(INDEX('Raw Data'!$N$2:$N$1038,_xlfn.AGGREGATE(15,3,('Raw Data'!$O$1:$O$1038=Invoice!$E$3)/('Raw Data'!$O$1:$O$1038=Invoice!$E$3)*(ROW('Raw Data'!$O$1:O1127)-ROW('Raw Data'!$O$1)),ROWS($A$44:B133))),"")</f>
        <v/>
      </c>
      <c r="F133" s="267"/>
      <c r="G133" s="37" t="str">
        <f>IFERROR(_xlfn.SINGLE(INDEX('Raw Data'!#REF!,_xlfn.AGGREGATE(15,3,('Raw Data'!$O$1:$O$1038=Invoice!$E$3)/('Raw Data'!$O$1:$O$1038=Invoice!$E$3)*(ROW('Raw Data'!$O$1:O1127)-ROW('Raw Data'!$O$1)),ROWS($A$44:E133)))),"")</f>
        <v/>
      </c>
    </row>
    <row r="134" spans="2:7" ht="30" customHeight="1">
      <c r="B134" s="31" t="str">
        <f>IFERROR(INDEX('Raw Data'!$P$2:$P$1038,_xlfn.AGGREGATE(15,3,('Raw Data'!$O$1:$O$1038=Invoice!$E$3)/('Raw Data'!$O$1:$O$1038=Invoice!$E$3)*(ROW('Raw Data'!$O$1:O1128)-ROW('Raw Data'!$O$1)),ROWS($A$44:A134))),"")</f>
        <v/>
      </c>
      <c r="C134" s="36" t="str">
        <f>IFERROR(INDEX('Raw Data'!$C$2:$C$1038,_xlfn.AGGREGATE(15,3,('Raw Data'!$O$1:$O$1038=Invoice!$E$3)/('Raw Data'!$O$1:$O$1038=Invoice!$E$3)*(ROW('Raw Data'!$O$1:O1128)-ROW('Raw Data'!$O$1)),ROWS($A$44:A134))),"")</f>
        <v/>
      </c>
      <c r="D134" s="36" t="str">
        <f>IFERROR(INDEX('Raw Data'!$R$2:$R$1038,_xlfn.AGGREGATE(15,3,('Raw Data'!$O$1:$O$1038=Invoice!$E$3)/('Raw Data'!$O$1:$O$1038=Invoice!$E$3)*(ROW('Raw Data'!$O$1:O1128)-ROW('Raw Data'!$O$1)),ROWS($A$44:B134))),"")</f>
        <v/>
      </c>
      <c r="E134" s="267" t="str">
        <f>IFERROR(INDEX('Raw Data'!$N$2:$N$1038,_xlfn.AGGREGATE(15,3,('Raw Data'!$O$1:$O$1038=Invoice!$E$3)/('Raw Data'!$O$1:$O$1038=Invoice!$E$3)*(ROW('Raw Data'!$O$1:O1128)-ROW('Raw Data'!$O$1)),ROWS($A$44:B134))),"")</f>
        <v/>
      </c>
      <c r="F134" s="267"/>
      <c r="G134" s="37" t="str">
        <f>IFERROR(_xlfn.SINGLE(INDEX('Raw Data'!#REF!,_xlfn.AGGREGATE(15,3,('Raw Data'!$O$1:$O$1038=Invoice!$E$3)/('Raw Data'!$O$1:$O$1038=Invoice!$E$3)*(ROW('Raw Data'!$O$1:O1128)-ROW('Raw Data'!$O$1)),ROWS($A$44:E134)))),"")</f>
        <v/>
      </c>
    </row>
    <row r="135" spans="2:7" ht="30" customHeight="1">
      <c r="B135" s="31" t="str">
        <f>IFERROR(INDEX('Raw Data'!$P$2:$P$1038,_xlfn.AGGREGATE(15,3,('Raw Data'!$O$1:$O$1038=Invoice!$E$3)/('Raw Data'!$O$1:$O$1038=Invoice!$E$3)*(ROW('Raw Data'!$O$1:O1129)-ROW('Raw Data'!$O$1)),ROWS($A$44:A135))),"")</f>
        <v/>
      </c>
      <c r="C135" s="36" t="str">
        <f>IFERROR(INDEX('Raw Data'!$C$2:$C$1038,_xlfn.AGGREGATE(15,3,('Raw Data'!$O$1:$O$1038=Invoice!$E$3)/('Raw Data'!$O$1:$O$1038=Invoice!$E$3)*(ROW('Raw Data'!$O$1:O1129)-ROW('Raw Data'!$O$1)),ROWS($A$44:A135))),"")</f>
        <v/>
      </c>
      <c r="D135" s="36" t="str">
        <f>IFERROR(INDEX('Raw Data'!$R$2:$R$1038,_xlfn.AGGREGATE(15,3,('Raw Data'!$O$1:$O$1038=Invoice!$E$3)/('Raw Data'!$O$1:$O$1038=Invoice!$E$3)*(ROW('Raw Data'!$O$1:O1129)-ROW('Raw Data'!$O$1)),ROWS($A$44:B135))),"")</f>
        <v/>
      </c>
      <c r="E135" s="267" t="str">
        <f>IFERROR(INDEX('Raw Data'!$N$2:$N$1038,_xlfn.AGGREGATE(15,3,('Raw Data'!$O$1:$O$1038=Invoice!$E$3)/('Raw Data'!$O$1:$O$1038=Invoice!$E$3)*(ROW('Raw Data'!$O$1:O1129)-ROW('Raw Data'!$O$1)),ROWS($A$44:B135))),"")</f>
        <v/>
      </c>
      <c r="F135" s="267"/>
      <c r="G135" s="37" t="str">
        <f>IFERROR(_xlfn.SINGLE(INDEX('Raw Data'!#REF!,_xlfn.AGGREGATE(15,3,('Raw Data'!$O$1:$O$1038=Invoice!$E$3)/('Raw Data'!$O$1:$O$1038=Invoice!$E$3)*(ROW('Raw Data'!$O$1:O1129)-ROW('Raw Data'!$O$1)),ROWS($A$44:E135)))),"")</f>
        <v/>
      </c>
    </row>
    <row r="136" spans="2:7" ht="30" customHeight="1">
      <c r="B136" s="31" t="str">
        <f>IFERROR(INDEX('Raw Data'!$P$2:$P$1038,_xlfn.AGGREGATE(15,3,('Raw Data'!$O$1:$O$1038=Invoice!$E$3)/('Raw Data'!$O$1:$O$1038=Invoice!$E$3)*(ROW('Raw Data'!$O$1:O1130)-ROW('Raw Data'!$O$1)),ROWS($A$44:A136))),"")</f>
        <v/>
      </c>
      <c r="C136" s="36" t="str">
        <f>IFERROR(INDEX('Raw Data'!$C$2:$C$1038,_xlfn.AGGREGATE(15,3,('Raw Data'!$O$1:$O$1038=Invoice!$E$3)/('Raw Data'!$O$1:$O$1038=Invoice!$E$3)*(ROW('Raw Data'!$O$1:O1130)-ROW('Raw Data'!$O$1)),ROWS($A$44:A136))),"")</f>
        <v/>
      </c>
      <c r="D136" s="36" t="str">
        <f>IFERROR(INDEX('Raw Data'!$R$2:$R$1038,_xlfn.AGGREGATE(15,3,('Raw Data'!$O$1:$O$1038=Invoice!$E$3)/('Raw Data'!$O$1:$O$1038=Invoice!$E$3)*(ROW('Raw Data'!$O$1:O1130)-ROW('Raw Data'!$O$1)),ROWS($A$44:B136))),"")</f>
        <v/>
      </c>
      <c r="E136" s="267" t="str">
        <f>IFERROR(INDEX('Raw Data'!$N$2:$N$1038,_xlfn.AGGREGATE(15,3,('Raw Data'!$O$1:$O$1038=Invoice!$E$3)/('Raw Data'!$O$1:$O$1038=Invoice!$E$3)*(ROW('Raw Data'!$O$1:O1130)-ROW('Raw Data'!$O$1)),ROWS($A$44:B136))),"")</f>
        <v/>
      </c>
      <c r="F136" s="267"/>
      <c r="G136" s="37" t="str">
        <f>IFERROR(_xlfn.SINGLE(INDEX('Raw Data'!#REF!,_xlfn.AGGREGATE(15,3,('Raw Data'!$O$1:$O$1038=Invoice!$E$3)/('Raw Data'!$O$1:$O$1038=Invoice!$E$3)*(ROW('Raw Data'!$O$1:O1130)-ROW('Raw Data'!$O$1)),ROWS($A$44:E136)))),"")</f>
        <v/>
      </c>
    </row>
    <row r="137" spans="2:7" ht="30" customHeight="1">
      <c r="B137" s="31" t="str">
        <f>IFERROR(INDEX('Raw Data'!$P$2:$P$1038,_xlfn.AGGREGATE(15,3,('Raw Data'!$O$1:$O$1038=Invoice!$E$3)/('Raw Data'!$O$1:$O$1038=Invoice!$E$3)*(ROW('Raw Data'!$O$1:O1131)-ROW('Raw Data'!$O$1)),ROWS($A$44:A137))),"")</f>
        <v/>
      </c>
      <c r="C137" s="36" t="str">
        <f>IFERROR(INDEX('Raw Data'!$C$2:$C$1038,_xlfn.AGGREGATE(15,3,('Raw Data'!$O$1:$O$1038=Invoice!$E$3)/('Raw Data'!$O$1:$O$1038=Invoice!$E$3)*(ROW('Raw Data'!$O$1:O1131)-ROW('Raw Data'!$O$1)),ROWS($A$44:A137))),"")</f>
        <v/>
      </c>
      <c r="D137" s="36" t="str">
        <f>IFERROR(INDEX('Raw Data'!$R$2:$R$1038,_xlfn.AGGREGATE(15,3,('Raw Data'!$O$1:$O$1038=Invoice!$E$3)/('Raw Data'!$O$1:$O$1038=Invoice!$E$3)*(ROW('Raw Data'!$O$1:O1131)-ROW('Raw Data'!$O$1)),ROWS($A$44:B137))),"")</f>
        <v/>
      </c>
      <c r="E137" s="267" t="str">
        <f>IFERROR(INDEX('Raw Data'!$N$2:$N$1038,_xlfn.AGGREGATE(15,3,('Raw Data'!$O$1:$O$1038=Invoice!$E$3)/('Raw Data'!$O$1:$O$1038=Invoice!$E$3)*(ROW('Raw Data'!$O$1:O1131)-ROW('Raw Data'!$O$1)),ROWS($A$44:B137))),"")</f>
        <v/>
      </c>
      <c r="F137" s="267"/>
      <c r="G137" s="37" t="str">
        <f>IFERROR(_xlfn.SINGLE(INDEX('Raw Data'!#REF!,_xlfn.AGGREGATE(15,3,('Raw Data'!$O$1:$O$1038=Invoice!$E$3)/('Raw Data'!$O$1:$O$1038=Invoice!$E$3)*(ROW('Raw Data'!$O$1:O1131)-ROW('Raw Data'!$O$1)),ROWS($A$44:E137)))),"")</f>
        <v/>
      </c>
    </row>
    <row r="138" spans="2:7" ht="30" customHeight="1">
      <c r="B138" s="31" t="str">
        <f>IFERROR(INDEX('Raw Data'!$P$2:$P$1038,_xlfn.AGGREGATE(15,3,('Raw Data'!$O$1:$O$1038=Invoice!$E$3)/('Raw Data'!$O$1:$O$1038=Invoice!$E$3)*(ROW('Raw Data'!$O$1:O1132)-ROW('Raw Data'!$O$1)),ROWS($A$44:A138))),"")</f>
        <v/>
      </c>
      <c r="C138" s="36" t="str">
        <f>IFERROR(INDEX('Raw Data'!$C$2:$C$1038,_xlfn.AGGREGATE(15,3,('Raw Data'!$O$1:$O$1038=Invoice!$E$3)/('Raw Data'!$O$1:$O$1038=Invoice!$E$3)*(ROW('Raw Data'!$O$1:O1132)-ROW('Raw Data'!$O$1)),ROWS($A$44:A138))),"")</f>
        <v/>
      </c>
      <c r="D138" s="36" t="str">
        <f>IFERROR(INDEX('Raw Data'!$R$2:$R$1038,_xlfn.AGGREGATE(15,3,('Raw Data'!$O$1:$O$1038=Invoice!$E$3)/('Raw Data'!$O$1:$O$1038=Invoice!$E$3)*(ROW('Raw Data'!$O$1:O1132)-ROW('Raw Data'!$O$1)),ROWS($A$44:B138))),"")</f>
        <v/>
      </c>
      <c r="E138" s="267" t="str">
        <f>IFERROR(INDEX('Raw Data'!$N$2:$N$1038,_xlfn.AGGREGATE(15,3,('Raw Data'!$O$1:$O$1038=Invoice!$E$3)/('Raw Data'!$O$1:$O$1038=Invoice!$E$3)*(ROW('Raw Data'!$O$1:O1132)-ROW('Raw Data'!$O$1)),ROWS($A$44:B138))),"")</f>
        <v/>
      </c>
      <c r="F138" s="267"/>
      <c r="G138" s="37" t="str">
        <f>IFERROR(_xlfn.SINGLE(INDEX('Raw Data'!#REF!,_xlfn.AGGREGATE(15,3,('Raw Data'!$O$1:$O$1038=Invoice!$E$3)/('Raw Data'!$O$1:$O$1038=Invoice!$E$3)*(ROW('Raw Data'!$O$1:O1132)-ROW('Raw Data'!$O$1)),ROWS($A$44:E138)))),"")</f>
        <v/>
      </c>
    </row>
    <row r="139" spans="2:7" ht="30" customHeight="1">
      <c r="B139" s="31" t="str">
        <f>IFERROR(INDEX('Raw Data'!$P$2:$P$1038,_xlfn.AGGREGATE(15,3,('Raw Data'!$O$1:$O$1038=Invoice!$E$3)/('Raw Data'!$O$1:$O$1038=Invoice!$E$3)*(ROW('Raw Data'!$O$1:O1133)-ROW('Raw Data'!$O$1)),ROWS($A$44:A139))),"")</f>
        <v/>
      </c>
      <c r="C139" s="36" t="str">
        <f>IFERROR(INDEX('Raw Data'!$C$2:$C$1038,_xlfn.AGGREGATE(15,3,('Raw Data'!$O$1:$O$1038=Invoice!$E$3)/('Raw Data'!$O$1:$O$1038=Invoice!$E$3)*(ROW('Raw Data'!$O$1:O1133)-ROW('Raw Data'!$O$1)),ROWS($A$44:A139))),"")</f>
        <v/>
      </c>
      <c r="D139" s="36" t="str">
        <f>IFERROR(INDEX('Raw Data'!$R$2:$R$1038,_xlfn.AGGREGATE(15,3,('Raw Data'!$O$1:$O$1038=Invoice!$E$3)/('Raw Data'!$O$1:$O$1038=Invoice!$E$3)*(ROW('Raw Data'!$O$1:O1133)-ROW('Raw Data'!$O$1)),ROWS($A$44:B139))),"")</f>
        <v/>
      </c>
      <c r="E139" s="267" t="str">
        <f>IFERROR(INDEX('Raw Data'!$N$2:$N$1038,_xlfn.AGGREGATE(15,3,('Raw Data'!$O$1:$O$1038=Invoice!$E$3)/('Raw Data'!$O$1:$O$1038=Invoice!$E$3)*(ROW('Raw Data'!$O$1:O1133)-ROW('Raw Data'!$O$1)),ROWS($A$44:B139))),"")</f>
        <v/>
      </c>
      <c r="F139" s="267"/>
      <c r="G139" s="37" t="str">
        <f>IFERROR(_xlfn.SINGLE(INDEX('Raw Data'!#REF!,_xlfn.AGGREGATE(15,3,('Raw Data'!$O$1:$O$1038=Invoice!$E$3)/('Raw Data'!$O$1:$O$1038=Invoice!$E$3)*(ROW('Raw Data'!$O$1:O1133)-ROW('Raw Data'!$O$1)),ROWS($A$44:E139)))),"")</f>
        <v/>
      </c>
    </row>
    <row r="140" spans="2:7" ht="30" customHeight="1">
      <c r="B140" s="31" t="str">
        <f>IFERROR(INDEX('Raw Data'!$P$2:$P$1038,_xlfn.AGGREGATE(15,3,('Raw Data'!$O$1:$O$1038=Invoice!$E$3)/('Raw Data'!$O$1:$O$1038=Invoice!$E$3)*(ROW('Raw Data'!$O$1:O1134)-ROW('Raw Data'!$O$1)),ROWS($A$44:A140))),"")</f>
        <v/>
      </c>
      <c r="C140" s="36" t="str">
        <f>IFERROR(INDEX('Raw Data'!$C$2:$C$1038,_xlfn.AGGREGATE(15,3,('Raw Data'!$O$1:$O$1038=Invoice!$E$3)/('Raw Data'!$O$1:$O$1038=Invoice!$E$3)*(ROW('Raw Data'!$O$1:O1134)-ROW('Raw Data'!$O$1)),ROWS($A$44:A140))),"")</f>
        <v/>
      </c>
      <c r="D140" s="36" t="str">
        <f>IFERROR(INDEX('Raw Data'!$R$2:$R$1038,_xlfn.AGGREGATE(15,3,('Raw Data'!$O$1:$O$1038=Invoice!$E$3)/('Raw Data'!$O$1:$O$1038=Invoice!$E$3)*(ROW('Raw Data'!$O$1:O1134)-ROW('Raw Data'!$O$1)),ROWS($A$44:B140))),"")</f>
        <v/>
      </c>
      <c r="E140" s="267" t="str">
        <f>IFERROR(INDEX('Raw Data'!$N$2:$N$1038,_xlfn.AGGREGATE(15,3,('Raw Data'!$O$1:$O$1038=Invoice!$E$3)/('Raw Data'!$O$1:$O$1038=Invoice!$E$3)*(ROW('Raw Data'!$O$1:O1134)-ROW('Raw Data'!$O$1)),ROWS($A$44:B140))),"")</f>
        <v/>
      </c>
      <c r="F140" s="267"/>
      <c r="G140" s="37" t="str">
        <f>IFERROR(_xlfn.SINGLE(INDEX('Raw Data'!#REF!,_xlfn.AGGREGATE(15,3,('Raw Data'!$O$1:$O$1038=Invoice!$E$3)/('Raw Data'!$O$1:$O$1038=Invoice!$E$3)*(ROW('Raw Data'!$O$1:O1134)-ROW('Raw Data'!$O$1)),ROWS($A$44:E140)))),"")</f>
        <v/>
      </c>
    </row>
    <row r="141" spans="2:7" ht="30" customHeight="1">
      <c r="B141" s="31" t="str">
        <f>IFERROR(INDEX('Raw Data'!$P$2:$P$1038,_xlfn.AGGREGATE(15,3,('Raw Data'!$O$1:$O$1038=Invoice!$E$3)/('Raw Data'!$O$1:$O$1038=Invoice!$E$3)*(ROW('Raw Data'!$O$1:O1135)-ROW('Raw Data'!$O$1)),ROWS($A$44:A141))),"")</f>
        <v/>
      </c>
      <c r="C141" s="36" t="str">
        <f>IFERROR(INDEX('Raw Data'!$C$2:$C$1038,_xlfn.AGGREGATE(15,3,('Raw Data'!$O$1:$O$1038=Invoice!$E$3)/('Raw Data'!$O$1:$O$1038=Invoice!$E$3)*(ROW('Raw Data'!$O$1:O1135)-ROW('Raw Data'!$O$1)),ROWS($A$44:A141))),"")</f>
        <v/>
      </c>
      <c r="D141" s="36" t="str">
        <f>IFERROR(INDEX('Raw Data'!$R$2:$R$1038,_xlfn.AGGREGATE(15,3,('Raw Data'!$O$1:$O$1038=Invoice!$E$3)/('Raw Data'!$O$1:$O$1038=Invoice!$E$3)*(ROW('Raw Data'!$O$1:O1135)-ROW('Raw Data'!$O$1)),ROWS($A$44:B141))),"")</f>
        <v/>
      </c>
      <c r="E141" s="267" t="str">
        <f>IFERROR(INDEX('Raw Data'!$N$2:$N$1038,_xlfn.AGGREGATE(15,3,('Raw Data'!$O$1:$O$1038=Invoice!$E$3)/('Raw Data'!$O$1:$O$1038=Invoice!$E$3)*(ROW('Raw Data'!$O$1:O1135)-ROW('Raw Data'!$O$1)),ROWS($A$44:B141))),"")</f>
        <v/>
      </c>
      <c r="F141" s="267"/>
      <c r="G141" s="37" t="str">
        <f>IFERROR(_xlfn.SINGLE(INDEX('Raw Data'!#REF!,_xlfn.AGGREGATE(15,3,('Raw Data'!$O$1:$O$1038=Invoice!$E$3)/('Raw Data'!$O$1:$O$1038=Invoice!$E$3)*(ROW('Raw Data'!$O$1:O1135)-ROW('Raw Data'!$O$1)),ROWS($A$44:E141)))),"")</f>
        <v/>
      </c>
    </row>
    <row r="142" spans="2:7" ht="30" customHeight="1">
      <c r="B142" s="31" t="str">
        <f>IFERROR(INDEX('Raw Data'!$P$2:$P$1038,_xlfn.AGGREGATE(15,3,('Raw Data'!$O$1:$O$1038=Invoice!$E$3)/('Raw Data'!$O$1:$O$1038=Invoice!$E$3)*(ROW('Raw Data'!$O$1:O1136)-ROW('Raw Data'!$O$1)),ROWS($A$44:A142))),"")</f>
        <v/>
      </c>
      <c r="C142" s="36" t="str">
        <f>IFERROR(INDEX('Raw Data'!$C$2:$C$1038,_xlfn.AGGREGATE(15,3,('Raw Data'!$O$1:$O$1038=Invoice!$E$3)/('Raw Data'!$O$1:$O$1038=Invoice!$E$3)*(ROW('Raw Data'!$O$1:O1136)-ROW('Raw Data'!$O$1)),ROWS($A$44:A142))),"")</f>
        <v/>
      </c>
      <c r="D142" s="36" t="str">
        <f>IFERROR(INDEX('Raw Data'!$R$2:$R$1038,_xlfn.AGGREGATE(15,3,('Raw Data'!$O$1:$O$1038=Invoice!$E$3)/('Raw Data'!$O$1:$O$1038=Invoice!$E$3)*(ROW('Raw Data'!$O$1:O1136)-ROW('Raw Data'!$O$1)),ROWS($A$44:B142))),"")</f>
        <v/>
      </c>
      <c r="E142" s="267" t="str">
        <f>IFERROR(INDEX('Raw Data'!$N$2:$N$1038,_xlfn.AGGREGATE(15,3,('Raw Data'!$O$1:$O$1038=Invoice!$E$3)/('Raw Data'!$O$1:$O$1038=Invoice!$E$3)*(ROW('Raw Data'!$O$1:O1136)-ROW('Raw Data'!$O$1)),ROWS($A$44:B142))),"")</f>
        <v/>
      </c>
      <c r="F142" s="267"/>
      <c r="G142" s="37" t="str">
        <f>IFERROR(_xlfn.SINGLE(INDEX('Raw Data'!#REF!,_xlfn.AGGREGATE(15,3,('Raw Data'!$O$1:$O$1038=Invoice!$E$3)/('Raw Data'!$O$1:$O$1038=Invoice!$E$3)*(ROW('Raw Data'!$O$1:O1136)-ROW('Raw Data'!$O$1)),ROWS($A$44:E142)))),"")</f>
        <v/>
      </c>
    </row>
    <row r="143" spans="2:7" ht="30" customHeight="1">
      <c r="B143" s="31" t="str">
        <f>IFERROR(INDEX('Raw Data'!$P$2:$P$1038,_xlfn.AGGREGATE(15,3,('Raw Data'!$O$1:$O$1038=Invoice!$E$3)/('Raw Data'!$O$1:$O$1038=Invoice!$E$3)*(ROW('Raw Data'!$O$1:O1137)-ROW('Raw Data'!$O$1)),ROWS($A$44:A143))),"")</f>
        <v/>
      </c>
      <c r="C143" s="36" t="str">
        <f>IFERROR(INDEX('Raw Data'!$C$2:$C$1038,_xlfn.AGGREGATE(15,3,('Raw Data'!$O$1:$O$1038=Invoice!$E$3)/('Raw Data'!$O$1:$O$1038=Invoice!$E$3)*(ROW('Raw Data'!$O$1:O1137)-ROW('Raw Data'!$O$1)),ROWS($A$44:A143))),"")</f>
        <v/>
      </c>
      <c r="D143" s="36" t="str">
        <f>IFERROR(INDEX('Raw Data'!$R$2:$R$1038,_xlfn.AGGREGATE(15,3,('Raw Data'!$O$1:$O$1038=Invoice!$E$3)/('Raw Data'!$O$1:$O$1038=Invoice!$E$3)*(ROW('Raw Data'!$O$1:O1137)-ROW('Raw Data'!$O$1)),ROWS($A$44:B143))),"")</f>
        <v/>
      </c>
      <c r="E143" s="267" t="str">
        <f>IFERROR(INDEX('Raw Data'!$N$2:$N$1038,_xlfn.AGGREGATE(15,3,('Raw Data'!$O$1:$O$1038=Invoice!$E$3)/('Raw Data'!$O$1:$O$1038=Invoice!$E$3)*(ROW('Raw Data'!$O$1:O1137)-ROW('Raw Data'!$O$1)),ROWS($A$44:B143))),"")</f>
        <v/>
      </c>
      <c r="F143" s="267"/>
      <c r="G143" s="37" t="str">
        <f>IFERROR(_xlfn.SINGLE(INDEX('Raw Data'!#REF!,_xlfn.AGGREGATE(15,3,('Raw Data'!$O$1:$O$1038=Invoice!$E$3)/('Raw Data'!$O$1:$O$1038=Invoice!$E$3)*(ROW('Raw Data'!$O$1:O1137)-ROW('Raw Data'!$O$1)),ROWS($A$44:E143)))),"")</f>
        <v/>
      </c>
    </row>
    <row r="144" spans="2:7" ht="30" customHeight="1">
      <c r="B144" s="31" t="str">
        <f>IFERROR(INDEX('Raw Data'!$P$2:$P$1038,_xlfn.AGGREGATE(15,3,('Raw Data'!$O$1:$O$1038=Invoice!$E$3)/('Raw Data'!$O$1:$O$1038=Invoice!$E$3)*(ROW('Raw Data'!$O$1:O1138)-ROW('Raw Data'!$O$1)),ROWS($A$44:A144))),"")</f>
        <v/>
      </c>
      <c r="C144" s="36" t="str">
        <f>IFERROR(INDEX('Raw Data'!$C$2:$C$1038,_xlfn.AGGREGATE(15,3,('Raw Data'!$O$1:$O$1038=Invoice!$E$3)/('Raw Data'!$O$1:$O$1038=Invoice!$E$3)*(ROW('Raw Data'!$O$1:O1138)-ROW('Raw Data'!$O$1)),ROWS($A$44:A144))),"")</f>
        <v/>
      </c>
      <c r="D144" s="36" t="str">
        <f>IFERROR(INDEX('Raw Data'!$R$2:$R$1038,_xlfn.AGGREGATE(15,3,('Raw Data'!$O$1:$O$1038=Invoice!$E$3)/('Raw Data'!$O$1:$O$1038=Invoice!$E$3)*(ROW('Raw Data'!$O$1:O1138)-ROW('Raw Data'!$O$1)),ROWS($A$44:B144))),"")</f>
        <v/>
      </c>
      <c r="E144" s="267" t="str">
        <f>IFERROR(INDEX('Raw Data'!$N$2:$N$1038,_xlfn.AGGREGATE(15,3,('Raw Data'!$O$1:$O$1038=Invoice!$E$3)/('Raw Data'!$O$1:$O$1038=Invoice!$E$3)*(ROW('Raw Data'!$O$1:O1138)-ROW('Raw Data'!$O$1)),ROWS($A$44:B144))),"")</f>
        <v/>
      </c>
      <c r="F144" s="267"/>
      <c r="G144" s="37" t="str">
        <f>IFERROR(_xlfn.SINGLE(INDEX('Raw Data'!#REF!,_xlfn.AGGREGATE(15,3,('Raw Data'!$O$1:$O$1038=Invoice!$E$3)/('Raw Data'!$O$1:$O$1038=Invoice!$E$3)*(ROW('Raw Data'!$O$1:O1138)-ROW('Raw Data'!$O$1)),ROWS($A$44:E144)))),"")</f>
        <v/>
      </c>
    </row>
    <row r="145" spans="2:7" ht="30" customHeight="1">
      <c r="B145" s="31" t="str">
        <f>IFERROR(INDEX('Raw Data'!$P$2:$P$1038,_xlfn.AGGREGATE(15,3,('Raw Data'!$O$1:$O$1038=Invoice!$E$3)/('Raw Data'!$O$1:$O$1038=Invoice!$E$3)*(ROW('Raw Data'!$O$1:O1139)-ROW('Raw Data'!$O$1)),ROWS($A$44:A145))),"")</f>
        <v/>
      </c>
      <c r="C145" s="36" t="str">
        <f>IFERROR(INDEX('Raw Data'!$C$2:$C$1038,_xlfn.AGGREGATE(15,3,('Raw Data'!$O$1:$O$1038=Invoice!$E$3)/('Raw Data'!$O$1:$O$1038=Invoice!$E$3)*(ROW('Raw Data'!$O$1:O1139)-ROW('Raw Data'!$O$1)),ROWS($A$44:A145))),"")</f>
        <v/>
      </c>
      <c r="D145" s="36" t="str">
        <f>IFERROR(INDEX('Raw Data'!$R$2:$R$1038,_xlfn.AGGREGATE(15,3,('Raw Data'!$O$1:$O$1038=Invoice!$E$3)/('Raw Data'!$O$1:$O$1038=Invoice!$E$3)*(ROW('Raw Data'!$O$1:O1139)-ROW('Raw Data'!$O$1)),ROWS($A$44:B145))),"")</f>
        <v/>
      </c>
      <c r="E145" s="267" t="str">
        <f>IFERROR(INDEX('Raw Data'!$N$2:$N$1038,_xlfn.AGGREGATE(15,3,('Raw Data'!$O$1:$O$1038=Invoice!$E$3)/('Raw Data'!$O$1:$O$1038=Invoice!$E$3)*(ROW('Raw Data'!$O$1:O1139)-ROW('Raw Data'!$O$1)),ROWS($A$44:B145))),"")</f>
        <v/>
      </c>
      <c r="F145" s="267"/>
      <c r="G145" s="37" t="str">
        <f>IFERROR(_xlfn.SINGLE(INDEX('Raw Data'!#REF!,_xlfn.AGGREGATE(15,3,('Raw Data'!$O$1:$O$1038=Invoice!$E$3)/('Raw Data'!$O$1:$O$1038=Invoice!$E$3)*(ROW('Raw Data'!$O$1:O1139)-ROW('Raw Data'!$O$1)),ROWS($A$44:E145)))),"")</f>
        <v/>
      </c>
    </row>
    <row r="146" spans="2:7" ht="30" customHeight="1">
      <c r="B146" s="31" t="str">
        <f>IFERROR(INDEX('Raw Data'!$P$2:$P$1038,_xlfn.AGGREGATE(15,3,('Raw Data'!$O$1:$O$1038=Invoice!$E$3)/('Raw Data'!$O$1:$O$1038=Invoice!$E$3)*(ROW('Raw Data'!$O$1:O1140)-ROW('Raw Data'!$O$1)),ROWS($A$44:A146))),"")</f>
        <v/>
      </c>
      <c r="C146" s="36" t="str">
        <f>IFERROR(INDEX('Raw Data'!$C$2:$C$1038,_xlfn.AGGREGATE(15,3,('Raw Data'!$O$1:$O$1038=Invoice!$E$3)/('Raw Data'!$O$1:$O$1038=Invoice!$E$3)*(ROW('Raw Data'!$O$1:O1140)-ROW('Raw Data'!$O$1)),ROWS($A$44:A146))),"")</f>
        <v/>
      </c>
      <c r="D146" s="36" t="str">
        <f>IFERROR(INDEX('Raw Data'!$R$2:$R$1038,_xlfn.AGGREGATE(15,3,('Raw Data'!$O$1:$O$1038=Invoice!$E$3)/('Raw Data'!$O$1:$O$1038=Invoice!$E$3)*(ROW('Raw Data'!$O$1:O1140)-ROW('Raw Data'!$O$1)),ROWS($A$44:B146))),"")</f>
        <v/>
      </c>
      <c r="E146" s="267" t="str">
        <f>IFERROR(INDEX('Raw Data'!$N$2:$N$1038,_xlfn.AGGREGATE(15,3,('Raw Data'!$O$1:$O$1038=Invoice!$E$3)/('Raw Data'!$O$1:$O$1038=Invoice!$E$3)*(ROW('Raw Data'!$O$1:O1140)-ROW('Raw Data'!$O$1)),ROWS($A$44:B146))),"")</f>
        <v/>
      </c>
      <c r="F146" s="267"/>
      <c r="G146" s="37" t="str">
        <f>IFERROR(_xlfn.SINGLE(INDEX('Raw Data'!#REF!,_xlfn.AGGREGATE(15,3,('Raw Data'!$O$1:$O$1038=Invoice!$E$3)/('Raw Data'!$O$1:$O$1038=Invoice!$E$3)*(ROW('Raw Data'!$O$1:O1140)-ROW('Raw Data'!$O$1)),ROWS($A$44:E146)))),"")</f>
        <v/>
      </c>
    </row>
    <row r="147" spans="2:7" ht="30" customHeight="1">
      <c r="B147" s="31" t="str">
        <f>IFERROR(INDEX('Raw Data'!$P$2:$P$1038,_xlfn.AGGREGATE(15,3,('Raw Data'!$O$1:$O$1038=Invoice!$E$3)/('Raw Data'!$O$1:$O$1038=Invoice!$E$3)*(ROW('Raw Data'!$O$1:O1141)-ROW('Raw Data'!$O$1)),ROWS($A$44:A147))),"")</f>
        <v/>
      </c>
      <c r="C147" s="36" t="str">
        <f>IFERROR(INDEX('Raw Data'!$C$2:$C$1038,_xlfn.AGGREGATE(15,3,('Raw Data'!$O$1:$O$1038=Invoice!$E$3)/('Raw Data'!$O$1:$O$1038=Invoice!$E$3)*(ROW('Raw Data'!$O$1:O1141)-ROW('Raw Data'!$O$1)),ROWS($A$44:A147))),"")</f>
        <v/>
      </c>
      <c r="D147" s="36" t="str">
        <f>IFERROR(INDEX('Raw Data'!$R$2:$R$1038,_xlfn.AGGREGATE(15,3,('Raw Data'!$O$1:$O$1038=Invoice!$E$3)/('Raw Data'!$O$1:$O$1038=Invoice!$E$3)*(ROW('Raw Data'!$O$1:O1141)-ROW('Raw Data'!$O$1)),ROWS($A$44:B147))),"")</f>
        <v/>
      </c>
      <c r="E147" s="267" t="str">
        <f>IFERROR(INDEX('Raw Data'!$N$2:$N$1038,_xlfn.AGGREGATE(15,3,('Raw Data'!$O$1:$O$1038=Invoice!$E$3)/('Raw Data'!$O$1:$O$1038=Invoice!$E$3)*(ROW('Raw Data'!$O$1:O1141)-ROW('Raw Data'!$O$1)),ROWS($A$44:B147))),"")</f>
        <v/>
      </c>
      <c r="F147" s="267"/>
      <c r="G147" s="37" t="str">
        <f>IFERROR(_xlfn.SINGLE(INDEX('Raw Data'!#REF!,_xlfn.AGGREGATE(15,3,('Raw Data'!$O$1:$O$1038=Invoice!$E$3)/('Raw Data'!$O$1:$O$1038=Invoice!$E$3)*(ROW('Raw Data'!$O$1:O1141)-ROW('Raw Data'!$O$1)),ROWS($A$44:E147)))),"")</f>
        <v/>
      </c>
    </row>
    <row r="148" spans="2:7" ht="30" customHeight="1">
      <c r="B148" s="31" t="str">
        <f>IFERROR(INDEX('Raw Data'!$P$2:$P$1038,_xlfn.AGGREGATE(15,3,('Raw Data'!$O$1:$O$1038=Invoice!$E$3)/('Raw Data'!$O$1:$O$1038=Invoice!$E$3)*(ROW('Raw Data'!$O$1:O1142)-ROW('Raw Data'!$O$1)),ROWS($A$44:A148))),"")</f>
        <v/>
      </c>
      <c r="C148" s="36" t="str">
        <f>IFERROR(INDEX('Raw Data'!$C$2:$C$1038,_xlfn.AGGREGATE(15,3,('Raw Data'!$O$1:$O$1038=Invoice!$E$3)/('Raw Data'!$O$1:$O$1038=Invoice!$E$3)*(ROW('Raw Data'!$O$1:O1142)-ROW('Raw Data'!$O$1)),ROWS($A$44:A148))),"")</f>
        <v/>
      </c>
      <c r="D148" s="36" t="str">
        <f>IFERROR(INDEX('Raw Data'!$R$2:$R$1038,_xlfn.AGGREGATE(15,3,('Raw Data'!$O$1:$O$1038=Invoice!$E$3)/('Raw Data'!$O$1:$O$1038=Invoice!$E$3)*(ROW('Raw Data'!$O$1:O1142)-ROW('Raw Data'!$O$1)),ROWS($A$44:B148))),"")</f>
        <v/>
      </c>
      <c r="E148" s="267" t="str">
        <f>IFERROR(INDEX('Raw Data'!$N$2:$N$1038,_xlfn.AGGREGATE(15,3,('Raw Data'!$O$1:$O$1038=Invoice!$E$3)/('Raw Data'!$O$1:$O$1038=Invoice!$E$3)*(ROW('Raw Data'!$O$1:O1142)-ROW('Raw Data'!$O$1)),ROWS($A$44:B148))),"")</f>
        <v/>
      </c>
      <c r="F148" s="267"/>
      <c r="G148" s="37" t="str">
        <f>IFERROR(_xlfn.SINGLE(INDEX('Raw Data'!#REF!,_xlfn.AGGREGATE(15,3,('Raw Data'!$O$1:$O$1038=Invoice!$E$3)/('Raw Data'!$O$1:$O$1038=Invoice!$E$3)*(ROW('Raw Data'!$O$1:O1142)-ROW('Raw Data'!$O$1)),ROWS($A$44:E148)))),"")</f>
        <v/>
      </c>
    </row>
    <row r="149" spans="2:7" ht="30" customHeight="1">
      <c r="B149" s="31" t="str">
        <f>IFERROR(INDEX('Raw Data'!$P$2:$P$1038,_xlfn.AGGREGATE(15,3,('Raw Data'!$O$1:$O$1038=Invoice!$E$3)/('Raw Data'!$O$1:$O$1038=Invoice!$E$3)*(ROW('Raw Data'!$O$1:O1143)-ROW('Raw Data'!$O$1)),ROWS($A$44:A149))),"")</f>
        <v/>
      </c>
      <c r="C149" s="36" t="str">
        <f>IFERROR(INDEX('Raw Data'!$C$2:$C$1038,_xlfn.AGGREGATE(15,3,('Raw Data'!$O$1:$O$1038=Invoice!$E$3)/('Raw Data'!$O$1:$O$1038=Invoice!$E$3)*(ROW('Raw Data'!$O$1:O1143)-ROW('Raw Data'!$O$1)),ROWS($A$44:A149))),"")</f>
        <v/>
      </c>
      <c r="D149" s="36" t="str">
        <f>IFERROR(INDEX('Raw Data'!$R$2:$R$1038,_xlfn.AGGREGATE(15,3,('Raw Data'!$O$1:$O$1038=Invoice!$E$3)/('Raw Data'!$O$1:$O$1038=Invoice!$E$3)*(ROW('Raw Data'!$O$1:O1143)-ROW('Raw Data'!$O$1)),ROWS($A$44:B149))),"")</f>
        <v/>
      </c>
      <c r="E149" s="267" t="str">
        <f>IFERROR(INDEX('Raw Data'!$N$2:$N$1038,_xlfn.AGGREGATE(15,3,('Raw Data'!$O$1:$O$1038=Invoice!$E$3)/('Raw Data'!$O$1:$O$1038=Invoice!$E$3)*(ROW('Raw Data'!$O$1:O1143)-ROW('Raw Data'!$O$1)),ROWS($A$44:B149))),"")</f>
        <v/>
      </c>
      <c r="F149" s="267"/>
      <c r="G149" s="37" t="str">
        <f>IFERROR(_xlfn.SINGLE(INDEX('Raw Data'!#REF!,_xlfn.AGGREGATE(15,3,('Raw Data'!$O$1:$O$1038=Invoice!$E$3)/('Raw Data'!$O$1:$O$1038=Invoice!$E$3)*(ROW('Raw Data'!$O$1:O1143)-ROW('Raw Data'!$O$1)),ROWS($A$44:E149)))),"")</f>
        <v/>
      </c>
    </row>
    <row r="150" spans="2:7" ht="30" customHeight="1">
      <c r="B150" s="31" t="str">
        <f>IFERROR(INDEX('Raw Data'!$P$2:$P$1038,_xlfn.AGGREGATE(15,3,('Raw Data'!$O$1:$O$1038=Invoice!$E$3)/('Raw Data'!$O$1:$O$1038=Invoice!$E$3)*(ROW('Raw Data'!$O$1:O1144)-ROW('Raw Data'!$O$1)),ROWS($A$44:A150))),"")</f>
        <v/>
      </c>
      <c r="C150" s="36" t="str">
        <f>IFERROR(INDEX('Raw Data'!$C$2:$C$1038,_xlfn.AGGREGATE(15,3,('Raw Data'!$O$1:$O$1038=Invoice!$E$3)/('Raw Data'!$O$1:$O$1038=Invoice!$E$3)*(ROW('Raw Data'!$O$1:O1144)-ROW('Raw Data'!$O$1)),ROWS($A$44:A150))),"")</f>
        <v/>
      </c>
      <c r="D150" s="36" t="str">
        <f>IFERROR(INDEX('Raw Data'!$R$2:$R$1038,_xlfn.AGGREGATE(15,3,('Raw Data'!$O$1:$O$1038=Invoice!$E$3)/('Raw Data'!$O$1:$O$1038=Invoice!$E$3)*(ROW('Raw Data'!$O$1:O1144)-ROW('Raw Data'!$O$1)),ROWS($A$44:B150))),"")</f>
        <v/>
      </c>
      <c r="E150" s="267" t="str">
        <f>IFERROR(INDEX('Raw Data'!$N$2:$N$1038,_xlfn.AGGREGATE(15,3,('Raw Data'!$O$1:$O$1038=Invoice!$E$3)/('Raw Data'!$O$1:$O$1038=Invoice!$E$3)*(ROW('Raw Data'!$O$1:O1144)-ROW('Raw Data'!$O$1)),ROWS($A$44:B150))),"")</f>
        <v/>
      </c>
      <c r="F150" s="267"/>
      <c r="G150" s="37" t="str">
        <f>IFERROR(_xlfn.SINGLE(INDEX('Raw Data'!#REF!,_xlfn.AGGREGATE(15,3,('Raw Data'!$O$1:$O$1038=Invoice!$E$3)/('Raw Data'!$O$1:$O$1038=Invoice!$E$3)*(ROW('Raw Data'!$O$1:O1144)-ROW('Raw Data'!$O$1)),ROWS($A$44:E150)))),"")</f>
        <v/>
      </c>
    </row>
    <row r="151" spans="2:7" ht="30" customHeight="1">
      <c r="B151" s="31" t="str">
        <f>IFERROR(INDEX('Raw Data'!$P$2:$P$1038,_xlfn.AGGREGATE(15,3,('Raw Data'!$O$1:$O$1038=Invoice!$E$3)/('Raw Data'!$O$1:$O$1038=Invoice!$E$3)*(ROW('Raw Data'!$O$1:O1145)-ROW('Raw Data'!$O$1)),ROWS($A$44:A151))),"")</f>
        <v/>
      </c>
      <c r="C151" s="36" t="str">
        <f>IFERROR(INDEX('Raw Data'!$C$2:$C$1038,_xlfn.AGGREGATE(15,3,('Raw Data'!$O$1:$O$1038=Invoice!$E$3)/('Raw Data'!$O$1:$O$1038=Invoice!$E$3)*(ROW('Raw Data'!$O$1:O1145)-ROW('Raw Data'!$O$1)),ROWS($A$44:A151))),"")</f>
        <v/>
      </c>
      <c r="D151" s="36" t="str">
        <f>IFERROR(INDEX('Raw Data'!$R$2:$R$1038,_xlfn.AGGREGATE(15,3,('Raw Data'!$O$1:$O$1038=Invoice!$E$3)/('Raw Data'!$O$1:$O$1038=Invoice!$E$3)*(ROW('Raw Data'!$O$1:O1145)-ROW('Raw Data'!$O$1)),ROWS($A$44:B151))),"")</f>
        <v/>
      </c>
      <c r="E151" s="267" t="str">
        <f>IFERROR(INDEX('Raw Data'!$N$2:$N$1038,_xlfn.AGGREGATE(15,3,('Raw Data'!$O$1:$O$1038=Invoice!$E$3)/('Raw Data'!$O$1:$O$1038=Invoice!$E$3)*(ROW('Raw Data'!$O$1:O1145)-ROW('Raw Data'!$O$1)),ROWS($A$44:B151))),"")</f>
        <v/>
      </c>
      <c r="F151" s="267"/>
      <c r="G151" s="37" t="str">
        <f>IFERROR(_xlfn.SINGLE(INDEX('Raw Data'!#REF!,_xlfn.AGGREGATE(15,3,('Raw Data'!$O$1:$O$1038=Invoice!$E$3)/('Raw Data'!$O$1:$O$1038=Invoice!$E$3)*(ROW('Raw Data'!$O$1:O1145)-ROW('Raw Data'!$O$1)),ROWS($A$44:E151)))),"")</f>
        <v/>
      </c>
    </row>
    <row r="152" spans="2:7" ht="30" customHeight="1">
      <c r="B152" s="31" t="str">
        <f>IFERROR(INDEX('Raw Data'!$P$2:$P$1038,_xlfn.AGGREGATE(15,3,('Raw Data'!$O$1:$O$1038=Invoice!$E$3)/('Raw Data'!$O$1:$O$1038=Invoice!$E$3)*(ROW('Raw Data'!$O$1:O1146)-ROW('Raw Data'!$O$1)),ROWS($A$44:A152))),"")</f>
        <v/>
      </c>
      <c r="C152" s="36" t="str">
        <f>IFERROR(INDEX('Raw Data'!$C$2:$C$1038,_xlfn.AGGREGATE(15,3,('Raw Data'!$O$1:$O$1038=Invoice!$E$3)/('Raw Data'!$O$1:$O$1038=Invoice!$E$3)*(ROW('Raw Data'!$O$1:O1146)-ROW('Raw Data'!$O$1)),ROWS($A$44:A152))),"")</f>
        <v/>
      </c>
      <c r="D152" s="36" t="str">
        <f>IFERROR(INDEX('Raw Data'!$R$2:$R$1038,_xlfn.AGGREGATE(15,3,('Raw Data'!$O$1:$O$1038=Invoice!$E$3)/('Raw Data'!$O$1:$O$1038=Invoice!$E$3)*(ROW('Raw Data'!$O$1:O1146)-ROW('Raw Data'!$O$1)),ROWS($A$44:B152))),"")</f>
        <v/>
      </c>
      <c r="E152" s="267" t="str">
        <f>IFERROR(INDEX('Raw Data'!$N$2:$N$1038,_xlfn.AGGREGATE(15,3,('Raw Data'!$O$1:$O$1038=Invoice!$E$3)/('Raw Data'!$O$1:$O$1038=Invoice!$E$3)*(ROW('Raw Data'!$O$1:O1146)-ROW('Raw Data'!$O$1)),ROWS($A$44:B152))),"")</f>
        <v/>
      </c>
      <c r="F152" s="267"/>
      <c r="G152" s="37" t="str">
        <f>IFERROR(_xlfn.SINGLE(INDEX('Raw Data'!#REF!,_xlfn.AGGREGATE(15,3,('Raw Data'!$O$1:$O$1038=Invoice!$E$3)/('Raw Data'!$O$1:$O$1038=Invoice!$E$3)*(ROW('Raw Data'!$O$1:O1146)-ROW('Raw Data'!$O$1)),ROWS($A$44:E152)))),"")</f>
        <v/>
      </c>
    </row>
    <row r="153" spans="2:7" ht="30" customHeight="1">
      <c r="B153" s="31" t="str">
        <f>IFERROR(INDEX('Raw Data'!$P$2:$P$1038,_xlfn.AGGREGATE(15,3,('Raw Data'!$O$1:$O$1038=Invoice!$E$3)/('Raw Data'!$O$1:$O$1038=Invoice!$E$3)*(ROW('Raw Data'!$O$1:O1147)-ROW('Raw Data'!$O$1)),ROWS($A$44:A153))),"")</f>
        <v/>
      </c>
      <c r="C153" s="36" t="str">
        <f>IFERROR(INDEX('Raw Data'!$C$2:$C$1038,_xlfn.AGGREGATE(15,3,('Raw Data'!$O$1:$O$1038=Invoice!$E$3)/('Raw Data'!$O$1:$O$1038=Invoice!$E$3)*(ROW('Raw Data'!$O$1:O1147)-ROW('Raw Data'!$O$1)),ROWS($A$44:A153))),"")</f>
        <v/>
      </c>
      <c r="D153" s="36" t="str">
        <f>IFERROR(INDEX('Raw Data'!$R$2:$R$1038,_xlfn.AGGREGATE(15,3,('Raw Data'!$O$1:$O$1038=Invoice!$E$3)/('Raw Data'!$O$1:$O$1038=Invoice!$E$3)*(ROW('Raw Data'!$O$1:O1147)-ROW('Raw Data'!$O$1)),ROWS($A$44:B153))),"")</f>
        <v/>
      </c>
      <c r="E153" s="267" t="str">
        <f>IFERROR(INDEX('Raw Data'!$N$2:$N$1038,_xlfn.AGGREGATE(15,3,('Raw Data'!$O$1:$O$1038=Invoice!$E$3)/('Raw Data'!$O$1:$O$1038=Invoice!$E$3)*(ROW('Raw Data'!$O$1:O1147)-ROW('Raw Data'!$O$1)),ROWS($A$44:B153))),"")</f>
        <v/>
      </c>
      <c r="F153" s="267"/>
      <c r="G153" s="37" t="str">
        <f>IFERROR(_xlfn.SINGLE(INDEX('Raw Data'!#REF!,_xlfn.AGGREGATE(15,3,('Raw Data'!$O$1:$O$1038=Invoice!$E$3)/('Raw Data'!$O$1:$O$1038=Invoice!$E$3)*(ROW('Raw Data'!$O$1:O1147)-ROW('Raw Data'!$O$1)),ROWS($A$44:E153)))),"")</f>
        <v/>
      </c>
    </row>
    <row r="154" spans="2:7" ht="30" customHeight="1">
      <c r="B154" s="31" t="str">
        <f>IFERROR(INDEX('Raw Data'!$P$2:$P$1038,_xlfn.AGGREGATE(15,3,('Raw Data'!$O$1:$O$1038=Invoice!$E$3)/('Raw Data'!$O$1:$O$1038=Invoice!$E$3)*(ROW('Raw Data'!$O$1:O1148)-ROW('Raw Data'!$O$1)),ROWS($A$44:A154))),"")</f>
        <v/>
      </c>
      <c r="C154" s="36" t="str">
        <f>IFERROR(INDEX('Raw Data'!$C$2:$C$1038,_xlfn.AGGREGATE(15,3,('Raw Data'!$O$1:$O$1038=Invoice!$E$3)/('Raw Data'!$O$1:$O$1038=Invoice!$E$3)*(ROW('Raw Data'!$O$1:O1148)-ROW('Raw Data'!$O$1)),ROWS($A$44:A154))),"")</f>
        <v/>
      </c>
      <c r="D154" s="36" t="str">
        <f>IFERROR(INDEX('Raw Data'!$R$2:$R$1038,_xlfn.AGGREGATE(15,3,('Raw Data'!$O$1:$O$1038=Invoice!$E$3)/('Raw Data'!$O$1:$O$1038=Invoice!$E$3)*(ROW('Raw Data'!$O$1:O1148)-ROW('Raw Data'!$O$1)),ROWS($A$44:B154))),"")</f>
        <v/>
      </c>
      <c r="E154" s="267" t="str">
        <f>IFERROR(INDEX('Raw Data'!$N$2:$N$1038,_xlfn.AGGREGATE(15,3,('Raw Data'!$O$1:$O$1038=Invoice!$E$3)/('Raw Data'!$O$1:$O$1038=Invoice!$E$3)*(ROW('Raw Data'!$O$1:O1148)-ROW('Raw Data'!$O$1)),ROWS($A$44:B154))),"")</f>
        <v/>
      </c>
      <c r="F154" s="267"/>
      <c r="G154" s="37" t="str">
        <f>IFERROR(_xlfn.SINGLE(INDEX('Raw Data'!#REF!,_xlfn.AGGREGATE(15,3,('Raw Data'!$O$1:$O$1038=Invoice!$E$3)/('Raw Data'!$O$1:$O$1038=Invoice!$E$3)*(ROW('Raw Data'!$O$1:O1148)-ROW('Raw Data'!$O$1)),ROWS($A$44:E154)))),"")</f>
        <v/>
      </c>
    </row>
    <row r="155" spans="2:7" ht="30" customHeight="1">
      <c r="B155" s="31" t="str">
        <f>IFERROR(INDEX('Raw Data'!$P$2:$P$1038,_xlfn.AGGREGATE(15,3,('Raw Data'!$O$1:$O$1038=Invoice!$E$3)/('Raw Data'!$O$1:$O$1038=Invoice!$E$3)*(ROW('Raw Data'!$O$1:O1149)-ROW('Raw Data'!$O$1)),ROWS($A$44:A155))),"")</f>
        <v/>
      </c>
      <c r="C155" s="36" t="str">
        <f>IFERROR(INDEX('Raw Data'!$C$2:$C$1038,_xlfn.AGGREGATE(15,3,('Raw Data'!$O$1:$O$1038=Invoice!$E$3)/('Raw Data'!$O$1:$O$1038=Invoice!$E$3)*(ROW('Raw Data'!$O$1:O1149)-ROW('Raw Data'!$O$1)),ROWS($A$44:A155))),"")</f>
        <v/>
      </c>
      <c r="D155" s="36" t="str">
        <f>IFERROR(INDEX('Raw Data'!$R$2:$R$1038,_xlfn.AGGREGATE(15,3,('Raw Data'!$O$1:$O$1038=Invoice!$E$3)/('Raw Data'!$O$1:$O$1038=Invoice!$E$3)*(ROW('Raw Data'!$O$1:O1149)-ROW('Raw Data'!$O$1)),ROWS($A$44:B155))),"")</f>
        <v/>
      </c>
      <c r="E155" s="267" t="str">
        <f>IFERROR(INDEX('Raw Data'!$N$2:$N$1038,_xlfn.AGGREGATE(15,3,('Raw Data'!$O$1:$O$1038=Invoice!$E$3)/('Raw Data'!$O$1:$O$1038=Invoice!$E$3)*(ROW('Raw Data'!$O$1:O1149)-ROW('Raw Data'!$O$1)),ROWS($A$44:B155))),"")</f>
        <v/>
      </c>
      <c r="F155" s="267"/>
      <c r="G155" s="37" t="str">
        <f>IFERROR(_xlfn.SINGLE(INDEX('Raw Data'!#REF!,_xlfn.AGGREGATE(15,3,('Raw Data'!$O$1:$O$1038=Invoice!$E$3)/('Raw Data'!$O$1:$O$1038=Invoice!$E$3)*(ROW('Raw Data'!$O$1:O1149)-ROW('Raw Data'!$O$1)),ROWS($A$44:E155)))),"")</f>
        <v/>
      </c>
    </row>
    <row r="156" spans="2:7" ht="30" customHeight="1">
      <c r="B156" s="31" t="str">
        <f>IFERROR(INDEX('Raw Data'!$P$2:$P$1038,_xlfn.AGGREGATE(15,3,('Raw Data'!$O$1:$O$1038=Invoice!$E$3)/('Raw Data'!$O$1:$O$1038=Invoice!$E$3)*(ROW('Raw Data'!$O$1:O1150)-ROW('Raw Data'!$O$1)),ROWS($A$44:A156))),"")</f>
        <v/>
      </c>
      <c r="C156" s="36" t="str">
        <f>IFERROR(INDEX('Raw Data'!$C$2:$C$1038,_xlfn.AGGREGATE(15,3,('Raw Data'!$O$1:$O$1038=Invoice!$E$3)/('Raw Data'!$O$1:$O$1038=Invoice!$E$3)*(ROW('Raw Data'!$O$1:O1150)-ROW('Raw Data'!$O$1)),ROWS($A$44:A156))),"")</f>
        <v/>
      </c>
      <c r="D156" s="36" t="str">
        <f>IFERROR(INDEX('Raw Data'!$R$2:$R$1038,_xlfn.AGGREGATE(15,3,('Raw Data'!$O$1:$O$1038=Invoice!$E$3)/('Raw Data'!$O$1:$O$1038=Invoice!$E$3)*(ROW('Raw Data'!$O$1:O1150)-ROW('Raw Data'!$O$1)),ROWS($A$44:B156))),"")</f>
        <v/>
      </c>
      <c r="E156" s="267" t="str">
        <f>IFERROR(INDEX('Raw Data'!$N$2:$N$1038,_xlfn.AGGREGATE(15,3,('Raw Data'!$O$1:$O$1038=Invoice!$E$3)/('Raw Data'!$O$1:$O$1038=Invoice!$E$3)*(ROW('Raw Data'!$O$1:O1150)-ROW('Raw Data'!$O$1)),ROWS($A$44:B156))),"")</f>
        <v/>
      </c>
      <c r="F156" s="267"/>
      <c r="G156" s="37" t="str">
        <f>IFERROR(_xlfn.SINGLE(INDEX('Raw Data'!#REF!,_xlfn.AGGREGATE(15,3,('Raw Data'!$O$1:$O$1038=Invoice!$E$3)/('Raw Data'!$O$1:$O$1038=Invoice!$E$3)*(ROW('Raw Data'!$O$1:O1150)-ROW('Raw Data'!$O$1)),ROWS($A$44:E156)))),"")</f>
        <v/>
      </c>
    </row>
    <row r="157" spans="2:7" ht="30" customHeight="1">
      <c r="B157" s="31" t="str">
        <f>IFERROR(INDEX('Raw Data'!$P$2:$P$1038,_xlfn.AGGREGATE(15,3,('Raw Data'!$O$1:$O$1038=Invoice!$E$3)/('Raw Data'!$O$1:$O$1038=Invoice!$E$3)*(ROW('Raw Data'!$O$1:O1151)-ROW('Raw Data'!$O$1)),ROWS($A$44:A157))),"")</f>
        <v/>
      </c>
      <c r="C157" s="36" t="str">
        <f>IFERROR(INDEX('Raw Data'!$C$2:$C$1038,_xlfn.AGGREGATE(15,3,('Raw Data'!$O$1:$O$1038=Invoice!$E$3)/('Raw Data'!$O$1:$O$1038=Invoice!$E$3)*(ROW('Raw Data'!$O$1:O1151)-ROW('Raw Data'!$O$1)),ROWS($A$44:A157))),"")</f>
        <v/>
      </c>
      <c r="D157" s="36" t="str">
        <f>IFERROR(INDEX('Raw Data'!$R$2:$R$1038,_xlfn.AGGREGATE(15,3,('Raw Data'!$O$1:$O$1038=Invoice!$E$3)/('Raw Data'!$O$1:$O$1038=Invoice!$E$3)*(ROW('Raw Data'!$O$1:O1151)-ROW('Raw Data'!$O$1)),ROWS($A$44:B157))),"")</f>
        <v/>
      </c>
      <c r="E157" s="267" t="str">
        <f>IFERROR(INDEX('Raw Data'!$N$2:$N$1038,_xlfn.AGGREGATE(15,3,('Raw Data'!$O$1:$O$1038=Invoice!$E$3)/('Raw Data'!$O$1:$O$1038=Invoice!$E$3)*(ROW('Raw Data'!$O$1:O1151)-ROW('Raw Data'!$O$1)),ROWS($A$44:B157))),"")</f>
        <v/>
      </c>
      <c r="F157" s="267"/>
      <c r="G157" s="37" t="str">
        <f>IFERROR(_xlfn.SINGLE(INDEX('Raw Data'!#REF!,_xlfn.AGGREGATE(15,3,('Raw Data'!$O$1:$O$1038=Invoice!$E$3)/('Raw Data'!$O$1:$O$1038=Invoice!$E$3)*(ROW('Raw Data'!$O$1:O1151)-ROW('Raw Data'!$O$1)),ROWS($A$44:E157)))),"")</f>
        <v/>
      </c>
    </row>
    <row r="158" spans="2:7" ht="30" customHeight="1">
      <c r="B158" s="31" t="str">
        <f>IFERROR(INDEX('Raw Data'!$P$2:$P$1038,_xlfn.AGGREGATE(15,3,('Raw Data'!$O$1:$O$1038=Invoice!$E$3)/('Raw Data'!$O$1:$O$1038=Invoice!$E$3)*(ROW('Raw Data'!$O$1:O1152)-ROW('Raw Data'!$O$1)),ROWS($A$44:A158))),"")</f>
        <v/>
      </c>
      <c r="C158" s="36" t="str">
        <f>IFERROR(INDEX('Raw Data'!$C$2:$C$1038,_xlfn.AGGREGATE(15,3,('Raw Data'!$O$1:$O$1038=Invoice!$E$3)/('Raw Data'!$O$1:$O$1038=Invoice!$E$3)*(ROW('Raw Data'!$O$1:O1152)-ROW('Raw Data'!$O$1)),ROWS($A$44:A158))),"")</f>
        <v/>
      </c>
      <c r="D158" s="36" t="str">
        <f>IFERROR(INDEX('Raw Data'!$R$2:$R$1038,_xlfn.AGGREGATE(15,3,('Raw Data'!$O$1:$O$1038=Invoice!$E$3)/('Raw Data'!$O$1:$O$1038=Invoice!$E$3)*(ROW('Raw Data'!$O$1:O1152)-ROW('Raw Data'!$O$1)),ROWS($A$44:B158))),"")</f>
        <v/>
      </c>
      <c r="E158" s="267" t="str">
        <f>IFERROR(INDEX('Raw Data'!$N$2:$N$1038,_xlfn.AGGREGATE(15,3,('Raw Data'!$O$1:$O$1038=Invoice!$E$3)/('Raw Data'!$O$1:$O$1038=Invoice!$E$3)*(ROW('Raw Data'!$O$1:O1152)-ROW('Raw Data'!$O$1)),ROWS($A$44:B158))),"")</f>
        <v/>
      </c>
      <c r="F158" s="267"/>
      <c r="G158" s="37" t="str">
        <f>IFERROR(_xlfn.SINGLE(INDEX('Raw Data'!#REF!,_xlfn.AGGREGATE(15,3,('Raw Data'!$O$1:$O$1038=Invoice!$E$3)/('Raw Data'!$O$1:$O$1038=Invoice!$E$3)*(ROW('Raw Data'!$O$1:O1152)-ROW('Raw Data'!$O$1)),ROWS($A$44:E158)))),"")</f>
        <v/>
      </c>
    </row>
    <row r="159" spans="2:7" ht="30" customHeight="1">
      <c r="B159" s="31" t="str">
        <f>IFERROR(INDEX('Raw Data'!$P$2:$P$1038,_xlfn.AGGREGATE(15,3,('Raw Data'!$O$1:$O$1038=Invoice!$E$3)/('Raw Data'!$O$1:$O$1038=Invoice!$E$3)*(ROW('Raw Data'!$O$1:O1153)-ROW('Raw Data'!$O$1)),ROWS($A$44:A159))),"")</f>
        <v/>
      </c>
      <c r="C159" s="36" t="str">
        <f>IFERROR(INDEX('Raw Data'!$C$2:$C$1038,_xlfn.AGGREGATE(15,3,('Raw Data'!$O$1:$O$1038=Invoice!$E$3)/('Raw Data'!$O$1:$O$1038=Invoice!$E$3)*(ROW('Raw Data'!$O$1:O1153)-ROW('Raw Data'!$O$1)),ROWS($A$44:A159))),"")</f>
        <v/>
      </c>
      <c r="D159" s="36" t="str">
        <f>IFERROR(INDEX('Raw Data'!$R$2:$R$1038,_xlfn.AGGREGATE(15,3,('Raw Data'!$O$1:$O$1038=Invoice!$E$3)/('Raw Data'!$O$1:$O$1038=Invoice!$E$3)*(ROW('Raw Data'!$O$1:O1153)-ROW('Raw Data'!$O$1)),ROWS($A$44:B159))),"")</f>
        <v/>
      </c>
      <c r="E159" s="267" t="str">
        <f>IFERROR(INDEX('Raw Data'!$N$2:$N$1038,_xlfn.AGGREGATE(15,3,('Raw Data'!$O$1:$O$1038=Invoice!$E$3)/('Raw Data'!$O$1:$O$1038=Invoice!$E$3)*(ROW('Raw Data'!$O$1:O1153)-ROW('Raw Data'!$O$1)),ROWS($A$44:B159))),"")</f>
        <v/>
      </c>
      <c r="F159" s="267"/>
      <c r="G159" s="37" t="str">
        <f>IFERROR(_xlfn.SINGLE(INDEX('Raw Data'!#REF!,_xlfn.AGGREGATE(15,3,('Raw Data'!$O$1:$O$1038=Invoice!$E$3)/('Raw Data'!$O$1:$O$1038=Invoice!$E$3)*(ROW('Raw Data'!$O$1:O1153)-ROW('Raw Data'!$O$1)),ROWS($A$44:E159)))),"")</f>
        <v/>
      </c>
    </row>
    <row r="160" spans="2:7" ht="30" customHeight="1">
      <c r="B160" s="31" t="str">
        <f>IFERROR(INDEX('Raw Data'!$P$2:$P$1038,_xlfn.AGGREGATE(15,3,('Raw Data'!$O$1:$O$1038=Invoice!$E$3)/('Raw Data'!$O$1:$O$1038=Invoice!$E$3)*(ROW('Raw Data'!$O$1:O1154)-ROW('Raw Data'!$O$1)),ROWS($A$44:A160))),"")</f>
        <v/>
      </c>
      <c r="C160" s="36" t="str">
        <f>IFERROR(INDEX('Raw Data'!$C$2:$C$1038,_xlfn.AGGREGATE(15,3,('Raw Data'!$O$1:$O$1038=Invoice!$E$3)/('Raw Data'!$O$1:$O$1038=Invoice!$E$3)*(ROW('Raw Data'!$O$1:O1154)-ROW('Raw Data'!$O$1)),ROWS($A$44:A160))),"")</f>
        <v/>
      </c>
      <c r="D160" s="36" t="str">
        <f>IFERROR(INDEX('Raw Data'!$R$2:$R$1038,_xlfn.AGGREGATE(15,3,('Raw Data'!$O$1:$O$1038=Invoice!$E$3)/('Raw Data'!$O$1:$O$1038=Invoice!$E$3)*(ROW('Raw Data'!$O$1:O1154)-ROW('Raw Data'!$O$1)),ROWS($A$44:B160))),"")</f>
        <v/>
      </c>
      <c r="E160" s="267" t="str">
        <f>IFERROR(INDEX('Raw Data'!$N$2:$N$1038,_xlfn.AGGREGATE(15,3,('Raw Data'!$O$1:$O$1038=Invoice!$E$3)/('Raw Data'!$O$1:$O$1038=Invoice!$E$3)*(ROW('Raw Data'!$O$1:O1154)-ROW('Raw Data'!$O$1)),ROWS($A$44:B160))),"")</f>
        <v/>
      </c>
      <c r="F160" s="267"/>
      <c r="G160" s="37" t="str">
        <f>IFERROR(_xlfn.SINGLE(INDEX('Raw Data'!#REF!,_xlfn.AGGREGATE(15,3,('Raw Data'!$O$1:$O$1038=Invoice!$E$3)/('Raw Data'!$O$1:$O$1038=Invoice!$E$3)*(ROW('Raw Data'!$O$1:O1154)-ROW('Raw Data'!$O$1)),ROWS($A$44:E160)))),"")</f>
        <v/>
      </c>
    </row>
    <row r="161" spans="2:7" ht="30" customHeight="1">
      <c r="B161" s="31" t="str">
        <f>IFERROR(INDEX('Raw Data'!$P$2:$P$1038,_xlfn.AGGREGATE(15,3,('Raw Data'!$O$1:$O$1038=Invoice!$E$3)/('Raw Data'!$O$1:$O$1038=Invoice!$E$3)*(ROW('Raw Data'!$O$1:O1155)-ROW('Raw Data'!$O$1)),ROWS($A$44:A161))),"")</f>
        <v/>
      </c>
      <c r="C161" s="36" t="str">
        <f>IFERROR(INDEX('Raw Data'!$C$2:$C$1038,_xlfn.AGGREGATE(15,3,('Raw Data'!$O$1:$O$1038=Invoice!$E$3)/('Raw Data'!$O$1:$O$1038=Invoice!$E$3)*(ROW('Raw Data'!$O$1:O1155)-ROW('Raw Data'!$O$1)),ROWS($A$44:A161))),"")</f>
        <v/>
      </c>
      <c r="D161" s="36" t="str">
        <f>IFERROR(INDEX('Raw Data'!$R$2:$R$1038,_xlfn.AGGREGATE(15,3,('Raw Data'!$O$1:$O$1038=Invoice!$E$3)/('Raw Data'!$O$1:$O$1038=Invoice!$E$3)*(ROW('Raw Data'!$O$1:O1155)-ROW('Raw Data'!$O$1)),ROWS($A$44:B161))),"")</f>
        <v/>
      </c>
      <c r="E161" s="267" t="str">
        <f>IFERROR(INDEX('Raw Data'!$N$2:$N$1038,_xlfn.AGGREGATE(15,3,('Raw Data'!$O$1:$O$1038=Invoice!$E$3)/('Raw Data'!$O$1:$O$1038=Invoice!$E$3)*(ROW('Raw Data'!$O$1:O1155)-ROW('Raw Data'!$O$1)),ROWS($A$44:B161))),"")</f>
        <v/>
      </c>
      <c r="F161" s="267"/>
      <c r="G161" s="37" t="str">
        <f>IFERROR(_xlfn.SINGLE(INDEX('Raw Data'!#REF!,_xlfn.AGGREGATE(15,3,('Raw Data'!$O$1:$O$1038=Invoice!$E$3)/('Raw Data'!$O$1:$O$1038=Invoice!$E$3)*(ROW('Raw Data'!$O$1:O1155)-ROW('Raw Data'!$O$1)),ROWS($A$44:E161)))),"")</f>
        <v/>
      </c>
    </row>
    <row r="162" spans="2:7" ht="30" customHeight="1">
      <c r="B162" s="31" t="str">
        <f>IFERROR(INDEX('Raw Data'!$P$2:$P$1038,_xlfn.AGGREGATE(15,3,('Raw Data'!$O$1:$O$1038=Invoice!$E$3)/('Raw Data'!$O$1:$O$1038=Invoice!$E$3)*(ROW('Raw Data'!$O$1:O1156)-ROW('Raw Data'!$O$1)),ROWS($A$44:A162))),"")</f>
        <v/>
      </c>
      <c r="C162" s="36" t="str">
        <f>IFERROR(INDEX('Raw Data'!$C$2:$C$1038,_xlfn.AGGREGATE(15,3,('Raw Data'!$O$1:$O$1038=Invoice!$E$3)/('Raw Data'!$O$1:$O$1038=Invoice!$E$3)*(ROW('Raw Data'!$O$1:O1156)-ROW('Raw Data'!$O$1)),ROWS($A$44:A162))),"")</f>
        <v/>
      </c>
      <c r="D162" s="36" t="str">
        <f>IFERROR(INDEX('Raw Data'!$R$2:$R$1038,_xlfn.AGGREGATE(15,3,('Raw Data'!$O$1:$O$1038=Invoice!$E$3)/('Raw Data'!$O$1:$O$1038=Invoice!$E$3)*(ROW('Raw Data'!$O$1:O1156)-ROW('Raw Data'!$O$1)),ROWS($A$44:B162))),"")</f>
        <v/>
      </c>
      <c r="E162" s="267" t="str">
        <f>IFERROR(INDEX('Raw Data'!$N$2:$N$1038,_xlfn.AGGREGATE(15,3,('Raw Data'!$O$1:$O$1038=Invoice!$E$3)/('Raw Data'!$O$1:$O$1038=Invoice!$E$3)*(ROW('Raw Data'!$O$1:O1156)-ROW('Raw Data'!$O$1)),ROWS($A$44:B162))),"")</f>
        <v/>
      </c>
      <c r="F162" s="267"/>
      <c r="G162" s="37" t="str">
        <f>IFERROR(_xlfn.SINGLE(INDEX('Raw Data'!#REF!,_xlfn.AGGREGATE(15,3,('Raw Data'!$O$1:$O$1038=Invoice!$E$3)/('Raw Data'!$O$1:$O$1038=Invoice!$E$3)*(ROW('Raw Data'!$O$1:O1156)-ROW('Raw Data'!$O$1)),ROWS($A$44:E162)))),"")</f>
        <v/>
      </c>
    </row>
    <row r="163" spans="2:7" ht="30" customHeight="1">
      <c r="B163" s="31" t="str">
        <f>IFERROR(INDEX('Raw Data'!$P$2:$P$1038,_xlfn.AGGREGATE(15,3,('Raw Data'!$O$1:$O$1038=Invoice!$E$3)/('Raw Data'!$O$1:$O$1038=Invoice!$E$3)*(ROW('Raw Data'!$O$1:O1157)-ROW('Raw Data'!$O$1)),ROWS($A$44:A163))),"")</f>
        <v/>
      </c>
      <c r="C163" s="36" t="str">
        <f>IFERROR(INDEX('Raw Data'!$C$2:$C$1038,_xlfn.AGGREGATE(15,3,('Raw Data'!$O$1:$O$1038=Invoice!$E$3)/('Raw Data'!$O$1:$O$1038=Invoice!$E$3)*(ROW('Raw Data'!$O$1:O1157)-ROW('Raw Data'!$O$1)),ROWS($A$44:A163))),"")</f>
        <v/>
      </c>
      <c r="D163" s="36" t="str">
        <f>IFERROR(INDEX('Raw Data'!$R$2:$R$1038,_xlfn.AGGREGATE(15,3,('Raw Data'!$O$1:$O$1038=Invoice!$E$3)/('Raw Data'!$O$1:$O$1038=Invoice!$E$3)*(ROW('Raw Data'!$O$1:O1157)-ROW('Raw Data'!$O$1)),ROWS($A$44:B163))),"")</f>
        <v/>
      </c>
      <c r="E163" s="267" t="str">
        <f>IFERROR(INDEX('Raw Data'!$N$2:$N$1038,_xlfn.AGGREGATE(15,3,('Raw Data'!$O$1:$O$1038=Invoice!$E$3)/('Raw Data'!$O$1:$O$1038=Invoice!$E$3)*(ROW('Raw Data'!$O$1:O1157)-ROW('Raw Data'!$O$1)),ROWS($A$44:B163))),"")</f>
        <v/>
      </c>
      <c r="F163" s="267"/>
      <c r="G163" s="37" t="str">
        <f>IFERROR(_xlfn.SINGLE(INDEX('Raw Data'!#REF!,_xlfn.AGGREGATE(15,3,('Raw Data'!$O$1:$O$1038=Invoice!$E$3)/('Raw Data'!$O$1:$O$1038=Invoice!$E$3)*(ROW('Raw Data'!$O$1:O1157)-ROW('Raw Data'!$O$1)),ROWS($A$44:E163)))),"")</f>
        <v/>
      </c>
    </row>
    <row r="164" spans="2:7" ht="30" customHeight="1">
      <c r="B164" s="31" t="str">
        <f>IFERROR(INDEX('Raw Data'!$P$2:$P$1038,_xlfn.AGGREGATE(15,3,('Raw Data'!$O$1:$O$1038=Invoice!$E$3)/('Raw Data'!$O$1:$O$1038=Invoice!$E$3)*(ROW('Raw Data'!$O$1:O1158)-ROW('Raw Data'!$O$1)),ROWS($A$44:A164))),"")</f>
        <v/>
      </c>
      <c r="C164" s="36" t="str">
        <f>IFERROR(INDEX('Raw Data'!$C$2:$C$1038,_xlfn.AGGREGATE(15,3,('Raw Data'!$O$1:$O$1038=Invoice!$E$3)/('Raw Data'!$O$1:$O$1038=Invoice!$E$3)*(ROW('Raw Data'!$O$1:O1158)-ROW('Raw Data'!$O$1)),ROWS($A$44:A164))),"")</f>
        <v/>
      </c>
      <c r="D164" s="36" t="str">
        <f>IFERROR(INDEX('Raw Data'!$R$2:$R$1038,_xlfn.AGGREGATE(15,3,('Raw Data'!$O$1:$O$1038=Invoice!$E$3)/('Raw Data'!$O$1:$O$1038=Invoice!$E$3)*(ROW('Raw Data'!$O$1:O1158)-ROW('Raw Data'!$O$1)),ROWS($A$44:B164))),"")</f>
        <v/>
      </c>
      <c r="E164" s="267" t="str">
        <f>IFERROR(INDEX('Raw Data'!$N$2:$N$1038,_xlfn.AGGREGATE(15,3,('Raw Data'!$O$1:$O$1038=Invoice!$E$3)/('Raw Data'!$O$1:$O$1038=Invoice!$E$3)*(ROW('Raw Data'!$O$1:O1158)-ROW('Raw Data'!$O$1)),ROWS($A$44:B164))),"")</f>
        <v/>
      </c>
      <c r="F164" s="267"/>
      <c r="G164" s="37" t="str">
        <f>IFERROR(_xlfn.SINGLE(INDEX('Raw Data'!#REF!,_xlfn.AGGREGATE(15,3,('Raw Data'!$O$1:$O$1038=Invoice!$E$3)/('Raw Data'!$O$1:$O$1038=Invoice!$E$3)*(ROW('Raw Data'!$O$1:O1158)-ROW('Raw Data'!$O$1)),ROWS($A$44:E164)))),"")</f>
        <v/>
      </c>
    </row>
    <row r="165" spans="2:7" ht="30" customHeight="1">
      <c r="B165" s="31" t="str">
        <f>IFERROR(INDEX('Raw Data'!$P$2:$P$1038,_xlfn.AGGREGATE(15,3,('Raw Data'!$O$1:$O$1038=Invoice!$E$3)/('Raw Data'!$O$1:$O$1038=Invoice!$E$3)*(ROW('Raw Data'!$O$1:O1159)-ROW('Raw Data'!$O$1)),ROWS($A$44:A165))),"")</f>
        <v/>
      </c>
      <c r="C165" s="36" t="str">
        <f>IFERROR(INDEX('Raw Data'!$C$2:$C$1038,_xlfn.AGGREGATE(15,3,('Raw Data'!$O$1:$O$1038=Invoice!$E$3)/('Raw Data'!$O$1:$O$1038=Invoice!$E$3)*(ROW('Raw Data'!$O$1:O1159)-ROW('Raw Data'!$O$1)),ROWS($A$44:A165))),"")</f>
        <v/>
      </c>
      <c r="D165" s="36" t="str">
        <f>IFERROR(INDEX('Raw Data'!$R$2:$R$1038,_xlfn.AGGREGATE(15,3,('Raw Data'!$O$1:$O$1038=Invoice!$E$3)/('Raw Data'!$O$1:$O$1038=Invoice!$E$3)*(ROW('Raw Data'!$O$1:O1159)-ROW('Raw Data'!$O$1)),ROWS($A$44:B165))),"")</f>
        <v/>
      </c>
      <c r="E165" s="267" t="str">
        <f>IFERROR(INDEX('Raw Data'!$N$2:$N$1038,_xlfn.AGGREGATE(15,3,('Raw Data'!$O$1:$O$1038=Invoice!$E$3)/('Raw Data'!$O$1:$O$1038=Invoice!$E$3)*(ROW('Raw Data'!$O$1:O1159)-ROW('Raw Data'!$O$1)),ROWS($A$44:B165))),"")</f>
        <v/>
      </c>
      <c r="F165" s="267"/>
      <c r="G165" s="37" t="str">
        <f>IFERROR(_xlfn.SINGLE(INDEX('Raw Data'!#REF!,_xlfn.AGGREGATE(15,3,('Raw Data'!$O$1:$O$1038=Invoice!$E$3)/('Raw Data'!$O$1:$O$1038=Invoice!$E$3)*(ROW('Raw Data'!$O$1:O1159)-ROW('Raw Data'!$O$1)),ROWS($A$44:E165)))),"")</f>
        <v/>
      </c>
    </row>
    <row r="166" spans="2:7" ht="30" customHeight="1">
      <c r="B166" s="31" t="str">
        <f>IFERROR(INDEX('Raw Data'!$P$2:$P$1038,_xlfn.AGGREGATE(15,3,('Raw Data'!$O$1:$O$1038=Invoice!$E$3)/('Raw Data'!$O$1:$O$1038=Invoice!$E$3)*(ROW('Raw Data'!$O$1:O1160)-ROW('Raw Data'!$O$1)),ROWS($A$44:A166))),"")</f>
        <v/>
      </c>
      <c r="C166" s="36" t="str">
        <f>IFERROR(INDEX('Raw Data'!$C$2:$C$1038,_xlfn.AGGREGATE(15,3,('Raw Data'!$O$1:$O$1038=Invoice!$E$3)/('Raw Data'!$O$1:$O$1038=Invoice!$E$3)*(ROW('Raw Data'!$O$1:O1160)-ROW('Raw Data'!$O$1)),ROWS($A$44:A166))),"")</f>
        <v/>
      </c>
      <c r="D166" s="36" t="str">
        <f>IFERROR(INDEX('Raw Data'!$R$2:$R$1038,_xlfn.AGGREGATE(15,3,('Raw Data'!$O$1:$O$1038=Invoice!$E$3)/('Raw Data'!$O$1:$O$1038=Invoice!$E$3)*(ROW('Raw Data'!$O$1:O1160)-ROW('Raw Data'!$O$1)),ROWS($A$44:B166))),"")</f>
        <v/>
      </c>
      <c r="E166" s="267" t="str">
        <f>IFERROR(INDEX('Raw Data'!$N$2:$N$1038,_xlfn.AGGREGATE(15,3,('Raw Data'!$O$1:$O$1038=Invoice!$E$3)/('Raw Data'!$O$1:$O$1038=Invoice!$E$3)*(ROW('Raw Data'!$O$1:O1160)-ROW('Raw Data'!$O$1)),ROWS($A$44:B166))),"")</f>
        <v/>
      </c>
      <c r="F166" s="267"/>
      <c r="G166" s="37" t="str">
        <f>IFERROR(_xlfn.SINGLE(INDEX('Raw Data'!#REF!,_xlfn.AGGREGATE(15,3,('Raw Data'!$O$1:$O$1038=Invoice!$E$3)/('Raw Data'!$O$1:$O$1038=Invoice!$E$3)*(ROW('Raw Data'!$O$1:O1160)-ROW('Raw Data'!$O$1)),ROWS($A$44:E166)))),"")</f>
        <v/>
      </c>
    </row>
    <row r="167" spans="2:7" ht="30" customHeight="1">
      <c r="B167" s="31" t="str">
        <f>IFERROR(INDEX('Raw Data'!$P$2:$P$1038,_xlfn.AGGREGATE(15,3,('Raw Data'!$O$1:$O$1038=Invoice!$E$3)/('Raw Data'!$O$1:$O$1038=Invoice!$E$3)*(ROW('Raw Data'!$O$1:O1161)-ROW('Raw Data'!$O$1)),ROWS($A$44:A167))),"")</f>
        <v/>
      </c>
      <c r="C167" s="36" t="str">
        <f>IFERROR(INDEX('Raw Data'!$C$2:$C$1038,_xlfn.AGGREGATE(15,3,('Raw Data'!$O$1:$O$1038=Invoice!$E$3)/('Raw Data'!$O$1:$O$1038=Invoice!$E$3)*(ROW('Raw Data'!$O$1:O1161)-ROW('Raw Data'!$O$1)),ROWS($A$44:A167))),"")</f>
        <v/>
      </c>
      <c r="D167" s="36" t="str">
        <f>IFERROR(INDEX('Raw Data'!$R$2:$R$1038,_xlfn.AGGREGATE(15,3,('Raw Data'!$O$1:$O$1038=Invoice!$E$3)/('Raw Data'!$O$1:$O$1038=Invoice!$E$3)*(ROW('Raw Data'!$O$1:O1161)-ROW('Raw Data'!$O$1)),ROWS($A$44:B167))),"")</f>
        <v/>
      </c>
      <c r="E167" s="267" t="str">
        <f>IFERROR(INDEX('Raw Data'!$N$2:$N$1038,_xlfn.AGGREGATE(15,3,('Raw Data'!$O$1:$O$1038=Invoice!$E$3)/('Raw Data'!$O$1:$O$1038=Invoice!$E$3)*(ROW('Raw Data'!$O$1:O1161)-ROW('Raw Data'!$O$1)),ROWS($A$44:B167))),"")</f>
        <v/>
      </c>
      <c r="F167" s="267"/>
      <c r="G167" s="37" t="str">
        <f>IFERROR(_xlfn.SINGLE(INDEX('Raw Data'!#REF!,_xlfn.AGGREGATE(15,3,('Raw Data'!$O$1:$O$1038=Invoice!$E$3)/('Raw Data'!$O$1:$O$1038=Invoice!$E$3)*(ROW('Raw Data'!$O$1:O1161)-ROW('Raw Data'!$O$1)),ROWS($A$44:E167)))),"")</f>
        <v/>
      </c>
    </row>
    <row r="168" spans="2:7" ht="30" customHeight="1">
      <c r="B168" s="31" t="str">
        <f>IFERROR(INDEX('Raw Data'!$P$2:$P$1038,_xlfn.AGGREGATE(15,3,('Raw Data'!$O$1:$O$1038=Invoice!$E$3)/('Raw Data'!$O$1:$O$1038=Invoice!$E$3)*(ROW('Raw Data'!$O$1:O1162)-ROW('Raw Data'!$O$1)),ROWS($A$44:A168))),"")</f>
        <v/>
      </c>
      <c r="C168" s="36" t="str">
        <f>IFERROR(INDEX('Raw Data'!$C$2:$C$1038,_xlfn.AGGREGATE(15,3,('Raw Data'!$O$1:$O$1038=Invoice!$E$3)/('Raw Data'!$O$1:$O$1038=Invoice!$E$3)*(ROW('Raw Data'!$O$1:O1162)-ROW('Raw Data'!$O$1)),ROWS($A$44:A168))),"")</f>
        <v/>
      </c>
      <c r="D168" s="36" t="str">
        <f>IFERROR(INDEX('Raw Data'!$R$2:$R$1038,_xlfn.AGGREGATE(15,3,('Raw Data'!$O$1:$O$1038=Invoice!$E$3)/('Raw Data'!$O$1:$O$1038=Invoice!$E$3)*(ROW('Raw Data'!$O$1:O1162)-ROW('Raw Data'!$O$1)),ROWS($A$44:B168))),"")</f>
        <v/>
      </c>
      <c r="E168" s="267" t="str">
        <f>IFERROR(INDEX('Raw Data'!$N$2:$N$1038,_xlfn.AGGREGATE(15,3,('Raw Data'!$O$1:$O$1038=Invoice!$E$3)/('Raw Data'!$O$1:$O$1038=Invoice!$E$3)*(ROW('Raw Data'!$O$1:O1162)-ROW('Raw Data'!$O$1)),ROWS($A$44:B168))),"")</f>
        <v/>
      </c>
      <c r="F168" s="267"/>
      <c r="G168" s="37" t="str">
        <f>IFERROR(_xlfn.SINGLE(INDEX('Raw Data'!#REF!,_xlfn.AGGREGATE(15,3,('Raw Data'!$O$1:$O$1038=Invoice!$E$3)/('Raw Data'!$O$1:$O$1038=Invoice!$E$3)*(ROW('Raw Data'!$O$1:O1162)-ROW('Raw Data'!$O$1)),ROWS($A$44:E168)))),"")</f>
        <v/>
      </c>
    </row>
    <row r="169" spans="2:7" ht="30" customHeight="1">
      <c r="B169" s="31" t="str">
        <f>IFERROR(INDEX('Raw Data'!$P$2:$P$1038,_xlfn.AGGREGATE(15,3,('Raw Data'!$O$1:$O$1038=Invoice!$E$3)/('Raw Data'!$O$1:$O$1038=Invoice!$E$3)*(ROW('Raw Data'!$O$1:O1163)-ROW('Raw Data'!$O$1)),ROWS($A$44:A169))),"")</f>
        <v/>
      </c>
      <c r="C169" s="36" t="str">
        <f>IFERROR(INDEX('Raw Data'!$C$2:$C$1038,_xlfn.AGGREGATE(15,3,('Raw Data'!$O$1:$O$1038=Invoice!$E$3)/('Raw Data'!$O$1:$O$1038=Invoice!$E$3)*(ROW('Raw Data'!$O$1:O1163)-ROW('Raw Data'!$O$1)),ROWS($A$44:A169))),"")</f>
        <v/>
      </c>
      <c r="D169" s="36" t="str">
        <f>IFERROR(INDEX('Raw Data'!$R$2:$R$1038,_xlfn.AGGREGATE(15,3,('Raw Data'!$O$1:$O$1038=Invoice!$E$3)/('Raw Data'!$O$1:$O$1038=Invoice!$E$3)*(ROW('Raw Data'!$O$1:O1163)-ROW('Raw Data'!$O$1)),ROWS($A$44:B169))),"")</f>
        <v/>
      </c>
      <c r="E169" s="267" t="str">
        <f>IFERROR(INDEX('Raw Data'!$N$2:$N$1038,_xlfn.AGGREGATE(15,3,('Raw Data'!$O$1:$O$1038=Invoice!$E$3)/('Raw Data'!$O$1:$O$1038=Invoice!$E$3)*(ROW('Raw Data'!$O$1:O1163)-ROW('Raw Data'!$O$1)),ROWS($A$44:B169))),"")</f>
        <v/>
      </c>
      <c r="F169" s="267"/>
      <c r="G169" s="37" t="str">
        <f>IFERROR(_xlfn.SINGLE(INDEX('Raw Data'!#REF!,_xlfn.AGGREGATE(15,3,('Raw Data'!$O$1:$O$1038=Invoice!$E$3)/('Raw Data'!$O$1:$O$1038=Invoice!$E$3)*(ROW('Raw Data'!$O$1:O1163)-ROW('Raw Data'!$O$1)),ROWS($A$44:E169)))),"")</f>
        <v/>
      </c>
    </row>
    <row r="170" spans="2:7" ht="30" customHeight="1">
      <c r="B170" s="31" t="str">
        <f>IFERROR(INDEX('Raw Data'!$P$2:$P$1038,_xlfn.AGGREGATE(15,3,('Raw Data'!$O$1:$O$1038=Invoice!$E$3)/('Raw Data'!$O$1:$O$1038=Invoice!$E$3)*(ROW('Raw Data'!$O$1:O1164)-ROW('Raw Data'!$O$1)),ROWS($A$44:A170))),"")</f>
        <v/>
      </c>
      <c r="C170" s="36" t="str">
        <f>IFERROR(INDEX('Raw Data'!$C$2:$C$1038,_xlfn.AGGREGATE(15,3,('Raw Data'!$O$1:$O$1038=Invoice!$E$3)/('Raw Data'!$O$1:$O$1038=Invoice!$E$3)*(ROW('Raw Data'!$O$1:O1164)-ROW('Raw Data'!$O$1)),ROWS($A$44:A170))),"")</f>
        <v/>
      </c>
      <c r="D170" s="36" t="str">
        <f>IFERROR(INDEX('Raw Data'!$R$2:$R$1038,_xlfn.AGGREGATE(15,3,('Raw Data'!$O$1:$O$1038=Invoice!$E$3)/('Raw Data'!$O$1:$O$1038=Invoice!$E$3)*(ROW('Raw Data'!$O$1:O1164)-ROW('Raw Data'!$O$1)),ROWS($A$44:B170))),"")</f>
        <v/>
      </c>
      <c r="E170" s="267" t="str">
        <f>IFERROR(INDEX('Raw Data'!$N$2:$N$1038,_xlfn.AGGREGATE(15,3,('Raw Data'!$O$1:$O$1038=Invoice!$E$3)/('Raw Data'!$O$1:$O$1038=Invoice!$E$3)*(ROW('Raw Data'!$O$1:O1164)-ROW('Raw Data'!$O$1)),ROWS($A$44:B170))),"")</f>
        <v/>
      </c>
      <c r="F170" s="267"/>
      <c r="G170" s="37" t="str">
        <f>IFERROR(_xlfn.SINGLE(INDEX('Raw Data'!#REF!,_xlfn.AGGREGATE(15,3,('Raw Data'!$O$1:$O$1038=Invoice!$E$3)/('Raw Data'!$O$1:$O$1038=Invoice!$E$3)*(ROW('Raw Data'!$O$1:O1164)-ROW('Raw Data'!$O$1)),ROWS($A$44:E170)))),"")</f>
        <v/>
      </c>
    </row>
    <row r="171" spans="2:7" ht="30" customHeight="1">
      <c r="B171" s="31" t="str">
        <f>IFERROR(INDEX('Raw Data'!$P$2:$P$1038,_xlfn.AGGREGATE(15,3,('Raw Data'!$O$1:$O$1038=Invoice!$E$3)/('Raw Data'!$O$1:$O$1038=Invoice!$E$3)*(ROW('Raw Data'!$O$1:O1165)-ROW('Raw Data'!$O$1)),ROWS($A$44:A171))),"")</f>
        <v/>
      </c>
      <c r="C171" s="36" t="str">
        <f>IFERROR(INDEX('Raw Data'!$C$2:$C$1038,_xlfn.AGGREGATE(15,3,('Raw Data'!$O$1:$O$1038=Invoice!$E$3)/('Raw Data'!$O$1:$O$1038=Invoice!$E$3)*(ROW('Raw Data'!$O$1:O1165)-ROW('Raw Data'!$O$1)),ROWS($A$44:A171))),"")</f>
        <v/>
      </c>
      <c r="D171" s="36" t="str">
        <f>IFERROR(INDEX('Raw Data'!$R$2:$R$1038,_xlfn.AGGREGATE(15,3,('Raw Data'!$O$1:$O$1038=Invoice!$E$3)/('Raw Data'!$O$1:$O$1038=Invoice!$E$3)*(ROW('Raw Data'!$O$1:O1165)-ROW('Raw Data'!$O$1)),ROWS($A$44:B171))),"")</f>
        <v/>
      </c>
      <c r="E171" s="267" t="str">
        <f>IFERROR(INDEX('Raw Data'!$N$2:$N$1038,_xlfn.AGGREGATE(15,3,('Raw Data'!$O$1:$O$1038=Invoice!$E$3)/('Raw Data'!$O$1:$O$1038=Invoice!$E$3)*(ROW('Raw Data'!$O$1:O1165)-ROW('Raw Data'!$O$1)),ROWS($A$44:B171))),"")</f>
        <v/>
      </c>
      <c r="F171" s="267"/>
      <c r="G171" s="37" t="str">
        <f>IFERROR(_xlfn.SINGLE(INDEX('Raw Data'!#REF!,_xlfn.AGGREGATE(15,3,('Raw Data'!$O$1:$O$1038=Invoice!$E$3)/('Raw Data'!$O$1:$O$1038=Invoice!$E$3)*(ROW('Raw Data'!$O$1:O1165)-ROW('Raw Data'!$O$1)),ROWS($A$44:E171)))),"")</f>
        <v/>
      </c>
    </row>
    <row r="172" spans="2:7" ht="30" customHeight="1">
      <c r="B172" s="31" t="str">
        <f>IFERROR(INDEX('Raw Data'!$P$2:$P$1038,_xlfn.AGGREGATE(15,3,('Raw Data'!$O$1:$O$1038=Invoice!$E$3)/('Raw Data'!$O$1:$O$1038=Invoice!$E$3)*(ROW('Raw Data'!$O$1:O1166)-ROW('Raw Data'!$O$1)),ROWS($A$44:A172))),"")</f>
        <v/>
      </c>
      <c r="C172" s="36" t="str">
        <f>IFERROR(INDEX('Raw Data'!$C$2:$C$1038,_xlfn.AGGREGATE(15,3,('Raw Data'!$O$1:$O$1038=Invoice!$E$3)/('Raw Data'!$O$1:$O$1038=Invoice!$E$3)*(ROW('Raw Data'!$O$1:O1166)-ROW('Raw Data'!$O$1)),ROWS($A$44:A172))),"")</f>
        <v/>
      </c>
      <c r="D172" s="36" t="str">
        <f>IFERROR(INDEX('Raw Data'!$R$2:$R$1038,_xlfn.AGGREGATE(15,3,('Raw Data'!$O$1:$O$1038=Invoice!$E$3)/('Raw Data'!$O$1:$O$1038=Invoice!$E$3)*(ROW('Raw Data'!$O$1:O1166)-ROW('Raw Data'!$O$1)),ROWS($A$44:B172))),"")</f>
        <v/>
      </c>
      <c r="E172" s="267" t="str">
        <f>IFERROR(INDEX('Raw Data'!$N$2:$N$1038,_xlfn.AGGREGATE(15,3,('Raw Data'!$O$1:$O$1038=Invoice!$E$3)/('Raw Data'!$O$1:$O$1038=Invoice!$E$3)*(ROW('Raw Data'!$O$1:O1166)-ROW('Raw Data'!$O$1)),ROWS($A$44:B172))),"")</f>
        <v/>
      </c>
      <c r="F172" s="267"/>
      <c r="G172" s="37" t="str">
        <f>IFERROR(_xlfn.SINGLE(INDEX('Raw Data'!#REF!,_xlfn.AGGREGATE(15,3,('Raw Data'!$O$1:$O$1038=Invoice!$E$3)/('Raw Data'!$O$1:$O$1038=Invoice!$E$3)*(ROW('Raw Data'!$O$1:O1166)-ROW('Raw Data'!$O$1)),ROWS($A$44:E172)))),"")</f>
        <v/>
      </c>
    </row>
    <row r="173" spans="2:7" ht="30" customHeight="1">
      <c r="B173" s="31" t="str">
        <f>IFERROR(INDEX('Raw Data'!$P$2:$P$1038,_xlfn.AGGREGATE(15,3,('Raw Data'!$O$1:$O$1038=Invoice!$E$3)/('Raw Data'!$O$1:$O$1038=Invoice!$E$3)*(ROW('Raw Data'!$O$1:O1167)-ROW('Raw Data'!$O$1)),ROWS($A$44:A173))),"")</f>
        <v/>
      </c>
      <c r="C173" s="36" t="str">
        <f>IFERROR(INDEX('Raw Data'!$C$2:$C$1038,_xlfn.AGGREGATE(15,3,('Raw Data'!$O$1:$O$1038=Invoice!$E$3)/('Raw Data'!$O$1:$O$1038=Invoice!$E$3)*(ROW('Raw Data'!$O$1:O1167)-ROW('Raw Data'!$O$1)),ROWS($A$44:A173))),"")</f>
        <v/>
      </c>
      <c r="D173" s="36" t="str">
        <f>IFERROR(INDEX('Raw Data'!$R$2:$R$1038,_xlfn.AGGREGATE(15,3,('Raw Data'!$O$1:$O$1038=Invoice!$E$3)/('Raw Data'!$O$1:$O$1038=Invoice!$E$3)*(ROW('Raw Data'!$O$1:O1167)-ROW('Raw Data'!$O$1)),ROWS($A$44:B173))),"")</f>
        <v/>
      </c>
      <c r="E173" s="267" t="str">
        <f>IFERROR(INDEX('Raw Data'!$N$2:$N$1038,_xlfn.AGGREGATE(15,3,('Raw Data'!$O$1:$O$1038=Invoice!$E$3)/('Raw Data'!$O$1:$O$1038=Invoice!$E$3)*(ROW('Raw Data'!$O$1:O1167)-ROW('Raw Data'!$O$1)),ROWS($A$44:B173))),"")</f>
        <v/>
      </c>
      <c r="F173" s="267"/>
      <c r="G173" s="37" t="str">
        <f>IFERROR(_xlfn.SINGLE(INDEX('Raw Data'!#REF!,_xlfn.AGGREGATE(15,3,('Raw Data'!$O$1:$O$1038=Invoice!$E$3)/('Raw Data'!$O$1:$O$1038=Invoice!$E$3)*(ROW('Raw Data'!$O$1:O1167)-ROW('Raw Data'!$O$1)),ROWS($A$44:E173)))),"")</f>
        <v/>
      </c>
    </row>
    <row r="174" spans="2:7" ht="30" customHeight="1">
      <c r="B174" s="31" t="str">
        <f>IFERROR(INDEX('Raw Data'!$P$2:$P$1038,_xlfn.AGGREGATE(15,3,('Raw Data'!$O$1:$O$1038=Invoice!$E$3)/('Raw Data'!$O$1:$O$1038=Invoice!$E$3)*(ROW('Raw Data'!$O$1:O1168)-ROW('Raw Data'!$O$1)),ROWS($A$44:A174))),"")</f>
        <v/>
      </c>
      <c r="C174" s="36" t="str">
        <f>IFERROR(INDEX('Raw Data'!$C$2:$C$1038,_xlfn.AGGREGATE(15,3,('Raw Data'!$O$1:$O$1038=Invoice!$E$3)/('Raw Data'!$O$1:$O$1038=Invoice!$E$3)*(ROW('Raw Data'!$O$1:O1168)-ROW('Raw Data'!$O$1)),ROWS($A$44:A174))),"")</f>
        <v/>
      </c>
      <c r="D174" s="36" t="str">
        <f>IFERROR(INDEX('Raw Data'!$R$2:$R$1038,_xlfn.AGGREGATE(15,3,('Raw Data'!$O$1:$O$1038=Invoice!$E$3)/('Raw Data'!$O$1:$O$1038=Invoice!$E$3)*(ROW('Raw Data'!$O$1:O1168)-ROW('Raw Data'!$O$1)),ROWS($A$44:B174))),"")</f>
        <v/>
      </c>
      <c r="E174" s="267" t="str">
        <f>IFERROR(INDEX('Raw Data'!$N$2:$N$1038,_xlfn.AGGREGATE(15,3,('Raw Data'!$O$1:$O$1038=Invoice!$E$3)/('Raw Data'!$O$1:$O$1038=Invoice!$E$3)*(ROW('Raw Data'!$O$1:O1168)-ROW('Raw Data'!$O$1)),ROWS($A$44:B174))),"")</f>
        <v/>
      </c>
      <c r="F174" s="267"/>
      <c r="G174" s="37" t="str">
        <f>IFERROR(_xlfn.SINGLE(INDEX('Raw Data'!#REF!,_xlfn.AGGREGATE(15,3,('Raw Data'!$O$1:$O$1038=Invoice!$E$3)/('Raw Data'!$O$1:$O$1038=Invoice!$E$3)*(ROW('Raw Data'!$O$1:O1168)-ROW('Raw Data'!$O$1)),ROWS($A$44:E174)))),"")</f>
        <v/>
      </c>
    </row>
    <row r="175" spans="2:7" ht="30" customHeight="1">
      <c r="B175" s="31" t="str">
        <f>IFERROR(INDEX('Raw Data'!$P$2:$P$1038,_xlfn.AGGREGATE(15,3,('Raw Data'!$O$1:$O$1038=Invoice!$E$3)/('Raw Data'!$O$1:$O$1038=Invoice!$E$3)*(ROW('Raw Data'!$O$1:O1169)-ROW('Raw Data'!$O$1)),ROWS($A$44:A175))),"")</f>
        <v/>
      </c>
      <c r="C175" s="36" t="str">
        <f>IFERROR(INDEX('Raw Data'!$C$2:$C$1038,_xlfn.AGGREGATE(15,3,('Raw Data'!$O$1:$O$1038=Invoice!$E$3)/('Raw Data'!$O$1:$O$1038=Invoice!$E$3)*(ROW('Raw Data'!$O$1:O1169)-ROW('Raw Data'!$O$1)),ROWS($A$44:A175))),"")</f>
        <v/>
      </c>
      <c r="D175" s="36" t="str">
        <f>IFERROR(INDEX('Raw Data'!$R$2:$R$1038,_xlfn.AGGREGATE(15,3,('Raw Data'!$O$1:$O$1038=Invoice!$E$3)/('Raw Data'!$O$1:$O$1038=Invoice!$E$3)*(ROW('Raw Data'!$O$1:O1169)-ROW('Raw Data'!$O$1)),ROWS($A$44:B175))),"")</f>
        <v/>
      </c>
      <c r="E175" s="267" t="str">
        <f>IFERROR(INDEX('Raw Data'!$N$2:$N$1038,_xlfn.AGGREGATE(15,3,('Raw Data'!$O$1:$O$1038=Invoice!$E$3)/('Raw Data'!$O$1:$O$1038=Invoice!$E$3)*(ROW('Raw Data'!$O$1:O1169)-ROW('Raw Data'!$O$1)),ROWS($A$44:B175))),"")</f>
        <v/>
      </c>
      <c r="F175" s="267"/>
      <c r="G175" s="37" t="str">
        <f>IFERROR(_xlfn.SINGLE(INDEX('Raw Data'!#REF!,_xlfn.AGGREGATE(15,3,('Raw Data'!$O$1:$O$1038=Invoice!$E$3)/('Raw Data'!$O$1:$O$1038=Invoice!$E$3)*(ROW('Raw Data'!$O$1:O1169)-ROW('Raw Data'!$O$1)),ROWS($A$44:E175)))),"")</f>
        <v/>
      </c>
    </row>
    <row r="176" spans="2:7" ht="30" customHeight="1">
      <c r="B176" s="31" t="str">
        <f>IFERROR(INDEX('Raw Data'!$P$2:$P$1038,_xlfn.AGGREGATE(15,3,('Raw Data'!$O$1:$O$1038=Invoice!$E$3)/('Raw Data'!$O$1:$O$1038=Invoice!$E$3)*(ROW('Raw Data'!$O$1:O1170)-ROW('Raw Data'!$O$1)),ROWS($A$44:A176))),"")</f>
        <v/>
      </c>
      <c r="C176" s="36" t="str">
        <f>IFERROR(INDEX('Raw Data'!$C$2:$C$1038,_xlfn.AGGREGATE(15,3,('Raw Data'!$O$1:$O$1038=Invoice!$E$3)/('Raw Data'!$O$1:$O$1038=Invoice!$E$3)*(ROW('Raw Data'!$O$1:O1170)-ROW('Raw Data'!$O$1)),ROWS($A$44:A176))),"")</f>
        <v/>
      </c>
      <c r="D176" s="36" t="str">
        <f>IFERROR(INDEX('Raw Data'!$R$2:$R$1038,_xlfn.AGGREGATE(15,3,('Raw Data'!$O$1:$O$1038=Invoice!$E$3)/('Raw Data'!$O$1:$O$1038=Invoice!$E$3)*(ROW('Raw Data'!$O$1:O1170)-ROW('Raw Data'!$O$1)),ROWS($A$44:B176))),"")</f>
        <v/>
      </c>
      <c r="E176" s="267" t="str">
        <f>IFERROR(INDEX('Raw Data'!$N$2:$N$1038,_xlfn.AGGREGATE(15,3,('Raw Data'!$O$1:$O$1038=Invoice!$E$3)/('Raw Data'!$O$1:$O$1038=Invoice!$E$3)*(ROW('Raw Data'!$O$1:O1170)-ROW('Raw Data'!$O$1)),ROWS($A$44:B176))),"")</f>
        <v/>
      </c>
      <c r="F176" s="267"/>
      <c r="G176" s="37" t="str">
        <f>IFERROR(_xlfn.SINGLE(INDEX('Raw Data'!#REF!,_xlfn.AGGREGATE(15,3,('Raw Data'!$O$1:$O$1038=Invoice!$E$3)/('Raw Data'!$O$1:$O$1038=Invoice!$E$3)*(ROW('Raw Data'!$O$1:O1170)-ROW('Raw Data'!$O$1)),ROWS($A$44:E176)))),"")</f>
        <v/>
      </c>
    </row>
    <row r="177" spans="2:7" ht="30" customHeight="1">
      <c r="B177" s="31" t="str">
        <f>IFERROR(INDEX('Raw Data'!$P$2:$P$1038,_xlfn.AGGREGATE(15,3,('Raw Data'!$O$1:$O$1038=Invoice!$E$3)/('Raw Data'!$O$1:$O$1038=Invoice!$E$3)*(ROW('Raw Data'!$O$1:O1171)-ROW('Raw Data'!$O$1)),ROWS($A$44:A177))),"")</f>
        <v/>
      </c>
      <c r="C177" s="36" t="str">
        <f>IFERROR(INDEX('Raw Data'!$C$2:$C$1038,_xlfn.AGGREGATE(15,3,('Raw Data'!$O$1:$O$1038=Invoice!$E$3)/('Raw Data'!$O$1:$O$1038=Invoice!$E$3)*(ROW('Raw Data'!$O$1:O1171)-ROW('Raw Data'!$O$1)),ROWS($A$44:A177))),"")</f>
        <v/>
      </c>
      <c r="D177" s="36" t="str">
        <f>IFERROR(INDEX('Raw Data'!$R$2:$R$1038,_xlfn.AGGREGATE(15,3,('Raw Data'!$O$1:$O$1038=Invoice!$E$3)/('Raw Data'!$O$1:$O$1038=Invoice!$E$3)*(ROW('Raw Data'!$O$1:O1171)-ROW('Raw Data'!$O$1)),ROWS($A$44:B177))),"")</f>
        <v/>
      </c>
      <c r="E177" s="267" t="str">
        <f>IFERROR(INDEX('Raw Data'!$N$2:$N$1038,_xlfn.AGGREGATE(15,3,('Raw Data'!$O$1:$O$1038=Invoice!$E$3)/('Raw Data'!$O$1:$O$1038=Invoice!$E$3)*(ROW('Raw Data'!$O$1:O1171)-ROW('Raw Data'!$O$1)),ROWS($A$44:B177))),"")</f>
        <v/>
      </c>
      <c r="F177" s="267"/>
      <c r="G177" s="37" t="str">
        <f>IFERROR(_xlfn.SINGLE(INDEX('Raw Data'!#REF!,_xlfn.AGGREGATE(15,3,('Raw Data'!$O$1:$O$1038=Invoice!$E$3)/('Raw Data'!$O$1:$O$1038=Invoice!$E$3)*(ROW('Raw Data'!$O$1:O1171)-ROW('Raw Data'!$O$1)),ROWS($A$44:E177)))),"")</f>
        <v/>
      </c>
    </row>
    <row r="178" spans="2:7" ht="30" customHeight="1">
      <c r="B178" s="31" t="str">
        <f>IFERROR(INDEX('Raw Data'!$P$2:$P$1038,_xlfn.AGGREGATE(15,3,('Raw Data'!$O$1:$O$1038=Invoice!$E$3)/('Raw Data'!$O$1:$O$1038=Invoice!$E$3)*(ROW('Raw Data'!$O$1:O1172)-ROW('Raw Data'!$O$1)),ROWS($A$44:A178))),"")</f>
        <v/>
      </c>
      <c r="C178" s="36" t="str">
        <f>IFERROR(INDEX('Raw Data'!$C$2:$C$1038,_xlfn.AGGREGATE(15,3,('Raw Data'!$O$1:$O$1038=Invoice!$E$3)/('Raw Data'!$O$1:$O$1038=Invoice!$E$3)*(ROW('Raw Data'!$O$1:O1172)-ROW('Raw Data'!$O$1)),ROWS($A$44:A178))),"")</f>
        <v/>
      </c>
      <c r="D178" s="36" t="str">
        <f>IFERROR(INDEX('Raw Data'!$R$2:$R$1038,_xlfn.AGGREGATE(15,3,('Raw Data'!$O$1:$O$1038=Invoice!$E$3)/('Raw Data'!$O$1:$O$1038=Invoice!$E$3)*(ROW('Raw Data'!$O$1:O1172)-ROW('Raw Data'!$O$1)),ROWS($A$44:B178))),"")</f>
        <v/>
      </c>
      <c r="E178" s="267" t="str">
        <f>IFERROR(INDEX('Raw Data'!$N$2:$N$1038,_xlfn.AGGREGATE(15,3,('Raw Data'!$O$1:$O$1038=Invoice!$E$3)/('Raw Data'!$O$1:$O$1038=Invoice!$E$3)*(ROW('Raw Data'!$O$1:O1172)-ROW('Raw Data'!$O$1)),ROWS($A$44:B178))),"")</f>
        <v/>
      </c>
      <c r="F178" s="267"/>
      <c r="G178" s="37" t="str">
        <f>IFERROR(_xlfn.SINGLE(INDEX('Raw Data'!#REF!,_xlfn.AGGREGATE(15,3,('Raw Data'!$O$1:$O$1038=Invoice!$E$3)/('Raw Data'!$O$1:$O$1038=Invoice!$E$3)*(ROW('Raw Data'!$O$1:O1172)-ROW('Raw Data'!$O$1)),ROWS($A$44:E178)))),"")</f>
        <v/>
      </c>
    </row>
    <row r="179" spans="2:7" ht="30" customHeight="1">
      <c r="B179" s="31" t="str">
        <f>IFERROR(INDEX('Raw Data'!$P$2:$P$1038,_xlfn.AGGREGATE(15,3,('Raw Data'!$O$1:$O$1038=Invoice!$E$3)/('Raw Data'!$O$1:$O$1038=Invoice!$E$3)*(ROW('Raw Data'!$O$1:O1173)-ROW('Raw Data'!$O$1)),ROWS($A$44:A179))),"")</f>
        <v/>
      </c>
      <c r="C179" s="36" t="str">
        <f>IFERROR(INDEX('Raw Data'!$C$2:$C$1038,_xlfn.AGGREGATE(15,3,('Raw Data'!$O$1:$O$1038=Invoice!$E$3)/('Raw Data'!$O$1:$O$1038=Invoice!$E$3)*(ROW('Raw Data'!$O$1:O1173)-ROW('Raw Data'!$O$1)),ROWS($A$44:A179))),"")</f>
        <v/>
      </c>
      <c r="D179" s="36" t="str">
        <f>IFERROR(INDEX('Raw Data'!$R$2:$R$1038,_xlfn.AGGREGATE(15,3,('Raw Data'!$O$1:$O$1038=Invoice!$E$3)/('Raw Data'!$O$1:$O$1038=Invoice!$E$3)*(ROW('Raw Data'!$O$1:O1173)-ROW('Raw Data'!$O$1)),ROWS($A$44:B179))),"")</f>
        <v/>
      </c>
      <c r="E179" s="267" t="str">
        <f>IFERROR(INDEX('Raw Data'!$N$2:$N$1038,_xlfn.AGGREGATE(15,3,('Raw Data'!$O$1:$O$1038=Invoice!$E$3)/('Raw Data'!$O$1:$O$1038=Invoice!$E$3)*(ROW('Raw Data'!$O$1:O1173)-ROW('Raw Data'!$O$1)),ROWS($A$44:B179))),"")</f>
        <v/>
      </c>
      <c r="F179" s="267"/>
      <c r="G179" s="37" t="str">
        <f>IFERROR(_xlfn.SINGLE(INDEX('Raw Data'!#REF!,_xlfn.AGGREGATE(15,3,('Raw Data'!$O$1:$O$1038=Invoice!$E$3)/('Raw Data'!$O$1:$O$1038=Invoice!$E$3)*(ROW('Raw Data'!$O$1:O1173)-ROW('Raw Data'!$O$1)),ROWS($A$44:E179)))),"")</f>
        <v/>
      </c>
    </row>
    <row r="180" spans="2:7" ht="30" customHeight="1">
      <c r="B180" s="31" t="str">
        <f>IFERROR(INDEX('Raw Data'!$P$2:$P$1038,_xlfn.AGGREGATE(15,3,('Raw Data'!$O$1:$O$1038=Invoice!$E$3)/('Raw Data'!$O$1:$O$1038=Invoice!$E$3)*(ROW('Raw Data'!$O$1:O1174)-ROW('Raw Data'!$O$1)),ROWS($A$44:A180))),"")</f>
        <v/>
      </c>
      <c r="C180" s="36" t="str">
        <f>IFERROR(INDEX('Raw Data'!$C$2:$C$1038,_xlfn.AGGREGATE(15,3,('Raw Data'!$O$1:$O$1038=Invoice!$E$3)/('Raw Data'!$O$1:$O$1038=Invoice!$E$3)*(ROW('Raw Data'!$O$1:O1174)-ROW('Raw Data'!$O$1)),ROWS($A$44:A180))),"")</f>
        <v/>
      </c>
      <c r="D180" s="36" t="str">
        <f>IFERROR(INDEX('Raw Data'!$R$2:$R$1038,_xlfn.AGGREGATE(15,3,('Raw Data'!$O$1:$O$1038=Invoice!$E$3)/('Raw Data'!$O$1:$O$1038=Invoice!$E$3)*(ROW('Raw Data'!$O$1:O1174)-ROW('Raw Data'!$O$1)),ROWS($A$44:B180))),"")</f>
        <v/>
      </c>
      <c r="E180" s="267" t="str">
        <f>IFERROR(INDEX('Raw Data'!$N$2:$N$1038,_xlfn.AGGREGATE(15,3,('Raw Data'!$O$1:$O$1038=Invoice!$E$3)/('Raw Data'!$O$1:$O$1038=Invoice!$E$3)*(ROW('Raw Data'!$O$1:O1174)-ROW('Raw Data'!$O$1)),ROWS($A$44:B180))),"")</f>
        <v/>
      </c>
      <c r="F180" s="267"/>
      <c r="G180" s="37" t="str">
        <f>IFERROR(_xlfn.SINGLE(INDEX('Raw Data'!#REF!,_xlfn.AGGREGATE(15,3,('Raw Data'!$O$1:$O$1038=Invoice!$E$3)/('Raw Data'!$O$1:$O$1038=Invoice!$E$3)*(ROW('Raw Data'!$O$1:O1174)-ROW('Raw Data'!$O$1)),ROWS($A$44:E180)))),"")</f>
        <v/>
      </c>
    </row>
    <row r="181" spans="2:7" ht="30" customHeight="1">
      <c r="B181" s="31" t="str">
        <f>IFERROR(INDEX('Raw Data'!$P$2:$P$1038,_xlfn.AGGREGATE(15,3,('Raw Data'!$O$1:$O$1038=Invoice!$E$3)/('Raw Data'!$O$1:$O$1038=Invoice!$E$3)*(ROW('Raw Data'!$O$1:O1175)-ROW('Raw Data'!$O$1)),ROWS($A$44:A181))),"")</f>
        <v/>
      </c>
      <c r="C181" s="36" t="str">
        <f>IFERROR(INDEX('Raw Data'!$C$2:$C$1038,_xlfn.AGGREGATE(15,3,('Raw Data'!$O$1:$O$1038=Invoice!$E$3)/('Raw Data'!$O$1:$O$1038=Invoice!$E$3)*(ROW('Raw Data'!$O$1:O1175)-ROW('Raw Data'!$O$1)),ROWS($A$44:A181))),"")</f>
        <v/>
      </c>
      <c r="D181" s="36" t="str">
        <f>IFERROR(INDEX('Raw Data'!$R$2:$R$1038,_xlfn.AGGREGATE(15,3,('Raw Data'!$O$1:$O$1038=Invoice!$E$3)/('Raw Data'!$O$1:$O$1038=Invoice!$E$3)*(ROW('Raw Data'!$O$1:O1175)-ROW('Raw Data'!$O$1)),ROWS($A$44:B181))),"")</f>
        <v/>
      </c>
      <c r="E181" s="267" t="str">
        <f>IFERROR(INDEX('Raw Data'!$N$2:$N$1038,_xlfn.AGGREGATE(15,3,('Raw Data'!$O$1:$O$1038=Invoice!$E$3)/('Raw Data'!$O$1:$O$1038=Invoice!$E$3)*(ROW('Raw Data'!$O$1:O1175)-ROW('Raw Data'!$O$1)),ROWS($A$44:B181))),"")</f>
        <v/>
      </c>
      <c r="F181" s="267"/>
      <c r="G181" s="37" t="str">
        <f>IFERROR(_xlfn.SINGLE(INDEX('Raw Data'!#REF!,_xlfn.AGGREGATE(15,3,('Raw Data'!$O$1:$O$1038=Invoice!$E$3)/('Raw Data'!$O$1:$O$1038=Invoice!$E$3)*(ROW('Raw Data'!$O$1:O1175)-ROW('Raw Data'!$O$1)),ROWS($A$44:E181)))),"")</f>
        <v/>
      </c>
    </row>
    <row r="182" spans="2:7" ht="30" customHeight="1">
      <c r="B182" s="31" t="str">
        <f>IFERROR(INDEX('Raw Data'!$P$2:$P$1038,_xlfn.AGGREGATE(15,3,('Raw Data'!$O$1:$O$1038=Invoice!$E$3)/('Raw Data'!$O$1:$O$1038=Invoice!$E$3)*(ROW('Raw Data'!$O$1:O1176)-ROW('Raw Data'!$O$1)),ROWS($A$44:A182))),"")</f>
        <v/>
      </c>
      <c r="C182" s="36" t="str">
        <f>IFERROR(INDEX('Raw Data'!$C$2:$C$1038,_xlfn.AGGREGATE(15,3,('Raw Data'!$O$1:$O$1038=Invoice!$E$3)/('Raw Data'!$O$1:$O$1038=Invoice!$E$3)*(ROW('Raw Data'!$O$1:O1176)-ROW('Raw Data'!$O$1)),ROWS($A$44:A182))),"")</f>
        <v/>
      </c>
      <c r="D182" s="36" t="str">
        <f>IFERROR(INDEX('Raw Data'!$R$2:$R$1038,_xlfn.AGGREGATE(15,3,('Raw Data'!$O$1:$O$1038=Invoice!$E$3)/('Raw Data'!$O$1:$O$1038=Invoice!$E$3)*(ROW('Raw Data'!$O$1:O1176)-ROW('Raw Data'!$O$1)),ROWS($A$44:B182))),"")</f>
        <v/>
      </c>
      <c r="E182" s="267" t="str">
        <f>IFERROR(INDEX('Raw Data'!$N$2:$N$1038,_xlfn.AGGREGATE(15,3,('Raw Data'!$O$1:$O$1038=Invoice!$E$3)/('Raw Data'!$O$1:$O$1038=Invoice!$E$3)*(ROW('Raw Data'!$O$1:O1176)-ROW('Raw Data'!$O$1)),ROWS($A$44:B182))),"")</f>
        <v/>
      </c>
      <c r="F182" s="267"/>
      <c r="G182" s="37" t="str">
        <f>IFERROR(_xlfn.SINGLE(INDEX('Raw Data'!#REF!,_xlfn.AGGREGATE(15,3,('Raw Data'!$O$1:$O$1038=Invoice!$E$3)/('Raw Data'!$O$1:$O$1038=Invoice!$E$3)*(ROW('Raw Data'!$O$1:O1176)-ROW('Raw Data'!$O$1)),ROWS($A$44:E182)))),"")</f>
        <v/>
      </c>
    </row>
    <row r="183" spans="2:7" ht="30" customHeight="1">
      <c r="B183" s="31" t="str">
        <f>IFERROR(INDEX('Raw Data'!$P$2:$P$1038,_xlfn.AGGREGATE(15,3,('Raw Data'!$O$1:$O$1038=Invoice!$E$3)/('Raw Data'!$O$1:$O$1038=Invoice!$E$3)*(ROW('Raw Data'!$O$1:O1177)-ROW('Raw Data'!$O$1)),ROWS($A$44:A183))),"")</f>
        <v/>
      </c>
      <c r="C183" s="36" t="str">
        <f>IFERROR(INDEX('Raw Data'!$C$2:$C$1038,_xlfn.AGGREGATE(15,3,('Raw Data'!$O$1:$O$1038=Invoice!$E$3)/('Raw Data'!$O$1:$O$1038=Invoice!$E$3)*(ROW('Raw Data'!$O$1:O1177)-ROW('Raw Data'!$O$1)),ROWS($A$44:A183))),"")</f>
        <v/>
      </c>
      <c r="D183" s="36" t="str">
        <f>IFERROR(INDEX('Raw Data'!$R$2:$R$1038,_xlfn.AGGREGATE(15,3,('Raw Data'!$O$1:$O$1038=Invoice!$E$3)/('Raw Data'!$O$1:$O$1038=Invoice!$E$3)*(ROW('Raw Data'!$O$1:O1177)-ROW('Raw Data'!$O$1)),ROWS($A$44:B183))),"")</f>
        <v/>
      </c>
      <c r="E183" s="267" t="str">
        <f>IFERROR(INDEX('Raw Data'!$N$2:$N$1038,_xlfn.AGGREGATE(15,3,('Raw Data'!$O$1:$O$1038=Invoice!$E$3)/('Raw Data'!$O$1:$O$1038=Invoice!$E$3)*(ROW('Raw Data'!$O$1:O1177)-ROW('Raw Data'!$O$1)),ROWS($A$44:B183))),"")</f>
        <v/>
      </c>
      <c r="F183" s="267"/>
      <c r="G183" s="37" t="str">
        <f>IFERROR(_xlfn.SINGLE(INDEX('Raw Data'!#REF!,_xlfn.AGGREGATE(15,3,('Raw Data'!$O$1:$O$1038=Invoice!$E$3)/('Raw Data'!$O$1:$O$1038=Invoice!$E$3)*(ROW('Raw Data'!$O$1:O1177)-ROW('Raw Data'!$O$1)),ROWS($A$44:E183)))),"")</f>
        <v/>
      </c>
    </row>
    <row r="184" spans="2:7" ht="30" customHeight="1">
      <c r="B184" s="31" t="str">
        <f>IFERROR(INDEX('Raw Data'!$P$2:$P$1038,_xlfn.AGGREGATE(15,3,('Raw Data'!$O$1:$O$1038=Invoice!$E$3)/('Raw Data'!$O$1:$O$1038=Invoice!$E$3)*(ROW('Raw Data'!$O$1:O1178)-ROW('Raw Data'!$O$1)),ROWS($A$44:A184))),"")</f>
        <v/>
      </c>
      <c r="C184" s="36" t="str">
        <f>IFERROR(INDEX('Raw Data'!$C$2:$C$1038,_xlfn.AGGREGATE(15,3,('Raw Data'!$O$1:$O$1038=Invoice!$E$3)/('Raw Data'!$O$1:$O$1038=Invoice!$E$3)*(ROW('Raw Data'!$O$1:O1178)-ROW('Raw Data'!$O$1)),ROWS($A$44:A184))),"")</f>
        <v/>
      </c>
      <c r="D184" s="36" t="str">
        <f>IFERROR(INDEX('Raw Data'!$R$2:$R$1038,_xlfn.AGGREGATE(15,3,('Raw Data'!$O$1:$O$1038=Invoice!$E$3)/('Raw Data'!$O$1:$O$1038=Invoice!$E$3)*(ROW('Raw Data'!$O$1:O1178)-ROW('Raw Data'!$O$1)),ROWS($A$44:B184))),"")</f>
        <v/>
      </c>
      <c r="E184" s="267" t="str">
        <f>IFERROR(INDEX('Raw Data'!$N$2:$N$1038,_xlfn.AGGREGATE(15,3,('Raw Data'!$O$1:$O$1038=Invoice!$E$3)/('Raw Data'!$O$1:$O$1038=Invoice!$E$3)*(ROW('Raw Data'!$O$1:O1178)-ROW('Raw Data'!$O$1)),ROWS($A$44:B184))),"")</f>
        <v/>
      </c>
      <c r="F184" s="267"/>
      <c r="G184" s="37" t="str">
        <f>IFERROR(_xlfn.SINGLE(INDEX('Raw Data'!#REF!,_xlfn.AGGREGATE(15,3,('Raw Data'!$O$1:$O$1038=Invoice!$E$3)/('Raw Data'!$O$1:$O$1038=Invoice!$E$3)*(ROW('Raw Data'!$O$1:O1178)-ROW('Raw Data'!$O$1)),ROWS($A$44:E184)))),"")</f>
        <v/>
      </c>
    </row>
    <row r="185" spans="2:7" ht="30" customHeight="1">
      <c r="B185" s="31" t="str">
        <f>IFERROR(INDEX('Raw Data'!$P$2:$P$1038,_xlfn.AGGREGATE(15,3,('Raw Data'!$O$1:$O$1038=Invoice!$E$3)/('Raw Data'!$O$1:$O$1038=Invoice!$E$3)*(ROW('Raw Data'!$O$1:O1179)-ROW('Raw Data'!$O$1)),ROWS($A$44:A185))),"")</f>
        <v/>
      </c>
      <c r="C185" s="36" t="str">
        <f>IFERROR(INDEX('Raw Data'!$C$2:$C$1038,_xlfn.AGGREGATE(15,3,('Raw Data'!$O$1:$O$1038=Invoice!$E$3)/('Raw Data'!$O$1:$O$1038=Invoice!$E$3)*(ROW('Raw Data'!$O$1:O1179)-ROW('Raw Data'!$O$1)),ROWS($A$44:A185))),"")</f>
        <v/>
      </c>
      <c r="D185" s="36" t="str">
        <f>IFERROR(INDEX('Raw Data'!$R$2:$R$1038,_xlfn.AGGREGATE(15,3,('Raw Data'!$O$1:$O$1038=Invoice!$E$3)/('Raw Data'!$O$1:$O$1038=Invoice!$E$3)*(ROW('Raw Data'!$O$1:O1179)-ROW('Raw Data'!$O$1)),ROWS($A$44:B185))),"")</f>
        <v/>
      </c>
      <c r="E185" s="267" t="str">
        <f>IFERROR(INDEX('Raw Data'!$N$2:$N$1038,_xlfn.AGGREGATE(15,3,('Raw Data'!$O$1:$O$1038=Invoice!$E$3)/('Raw Data'!$O$1:$O$1038=Invoice!$E$3)*(ROW('Raw Data'!$O$1:O1179)-ROW('Raw Data'!$O$1)),ROWS($A$44:B185))),"")</f>
        <v/>
      </c>
      <c r="F185" s="267"/>
      <c r="G185" s="37" t="str">
        <f>IFERROR(_xlfn.SINGLE(INDEX('Raw Data'!#REF!,_xlfn.AGGREGATE(15,3,('Raw Data'!$O$1:$O$1038=Invoice!$E$3)/('Raw Data'!$O$1:$O$1038=Invoice!$E$3)*(ROW('Raw Data'!$O$1:O1179)-ROW('Raw Data'!$O$1)),ROWS($A$44:E185)))),"")</f>
        <v/>
      </c>
    </row>
    <row r="186" spans="2:7" ht="30" customHeight="1">
      <c r="B186" s="31" t="str">
        <f>IFERROR(INDEX('Raw Data'!$P$2:$P$1038,_xlfn.AGGREGATE(15,3,('Raw Data'!$O$1:$O$1038=Invoice!$E$3)/('Raw Data'!$O$1:$O$1038=Invoice!$E$3)*(ROW('Raw Data'!$O$1:O1180)-ROW('Raw Data'!$O$1)),ROWS($A$44:A186))),"")</f>
        <v/>
      </c>
      <c r="C186" s="36" t="str">
        <f>IFERROR(INDEX('Raw Data'!$C$2:$C$1038,_xlfn.AGGREGATE(15,3,('Raw Data'!$O$1:$O$1038=Invoice!$E$3)/('Raw Data'!$O$1:$O$1038=Invoice!$E$3)*(ROW('Raw Data'!$O$1:O1180)-ROW('Raw Data'!$O$1)),ROWS($A$44:A186))),"")</f>
        <v/>
      </c>
      <c r="D186" s="36" t="str">
        <f>IFERROR(INDEX('Raw Data'!$R$2:$R$1038,_xlfn.AGGREGATE(15,3,('Raw Data'!$O$1:$O$1038=Invoice!$E$3)/('Raw Data'!$O$1:$O$1038=Invoice!$E$3)*(ROW('Raw Data'!$O$1:O1180)-ROW('Raw Data'!$O$1)),ROWS($A$44:B186))),"")</f>
        <v/>
      </c>
      <c r="E186" s="267" t="str">
        <f>IFERROR(INDEX('Raw Data'!$N$2:$N$1038,_xlfn.AGGREGATE(15,3,('Raw Data'!$O$1:$O$1038=Invoice!$E$3)/('Raw Data'!$O$1:$O$1038=Invoice!$E$3)*(ROW('Raw Data'!$O$1:O1180)-ROW('Raw Data'!$O$1)),ROWS($A$44:B186))),"")</f>
        <v/>
      </c>
      <c r="F186" s="267"/>
      <c r="G186" s="37" t="str">
        <f>IFERROR(_xlfn.SINGLE(INDEX('Raw Data'!#REF!,_xlfn.AGGREGATE(15,3,('Raw Data'!$O$1:$O$1038=Invoice!$E$3)/('Raw Data'!$O$1:$O$1038=Invoice!$E$3)*(ROW('Raw Data'!$O$1:O1180)-ROW('Raw Data'!$O$1)),ROWS($A$44:E186)))),"")</f>
        <v/>
      </c>
    </row>
    <row r="187" spans="2:7" ht="30" customHeight="1">
      <c r="B187" s="31" t="str">
        <f>IFERROR(INDEX('Raw Data'!$P$2:$P$1038,_xlfn.AGGREGATE(15,3,('Raw Data'!$O$1:$O$1038=Invoice!$E$3)/('Raw Data'!$O$1:$O$1038=Invoice!$E$3)*(ROW('Raw Data'!$O$1:O1181)-ROW('Raw Data'!$O$1)),ROWS($A$44:A187))),"")</f>
        <v/>
      </c>
      <c r="C187" s="36" t="str">
        <f>IFERROR(INDEX('Raw Data'!$C$2:$C$1038,_xlfn.AGGREGATE(15,3,('Raw Data'!$O$1:$O$1038=Invoice!$E$3)/('Raw Data'!$O$1:$O$1038=Invoice!$E$3)*(ROW('Raw Data'!$O$1:O1181)-ROW('Raw Data'!$O$1)),ROWS($A$44:A187))),"")</f>
        <v/>
      </c>
      <c r="D187" s="36" t="str">
        <f>IFERROR(INDEX('Raw Data'!$R$2:$R$1038,_xlfn.AGGREGATE(15,3,('Raw Data'!$O$1:$O$1038=Invoice!$E$3)/('Raw Data'!$O$1:$O$1038=Invoice!$E$3)*(ROW('Raw Data'!$O$1:O1181)-ROW('Raw Data'!$O$1)),ROWS($A$44:B187))),"")</f>
        <v/>
      </c>
      <c r="E187" s="267" t="str">
        <f>IFERROR(INDEX('Raw Data'!$N$2:$N$1038,_xlfn.AGGREGATE(15,3,('Raw Data'!$O$1:$O$1038=Invoice!$E$3)/('Raw Data'!$O$1:$O$1038=Invoice!$E$3)*(ROW('Raw Data'!$O$1:O1181)-ROW('Raw Data'!$O$1)),ROWS($A$44:B187))),"")</f>
        <v/>
      </c>
      <c r="F187" s="267"/>
      <c r="G187" s="37" t="str">
        <f>IFERROR(_xlfn.SINGLE(INDEX('Raw Data'!#REF!,_xlfn.AGGREGATE(15,3,('Raw Data'!$O$1:$O$1038=Invoice!$E$3)/('Raw Data'!$O$1:$O$1038=Invoice!$E$3)*(ROW('Raw Data'!$O$1:O1181)-ROW('Raw Data'!$O$1)),ROWS($A$44:E187)))),"")</f>
        <v/>
      </c>
    </row>
    <row r="188" spans="2:7" ht="30" customHeight="1">
      <c r="B188" s="31" t="str">
        <f>IFERROR(INDEX('Raw Data'!$P$2:$P$1038,_xlfn.AGGREGATE(15,3,('Raw Data'!$O$1:$O$1038=Invoice!$E$3)/('Raw Data'!$O$1:$O$1038=Invoice!$E$3)*(ROW('Raw Data'!$O$1:O1182)-ROW('Raw Data'!$O$1)),ROWS($A$44:A188))),"")</f>
        <v/>
      </c>
      <c r="C188" s="36" t="str">
        <f>IFERROR(INDEX('Raw Data'!$C$2:$C$1038,_xlfn.AGGREGATE(15,3,('Raw Data'!$O$1:$O$1038=Invoice!$E$3)/('Raw Data'!$O$1:$O$1038=Invoice!$E$3)*(ROW('Raw Data'!$O$1:O1182)-ROW('Raw Data'!$O$1)),ROWS($A$44:A188))),"")</f>
        <v/>
      </c>
      <c r="D188" s="36" t="str">
        <f>IFERROR(INDEX('Raw Data'!$R$2:$R$1038,_xlfn.AGGREGATE(15,3,('Raw Data'!$O$1:$O$1038=Invoice!$E$3)/('Raw Data'!$O$1:$O$1038=Invoice!$E$3)*(ROW('Raw Data'!$O$1:O1182)-ROW('Raw Data'!$O$1)),ROWS($A$44:B188))),"")</f>
        <v/>
      </c>
      <c r="E188" s="267" t="str">
        <f>IFERROR(INDEX('Raw Data'!$N$2:$N$1038,_xlfn.AGGREGATE(15,3,('Raw Data'!$O$1:$O$1038=Invoice!$E$3)/('Raw Data'!$O$1:$O$1038=Invoice!$E$3)*(ROW('Raw Data'!$O$1:O1182)-ROW('Raw Data'!$O$1)),ROWS($A$44:B188))),"")</f>
        <v/>
      </c>
      <c r="F188" s="267"/>
      <c r="G188" s="37" t="str">
        <f>IFERROR(_xlfn.SINGLE(INDEX('Raw Data'!#REF!,_xlfn.AGGREGATE(15,3,('Raw Data'!$O$1:$O$1038=Invoice!$E$3)/('Raw Data'!$O$1:$O$1038=Invoice!$E$3)*(ROW('Raw Data'!$O$1:O1182)-ROW('Raw Data'!$O$1)),ROWS($A$44:E188)))),"")</f>
        <v/>
      </c>
    </row>
    <row r="189" spans="2:7" ht="30" customHeight="1">
      <c r="B189" s="31" t="str">
        <f>IFERROR(INDEX('Raw Data'!$P$2:$P$1038,_xlfn.AGGREGATE(15,3,('Raw Data'!$O$1:$O$1038=Invoice!$E$3)/('Raw Data'!$O$1:$O$1038=Invoice!$E$3)*(ROW('Raw Data'!$O$1:O1183)-ROW('Raw Data'!$O$1)),ROWS($A$44:A189))),"")</f>
        <v/>
      </c>
      <c r="C189" s="36" t="str">
        <f>IFERROR(INDEX('Raw Data'!$C$2:$C$1038,_xlfn.AGGREGATE(15,3,('Raw Data'!$O$1:$O$1038=Invoice!$E$3)/('Raw Data'!$O$1:$O$1038=Invoice!$E$3)*(ROW('Raw Data'!$O$1:O1183)-ROW('Raw Data'!$O$1)),ROWS($A$44:A189))),"")</f>
        <v/>
      </c>
      <c r="D189" s="36" t="str">
        <f>IFERROR(INDEX('Raw Data'!$R$2:$R$1038,_xlfn.AGGREGATE(15,3,('Raw Data'!$O$1:$O$1038=Invoice!$E$3)/('Raw Data'!$O$1:$O$1038=Invoice!$E$3)*(ROW('Raw Data'!$O$1:O1183)-ROW('Raw Data'!$O$1)),ROWS($A$44:B189))),"")</f>
        <v/>
      </c>
      <c r="E189" s="267" t="str">
        <f>IFERROR(INDEX('Raw Data'!$N$2:$N$1038,_xlfn.AGGREGATE(15,3,('Raw Data'!$O$1:$O$1038=Invoice!$E$3)/('Raw Data'!$O$1:$O$1038=Invoice!$E$3)*(ROW('Raw Data'!$O$1:O1183)-ROW('Raw Data'!$O$1)),ROWS($A$44:B189))),"")</f>
        <v/>
      </c>
      <c r="F189" s="267"/>
      <c r="G189" s="37" t="str">
        <f>IFERROR(_xlfn.SINGLE(INDEX('Raw Data'!#REF!,_xlfn.AGGREGATE(15,3,('Raw Data'!$O$1:$O$1038=Invoice!$E$3)/('Raw Data'!$O$1:$O$1038=Invoice!$E$3)*(ROW('Raw Data'!$O$1:O1183)-ROW('Raw Data'!$O$1)),ROWS($A$44:E189)))),"")</f>
        <v/>
      </c>
    </row>
    <row r="190" spans="2:7" ht="30" customHeight="1">
      <c r="B190" s="31" t="str">
        <f>IFERROR(INDEX('Raw Data'!$P$2:$P$1038,_xlfn.AGGREGATE(15,3,('Raw Data'!$O$1:$O$1038=Invoice!$E$3)/('Raw Data'!$O$1:$O$1038=Invoice!$E$3)*(ROW('Raw Data'!$O$1:O1184)-ROW('Raw Data'!$O$1)),ROWS($A$44:A190))),"")</f>
        <v/>
      </c>
      <c r="C190" s="36" t="str">
        <f>IFERROR(INDEX('Raw Data'!$C$2:$C$1038,_xlfn.AGGREGATE(15,3,('Raw Data'!$O$1:$O$1038=Invoice!$E$3)/('Raw Data'!$O$1:$O$1038=Invoice!$E$3)*(ROW('Raw Data'!$O$1:O1184)-ROW('Raw Data'!$O$1)),ROWS($A$44:A190))),"")</f>
        <v/>
      </c>
      <c r="D190" s="36" t="str">
        <f>IFERROR(INDEX('Raw Data'!$R$2:$R$1038,_xlfn.AGGREGATE(15,3,('Raw Data'!$O$1:$O$1038=Invoice!$E$3)/('Raw Data'!$O$1:$O$1038=Invoice!$E$3)*(ROW('Raw Data'!$O$1:O1184)-ROW('Raw Data'!$O$1)),ROWS($A$44:B190))),"")</f>
        <v/>
      </c>
      <c r="E190" s="267" t="str">
        <f>IFERROR(INDEX('Raw Data'!$N$2:$N$1038,_xlfn.AGGREGATE(15,3,('Raw Data'!$O$1:$O$1038=Invoice!$E$3)/('Raw Data'!$O$1:$O$1038=Invoice!$E$3)*(ROW('Raw Data'!$O$1:O1184)-ROW('Raw Data'!$O$1)),ROWS($A$44:B190))),"")</f>
        <v/>
      </c>
      <c r="F190" s="267"/>
      <c r="G190" s="37" t="str">
        <f>IFERROR(_xlfn.SINGLE(INDEX('Raw Data'!#REF!,_xlfn.AGGREGATE(15,3,('Raw Data'!$O$1:$O$1038=Invoice!$E$3)/('Raw Data'!$O$1:$O$1038=Invoice!$E$3)*(ROW('Raw Data'!$O$1:O1184)-ROW('Raw Data'!$O$1)),ROWS($A$44:E190)))),"")</f>
        <v/>
      </c>
    </row>
    <row r="191" spans="2:7" ht="30" customHeight="1">
      <c r="B191" s="31" t="str">
        <f>IFERROR(INDEX('Raw Data'!$P$2:$P$1038,_xlfn.AGGREGATE(15,3,('Raw Data'!$O$1:$O$1038=Invoice!$E$3)/('Raw Data'!$O$1:$O$1038=Invoice!$E$3)*(ROW('Raw Data'!$O$1:O1185)-ROW('Raw Data'!$O$1)),ROWS($A$44:A191))),"")</f>
        <v/>
      </c>
      <c r="C191" s="36" t="str">
        <f>IFERROR(INDEX('Raw Data'!$C$2:$C$1038,_xlfn.AGGREGATE(15,3,('Raw Data'!$O$1:$O$1038=Invoice!$E$3)/('Raw Data'!$O$1:$O$1038=Invoice!$E$3)*(ROW('Raw Data'!$O$1:O1185)-ROW('Raw Data'!$O$1)),ROWS($A$44:A191))),"")</f>
        <v/>
      </c>
      <c r="D191" s="36" t="str">
        <f>IFERROR(INDEX('Raw Data'!$R$2:$R$1038,_xlfn.AGGREGATE(15,3,('Raw Data'!$O$1:$O$1038=Invoice!$E$3)/('Raw Data'!$O$1:$O$1038=Invoice!$E$3)*(ROW('Raw Data'!$O$1:O1185)-ROW('Raw Data'!$O$1)),ROWS($A$44:B191))),"")</f>
        <v/>
      </c>
      <c r="E191" s="267" t="str">
        <f>IFERROR(INDEX('Raw Data'!$N$2:$N$1038,_xlfn.AGGREGATE(15,3,('Raw Data'!$O$1:$O$1038=Invoice!$E$3)/('Raw Data'!$O$1:$O$1038=Invoice!$E$3)*(ROW('Raw Data'!$O$1:O1185)-ROW('Raw Data'!$O$1)),ROWS($A$44:B191))),"")</f>
        <v/>
      </c>
      <c r="F191" s="267"/>
      <c r="G191" s="37" t="str">
        <f>IFERROR(_xlfn.SINGLE(INDEX('Raw Data'!#REF!,_xlfn.AGGREGATE(15,3,('Raw Data'!$O$1:$O$1038=Invoice!$E$3)/('Raw Data'!$O$1:$O$1038=Invoice!$E$3)*(ROW('Raw Data'!$O$1:O1185)-ROW('Raw Data'!$O$1)),ROWS($A$44:E191)))),"")</f>
        <v/>
      </c>
    </row>
    <row r="192" spans="2:7" ht="30" customHeight="1">
      <c r="B192" s="31" t="str">
        <f>IFERROR(INDEX('Raw Data'!$P$2:$P$1038,_xlfn.AGGREGATE(15,3,('Raw Data'!$O$1:$O$1038=Invoice!$E$3)/('Raw Data'!$O$1:$O$1038=Invoice!$E$3)*(ROW('Raw Data'!$O$1:O1186)-ROW('Raw Data'!$O$1)),ROWS($A$44:A192))),"")</f>
        <v/>
      </c>
      <c r="C192" s="36" t="str">
        <f>IFERROR(INDEX('Raw Data'!$C$2:$C$1038,_xlfn.AGGREGATE(15,3,('Raw Data'!$O$1:$O$1038=Invoice!$E$3)/('Raw Data'!$O$1:$O$1038=Invoice!$E$3)*(ROW('Raw Data'!$O$1:O1186)-ROW('Raw Data'!$O$1)),ROWS($A$44:A192))),"")</f>
        <v/>
      </c>
      <c r="D192" s="36" t="str">
        <f>IFERROR(INDEX('Raw Data'!$R$2:$R$1038,_xlfn.AGGREGATE(15,3,('Raw Data'!$O$1:$O$1038=Invoice!$E$3)/('Raw Data'!$O$1:$O$1038=Invoice!$E$3)*(ROW('Raw Data'!$O$1:O1186)-ROW('Raw Data'!$O$1)),ROWS($A$44:B192))),"")</f>
        <v/>
      </c>
      <c r="E192" s="267" t="str">
        <f>IFERROR(INDEX('Raw Data'!$N$2:$N$1038,_xlfn.AGGREGATE(15,3,('Raw Data'!$O$1:$O$1038=Invoice!$E$3)/('Raw Data'!$O$1:$O$1038=Invoice!$E$3)*(ROW('Raw Data'!$O$1:O1186)-ROW('Raw Data'!$O$1)),ROWS($A$44:B192))),"")</f>
        <v/>
      </c>
      <c r="F192" s="267"/>
      <c r="G192" s="37" t="str">
        <f>IFERROR(_xlfn.SINGLE(INDEX('Raw Data'!#REF!,_xlfn.AGGREGATE(15,3,('Raw Data'!$O$1:$O$1038=Invoice!$E$3)/('Raw Data'!$O$1:$O$1038=Invoice!$E$3)*(ROW('Raw Data'!$O$1:O1186)-ROW('Raw Data'!$O$1)),ROWS($A$44:E192)))),"")</f>
        <v/>
      </c>
    </row>
    <row r="193" spans="2:7" ht="30" customHeight="1">
      <c r="B193" s="31" t="str">
        <f>IFERROR(INDEX('Raw Data'!$P$2:$P$1038,_xlfn.AGGREGATE(15,3,('Raw Data'!$O$1:$O$1038=Invoice!$E$3)/('Raw Data'!$O$1:$O$1038=Invoice!$E$3)*(ROW('Raw Data'!$O$1:O1187)-ROW('Raw Data'!$O$1)),ROWS($A$44:A193))),"")</f>
        <v/>
      </c>
      <c r="C193" s="36" t="str">
        <f>IFERROR(INDEX('Raw Data'!$C$2:$C$1038,_xlfn.AGGREGATE(15,3,('Raw Data'!$O$1:$O$1038=Invoice!$E$3)/('Raw Data'!$O$1:$O$1038=Invoice!$E$3)*(ROW('Raw Data'!$O$1:O1187)-ROW('Raw Data'!$O$1)),ROWS($A$44:A193))),"")</f>
        <v/>
      </c>
      <c r="D193" s="36" t="str">
        <f>IFERROR(INDEX('Raw Data'!$R$2:$R$1038,_xlfn.AGGREGATE(15,3,('Raw Data'!$O$1:$O$1038=Invoice!$E$3)/('Raw Data'!$O$1:$O$1038=Invoice!$E$3)*(ROW('Raw Data'!$O$1:O1187)-ROW('Raw Data'!$O$1)),ROWS($A$44:B193))),"")</f>
        <v/>
      </c>
      <c r="E193" s="267" t="str">
        <f>IFERROR(INDEX('Raw Data'!$N$2:$N$1038,_xlfn.AGGREGATE(15,3,('Raw Data'!$O$1:$O$1038=Invoice!$E$3)/('Raw Data'!$O$1:$O$1038=Invoice!$E$3)*(ROW('Raw Data'!$O$1:O1187)-ROW('Raw Data'!$O$1)),ROWS($A$44:B193))),"")</f>
        <v/>
      </c>
      <c r="F193" s="267"/>
      <c r="G193" s="37" t="str">
        <f>IFERROR(_xlfn.SINGLE(INDEX('Raw Data'!#REF!,_xlfn.AGGREGATE(15,3,('Raw Data'!$O$1:$O$1038=Invoice!$E$3)/('Raw Data'!$O$1:$O$1038=Invoice!$E$3)*(ROW('Raw Data'!$O$1:O1187)-ROW('Raw Data'!$O$1)),ROWS($A$44:E193)))),"")</f>
        <v/>
      </c>
    </row>
    <row r="194" spans="2:7" ht="30" customHeight="1">
      <c r="B194" s="31" t="str">
        <f>IFERROR(INDEX('Raw Data'!$P$2:$P$1038,_xlfn.AGGREGATE(15,3,('Raw Data'!$O$1:$O$1038=Invoice!$E$3)/('Raw Data'!$O$1:$O$1038=Invoice!$E$3)*(ROW('Raw Data'!$O$1:O1188)-ROW('Raw Data'!$O$1)),ROWS($A$44:A194))),"")</f>
        <v/>
      </c>
      <c r="C194" s="36" t="str">
        <f>IFERROR(INDEX('Raw Data'!$C$2:$C$1038,_xlfn.AGGREGATE(15,3,('Raw Data'!$O$1:$O$1038=Invoice!$E$3)/('Raw Data'!$O$1:$O$1038=Invoice!$E$3)*(ROW('Raw Data'!$O$1:O1188)-ROW('Raw Data'!$O$1)),ROWS($A$44:A194))),"")</f>
        <v/>
      </c>
      <c r="D194" s="36" t="str">
        <f>IFERROR(INDEX('Raw Data'!$R$2:$R$1038,_xlfn.AGGREGATE(15,3,('Raw Data'!$O$1:$O$1038=Invoice!$E$3)/('Raw Data'!$O$1:$O$1038=Invoice!$E$3)*(ROW('Raw Data'!$O$1:O1188)-ROW('Raw Data'!$O$1)),ROWS($A$44:B194))),"")</f>
        <v/>
      </c>
      <c r="E194" s="267" t="str">
        <f>IFERROR(INDEX('Raw Data'!$N$2:$N$1038,_xlfn.AGGREGATE(15,3,('Raw Data'!$O$1:$O$1038=Invoice!$E$3)/('Raw Data'!$O$1:$O$1038=Invoice!$E$3)*(ROW('Raw Data'!$O$1:O1188)-ROW('Raw Data'!$O$1)),ROWS($A$44:B194))),"")</f>
        <v/>
      </c>
      <c r="F194" s="267"/>
      <c r="G194" s="37" t="str">
        <f>IFERROR(_xlfn.SINGLE(INDEX('Raw Data'!#REF!,_xlfn.AGGREGATE(15,3,('Raw Data'!$O$1:$O$1038=Invoice!$E$3)/('Raw Data'!$O$1:$O$1038=Invoice!$E$3)*(ROW('Raw Data'!$O$1:O1188)-ROW('Raw Data'!$O$1)),ROWS($A$44:E194)))),"")</f>
        <v/>
      </c>
    </row>
    <row r="195" spans="2:7" ht="30" customHeight="1">
      <c r="B195" s="31" t="str">
        <f>IFERROR(INDEX('Raw Data'!$P$2:$P$1038,_xlfn.AGGREGATE(15,3,('Raw Data'!$O$1:$O$1038=Invoice!$E$3)/('Raw Data'!$O$1:$O$1038=Invoice!$E$3)*(ROW('Raw Data'!$O$1:O1189)-ROW('Raw Data'!$O$1)),ROWS($A$44:A195))),"")</f>
        <v/>
      </c>
      <c r="C195" s="36" t="str">
        <f>IFERROR(INDEX('Raw Data'!$C$2:$C$1038,_xlfn.AGGREGATE(15,3,('Raw Data'!$O$1:$O$1038=Invoice!$E$3)/('Raw Data'!$O$1:$O$1038=Invoice!$E$3)*(ROW('Raw Data'!$O$1:O1189)-ROW('Raw Data'!$O$1)),ROWS($A$44:A195))),"")</f>
        <v/>
      </c>
      <c r="D195" s="36" t="str">
        <f>IFERROR(INDEX('Raw Data'!$R$2:$R$1038,_xlfn.AGGREGATE(15,3,('Raw Data'!$O$1:$O$1038=Invoice!$E$3)/('Raw Data'!$O$1:$O$1038=Invoice!$E$3)*(ROW('Raw Data'!$O$1:O1189)-ROW('Raw Data'!$O$1)),ROWS($A$44:B195))),"")</f>
        <v/>
      </c>
      <c r="E195" s="267" t="str">
        <f>IFERROR(INDEX('Raw Data'!$N$2:$N$1038,_xlfn.AGGREGATE(15,3,('Raw Data'!$O$1:$O$1038=Invoice!$E$3)/('Raw Data'!$O$1:$O$1038=Invoice!$E$3)*(ROW('Raw Data'!$O$1:O1189)-ROW('Raw Data'!$O$1)),ROWS($A$44:B195))),"")</f>
        <v/>
      </c>
      <c r="F195" s="267"/>
      <c r="G195" s="37" t="str">
        <f>IFERROR(_xlfn.SINGLE(INDEX('Raw Data'!#REF!,_xlfn.AGGREGATE(15,3,('Raw Data'!$O$1:$O$1038=Invoice!$E$3)/('Raw Data'!$O$1:$O$1038=Invoice!$E$3)*(ROW('Raw Data'!$O$1:O1189)-ROW('Raw Data'!$O$1)),ROWS($A$44:E195)))),"")</f>
        <v/>
      </c>
    </row>
    <row r="196" spans="2:7" ht="30" customHeight="1">
      <c r="B196" s="31" t="str">
        <f>IFERROR(INDEX('Raw Data'!$P$2:$P$1038,_xlfn.AGGREGATE(15,3,('Raw Data'!$O$1:$O$1038=Invoice!$E$3)/('Raw Data'!$O$1:$O$1038=Invoice!$E$3)*(ROW('Raw Data'!$O$1:O1190)-ROW('Raw Data'!$O$1)),ROWS($A$44:A196))),"")</f>
        <v/>
      </c>
      <c r="C196" s="36" t="str">
        <f>IFERROR(INDEX('Raw Data'!$C$2:$C$1038,_xlfn.AGGREGATE(15,3,('Raw Data'!$O$1:$O$1038=Invoice!$E$3)/('Raw Data'!$O$1:$O$1038=Invoice!$E$3)*(ROW('Raw Data'!$O$1:O1190)-ROW('Raw Data'!$O$1)),ROWS($A$44:A196))),"")</f>
        <v/>
      </c>
      <c r="D196" s="36" t="str">
        <f>IFERROR(INDEX('Raw Data'!$R$2:$R$1038,_xlfn.AGGREGATE(15,3,('Raw Data'!$O$1:$O$1038=Invoice!$E$3)/('Raw Data'!$O$1:$O$1038=Invoice!$E$3)*(ROW('Raw Data'!$O$1:O1190)-ROW('Raw Data'!$O$1)),ROWS($A$44:B196))),"")</f>
        <v/>
      </c>
      <c r="E196" s="267" t="str">
        <f>IFERROR(INDEX('Raw Data'!$N$2:$N$1038,_xlfn.AGGREGATE(15,3,('Raw Data'!$O$1:$O$1038=Invoice!$E$3)/('Raw Data'!$O$1:$O$1038=Invoice!$E$3)*(ROW('Raw Data'!$O$1:O1190)-ROW('Raw Data'!$O$1)),ROWS($A$44:B196))),"")</f>
        <v/>
      </c>
      <c r="F196" s="267"/>
      <c r="G196" s="37" t="str">
        <f>IFERROR(_xlfn.SINGLE(INDEX('Raw Data'!#REF!,_xlfn.AGGREGATE(15,3,('Raw Data'!$O$1:$O$1038=Invoice!$E$3)/('Raw Data'!$O$1:$O$1038=Invoice!$E$3)*(ROW('Raw Data'!$O$1:O1190)-ROW('Raw Data'!$O$1)),ROWS($A$44:E196)))),"")</f>
        <v/>
      </c>
    </row>
    <row r="197" spans="2:7" ht="30" customHeight="1">
      <c r="B197" s="31" t="str" cm="1">
        <f t="array" ref="B197">IFERROR(_xlfn.SINGLE(INDEX('Raw Data'!$P$2:$P$1070,_xlfn.AGGREGATE(15,3,('Raw Data'!$O$1:$O$1070=Invoice!$E$3)/('Raw Data'!$O$1:$O$1070=Invoice!$E$3)*(ROW('Raw Data'!$O$1:O1223)-ROW('Raw Data'!$O$1)),ROWS($A$44:A197)))),"")</f>
        <v/>
      </c>
      <c r="C197" s="36" t="str" cm="1">
        <f t="array" ref="C197">IFERROR(_xlfn.SINGLE(INDEX('Raw Data'!$C$2:$C$1070,_xlfn.AGGREGATE(15,3,('Raw Data'!$O$1:$O$1070=Invoice!$E$3)/('Raw Data'!$O$1:$O$1070=Invoice!$E$3)*(ROW('Raw Data'!$O$1:O1223)-ROW('Raw Data'!$O$1)),ROWS($A$44:A197)))),"")</f>
        <v/>
      </c>
      <c r="D197" s="36" t="str" cm="1">
        <f t="array" ref="D197">IFERROR(_xlfn.SINGLE(INDEX('Raw Data'!$R$2:$R$1070,_xlfn.AGGREGATE(15,3,('Raw Data'!$O$1:$O$1070=Invoice!$E$3)/('Raw Data'!$O$1:$O$1070=Invoice!$E$3)*(ROW('Raw Data'!$O$1:O1223)-ROW('Raw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2" priority="3">
      <formula>$G$33&lt;&gt;$I$33</formula>
    </cfRule>
  </conditionalFormatting>
  <conditionalFormatting sqref="I39">
    <cfRule type="expression" dxfId="1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64"/>
  <sheetViews>
    <sheetView tabSelected="1" topLeftCell="O1" zoomScale="61" zoomScaleNormal="72" workbookViewId="0">
      <pane ySplit="1" topLeftCell="A2" activePane="bottomLeft" state="frozen"/>
      <selection pane="bottomLeft" activeCell="W18" sqref="W18"/>
    </sheetView>
  </sheetViews>
  <sheetFormatPr defaultColWidth="9.109375" defaultRowHeight="18"/>
  <cols>
    <col min="1" max="1" width="53.5546875" style="120" bestFit="1" customWidth="1"/>
    <col min="2" max="2" width="14.44140625" style="130" bestFit="1" customWidth="1"/>
    <col min="3" max="3" width="26.44140625" style="123" bestFit="1" customWidth="1"/>
    <col min="4" max="4" width="12.5546875" style="123" customWidth="1"/>
    <col min="5" max="5" width="38.88671875" style="123" customWidth="1"/>
    <col min="6" max="6" width="10.88671875" style="123" customWidth="1"/>
    <col min="7" max="7" width="22.44140625" style="123" customWidth="1"/>
    <col min="8" max="8" width="16.44140625" style="123" customWidth="1"/>
    <col min="9" max="9" width="18.109375" style="123" customWidth="1"/>
    <col min="10" max="10" width="24.109375" style="123" customWidth="1"/>
    <col min="11" max="11" width="31.109375" style="123" customWidth="1"/>
    <col min="12" max="12" width="17.88671875" style="123" customWidth="1"/>
    <col min="13" max="13" width="25.109375" style="123" customWidth="1"/>
    <col min="14" max="14" width="76.5546875" style="123" customWidth="1"/>
    <col min="15" max="15" width="11.44140625" style="123" bestFit="1" customWidth="1"/>
    <col min="16" max="16" width="14.44140625" style="123" customWidth="1"/>
    <col min="17" max="17" width="16.109375" style="123" customWidth="1"/>
    <col min="18" max="18" width="13.88671875" style="123" customWidth="1"/>
    <col min="19" max="19" width="48.44140625" style="122" customWidth="1"/>
    <col min="20" max="20" width="19.109375" style="123" customWidth="1"/>
    <col min="21" max="21" width="14.5546875" style="120" bestFit="1" customWidth="1"/>
    <col min="22" max="22" width="16" style="120" bestFit="1" customWidth="1"/>
    <col min="23" max="23" width="30.109375" style="123" bestFit="1" customWidth="1"/>
    <col min="24" max="24" width="9.109375" style="123"/>
    <col min="25" max="25" width="50.88671875" style="123" bestFit="1" customWidth="1"/>
    <col min="26" max="26" width="26.6640625" style="123" bestFit="1" customWidth="1"/>
    <col min="27" max="27" width="3.88671875" style="123" customWidth="1"/>
    <col min="28" max="28" width="4.88671875" style="123" customWidth="1"/>
    <col min="29" max="29" width="16.88671875" style="123" bestFit="1" customWidth="1"/>
    <col min="30" max="30" width="18" style="123" bestFit="1" customWidth="1"/>
    <col min="31" max="31" width="10.5546875" style="123" customWidth="1"/>
    <col min="32" max="32" width="1.88671875" style="123" customWidth="1"/>
    <col min="33" max="33" width="11.88671875" style="123" customWidth="1"/>
    <col min="34" max="34" width="7.5546875" style="123" customWidth="1"/>
    <col min="35" max="35" width="16.88671875" style="123" customWidth="1"/>
    <col min="36" max="39" width="12.5546875" style="123" customWidth="1"/>
    <col min="40" max="40" width="4.109375" style="123" customWidth="1"/>
    <col min="41" max="41" width="12.5546875" style="123" customWidth="1"/>
    <col min="42" max="42" width="4.109375" style="123" customWidth="1"/>
    <col min="43" max="45" width="12.5546875" style="123" customWidth="1"/>
    <col min="46" max="46" width="4.109375" style="123" customWidth="1"/>
    <col min="47" max="47" width="12.5546875" style="123" customWidth="1"/>
    <col min="48" max="48" width="5.109375" style="123" customWidth="1"/>
    <col min="49" max="49" width="12.5546875" style="123" customWidth="1"/>
    <col min="50" max="50" width="4.109375" style="123" customWidth="1"/>
    <col min="51" max="51" width="12.5546875" style="123" customWidth="1"/>
    <col min="52" max="52" width="5.109375" style="123" customWidth="1"/>
    <col min="53" max="55" width="12.5546875" style="123" customWidth="1"/>
    <col min="56" max="56" width="5.109375" style="123" customWidth="1"/>
    <col min="57" max="57" width="2" style="123" customWidth="1"/>
    <col min="58" max="61" width="12.5546875" style="123" customWidth="1"/>
    <col min="62" max="62" width="5.109375" style="123" customWidth="1"/>
    <col min="63" max="63" width="12.5546875" style="123" customWidth="1"/>
    <col min="64" max="64" width="4.109375" style="123" customWidth="1"/>
    <col min="65" max="65" width="12.5546875" style="123" customWidth="1"/>
    <col min="66" max="66" width="4.109375" style="123" customWidth="1"/>
    <col min="67" max="68" width="12.5546875" style="123" customWidth="1"/>
    <col min="69" max="69" width="5.109375" style="123" customWidth="1"/>
    <col min="70" max="70" width="2" style="123" customWidth="1"/>
    <col min="71" max="71" width="12.5546875" style="123" customWidth="1"/>
    <col min="72" max="72" width="5.109375" style="123" customWidth="1"/>
    <col min="73" max="73" width="4.109375" style="123" customWidth="1"/>
    <col min="74" max="77" width="2" style="123" customWidth="1"/>
    <col min="78" max="78" width="4.109375" style="123" customWidth="1"/>
    <col min="79" max="79" width="6.88671875" style="123" customWidth="1"/>
    <col min="80" max="81" width="10.88671875" style="123" customWidth="1"/>
    <col min="82" max="83" width="10.88671875" style="123" bestFit="1" customWidth="1"/>
    <col min="84" max="84" width="6.88671875" style="123" customWidth="1"/>
    <col min="85" max="85" width="10.88671875" style="123" bestFit="1" customWidth="1"/>
    <col min="86" max="16384" width="9.109375" style="123"/>
  </cols>
  <sheetData>
    <row r="1" spans="1:85">
      <c r="A1" s="120" t="s">
        <v>27</v>
      </c>
      <c r="B1" s="137" t="s">
        <v>28</v>
      </c>
      <c r="C1" s="121" t="s">
        <v>29</v>
      </c>
      <c r="D1" s="121" t="s">
        <v>30</v>
      </c>
      <c r="E1" s="121" t="s">
        <v>31</v>
      </c>
      <c r="F1" s="121" t="s">
        <v>32</v>
      </c>
      <c r="G1" s="121" t="s">
        <v>33</v>
      </c>
      <c r="H1" s="121" t="s">
        <v>34</v>
      </c>
      <c r="I1" s="121" t="s">
        <v>35</v>
      </c>
      <c r="J1" s="121" t="s">
        <v>36</v>
      </c>
      <c r="K1" s="121" t="s">
        <v>37</v>
      </c>
      <c r="L1" s="121" t="s">
        <v>38</v>
      </c>
      <c r="M1" s="121" t="s">
        <v>39</v>
      </c>
      <c r="N1" s="121" t="s">
        <v>40</v>
      </c>
      <c r="O1" s="121" t="s">
        <v>41</v>
      </c>
      <c r="P1" s="122" t="s">
        <v>42</v>
      </c>
      <c r="Q1" s="122" t="s">
        <v>43</v>
      </c>
      <c r="R1" s="122" t="s">
        <v>44</v>
      </c>
      <c r="S1" s="122" t="s">
        <v>45</v>
      </c>
      <c r="T1" s="123" t="s">
        <v>46</v>
      </c>
      <c r="U1" s="120" t="s">
        <v>14</v>
      </c>
      <c r="V1" s="120" t="s">
        <v>17</v>
      </c>
      <c r="W1" s="123" t="s">
        <v>47</v>
      </c>
      <c r="Y1" s="124" t="s">
        <v>48</v>
      </c>
      <c r="Z1" s="123" t="s">
        <v>49</v>
      </c>
      <c r="AC1" s="124" t="s">
        <v>48</v>
      </c>
      <c r="AD1" s="123" t="s">
        <v>50</v>
      </c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</row>
    <row r="2" spans="1:85">
      <c r="A2" s="125" t="str">
        <f t="shared" ref="A2:A72" si="0">O2&amp;S2</f>
        <v>CL00350 -Active time (Hourly Rate)</v>
      </c>
      <c r="B2" s="264" t="s">
        <v>199</v>
      </c>
      <c r="C2" s="264" t="s">
        <v>150</v>
      </c>
      <c r="D2" s="264" t="s">
        <v>151</v>
      </c>
      <c r="E2" s="264" t="s">
        <v>152</v>
      </c>
      <c r="F2" s="264" t="s">
        <v>153</v>
      </c>
      <c r="G2" s="264" t="s">
        <v>154</v>
      </c>
      <c r="H2" s="264" t="s">
        <v>155</v>
      </c>
      <c r="I2" s="264" t="s">
        <v>156</v>
      </c>
      <c r="J2" s="264" t="s">
        <v>159</v>
      </c>
      <c r="K2" s="265">
        <v>45233.333333333299</v>
      </c>
      <c r="L2" s="265">
        <v>45233.5</v>
      </c>
      <c r="M2" s="265">
        <v>45260.8028009259</v>
      </c>
      <c r="N2" s="264" t="s">
        <v>200</v>
      </c>
      <c r="O2" s="264" t="s">
        <v>165</v>
      </c>
      <c r="P2" s="126">
        <f t="shared" ref="P2:P72" si="1">INT(L2)</f>
        <v>45233</v>
      </c>
      <c r="Q2" s="126"/>
      <c r="R2" s="127">
        <f t="shared" ref="R2:R72" si="2">L2-K2</f>
        <v>0.16666666670062114</v>
      </c>
      <c r="S2" s="122" t="s">
        <v>145</v>
      </c>
      <c r="T2" s="128">
        <f>IF(S2="50 - Cleaning Fee",1,HOUR($R2)+MINUTE(R2)/60)</f>
        <v>4</v>
      </c>
      <c r="U2" s="129">
        <f>IFERROR(VLOOKUP($S2,References!$B$3:$C$7,2,FALSE),"")</f>
        <v>50</v>
      </c>
      <c r="V2" s="129">
        <f>IF(T2&gt;=8,400,(IFERROR(T2*U2,"")))</f>
        <v>200</v>
      </c>
      <c r="W2" s="274" t="s">
        <v>63</v>
      </c>
      <c r="Y2" s="130"/>
      <c r="Z2" s="123">
        <v>0</v>
      </c>
      <c r="AC2" s="130" t="s">
        <v>51</v>
      </c>
      <c r="AD2" s="131">
        <v>0</v>
      </c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</row>
    <row r="3" spans="1:85">
      <c r="A3" s="125" t="str">
        <f t="shared" si="0"/>
        <v>CL00350 -Active time (Hourly Rate)</v>
      </c>
      <c r="B3" s="264" t="s">
        <v>201</v>
      </c>
      <c r="C3" s="264" t="s">
        <v>150</v>
      </c>
      <c r="D3" s="264" t="s">
        <v>151</v>
      </c>
      <c r="E3" s="264" t="s">
        <v>152</v>
      </c>
      <c r="F3" s="264" t="s">
        <v>153</v>
      </c>
      <c r="G3" s="264" t="s">
        <v>154</v>
      </c>
      <c r="H3" s="264" t="s">
        <v>155</v>
      </c>
      <c r="I3" s="264" t="s">
        <v>156</v>
      </c>
      <c r="J3" s="264" t="s">
        <v>159</v>
      </c>
      <c r="K3" s="265">
        <v>45246.354166666701</v>
      </c>
      <c r="L3" s="265">
        <v>45246.645833333299</v>
      </c>
      <c r="M3" s="265">
        <v>45260.804918981499</v>
      </c>
      <c r="N3" s="264" t="s">
        <v>200</v>
      </c>
      <c r="O3" s="264" t="s">
        <v>165</v>
      </c>
      <c r="P3" s="126">
        <f t="shared" si="1"/>
        <v>45246</v>
      </c>
      <c r="Q3" s="126"/>
      <c r="R3" s="127">
        <f t="shared" si="2"/>
        <v>0.29166666659875773</v>
      </c>
      <c r="S3" s="122" t="s">
        <v>145</v>
      </c>
      <c r="T3" s="128">
        <f t="shared" ref="T3:T48" si="3">IF(S3="50 - Cleaning Fee",1,HOUR($R3)+MINUTE(R3)/60)</f>
        <v>7</v>
      </c>
      <c r="U3" s="129">
        <f>IFERROR(VLOOKUP($S3,References!$B$3:$C$7,2,FALSE),"")</f>
        <v>50</v>
      </c>
      <c r="V3" s="129">
        <f t="shared" ref="V3:V10" si="4">IF(T3&gt;=8,400,(IFERROR(T3*U3,"")))</f>
        <v>350</v>
      </c>
      <c r="W3" s="274" t="s">
        <v>63</v>
      </c>
      <c r="Y3" s="130" t="s">
        <v>51</v>
      </c>
      <c r="Z3" s="123">
        <v>0</v>
      </c>
      <c r="AC3" s="130" t="s">
        <v>184</v>
      </c>
      <c r="AD3" s="131">
        <v>50</v>
      </c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</row>
    <row r="4" spans="1:85">
      <c r="A4" s="125" t="str">
        <f t="shared" si="0"/>
        <v>CL00350 -Active time (Hourly Rate)</v>
      </c>
      <c r="B4" s="264" t="s">
        <v>202</v>
      </c>
      <c r="C4" s="264" t="s">
        <v>150</v>
      </c>
      <c r="D4" s="264" t="s">
        <v>151</v>
      </c>
      <c r="E4" s="264" t="s">
        <v>152</v>
      </c>
      <c r="F4" s="264" t="s">
        <v>153</v>
      </c>
      <c r="G4" s="264" t="s">
        <v>154</v>
      </c>
      <c r="H4" s="264" t="s">
        <v>155</v>
      </c>
      <c r="I4" s="264" t="s">
        <v>156</v>
      </c>
      <c r="J4" s="264" t="s">
        <v>159</v>
      </c>
      <c r="K4" s="265">
        <v>45250.354166666701</v>
      </c>
      <c r="L4" s="265">
        <v>45250.645833333299</v>
      </c>
      <c r="M4" s="265">
        <v>45260.806921296302</v>
      </c>
      <c r="N4" s="264" t="s">
        <v>200</v>
      </c>
      <c r="O4" s="264" t="s">
        <v>165</v>
      </c>
      <c r="P4" s="126">
        <f t="shared" si="1"/>
        <v>45250</v>
      </c>
      <c r="Q4" s="126"/>
      <c r="R4" s="127">
        <f t="shared" si="2"/>
        <v>0.29166666659875773</v>
      </c>
      <c r="S4" s="122" t="s">
        <v>145</v>
      </c>
      <c r="T4" s="128">
        <f t="shared" si="3"/>
        <v>7</v>
      </c>
      <c r="U4" s="129">
        <f>IFERROR(VLOOKUP($S4,References!$B$3:$C$7,2,FALSE),"")</f>
        <v>50</v>
      </c>
      <c r="V4" s="129">
        <f t="shared" si="4"/>
        <v>350</v>
      </c>
      <c r="W4" s="274" t="s">
        <v>63</v>
      </c>
      <c r="Y4" s="130" t="s">
        <v>218</v>
      </c>
      <c r="Z4" s="123">
        <v>26</v>
      </c>
      <c r="AC4" s="130" t="s">
        <v>183</v>
      </c>
      <c r="AD4" s="131">
        <v>120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</row>
    <row r="5" spans="1:85">
      <c r="A5" s="125" t="str">
        <f t="shared" ref="A5" si="5">O5&amp;S5</f>
        <v>CL00350 -Active time (Hourly Rate)</v>
      </c>
      <c r="B5" s="264" t="s">
        <v>203</v>
      </c>
      <c r="C5" s="264" t="s">
        <v>150</v>
      </c>
      <c r="D5" s="264" t="s">
        <v>151</v>
      </c>
      <c r="E5" s="264" t="s">
        <v>152</v>
      </c>
      <c r="F5" s="264" t="s">
        <v>153</v>
      </c>
      <c r="G5" s="264" t="s">
        <v>154</v>
      </c>
      <c r="H5" s="264" t="s">
        <v>155</v>
      </c>
      <c r="I5" s="264" t="s">
        <v>156</v>
      </c>
      <c r="J5" s="264" t="s">
        <v>159</v>
      </c>
      <c r="K5" s="265">
        <v>45257.354166666701</v>
      </c>
      <c r="L5" s="265">
        <v>45257.6875</v>
      </c>
      <c r="M5" s="265">
        <v>45260.808900463002</v>
      </c>
      <c r="N5" s="264" t="s">
        <v>200</v>
      </c>
      <c r="O5" s="264" t="s">
        <v>165</v>
      </c>
      <c r="P5" s="126">
        <f t="shared" ref="P5" si="6">INT(L5)</f>
        <v>45257</v>
      </c>
      <c r="Q5" s="126"/>
      <c r="R5" s="127">
        <f t="shared" ref="R5" si="7">L5-K5</f>
        <v>0.33333333329937886</v>
      </c>
      <c r="S5" s="122" t="s">
        <v>145</v>
      </c>
      <c r="T5" s="128">
        <f t="shared" ref="T5" si="8">IF(S5="50 - Cleaning Fee",1,HOUR($R5)+MINUTE(R5)/60)</f>
        <v>8</v>
      </c>
      <c r="U5" s="129">
        <f>IFERROR(VLOOKUP($S5,References!$B$3:$C$7,2,FALSE),"")</f>
        <v>50</v>
      </c>
      <c r="V5" s="129">
        <f t="shared" ref="V5" si="9">IF(T5&gt;=8,400,(IFERROR(T5*U5,"")))</f>
        <v>400</v>
      </c>
      <c r="W5" s="274" t="s">
        <v>63</v>
      </c>
      <c r="Y5" s="130" t="s">
        <v>219</v>
      </c>
      <c r="Z5" s="123">
        <v>1</v>
      </c>
      <c r="AC5" s="130" t="s">
        <v>182</v>
      </c>
      <c r="AD5" s="131">
        <v>281.2</v>
      </c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</row>
    <row r="6" spans="1:85">
      <c r="A6" s="125" t="str">
        <f t="shared" si="0"/>
        <v>CL00340 - Ethylene Oxide Sterilization (per run)</v>
      </c>
      <c r="B6" s="264" t="s">
        <v>203</v>
      </c>
      <c r="C6" s="264" t="s">
        <v>150</v>
      </c>
      <c r="D6" s="264" t="s">
        <v>151</v>
      </c>
      <c r="E6" s="264" t="s">
        <v>152</v>
      </c>
      <c r="F6" s="264" t="s">
        <v>153</v>
      </c>
      <c r="G6" s="264" t="s">
        <v>154</v>
      </c>
      <c r="H6" s="264" t="s">
        <v>155</v>
      </c>
      <c r="I6" s="264" t="s">
        <v>156</v>
      </c>
      <c r="J6" s="264" t="s">
        <v>159</v>
      </c>
      <c r="K6" s="265"/>
      <c r="L6" s="265"/>
      <c r="M6" s="265"/>
      <c r="N6" s="264" t="s">
        <v>226</v>
      </c>
      <c r="O6" s="264" t="s">
        <v>165</v>
      </c>
      <c r="P6" s="126">
        <f t="shared" si="1"/>
        <v>0</v>
      </c>
      <c r="Q6" s="126"/>
      <c r="R6" s="127">
        <f t="shared" si="2"/>
        <v>0</v>
      </c>
      <c r="S6" s="122" t="s">
        <v>160</v>
      </c>
      <c r="T6" s="128">
        <v>0.7</v>
      </c>
      <c r="U6" s="129">
        <f>IFERROR(VLOOKUP($S6,References!$B$3:$C$7,2,FALSE),"")</f>
        <v>40</v>
      </c>
      <c r="V6" s="129">
        <f t="shared" si="4"/>
        <v>28</v>
      </c>
      <c r="W6" s="274" t="s">
        <v>63</v>
      </c>
      <c r="Y6" s="130" t="s">
        <v>220</v>
      </c>
      <c r="Z6" s="123">
        <v>9.5</v>
      </c>
      <c r="AC6" s="130" t="s">
        <v>181</v>
      </c>
      <c r="AD6" s="131">
        <v>8</v>
      </c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</row>
    <row r="7" spans="1:85">
      <c r="A7" s="125" t="str">
        <f t="shared" si="0"/>
        <v>CL00950 -Active time (Hourly Rate)</v>
      </c>
      <c r="B7" s="264" t="s">
        <v>204</v>
      </c>
      <c r="C7" s="264" t="s">
        <v>150</v>
      </c>
      <c r="D7" s="264" t="s">
        <v>151</v>
      </c>
      <c r="E7" s="264" t="s">
        <v>152</v>
      </c>
      <c r="F7" s="264" t="s">
        <v>153</v>
      </c>
      <c r="G7" s="264" t="s">
        <v>154</v>
      </c>
      <c r="H7" s="264" t="s">
        <v>155</v>
      </c>
      <c r="I7" s="264" t="s">
        <v>156</v>
      </c>
      <c r="J7" s="264" t="s">
        <v>159</v>
      </c>
      <c r="K7" s="265">
        <v>45233.6875</v>
      </c>
      <c r="L7" s="265">
        <v>45233.729166666701</v>
      </c>
      <c r="M7" s="265">
        <v>45260.811261574097</v>
      </c>
      <c r="N7" s="264" t="s">
        <v>205</v>
      </c>
      <c r="O7" s="264" t="s">
        <v>184</v>
      </c>
      <c r="P7" s="126">
        <f t="shared" si="1"/>
        <v>45233</v>
      </c>
      <c r="Q7" s="126"/>
      <c r="R7" s="127">
        <f t="shared" si="2"/>
        <v>4.1666666700621136E-2</v>
      </c>
      <c r="S7" s="122" t="s">
        <v>145</v>
      </c>
      <c r="T7" s="128">
        <f t="shared" si="3"/>
        <v>1</v>
      </c>
      <c r="U7" s="129">
        <f>IFERROR(VLOOKUP($S7,References!$B$3:$C$7,2,FALSE),"")</f>
        <v>50</v>
      </c>
      <c r="V7" s="129">
        <f t="shared" si="4"/>
        <v>50</v>
      </c>
      <c r="W7" s="134" t="s">
        <v>235</v>
      </c>
      <c r="Y7" s="130" t="s">
        <v>221</v>
      </c>
      <c r="Z7" s="123">
        <v>12.5</v>
      </c>
      <c r="AC7" s="130" t="s">
        <v>172</v>
      </c>
      <c r="AD7" s="131">
        <v>40</v>
      </c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</row>
    <row r="8" spans="1:85">
      <c r="A8" s="125" t="str">
        <f t="shared" si="0"/>
        <v>CL00250 -Active time (Hourly Rate)</v>
      </c>
      <c r="B8" s="264" t="s">
        <v>206</v>
      </c>
      <c r="C8" s="264" t="s">
        <v>150</v>
      </c>
      <c r="D8" s="264" t="s">
        <v>151</v>
      </c>
      <c r="E8" s="264" t="s">
        <v>152</v>
      </c>
      <c r="F8" s="264" t="s">
        <v>153</v>
      </c>
      <c r="G8" s="264" t="s">
        <v>154</v>
      </c>
      <c r="H8" s="264" t="s">
        <v>155</v>
      </c>
      <c r="I8" s="264" t="s">
        <v>156</v>
      </c>
      <c r="J8" s="264" t="s">
        <v>159</v>
      </c>
      <c r="K8" s="265">
        <v>45239.333333333299</v>
      </c>
      <c r="L8" s="265">
        <v>45239.541666666701</v>
      </c>
      <c r="M8" s="265">
        <v>45260.815520833297</v>
      </c>
      <c r="N8" s="264" t="s">
        <v>207</v>
      </c>
      <c r="O8" s="264" t="s">
        <v>162</v>
      </c>
      <c r="P8" s="126">
        <f t="shared" si="1"/>
        <v>45239</v>
      </c>
      <c r="Q8" s="126"/>
      <c r="R8" s="127">
        <f t="shared" si="2"/>
        <v>0.20833333340124227</v>
      </c>
      <c r="S8" s="122" t="s">
        <v>145</v>
      </c>
      <c r="T8" s="128">
        <f t="shared" si="3"/>
        <v>5</v>
      </c>
      <c r="U8" s="129">
        <f>IFERROR(VLOOKUP($S8,References!$B$3:$C$7,2,FALSE),"")</f>
        <v>50</v>
      </c>
      <c r="V8" s="129">
        <f t="shared" si="4"/>
        <v>250</v>
      </c>
      <c r="W8" s="274" t="s">
        <v>63</v>
      </c>
      <c r="Y8" s="130" t="s">
        <v>223</v>
      </c>
      <c r="Z8" s="123">
        <v>1.7</v>
      </c>
      <c r="AC8" s="130" t="s">
        <v>165</v>
      </c>
      <c r="AD8" s="131">
        <v>1328</v>
      </c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</row>
    <row r="9" spans="1:85">
      <c r="A9" s="125" t="str">
        <f t="shared" ref="A9" si="10">O9&amp;S9</f>
        <v>CL00250 -Active time (Hourly Rate)</v>
      </c>
      <c r="B9" s="264" t="s">
        <v>208</v>
      </c>
      <c r="C9" s="264" t="s">
        <v>150</v>
      </c>
      <c r="D9" s="264" t="s">
        <v>151</v>
      </c>
      <c r="E9" s="264" t="s">
        <v>152</v>
      </c>
      <c r="F9" s="264" t="s">
        <v>153</v>
      </c>
      <c r="G9" s="264" t="s">
        <v>154</v>
      </c>
      <c r="H9" s="264" t="s">
        <v>155</v>
      </c>
      <c r="I9" s="264" t="s">
        <v>156</v>
      </c>
      <c r="J9" s="264" t="s">
        <v>159</v>
      </c>
      <c r="K9" s="265">
        <v>45251.354166666701</v>
      </c>
      <c r="L9" s="265">
        <v>45251.541666666701</v>
      </c>
      <c r="M9" s="265">
        <v>45260.819675925901</v>
      </c>
      <c r="N9" s="264" t="s">
        <v>207</v>
      </c>
      <c r="O9" s="264" t="s">
        <v>162</v>
      </c>
      <c r="P9" s="126">
        <f t="shared" ref="P9" si="11">INT(L9)</f>
        <v>45251</v>
      </c>
      <c r="Q9" s="126"/>
      <c r="R9" s="127">
        <f t="shared" ref="R9" si="12">L9-K9</f>
        <v>0.1875</v>
      </c>
      <c r="S9" s="122" t="s">
        <v>145</v>
      </c>
      <c r="T9" s="128">
        <f t="shared" ref="T9" si="13">IF(S9="50 - Cleaning Fee",1,HOUR($R9)+MINUTE(R9)/60)</f>
        <v>4.5</v>
      </c>
      <c r="U9" s="129">
        <f>IFERROR(VLOOKUP($S9,References!$B$3:$C$7,2,FALSE),"")</f>
        <v>50</v>
      </c>
      <c r="V9" s="129">
        <f t="shared" ref="V9" si="14">IF(T9&gt;=8,400,(IFERROR(T9*U9,"")))</f>
        <v>225</v>
      </c>
      <c r="W9" s="274" t="s">
        <v>63</v>
      </c>
      <c r="Y9" s="130" t="s">
        <v>228</v>
      </c>
      <c r="Z9" s="123">
        <v>0.7</v>
      </c>
      <c r="AC9" s="130" t="s">
        <v>162</v>
      </c>
      <c r="AD9" s="131">
        <v>649.4</v>
      </c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</row>
    <row r="10" spans="1:85">
      <c r="A10" s="125" t="str">
        <f t="shared" si="0"/>
        <v>CL00240 - Ethylene Oxide Sterilization (per run)</v>
      </c>
      <c r="B10" s="264" t="s">
        <v>208</v>
      </c>
      <c r="C10" s="264" t="s">
        <v>150</v>
      </c>
      <c r="D10" s="264" t="s">
        <v>151</v>
      </c>
      <c r="E10" s="264" t="s">
        <v>152</v>
      </c>
      <c r="F10" s="264" t="s">
        <v>153</v>
      </c>
      <c r="G10" s="264" t="s">
        <v>154</v>
      </c>
      <c r="H10" s="264" t="s">
        <v>155</v>
      </c>
      <c r="I10" s="264" t="s">
        <v>156</v>
      </c>
      <c r="J10" s="264" t="s">
        <v>159</v>
      </c>
      <c r="K10" s="265"/>
      <c r="L10" s="265"/>
      <c r="M10" s="265"/>
      <c r="N10" s="264" t="s">
        <v>225</v>
      </c>
      <c r="O10" s="264" t="s">
        <v>162</v>
      </c>
      <c r="P10" s="126">
        <f t="shared" si="1"/>
        <v>0</v>
      </c>
      <c r="Q10" s="126"/>
      <c r="R10" s="127">
        <f t="shared" si="2"/>
        <v>0</v>
      </c>
      <c r="S10" s="122" t="s">
        <v>160</v>
      </c>
      <c r="T10" s="128">
        <v>4.3600000000000003</v>
      </c>
      <c r="U10" s="129">
        <f>IFERROR(VLOOKUP($S10,References!$B$3:$C$7,2,FALSE),"")</f>
        <v>40</v>
      </c>
      <c r="V10" s="129">
        <f t="shared" si="4"/>
        <v>174.4</v>
      </c>
      <c r="W10" s="274" t="s">
        <v>63</v>
      </c>
      <c r="Y10" s="130" t="s">
        <v>229</v>
      </c>
      <c r="Z10" s="123">
        <v>4.3600000000000003</v>
      </c>
      <c r="AC10" s="130" t="s">
        <v>161</v>
      </c>
      <c r="AD10" s="131">
        <v>693</v>
      </c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</row>
    <row r="11" spans="1:85">
      <c r="A11" s="125" t="str">
        <f t="shared" si="0"/>
        <v>CL00150 -Active time (Hourly Rate)</v>
      </c>
      <c r="B11" s="264" t="s">
        <v>209</v>
      </c>
      <c r="C11" s="264" t="s">
        <v>150</v>
      </c>
      <c r="D11" s="264" t="s">
        <v>151</v>
      </c>
      <c r="E11" s="264" t="s">
        <v>152</v>
      </c>
      <c r="F11" s="264" t="s">
        <v>153</v>
      </c>
      <c r="G11" s="264" t="s">
        <v>154</v>
      </c>
      <c r="H11" s="264" t="s">
        <v>155</v>
      </c>
      <c r="I11" s="264" t="s">
        <v>156</v>
      </c>
      <c r="J11" s="264" t="s">
        <v>159</v>
      </c>
      <c r="K11" s="265">
        <v>45243.333333333299</v>
      </c>
      <c r="L11" s="265">
        <v>45243.520833333299</v>
      </c>
      <c r="M11" s="265">
        <v>45260.8226041667</v>
      </c>
      <c r="N11" s="264" t="s">
        <v>210</v>
      </c>
      <c r="O11" s="264" t="s">
        <v>161</v>
      </c>
      <c r="P11" s="126">
        <f t="shared" si="1"/>
        <v>45243</v>
      </c>
      <c r="Q11" s="126"/>
      <c r="R11" s="127">
        <f t="shared" si="2"/>
        <v>0.1875</v>
      </c>
      <c r="S11" s="122" t="s">
        <v>145</v>
      </c>
      <c r="T11" s="128">
        <f t="shared" si="3"/>
        <v>4.5</v>
      </c>
      <c r="U11" s="129">
        <f>IFERROR(VLOOKUP($S11,References!$B$3:$C$7,2,FALSE),"")</f>
        <v>50</v>
      </c>
      <c r="V11" s="129">
        <f t="shared" ref="V11:V48" si="15">IF(T11&gt;=8,400,(IFERROR(T11*U11,"")))</f>
        <v>225</v>
      </c>
      <c r="W11" s="74" t="s">
        <v>18</v>
      </c>
      <c r="Y11" s="130" t="s">
        <v>230</v>
      </c>
      <c r="Z11" s="123">
        <v>1</v>
      </c>
      <c r="AC11" s="130" t="s">
        <v>52</v>
      </c>
      <c r="AD11" s="131">
        <v>3169.6</v>
      </c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</row>
    <row r="12" spans="1:85">
      <c r="A12" s="125" t="str">
        <f t="shared" ref="A12:A16" si="16">O12&amp;S12</f>
        <v>CL00150 -Active time (Hourly Rate)</v>
      </c>
      <c r="B12" s="264" t="s">
        <v>211</v>
      </c>
      <c r="C12" s="264" t="s">
        <v>150</v>
      </c>
      <c r="D12" s="264" t="s">
        <v>151</v>
      </c>
      <c r="E12" s="264" t="s">
        <v>152</v>
      </c>
      <c r="F12" s="264" t="s">
        <v>153</v>
      </c>
      <c r="G12" s="264" t="s">
        <v>154</v>
      </c>
      <c r="H12" s="264" t="s">
        <v>155</v>
      </c>
      <c r="I12" s="264" t="s">
        <v>156</v>
      </c>
      <c r="J12" s="264" t="s">
        <v>159</v>
      </c>
      <c r="K12" s="265">
        <v>45259.354166666701</v>
      </c>
      <c r="L12" s="265">
        <v>45259.6875</v>
      </c>
      <c r="M12" s="265">
        <v>45260.824803240699</v>
      </c>
      <c r="N12" s="264" t="s">
        <v>210</v>
      </c>
      <c r="O12" s="264" t="s">
        <v>161</v>
      </c>
      <c r="P12" s="126">
        <f t="shared" ref="P12:P16" si="17">INT(L12)</f>
        <v>45259</v>
      </c>
      <c r="Q12" s="126"/>
      <c r="R12" s="127">
        <f t="shared" ref="R12:R16" si="18">L12-K12</f>
        <v>0.33333333329937886</v>
      </c>
      <c r="S12" s="122" t="s">
        <v>145</v>
      </c>
      <c r="T12" s="128">
        <f t="shared" ref="T12" si="19">IF(S12="50 - Cleaning Fee",1,HOUR($R12)+MINUTE(R12)/60)</f>
        <v>8</v>
      </c>
      <c r="U12" s="129">
        <f>IFERROR(VLOOKUP($S12,References!$B$3:$C$7,2,FALSE),"")</f>
        <v>50</v>
      </c>
      <c r="V12" s="129">
        <f t="shared" ref="V12:V16" si="20">IF(T12&gt;=8,400,(IFERROR(T12*U12,"")))</f>
        <v>400</v>
      </c>
      <c r="W12" s="74" t="s">
        <v>18</v>
      </c>
      <c r="Y12" s="130" t="s">
        <v>231</v>
      </c>
      <c r="Z12" s="123">
        <v>0.2</v>
      </c>
      <c r="AC12"/>
      <c r="AD12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</row>
    <row r="13" spans="1:85">
      <c r="A13" s="125" t="str">
        <f t="shared" si="16"/>
        <v>CL00140 - Ethylene Oxide Sterilization (per run)</v>
      </c>
      <c r="B13" s="264" t="s">
        <v>211</v>
      </c>
      <c r="C13" s="264" t="s">
        <v>150</v>
      </c>
      <c r="D13" s="264" t="s">
        <v>151</v>
      </c>
      <c r="E13" s="264" t="s">
        <v>152</v>
      </c>
      <c r="F13" s="264" t="s">
        <v>153</v>
      </c>
      <c r="G13" s="264" t="s">
        <v>154</v>
      </c>
      <c r="H13" s="264" t="s">
        <v>155</v>
      </c>
      <c r="I13" s="264" t="s">
        <v>156</v>
      </c>
      <c r="J13" s="264" t="s">
        <v>159</v>
      </c>
      <c r="K13" s="265"/>
      <c r="L13" s="265"/>
      <c r="M13" s="265"/>
      <c r="N13" s="264" t="s">
        <v>222</v>
      </c>
      <c r="O13" s="264" t="s">
        <v>161</v>
      </c>
      <c r="P13" s="126">
        <f t="shared" si="17"/>
        <v>0</v>
      </c>
      <c r="Q13" s="126"/>
      <c r="R13" s="127">
        <f t="shared" si="18"/>
        <v>0</v>
      </c>
      <c r="S13" s="122" t="s">
        <v>160</v>
      </c>
      <c r="T13" s="128">
        <v>1.7</v>
      </c>
      <c r="U13" s="129">
        <f>IFERROR(VLOOKUP($S13,References!$B$3:$C$7,2,FALSE),"")</f>
        <v>40</v>
      </c>
      <c r="V13" s="129">
        <f t="shared" si="20"/>
        <v>68</v>
      </c>
      <c r="W13" s="74" t="s">
        <v>18</v>
      </c>
      <c r="Y13" s="130" t="s">
        <v>232</v>
      </c>
      <c r="Z13" s="123">
        <v>7.03</v>
      </c>
      <c r="AC13"/>
      <c r="AD13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</row>
    <row r="14" spans="1:85">
      <c r="A14" s="125" t="str">
        <f t="shared" si="16"/>
        <v>CL00540 - Ethylene Oxide Sterilization (per run)</v>
      </c>
      <c r="B14" s="264"/>
      <c r="C14" s="264" t="s">
        <v>150</v>
      </c>
      <c r="D14" s="264" t="s">
        <v>151</v>
      </c>
      <c r="E14" s="264" t="s">
        <v>152</v>
      </c>
      <c r="F14" s="264" t="s">
        <v>153</v>
      </c>
      <c r="G14" s="264" t="s">
        <v>154</v>
      </c>
      <c r="H14" s="264" t="s">
        <v>155</v>
      </c>
      <c r="I14" s="264" t="s">
        <v>156</v>
      </c>
      <c r="J14" s="264" t="s">
        <v>159</v>
      </c>
      <c r="K14" s="265"/>
      <c r="L14" s="265"/>
      <c r="M14" s="265"/>
      <c r="N14" s="264" t="s">
        <v>227</v>
      </c>
      <c r="O14" s="264" t="s">
        <v>172</v>
      </c>
      <c r="P14" s="126">
        <f t="shared" si="17"/>
        <v>0</v>
      </c>
      <c r="Q14" s="126"/>
      <c r="R14" s="127">
        <f t="shared" si="18"/>
        <v>0</v>
      </c>
      <c r="S14" s="122" t="s">
        <v>160</v>
      </c>
      <c r="T14" s="128">
        <v>1</v>
      </c>
      <c r="U14" s="129">
        <f>IFERROR(VLOOKUP($S14,References!$B$3:$C$7,2,FALSE),"")</f>
        <v>40</v>
      </c>
      <c r="V14" s="129">
        <f t="shared" si="20"/>
        <v>40</v>
      </c>
      <c r="W14" s="74" t="s">
        <v>18</v>
      </c>
      <c r="Y14" s="130" t="s">
        <v>233</v>
      </c>
      <c r="Z14" s="123">
        <v>3</v>
      </c>
      <c r="AC14"/>
      <c r="AD1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</row>
    <row r="15" spans="1:85">
      <c r="A15" s="125" t="str">
        <f t="shared" si="16"/>
        <v>CL00640 - Ethylene Oxide Sterilization (per run)</v>
      </c>
      <c r="B15" s="264"/>
      <c r="C15" s="264" t="s">
        <v>150</v>
      </c>
      <c r="D15" s="264" t="s">
        <v>151</v>
      </c>
      <c r="E15" s="264" t="s">
        <v>152</v>
      </c>
      <c r="F15" s="264" t="s">
        <v>153</v>
      </c>
      <c r="G15" s="264" t="s">
        <v>154</v>
      </c>
      <c r="H15" s="264" t="s">
        <v>155</v>
      </c>
      <c r="I15" s="264" t="s">
        <v>156</v>
      </c>
      <c r="J15" s="264" t="s">
        <v>159</v>
      </c>
      <c r="K15" s="265"/>
      <c r="L15" s="265"/>
      <c r="M15" s="265"/>
      <c r="N15" s="264" t="s">
        <v>227</v>
      </c>
      <c r="O15" s="264" t="s">
        <v>181</v>
      </c>
      <c r="P15" s="126">
        <f t="shared" si="17"/>
        <v>0</v>
      </c>
      <c r="Q15" s="126"/>
      <c r="R15" s="127">
        <f t="shared" si="18"/>
        <v>0</v>
      </c>
      <c r="S15" s="122" t="s">
        <v>160</v>
      </c>
      <c r="T15" s="128">
        <v>0.2</v>
      </c>
      <c r="U15" s="129">
        <f>IFERROR(VLOOKUP($S15,References!$B$3:$C$7,2,FALSE),"")</f>
        <v>40</v>
      </c>
      <c r="V15" s="129">
        <f t="shared" si="20"/>
        <v>8</v>
      </c>
      <c r="W15" s="74" t="s">
        <v>18</v>
      </c>
      <c r="Y15" s="130" t="s">
        <v>52</v>
      </c>
      <c r="Z15" s="123">
        <v>66.990000000000009</v>
      </c>
      <c r="AC15"/>
      <c r="AD15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</row>
    <row r="16" spans="1:85">
      <c r="A16" s="125" t="str">
        <f t="shared" si="16"/>
        <v>CL00740 - Ethylene Oxide Sterilization (per run)</v>
      </c>
      <c r="B16" s="264"/>
      <c r="C16" s="264" t="s">
        <v>150</v>
      </c>
      <c r="D16" s="264" t="s">
        <v>151</v>
      </c>
      <c r="E16" s="264" t="s">
        <v>152</v>
      </c>
      <c r="F16" s="264" t="s">
        <v>153</v>
      </c>
      <c r="G16" s="264" t="s">
        <v>154</v>
      </c>
      <c r="H16" s="264" t="s">
        <v>155</v>
      </c>
      <c r="I16" s="264" t="s">
        <v>156</v>
      </c>
      <c r="J16" s="264" t="s">
        <v>159</v>
      </c>
      <c r="K16" s="265"/>
      <c r="L16" s="265"/>
      <c r="M16" s="265"/>
      <c r="N16" s="264" t="s">
        <v>227</v>
      </c>
      <c r="O16" s="264" t="s">
        <v>182</v>
      </c>
      <c r="P16" s="126">
        <f t="shared" si="17"/>
        <v>0</v>
      </c>
      <c r="Q16" s="126"/>
      <c r="R16" s="127">
        <f t="shared" si="18"/>
        <v>0</v>
      </c>
      <c r="S16" s="122" t="s">
        <v>160</v>
      </c>
      <c r="T16" s="128">
        <v>7.03</v>
      </c>
      <c r="U16" s="129">
        <f>IFERROR(VLOOKUP($S16,References!$B$3:$C$7,2,FALSE),"")</f>
        <v>40</v>
      </c>
      <c r="V16" s="129">
        <f t="shared" si="20"/>
        <v>281.2</v>
      </c>
      <c r="W16" s="74" t="s">
        <v>235</v>
      </c>
      <c r="Y16"/>
      <c r="Z16"/>
      <c r="AC16"/>
      <c r="AD16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</row>
    <row r="17" spans="1:85">
      <c r="A17" s="125" t="str">
        <f t="shared" si="0"/>
        <v>CL00840 - Ethylene Oxide Sterilization (per run)</v>
      </c>
      <c r="B17" s="264"/>
      <c r="C17" s="264" t="s">
        <v>150</v>
      </c>
      <c r="D17" s="264" t="s">
        <v>151</v>
      </c>
      <c r="E17" s="264" t="s">
        <v>152</v>
      </c>
      <c r="F17" s="264" t="s">
        <v>153</v>
      </c>
      <c r="G17" s="264" t="s">
        <v>154</v>
      </c>
      <c r="H17" s="264" t="s">
        <v>155</v>
      </c>
      <c r="I17" s="264" t="s">
        <v>156</v>
      </c>
      <c r="J17" s="264" t="s">
        <v>159</v>
      </c>
      <c r="K17" s="265"/>
      <c r="L17" s="265"/>
      <c r="M17" s="265"/>
      <c r="N17" s="264" t="s">
        <v>227</v>
      </c>
      <c r="O17" s="264" t="s">
        <v>183</v>
      </c>
      <c r="P17" s="126">
        <f t="shared" si="1"/>
        <v>0</v>
      </c>
      <c r="Q17" s="126"/>
      <c r="R17" s="127">
        <f t="shared" si="2"/>
        <v>0</v>
      </c>
      <c r="S17" s="122" t="s">
        <v>160</v>
      </c>
      <c r="T17" s="128">
        <v>3</v>
      </c>
      <c r="U17" s="129">
        <f>IFERROR(VLOOKUP($S17,References!$B$3:$C$7,2,FALSE),"")</f>
        <v>40</v>
      </c>
      <c r="V17" s="129">
        <f t="shared" si="15"/>
        <v>120</v>
      </c>
      <c r="W17" s="74" t="s">
        <v>235</v>
      </c>
      <c r="Y17"/>
      <c r="Z17"/>
      <c r="AC17"/>
      <c r="AD17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</row>
    <row r="18" spans="1:85">
      <c r="A18" s="125" t="str">
        <f t="shared" si="0"/>
        <v/>
      </c>
      <c r="B18" s="256"/>
      <c r="C18" s="256"/>
      <c r="D18" s="256"/>
      <c r="E18" s="256"/>
      <c r="F18" s="256"/>
      <c r="G18" s="256"/>
      <c r="H18" s="256"/>
      <c r="I18" s="256"/>
      <c r="J18" s="256"/>
      <c r="K18" s="257"/>
      <c r="L18" s="257"/>
      <c r="M18" s="257"/>
      <c r="N18" s="256"/>
      <c r="O18" s="256"/>
      <c r="P18" s="126">
        <f t="shared" si="1"/>
        <v>0</v>
      </c>
      <c r="Q18" s="126"/>
      <c r="R18" s="127">
        <f t="shared" si="2"/>
        <v>0</v>
      </c>
      <c r="T18" s="128">
        <f t="shared" si="3"/>
        <v>0</v>
      </c>
      <c r="U18" s="129" t="str">
        <f>IFERROR(VLOOKUP($S18,References!$B$3:$C$7,2,FALSE),"")</f>
        <v/>
      </c>
      <c r="V18" s="129" t="str">
        <f t="shared" si="15"/>
        <v/>
      </c>
      <c r="W18" s="74"/>
      <c r="Y18"/>
      <c r="Z18"/>
      <c r="AC18"/>
      <c r="AD18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</row>
    <row r="19" spans="1:85">
      <c r="A19" s="125" t="str">
        <f t="shared" si="0"/>
        <v/>
      </c>
      <c r="B19" s="256"/>
      <c r="C19" s="256"/>
      <c r="D19" s="256"/>
      <c r="E19" s="256"/>
      <c r="F19" s="256"/>
      <c r="G19" s="256"/>
      <c r="H19" s="256"/>
      <c r="I19" s="256"/>
      <c r="J19" s="256"/>
      <c r="K19" s="257"/>
      <c r="L19" s="257"/>
      <c r="M19" s="257"/>
      <c r="N19" s="256"/>
      <c r="O19" s="256"/>
      <c r="P19" s="126">
        <f t="shared" si="1"/>
        <v>0</v>
      </c>
      <c r="Q19" s="126"/>
      <c r="R19" s="127">
        <f t="shared" si="2"/>
        <v>0</v>
      </c>
      <c r="T19" s="128">
        <f t="shared" si="3"/>
        <v>0</v>
      </c>
      <c r="U19" s="129" t="str">
        <f>IFERROR(VLOOKUP($S19,References!$B$3:$C$7,2,FALSE),"")</f>
        <v/>
      </c>
      <c r="V19" s="129" t="str">
        <f t="shared" si="15"/>
        <v/>
      </c>
      <c r="W19" s="74"/>
      <c r="Y19"/>
      <c r="Z19"/>
      <c r="AC19"/>
      <c r="AD19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</row>
    <row r="20" spans="1:85">
      <c r="A20" s="125" t="str">
        <f t="shared" si="0"/>
        <v/>
      </c>
      <c r="B20" s="256"/>
      <c r="C20" s="256"/>
      <c r="D20" s="256"/>
      <c r="E20" s="256"/>
      <c r="F20" s="256"/>
      <c r="G20" s="256"/>
      <c r="H20" s="256"/>
      <c r="I20" s="256"/>
      <c r="J20" s="256"/>
      <c r="K20" s="257"/>
      <c r="L20" s="257"/>
      <c r="M20" s="257"/>
      <c r="N20" s="256"/>
      <c r="O20" s="256"/>
      <c r="P20" s="126">
        <f t="shared" si="1"/>
        <v>0</v>
      </c>
      <c r="Q20" s="126"/>
      <c r="R20" s="127">
        <f t="shared" si="2"/>
        <v>0</v>
      </c>
      <c r="T20" s="128">
        <f t="shared" si="3"/>
        <v>0</v>
      </c>
      <c r="U20" s="129" t="str">
        <f>IFERROR(VLOOKUP($S20,References!$B$3:$C$7,2,FALSE),"")</f>
        <v/>
      </c>
      <c r="V20" s="129" t="str">
        <f t="shared" si="15"/>
        <v/>
      </c>
      <c r="W20" s="74" t="str">
        <f>IFERROR(VLOOKUP($O20,'Customer List'!$A$1:$J$488,10,FALSE),"")</f>
        <v/>
      </c>
      <c r="Y20"/>
      <c r="Z20"/>
      <c r="AC20"/>
      <c r="AD20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</row>
    <row r="21" spans="1:85">
      <c r="A21" s="125" t="str">
        <f t="shared" si="0"/>
        <v/>
      </c>
      <c r="B21" s="256"/>
      <c r="C21" s="256"/>
      <c r="D21" s="256"/>
      <c r="E21" s="256"/>
      <c r="F21" s="256"/>
      <c r="G21" s="256"/>
      <c r="H21" s="256"/>
      <c r="I21" s="256"/>
      <c r="J21" s="256"/>
      <c r="K21" s="257"/>
      <c r="L21" s="257"/>
      <c r="M21" s="257"/>
      <c r="N21" s="256"/>
      <c r="O21" s="256"/>
      <c r="P21" s="126">
        <f t="shared" si="1"/>
        <v>0</v>
      </c>
      <c r="Q21" s="126"/>
      <c r="R21" s="127">
        <f t="shared" si="2"/>
        <v>0</v>
      </c>
      <c r="T21" s="128">
        <f t="shared" si="3"/>
        <v>0</v>
      </c>
      <c r="U21" s="129" t="str">
        <f>IFERROR(VLOOKUP($S21,References!$B$3:$C$7,2,FALSE),"")</f>
        <v/>
      </c>
      <c r="V21" s="129" t="str">
        <f t="shared" si="15"/>
        <v/>
      </c>
      <c r="W21" s="74" t="str">
        <f>IFERROR(VLOOKUP($O21,'Customer List'!$A$1:$J$488,10,FALSE),"")</f>
        <v/>
      </c>
      <c r="Y21"/>
      <c r="Z21"/>
      <c r="AC21"/>
      <c r="AD21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</row>
    <row r="22" spans="1:85">
      <c r="A22" s="125" t="str">
        <f t="shared" si="0"/>
        <v/>
      </c>
      <c r="B22" s="256"/>
      <c r="C22" s="256"/>
      <c r="D22" s="256"/>
      <c r="E22" s="256"/>
      <c r="F22" s="256"/>
      <c r="G22" s="256"/>
      <c r="H22" s="256"/>
      <c r="I22" s="256"/>
      <c r="J22" s="256"/>
      <c r="K22" s="257"/>
      <c r="L22" s="257"/>
      <c r="M22" s="257"/>
      <c r="N22" s="258"/>
      <c r="O22" s="256"/>
      <c r="P22" s="126">
        <f t="shared" si="1"/>
        <v>0</v>
      </c>
      <c r="Q22" s="126"/>
      <c r="R22" s="127">
        <f t="shared" si="2"/>
        <v>0</v>
      </c>
      <c r="T22" s="128">
        <f t="shared" si="3"/>
        <v>0</v>
      </c>
      <c r="U22" s="129" t="str">
        <f>IFERROR(VLOOKUP($S22,References!$B$3:$C$7,2,FALSE),"")</f>
        <v/>
      </c>
      <c r="V22" s="129" t="str">
        <f t="shared" si="15"/>
        <v/>
      </c>
      <c r="W22" s="74" t="str">
        <f>IFERROR(VLOOKUP($O22,'Customer List'!$A$1:$J$488,10,FALSE),"")</f>
        <v/>
      </c>
      <c r="Y22"/>
      <c r="Z22"/>
      <c r="AC22"/>
      <c r="AD22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</row>
    <row r="23" spans="1:85">
      <c r="A23" s="125" t="str">
        <f t="shared" si="0"/>
        <v/>
      </c>
      <c r="B23" s="256"/>
      <c r="C23" s="256"/>
      <c r="D23" s="256"/>
      <c r="E23" s="256"/>
      <c r="F23" s="256"/>
      <c r="G23" s="256"/>
      <c r="H23" s="256"/>
      <c r="I23" s="256"/>
      <c r="J23" s="256"/>
      <c r="K23" s="257"/>
      <c r="L23" s="257"/>
      <c r="M23" s="257"/>
      <c r="N23" s="258"/>
      <c r="O23" s="256"/>
      <c r="P23" s="126">
        <f t="shared" si="1"/>
        <v>0</v>
      </c>
      <c r="Q23" s="126"/>
      <c r="R23" s="127">
        <f t="shared" si="2"/>
        <v>0</v>
      </c>
      <c r="T23" s="128">
        <f t="shared" si="3"/>
        <v>0</v>
      </c>
      <c r="U23" s="129" t="str">
        <f>IFERROR(VLOOKUP($S23,References!$B$3:$C$7,2,FALSE),"")</f>
        <v/>
      </c>
      <c r="V23" s="129" t="str">
        <f t="shared" si="15"/>
        <v/>
      </c>
      <c r="W23" s="74" t="str">
        <f>IFERROR(VLOOKUP($O23,'Customer List'!$A$1:$J$488,10,FALSE),"")</f>
        <v/>
      </c>
      <c r="Y23"/>
      <c r="Z23"/>
      <c r="AC23"/>
      <c r="AD23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</row>
    <row r="24" spans="1:85">
      <c r="A24" s="125" t="str">
        <f t="shared" si="0"/>
        <v/>
      </c>
      <c r="B24" s="256"/>
      <c r="C24" s="256"/>
      <c r="D24" s="256"/>
      <c r="E24" s="256"/>
      <c r="F24" s="256"/>
      <c r="G24" s="256"/>
      <c r="H24" s="256"/>
      <c r="I24" s="256"/>
      <c r="J24" s="256"/>
      <c r="K24" s="257"/>
      <c r="L24" s="257"/>
      <c r="M24" s="257"/>
      <c r="N24" s="258"/>
      <c r="O24" s="256"/>
      <c r="P24" s="126">
        <f t="shared" si="1"/>
        <v>0</v>
      </c>
      <c r="Q24" s="126"/>
      <c r="R24" s="127">
        <f t="shared" si="2"/>
        <v>0</v>
      </c>
      <c r="T24" s="128">
        <f t="shared" si="3"/>
        <v>0</v>
      </c>
      <c r="U24" s="129" t="str">
        <f>IFERROR(VLOOKUP($S24,References!$B$3:$C$7,2,FALSE),"")</f>
        <v/>
      </c>
      <c r="V24" s="129" t="str">
        <f t="shared" si="15"/>
        <v/>
      </c>
      <c r="W24" s="74" t="str">
        <f>IFERROR(VLOOKUP($O24,'Customer List'!$A$1:$J$488,10,FALSE),"")</f>
        <v/>
      </c>
      <c r="Y24"/>
      <c r="Z24"/>
      <c r="AC24"/>
      <c r="AD2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</row>
    <row r="25" spans="1:85">
      <c r="A25" s="125" t="str">
        <f t="shared" si="0"/>
        <v/>
      </c>
      <c r="B25" s="256"/>
      <c r="C25" s="256"/>
      <c r="D25" s="256"/>
      <c r="E25" s="256"/>
      <c r="F25" s="256"/>
      <c r="G25" s="256"/>
      <c r="H25" s="256"/>
      <c r="I25" s="256"/>
      <c r="J25" s="256"/>
      <c r="K25" s="257"/>
      <c r="L25" s="257"/>
      <c r="M25" s="257"/>
      <c r="N25" s="258"/>
      <c r="O25" s="256"/>
      <c r="P25" s="126">
        <f t="shared" si="1"/>
        <v>0</v>
      </c>
      <c r="Q25" s="126"/>
      <c r="R25" s="127">
        <f t="shared" si="2"/>
        <v>0</v>
      </c>
      <c r="T25" s="128">
        <f t="shared" si="3"/>
        <v>0</v>
      </c>
      <c r="U25" s="129" t="str">
        <f>IFERROR(VLOOKUP($S25,References!$B$3:$C$7,2,FALSE),"")</f>
        <v/>
      </c>
      <c r="V25" s="129" t="str">
        <f t="shared" si="15"/>
        <v/>
      </c>
      <c r="W25" s="74" t="str">
        <f>IFERROR(VLOOKUP($O25,'Customer List'!$A$1:$J$488,10,FALSE),"")</f>
        <v/>
      </c>
      <c r="Y25"/>
      <c r="Z25"/>
      <c r="AC25"/>
      <c r="AD25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</row>
    <row r="26" spans="1:85">
      <c r="A26" s="125" t="str">
        <f t="shared" si="0"/>
        <v/>
      </c>
      <c r="B26" s="256"/>
      <c r="C26" s="256"/>
      <c r="D26" s="256"/>
      <c r="E26" s="256"/>
      <c r="F26" s="256"/>
      <c r="G26" s="256"/>
      <c r="H26" s="256"/>
      <c r="I26" s="256"/>
      <c r="J26" s="256"/>
      <c r="K26" s="257"/>
      <c r="L26" s="257"/>
      <c r="M26" s="257"/>
      <c r="N26" s="256"/>
      <c r="O26" s="256"/>
      <c r="P26" s="126">
        <f t="shared" si="1"/>
        <v>0</v>
      </c>
      <c r="Q26" s="126"/>
      <c r="R26" s="127">
        <f t="shared" si="2"/>
        <v>0</v>
      </c>
      <c r="T26" s="128">
        <f t="shared" si="3"/>
        <v>0</v>
      </c>
      <c r="U26" s="129" t="str">
        <f>IFERROR(VLOOKUP($S26,References!$B$3:$C$7,2,FALSE),"")</f>
        <v/>
      </c>
      <c r="V26" s="129" t="str">
        <f t="shared" si="15"/>
        <v/>
      </c>
      <c r="W26" s="74" t="str">
        <f>IFERROR(VLOOKUP($O26,'Customer List'!$A$1:$J$488,10,FALSE),"")</f>
        <v/>
      </c>
      <c r="Y26"/>
      <c r="Z26"/>
      <c r="AC26"/>
      <c r="AD26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</row>
    <row r="27" spans="1:85">
      <c r="A27" s="125" t="str">
        <f t="shared" si="0"/>
        <v/>
      </c>
      <c r="B27" s="256"/>
      <c r="C27" s="256"/>
      <c r="D27" s="256"/>
      <c r="E27" s="256"/>
      <c r="F27" s="256"/>
      <c r="G27" s="256"/>
      <c r="H27" s="256"/>
      <c r="I27" s="256"/>
      <c r="J27" s="256"/>
      <c r="K27" s="257"/>
      <c r="L27" s="257"/>
      <c r="M27" s="257"/>
      <c r="N27" s="256"/>
      <c r="O27" s="256"/>
      <c r="P27" s="126">
        <f t="shared" si="1"/>
        <v>0</v>
      </c>
      <c r="Q27" s="126"/>
      <c r="R27" s="127">
        <f t="shared" si="2"/>
        <v>0</v>
      </c>
      <c r="T27" s="128">
        <f t="shared" si="3"/>
        <v>0</v>
      </c>
      <c r="U27" s="129" t="str">
        <f>IFERROR(VLOOKUP($S27,References!$B$3:$C$7,2,FALSE),"")</f>
        <v/>
      </c>
      <c r="V27" s="129" t="str">
        <f t="shared" si="15"/>
        <v/>
      </c>
      <c r="W27" s="74" t="str">
        <f>IFERROR(VLOOKUP($O27,'Customer List'!$A$1:$J$488,10,FALSE),"")</f>
        <v/>
      </c>
      <c r="Y27"/>
      <c r="Z27"/>
      <c r="AC27"/>
      <c r="AD27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</row>
    <row r="28" spans="1:85">
      <c r="A28" s="125" t="str">
        <f t="shared" si="0"/>
        <v/>
      </c>
      <c r="B28" s="256"/>
      <c r="C28" s="256"/>
      <c r="D28" s="256"/>
      <c r="E28" s="256"/>
      <c r="F28" s="256"/>
      <c r="G28" s="256"/>
      <c r="H28" s="256"/>
      <c r="I28" s="256"/>
      <c r="J28" s="256"/>
      <c r="K28" s="257"/>
      <c r="L28" s="257"/>
      <c r="M28" s="256"/>
      <c r="N28" s="256"/>
      <c r="O28" s="256"/>
      <c r="P28" s="126">
        <f t="shared" si="1"/>
        <v>0</v>
      </c>
      <c r="Q28" s="126"/>
      <c r="R28" s="127">
        <f t="shared" si="2"/>
        <v>0</v>
      </c>
      <c r="T28" s="128">
        <f t="shared" si="3"/>
        <v>0</v>
      </c>
      <c r="U28" s="129" t="str">
        <f>IFERROR(VLOOKUP($S28,References!$B$3:$C$7,2,FALSE),"")</f>
        <v/>
      </c>
      <c r="V28" s="129" t="str">
        <f t="shared" si="15"/>
        <v/>
      </c>
      <c r="W28" s="74" t="str">
        <f>IFERROR(VLOOKUP($O28,'Customer List'!$A$1:$J$488,10,FALSE),"")</f>
        <v/>
      </c>
      <c r="Y28"/>
      <c r="Z28"/>
      <c r="AC28"/>
      <c r="AD28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</row>
    <row r="29" spans="1:85">
      <c r="A29" s="125" t="str">
        <f t="shared" si="0"/>
        <v/>
      </c>
      <c r="B29" s="256"/>
      <c r="C29" s="256"/>
      <c r="D29" s="256"/>
      <c r="E29" s="256"/>
      <c r="F29" s="256"/>
      <c r="G29" s="256"/>
      <c r="H29" s="256"/>
      <c r="I29" s="256"/>
      <c r="J29" s="256"/>
      <c r="K29" s="257"/>
      <c r="L29" s="257"/>
      <c r="M29" s="257"/>
      <c r="N29" s="256"/>
      <c r="O29" s="256"/>
      <c r="P29" s="126">
        <f t="shared" si="1"/>
        <v>0</v>
      </c>
      <c r="Q29" s="126"/>
      <c r="R29" s="127">
        <f t="shared" si="2"/>
        <v>0</v>
      </c>
      <c r="T29" s="128">
        <f t="shared" si="3"/>
        <v>0</v>
      </c>
      <c r="U29" s="129" t="str">
        <f>IFERROR(VLOOKUP($S29,References!$B$3:$C$7,2,FALSE),"")</f>
        <v/>
      </c>
      <c r="V29" s="129" t="str">
        <f t="shared" si="15"/>
        <v/>
      </c>
      <c r="W29" s="74" t="str">
        <f>IFERROR(VLOOKUP($O29,'Customer List'!$A$1:$J$488,10,FALSE),"")</f>
        <v/>
      </c>
      <c r="Y29"/>
      <c r="Z29"/>
      <c r="AC29"/>
      <c r="AD29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</row>
    <row r="30" spans="1:85">
      <c r="A30" s="125" t="str">
        <f t="shared" si="0"/>
        <v/>
      </c>
      <c r="B30" s="256"/>
      <c r="C30" s="256"/>
      <c r="D30" s="256"/>
      <c r="E30" s="256"/>
      <c r="F30" s="256"/>
      <c r="G30" s="256"/>
      <c r="H30" s="256"/>
      <c r="I30" s="256"/>
      <c r="J30" s="256"/>
      <c r="K30" s="257"/>
      <c r="L30" s="257"/>
      <c r="M30" s="257"/>
      <c r="N30" s="256"/>
      <c r="O30" s="256"/>
      <c r="P30" s="126">
        <f t="shared" si="1"/>
        <v>0</v>
      </c>
      <c r="Q30" s="126"/>
      <c r="R30" s="127">
        <f t="shared" si="2"/>
        <v>0</v>
      </c>
      <c r="T30" s="128">
        <f t="shared" si="3"/>
        <v>0</v>
      </c>
      <c r="U30" s="129" t="str">
        <f>IFERROR(VLOOKUP($S30,References!$B$3:$C$7,2,FALSE),"")</f>
        <v/>
      </c>
      <c r="V30" s="129" t="str">
        <f t="shared" si="15"/>
        <v/>
      </c>
      <c r="W30" s="74" t="str">
        <f>IFERROR(VLOOKUP($O30,'Customer List'!$A$1:$J$488,10,FALSE),"")</f>
        <v/>
      </c>
      <c r="Y30"/>
      <c r="Z30"/>
      <c r="AC30"/>
      <c r="AD30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</row>
    <row r="31" spans="1:85">
      <c r="A31" s="125" t="str">
        <f t="shared" si="0"/>
        <v/>
      </c>
      <c r="B31" s="256"/>
      <c r="C31" s="256"/>
      <c r="D31" s="256"/>
      <c r="E31" s="256"/>
      <c r="F31" s="256"/>
      <c r="G31" s="256"/>
      <c r="H31" s="256"/>
      <c r="I31" s="256"/>
      <c r="J31" s="256"/>
      <c r="K31" s="257"/>
      <c r="L31" s="257"/>
      <c r="M31" s="257"/>
      <c r="N31" s="256"/>
      <c r="O31" s="256"/>
      <c r="P31" s="126">
        <f t="shared" si="1"/>
        <v>0</v>
      </c>
      <c r="Q31" s="126"/>
      <c r="R31" s="127">
        <f t="shared" si="2"/>
        <v>0</v>
      </c>
      <c r="T31" s="128">
        <f t="shared" si="3"/>
        <v>0</v>
      </c>
      <c r="U31" s="129" t="str">
        <f>IFERROR(VLOOKUP($S31,References!$B$3:$C$7,2,FALSE),"")</f>
        <v/>
      </c>
      <c r="V31" s="129" t="str">
        <f t="shared" si="15"/>
        <v/>
      </c>
      <c r="W31" s="74" t="str">
        <f>IFERROR(VLOOKUP($O31,'Customer List'!$A$1:$J$488,10,FALSE),"")</f>
        <v/>
      </c>
      <c r="Y31"/>
      <c r="Z31"/>
      <c r="AC31"/>
      <c r="AD31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</row>
    <row r="32" spans="1:85">
      <c r="A32" s="125" t="str">
        <f t="shared" si="0"/>
        <v/>
      </c>
      <c r="B32" s="256"/>
      <c r="C32" s="256"/>
      <c r="D32" s="256"/>
      <c r="E32" s="256"/>
      <c r="F32" s="256"/>
      <c r="G32" s="256"/>
      <c r="H32" s="256"/>
      <c r="I32" s="256"/>
      <c r="J32" s="256"/>
      <c r="K32" s="257"/>
      <c r="L32" s="257"/>
      <c r="M32" s="257"/>
      <c r="N32" s="256"/>
      <c r="O32" s="256"/>
      <c r="P32" s="126">
        <f t="shared" si="1"/>
        <v>0</v>
      </c>
      <c r="Q32" s="126"/>
      <c r="R32" s="127">
        <f t="shared" si="2"/>
        <v>0</v>
      </c>
      <c r="T32" s="128">
        <f t="shared" si="3"/>
        <v>0</v>
      </c>
      <c r="U32" s="129" t="str">
        <f>IFERROR(VLOOKUP($S32,References!$B$3:$C$7,2,FALSE),"")</f>
        <v/>
      </c>
      <c r="V32" s="129" t="str">
        <f t="shared" si="15"/>
        <v/>
      </c>
      <c r="W32" s="74" t="str">
        <f>IFERROR(VLOOKUP($O32,'Customer List'!$A$1:$J$488,10,FALSE),"")</f>
        <v/>
      </c>
      <c r="Y32"/>
      <c r="Z32"/>
      <c r="AC32"/>
      <c r="AD32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</row>
    <row r="33" spans="1:85">
      <c r="A33" s="125" t="str">
        <f t="shared" si="0"/>
        <v/>
      </c>
      <c r="B33" s="256"/>
      <c r="C33" s="256"/>
      <c r="D33" s="256"/>
      <c r="E33" s="256"/>
      <c r="F33" s="256"/>
      <c r="G33" s="256"/>
      <c r="H33" s="256"/>
      <c r="I33" s="256"/>
      <c r="J33" s="256"/>
      <c r="K33" s="257"/>
      <c r="L33" s="257"/>
      <c r="M33" s="257"/>
      <c r="N33" s="256"/>
      <c r="O33" s="256"/>
      <c r="P33" s="126">
        <f t="shared" si="1"/>
        <v>0</v>
      </c>
      <c r="Q33" s="126"/>
      <c r="R33" s="127">
        <f t="shared" si="2"/>
        <v>0</v>
      </c>
      <c r="T33" s="128">
        <f t="shared" si="3"/>
        <v>0</v>
      </c>
      <c r="U33" s="129" t="str">
        <f>IFERROR(VLOOKUP($S33,References!$B$3:$C$7,2,FALSE),"")</f>
        <v/>
      </c>
      <c r="V33" s="129" t="str">
        <f t="shared" si="15"/>
        <v/>
      </c>
      <c r="W33" s="74" t="str">
        <f>IFERROR(VLOOKUP($O33,'Customer List'!$A$1:$J$488,10,FALSE),"")</f>
        <v/>
      </c>
      <c r="Y33"/>
      <c r="Z33"/>
      <c r="AC33"/>
      <c r="AD33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</row>
    <row r="34" spans="1:85">
      <c r="A34" s="125" t="str">
        <f t="shared" si="0"/>
        <v/>
      </c>
      <c r="B34" s="256"/>
      <c r="C34" s="256"/>
      <c r="D34" s="256"/>
      <c r="E34" s="256"/>
      <c r="F34" s="256"/>
      <c r="G34" s="256"/>
      <c r="H34" s="256"/>
      <c r="I34" s="256"/>
      <c r="J34" s="256"/>
      <c r="K34" s="257"/>
      <c r="L34" s="257"/>
      <c r="M34" s="257"/>
      <c r="N34" s="258"/>
      <c r="O34" s="256"/>
      <c r="P34" s="126">
        <f t="shared" si="1"/>
        <v>0</v>
      </c>
      <c r="Q34" s="126"/>
      <c r="R34" s="127">
        <f t="shared" si="2"/>
        <v>0</v>
      </c>
      <c r="T34" s="128">
        <f t="shared" si="3"/>
        <v>0</v>
      </c>
      <c r="U34" s="129" t="str">
        <f>IFERROR(VLOOKUP($S34,References!$B$3:$C$7,2,FALSE),"")</f>
        <v/>
      </c>
      <c r="V34" s="129" t="str">
        <f t="shared" si="15"/>
        <v/>
      </c>
      <c r="W34" s="74" t="str">
        <f>IFERROR(VLOOKUP($O34,'Customer List'!$A$1:$J$488,10,FALSE),"")</f>
        <v/>
      </c>
      <c r="Y34"/>
      <c r="Z34"/>
      <c r="AC34"/>
      <c r="AD3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</row>
    <row r="35" spans="1:85">
      <c r="A35" s="125" t="str">
        <f t="shared" si="0"/>
        <v/>
      </c>
      <c r="B35" s="256"/>
      <c r="C35" s="256"/>
      <c r="D35" s="256"/>
      <c r="E35" s="256"/>
      <c r="F35" s="256"/>
      <c r="G35" s="256"/>
      <c r="H35" s="256"/>
      <c r="I35" s="256"/>
      <c r="J35" s="256"/>
      <c r="K35" s="257"/>
      <c r="L35" s="257"/>
      <c r="M35" s="257"/>
      <c r="N35" s="256"/>
      <c r="O35" s="256"/>
      <c r="P35" s="126">
        <f t="shared" si="1"/>
        <v>0</v>
      </c>
      <c r="Q35" s="126"/>
      <c r="R35" s="127">
        <f t="shared" si="2"/>
        <v>0</v>
      </c>
      <c r="T35" s="128">
        <f t="shared" si="3"/>
        <v>0</v>
      </c>
      <c r="U35" s="129" t="str">
        <f>IFERROR(VLOOKUP($S35,References!$B$3:$C$7,2,FALSE),"")</f>
        <v/>
      </c>
      <c r="V35" s="129" t="str">
        <f t="shared" si="15"/>
        <v/>
      </c>
      <c r="W35" s="74" t="str">
        <f>IFERROR(VLOOKUP($O35,'Customer List'!$A$1:$J$488,10,FALSE),"")</f>
        <v/>
      </c>
      <c r="Y35"/>
      <c r="Z35"/>
      <c r="AC35"/>
      <c r="AD35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</row>
    <row r="36" spans="1:85">
      <c r="A36" s="125" t="str">
        <f t="shared" si="0"/>
        <v/>
      </c>
      <c r="B36" s="256"/>
      <c r="C36" s="256"/>
      <c r="D36" s="256"/>
      <c r="E36" s="256"/>
      <c r="F36" s="256"/>
      <c r="G36" s="256"/>
      <c r="H36" s="256"/>
      <c r="I36" s="256"/>
      <c r="J36" s="256"/>
      <c r="K36" s="257"/>
      <c r="L36" s="257"/>
      <c r="M36" s="256"/>
      <c r="N36" s="256"/>
      <c r="O36" s="256"/>
      <c r="P36" s="126">
        <f t="shared" si="1"/>
        <v>0</v>
      </c>
      <c r="Q36" s="126"/>
      <c r="R36" s="127">
        <f t="shared" si="2"/>
        <v>0</v>
      </c>
      <c r="T36" s="128">
        <f t="shared" si="3"/>
        <v>0</v>
      </c>
      <c r="U36" s="129" t="str">
        <f>IFERROR(VLOOKUP($S36,References!$B$3:$C$7,2,FALSE),"")</f>
        <v/>
      </c>
      <c r="V36" s="129" t="str">
        <f t="shared" si="15"/>
        <v/>
      </c>
      <c r="W36" s="74" t="str">
        <f>IFERROR(VLOOKUP($O36,'Customer List'!$A$1:$J$488,10,FALSE),"")</f>
        <v/>
      </c>
      <c r="Y36"/>
      <c r="Z36"/>
      <c r="AC36"/>
      <c r="AD36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</row>
    <row r="37" spans="1:85">
      <c r="A37" s="125" t="str">
        <f t="shared" si="0"/>
        <v/>
      </c>
      <c r="B37" s="256"/>
      <c r="C37" s="256"/>
      <c r="D37" s="256"/>
      <c r="E37" s="256"/>
      <c r="F37" s="256"/>
      <c r="G37" s="256"/>
      <c r="H37" s="256"/>
      <c r="I37" s="256"/>
      <c r="J37" s="256"/>
      <c r="K37" s="257"/>
      <c r="L37" s="257"/>
      <c r="M37" s="257"/>
      <c r="N37" s="256"/>
      <c r="O37" s="256"/>
      <c r="P37" s="126">
        <f t="shared" si="1"/>
        <v>0</v>
      </c>
      <c r="Q37" s="126"/>
      <c r="R37" s="127">
        <f t="shared" si="2"/>
        <v>0</v>
      </c>
      <c r="T37" s="128">
        <f t="shared" si="3"/>
        <v>0</v>
      </c>
      <c r="U37" s="129" t="str">
        <f>IFERROR(VLOOKUP($S37,References!$B$3:$C$7,2,FALSE),"")</f>
        <v/>
      </c>
      <c r="V37" s="129" t="str">
        <f t="shared" si="15"/>
        <v/>
      </c>
      <c r="W37" s="74" t="str">
        <f>IFERROR(VLOOKUP($O37,'Customer List'!$A$1:$J$488,10,FALSE),"")</f>
        <v/>
      </c>
      <c r="Y37"/>
      <c r="Z37"/>
      <c r="AC37"/>
      <c r="AD37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</row>
    <row r="38" spans="1:85" s="132" customFormat="1">
      <c r="A38" s="125" t="str">
        <f t="shared" si="0"/>
        <v/>
      </c>
      <c r="B38" s="256"/>
      <c r="C38" s="256"/>
      <c r="D38" s="256"/>
      <c r="E38" s="256"/>
      <c r="F38" s="256"/>
      <c r="G38" s="256"/>
      <c r="H38" s="256"/>
      <c r="I38" s="256"/>
      <c r="J38" s="256"/>
      <c r="K38" s="257"/>
      <c r="L38" s="257"/>
      <c r="M38" s="257"/>
      <c r="N38" s="256"/>
      <c r="O38" s="256"/>
      <c r="P38" s="126">
        <f t="shared" si="1"/>
        <v>0</v>
      </c>
      <c r="Q38" s="126"/>
      <c r="R38" s="127">
        <f t="shared" si="2"/>
        <v>0</v>
      </c>
      <c r="S38" s="122"/>
      <c r="T38" s="128">
        <f t="shared" si="3"/>
        <v>0</v>
      </c>
      <c r="U38" s="129" t="str">
        <f>IFERROR(VLOOKUP($S38,References!$B$3:$C$7,2,FALSE),"")</f>
        <v/>
      </c>
      <c r="V38" s="129" t="str">
        <f t="shared" si="15"/>
        <v/>
      </c>
      <c r="W38" s="74" t="str">
        <f>IFERROR(VLOOKUP($O38,'Customer List'!$A$1:$J$488,10,FALSE),"")</f>
        <v/>
      </c>
      <c r="X38" s="123"/>
      <c r="Y38"/>
      <c r="Z38"/>
      <c r="AC38"/>
      <c r="AD38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</row>
    <row r="39" spans="1:85">
      <c r="A39" s="125" t="str">
        <f t="shared" si="0"/>
        <v/>
      </c>
      <c r="B39" s="256"/>
      <c r="C39" s="256"/>
      <c r="D39" s="256"/>
      <c r="E39" s="256"/>
      <c r="F39" s="256"/>
      <c r="G39" s="256"/>
      <c r="H39" s="256"/>
      <c r="I39" s="256"/>
      <c r="J39" s="256"/>
      <c r="K39" s="257"/>
      <c r="L39" s="257"/>
      <c r="M39" s="257"/>
      <c r="N39" s="258"/>
      <c r="O39" s="256"/>
      <c r="P39" s="126">
        <f t="shared" si="1"/>
        <v>0</v>
      </c>
      <c r="Q39" s="126"/>
      <c r="R39" s="127">
        <f t="shared" si="2"/>
        <v>0</v>
      </c>
      <c r="T39" s="128">
        <f t="shared" si="3"/>
        <v>0</v>
      </c>
      <c r="U39" s="129" t="str">
        <f>IFERROR(VLOOKUP($S39,References!$B$3:$C$7,2,FALSE),"")</f>
        <v/>
      </c>
      <c r="V39" s="129" t="str">
        <f t="shared" si="15"/>
        <v/>
      </c>
      <c r="W39" s="74" t="str">
        <f>IFERROR(VLOOKUP($O39,'Customer List'!$A$1:$J$488,10,FALSE),"")</f>
        <v/>
      </c>
      <c r="Y39"/>
      <c r="Z39"/>
      <c r="AC39"/>
      <c r="AD39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</row>
    <row r="40" spans="1:85">
      <c r="A40" s="125" t="str">
        <f t="shared" si="0"/>
        <v/>
      </c>
      <c r="B40" s="256"/>
      <c r="C40" s="256"/>
      <c r="D40" s="256"/>
      <c r="E40" s="256"/>
      <c r="F40" s="256"/>
      <c r="G40" s="256"/>
      <c r="H40" s="256"/>
      <c r="I40" s="256"/>
      <c r="J40" s="256"/>
      <c r="K40" s="257"/>
      <c r="L40" s="257"/>
      <c r="M40" s="257"/>
      <c r="N40" s="256"/>
      <c r="O40" s="256"/>
      <c r="P40" s="126">
        <f t="shared" si="1"/>
        <v>0</v>
      </c>
      <c r="Q40" s="126"/>
      <c r="R40" s="127">
        <f t="shared" si="2"/>
        <v>0</v>
      </c>
      <c r="T40" s="128">
        <f t="shared" si="3"/>
        <v>0</v>
      </c>
      <c r="U40" s="129" t="str">
        <f>IFERROR(VLOOKUP($S40,References!$B$3:$C$7,2,FALSE),"")</f>
        <v/>
      </c>
      <c r="V40" s="129" t="str">
        <f t="shared" si="15"/>
        <v/>
      </c>
      <c r="W40" s="74" t="str">
        <f>IFERROR(VLOOKUP($O40,'Customer List'!$A$1:$J$488,10,FALSE),"")</f>
        <v/>
      </c>
      <c r="Y40"/>
      <c r="Z40"/>
      <c r="AC40"/>
      <c r="AD40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</row>
    <row r="41" spans="1:85">
      <c r="A41" s="125" t="str">
        <f t="shared" si="0"/>
        <v/>
      </c>
      <c r="B41" s="256"/>
      <c r="C41" s="256"/>
      <c r="D41" s="256"/>
      <c r="E41" s="256"/>
      <c r="F41" s="256"/>
      <c r="G41" s="256"/>
      <c r="H41" s="256"/>
      <c r="I41" s="256"/>
      <c r="J41" s="256"/>
      <c r="K41" s="257"/>
      <c r="L41" s="257"/>
      <c r="M41" s="257"/>
      <c r="N41" s="256"/>
      <c r="O41" s="256"/>
      <c r="P41" s="126">
        <f t="shared" si="1"/>
        <v>0</v>
      </c>
      <c r="Q41" s="126"/>
      <c r="R41" s="127">
        <f t="shared" si="2"/>
        <v>0</v>
      </c>
      <c r="T41" s="128">
        <f t="shared" si="3"/>
        <v>0</v>
      </c>
      <c r="U41" s="129" t="str">
        <f>IFERROR(VLOOKUP($S41,References!$B$3:$C$7,2,FALSE),"")</f>
        <v/>
      </c>
      <c r="V41" s="129" t="str">
        <f t="shared" si="15"/>
        <v/>
      </c>
      <c r="W41" s="74" t="str">
        <f>IFERROR(VLOOKUP($O41,'Customer List'!$A$1:$J$488,10,FALSE),"")</f>
        <v/>
      </c>
      <c r="Y41"/>
      <c r="Z41"/>
      <c r="AC41"/>
      <c r="AD41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</row>
    <row r="42" spans="1:85">
      <c r="A42" s="125" t="str">
        <f t="shared" si="0"/>
        <v/>
      </c>
      <c r="B42" s="256"/>
      <c r="C42" s="256"/>
      <c r="D42" s="256"/>
      <c r="E42" s="256"/>
      <c r="F42" s="256"/>
      <c r="G42" s="256"/>
      <c r="H42" s="256"/>
      <c r="I42" s="256"/>
      <c r="J42" s="256"/>
      <c r="K42" s="257"/>
      <c r="L42" s="257"/>
      <c r="M42" s="257"/>
      <c r="N42" s="258"/>
      <c r="O42" s="256"/>
      <c r="P42" s="126">
        <f t="shared" si="1"/>
        <v>0</v>
      </c>
      <c r="Q42" s="126"/>
      <c r="R42" s="127">
        <f t="shared" si="2"/>
        <v>0</v>
      </c>
      <c r="T42" s="128">
        <f t="shared" si="3"/>
        <v>0</v>
      </c>
      <c r="U42" s="129" t="str">
        <f>IFERROR(VLOOKUP($S42,References!$B$3:$C$7,2,FALSE),"")</f>
        <v/>
      </c>
      <c r="V42" s="129" t="str">
        <f t="shared" si="15"/>
        <v/>
      </c>
      <c r="W42" s="74" t="str">
        <f>IFERROR(VLOOKUP($O42,'Customer List'!$A$1:$J$488,10,FALSE),"")</f>
        <v/>
      </c>
      <c r="Y42"/>
      <c r="Z42"/>
      <c r="AC42"/>
      <c r="AD42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</row>
    <row r="43" spans="1:85">
      <c r="A43" s="125" t="str">
        <f t="shared" si="0"/>
        <v/>
      </c>
      <c r="B43" s="256"/>
      <c r="C43" s="256"/>
      <c r="D43" s="256"/>
      <c r="E43" s="256"/>
      <c r="F43" s="256"/>
      <c r="G43" s="256"/>
      <c r="H43" s="256"/>
      <c r="I43" s="256"/>
      <c r="J43" s="256"/>
      <c r="K43" s="257"/>
      <c r="L43" s="257"/>
      <c r="M43" s="257"/>
      <c r="N43" s="258"/>
      <c r="O43" s="256"/>
      <c r="P43" s="126">
        <f t="shared" si="1"/>
        <v>0</v>
      </c>
      <c r="Q43" s="126"/>
      <c r="R43" s="127">
        <f t="shared" si="2"/>
        <v>0</v>
      </c>
      <c r="T43" s="128">
        <f t="shared" si="3"/>
        <v>0</v>
      </c>
      <c r="U43" s="129" t="str">
        <f>IFERROR(VLOOKUP($S43,References!$B$3:$C$7,2,FALSE),"")</f>
        <v/>
      </c>
      <c r="V43" s="129" t="str">
        <f t="shared" si="15"/>
        <v/>
      </c>
      <c r="W43" s="74" t="str">
        <f>IFERROR(VLOOKUP($O43,'Customer List'!$A$1:$J$488,10,FALSE),"")</f>
        <v/>
      </c>
      <c r="Y43"/>
      <c r="Z43"/>
      <c r="AC43"/>
      <c r="AD43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</row>
    <row r="44" spans="1:85">
      <c r="A44" s="125" t="str">
        <f t="shared" si="0"/>
        <v/>
      </c>
      <c r="B44" s="256"/>
      <c r="C44" s="256"/>
      <c r="D44" s="256"/>
      <c r="E44" s="256"/>
      <c r="F44" s="256"/>
      <c r="G44" s="256"/>
      <c r="H44" s="256"/>
      <c r="I44" s="256"/>
      <c r="J44" s="256"/>
      <c r="K44" s="257"/>
      <c r="L44" s="257"/>
      <c r="M44" s="257"/>
      <c r="N44" s="258"/>
      <c r="O44" s="256"/>
      <c r="P44" s="126">
        <f t="shared" si="1"/>
        <v>0</v>
      </c>
      <c r="Q44" s="126"/>
      <c r="R44" s="127">
        <f t="shared" si="2"/>
        <v>0</v>
      </c>
      <c r="T44" s="128">
        <f t="shared" si="3"/>
        <v>0</v>
      </c>
      <c r="U44" s="129" t="str">
        <f>IFERROR(VLOOKUP($S44,References!$B$3:$C$7,2,FALSE),"")</f>
        <v/>
      </c>
      <c r="V44" s="129" t="str">
        <f t="shared" si="15"/>
        <v/>
      </c>
      <c r="W44" s="74" t="str">
        <f>IFERROR(VLOOKUP($O44,'Customer List'!$A$1:$J$488,10,FALSE),"")</f>
        <v/>
      </c>
      <c r="X44" s="132"/>
      <c r="Y44"/>
      <c r="Z44"/>
      <c r="AC44"/>
      <c r="AD4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</row>
    <row r="45" spans="1:85">
      <c r="A45" s="125" t="str">
        <f t="shared" si="0"/>
        <v/>
      </c>
      <c r="B45" s="256"/>
      <c r="C45" s="256"/>
      <c r="D45" s="256"/>
      <c r="E45" s="256"/>
      <c r="F45" s="256"/>
      <c r="G45" s="256"/>
      <c r="H45" s="256"/>
      <c r="I45" s="256"/>
      <c r="J45" s="256"/>
      <c r="K45" s="257"/>
      <c r="L45" s="257"/>
      <c r="M45" s="257"/>
      <c r="N45" s="258"/>
      <c r="O45" s="256"/>
      <c r="P45" s="126">
        <f t="shared" si="1"/>
        <v>0</v>
      </c>
      <c r="Q45" s="126"/>
      <c r="R45" s="127">
        <f t="shared" si="2"/>
        <v>0</v>
      </c>
      <c r="T45" s="128">
        <f t="shared" si="3"/>
        <v>0</v>
      </c>
      <c r="U45" s="129" t="str">
        <f>IFERROR(VLOOKUP($S45,References!$B$3:$C$7,2,FALSE),"")</f>
        <v/>
      </c>
      <c r="V45" s="129" t="str">
        <f t="shared" si="15"/>
        <v/>
      </c>
      <c r="W45" s="74" t="str">
        <f>IFERROR(VLOOKUP($O45,'Customer List'!$A$1:$J$488,10,FALSE),"")</f>
        <v/>
      </c>
      <c r="Y45"/>
      <c r="Z45"/>
      <c r="AC45"/>
      <c r="AD45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</row>
    <row r="46" spans="1:85">
      <c r="A46" s="125" t="str">
        <f t="shared" si="0"/>
        <v/>
      </c>
      <c r="B46" s="256"/>
      <c r="C46" s="256"/>
      <c r="D46" s="256"/>
      <c r="E46" s="256"/>
      <c r="F46" s="256"/>
      <c r="G46" s="256"/>
      <c r="H46" s="256"/>
      <c r="I46" s="256"/>
      <c r="J46" s="256"/>
      <c r="K46" s="257"/>
      <c r="L46" s="257"/>
      <c r="M46" s="257"/>
      <c r="N46" s="256"/>
      <c r="O46" s="256"/>
      <c r="P46" s="126">
        <f t="shared" si="1"/>
        <v>0</v>
      </c>
      <c r="Q46" s="126"/>
      <c r="R46" s="127">
        <f t="shared" si="2"/>
        <v>0</v>
      </c>
      <c r="T46" s="128">
        <f t="shared" si="3"/>
        <v>0</v>
      </c>
      <c r="U46" s="129" t="str">
        <f>IFERROR(VLOOKUP($S46,References!$B$3:$C$7,2,FALSE),"")</f>
        <v/>
      </c>
      <c r="V46" s="129" t="str">
        <f t="shared" si="15"/>
        <v/>
      </c>
      <c r="W46" s="74" t="str">
        <f>IFERROR(VLOOKUP($O46,'Customer List'!$A$1:$J$488,10,FALSE),"")</f>
        <v/>
      </c>
      <c r="Y46"/>
      <c r="Z46"/>
      <c r="AC46"/>
      <c r="AD46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</row>
    <row r="47" spans="1:85">
      <c r="A47" s="125" t="str">
        <f t="shared" si="0"/>
        <v/>
      </c>
      <c r="B47" s="256"/>
      <c r="C47" s="256"/>
      <c r="D47" s="256"/>
      <c r="E47" s="256"/>
      <c r="F47" s="256"/>
      <c r="G47" s="256"/>
      <c r="H47" s="256"/>
      <c r="I47" s="256"/>
      <c r="J47" s="256"/>
      <c r="K47" s="257"/>
      <c r="L47" s="257"/>
      <c r="M47" s="257"/>
      <c r="N47" s="256"/>
      <c r="O47" s="256"/>
      <c r="P47" s="126">
        <f t="shared" si="1"/>
        <v>0</v>
      </c>
      <c r="Q47" s="126"/>
      <c r="R47" s="127">
        <f t="shared" si="2"/>
        <v>0</v>
      </c>
      <c r="T47" s="128">
        <f t="shared" si="3"/>
        <v>0</v>
      </c>
      <c r="U47" s="129" t="str">
        <f>IFERROR(VLOOKUP($S47,References!$B$3:$C$7,2,FALSE),"")</f>
        <v/>
      </c>
      <c r="V47" s="129" t="str">
        <f t="shared" si="15"/>
        <v/>
      </c>
      <c r="W47" s="74" t="str">
        <f>IFERROR(VLOOKUP($O47,'Customer List'!$A$1:$J$488,10,FALSE),"")</f>
        <v/>
      </c>
      <c r="Y47"/>
      <c r="Z47"/>
      <c r="AC47"/>
      <c r="AD47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</row>
    <row r="48" spans="1:85">
      <c r="A48" s="125" t="str">
        <f t="shared" si="0"/>
        <v/>
      </c>
      <c r="B48" s="256"/>
      <c r="C48" s="256"/>
      <c r="D48" s="256"/>
      <c r="E48" s="256"/>
      <c r="F48" s="256"/>
      <c r="G48" s="256"/>
      <c r="H48" s="256"/>
      <c r="I48" s="256"/>
      <c r="J48" s="256"/>
      <c r="K48" s="257"/>
      <c r="L48" s="257"/>
      <c r="M48" s="257"/>
      <c r="N48" s="256"/>
      <c r="O48" s="256"/>
      <c r="P48" s="126">
        <f t="shared" si="1"/>
        <v>0</v>
      </c>
      <c r="Q48" s="126"/>
      <c r="R48" s="127">
        <f t="shared" si="2"/>
        <v>0</v>
      </c>
      <c r="T48" s="128">
        <f t="shared" si="3"/>
        <v>0</v>
      </c>
      <c r="U48" s="129" t="str">
        <f>IFERROR(VLOOKUP($S48,References!$B$3:$C$7,2,FALSE),"")</f>
        <v/>
      </c>
      <c r="V48" s="129" t="str">
        <f t="shared" si="15"/>
        <v/>
      </c>
      <c r="W48" s="74" t="str">
        <f>IFERROR(VLOOKUP($O48,'Customer List'!$A$1:$J$488,10,FALSE),"")</f>
        <v/>
      </c>
      <c r="Y48"/>
      <c r="Z48"/>
      <c r="AC48"/>
      <c r="AD48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</row>
    <row r="49" spans="1:85">
      <c r="A49" s="125" t="str">
        <f t="shared" si="0"/>
        <v/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7"/>
      <c r="M49" s="257"/>
      <c r="N49" s="256"/>
      <c r="O49" s="256"/>
      <c r="P49" s="126">
        <f t="shared" si="1"/>
        <v>0</v>
      </c>
      <c r="Q49" s="126"/>
      <c r="R49" s="127">
        <f t="shared" si="2"/>
        <v>0</v>
      </c>
      <c r="T49" s="128">
        <f t="shared" ref="T49:T72" si="21">IF(S49="50 - Cleaning Fee",1,HOUR($R49)+MINUTE(R49)/60)</f>
        <v>0</v>
      </c>
      <c r="U49" s="129" t="str">
        <f>IFERROR(VLOOKUP($S49,References!$B$3:$C$7,2,FALSE),"")</f>
        <v/>
      </c>
      <c r="V49" s="129" t="str">
        <f t="shared" ref="V49:V52" si="22">IF(T49&gt;=8,400,(IFERROR(T49*U49,"")))</f>
        <v/>
      </c>
      <c r="W49" s="74" t="str">
        <f>IFERROR(VLOOKUP($O49,'Customer List'!$A$1:$J$488,10,FALSE),"")</f>
        <v/>
      </c>
      <c r="Y49"/>
      <c r="Z49"/>
      <c r="AC49" s="74"/>
      <c r="AD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</row>
    <row r="50" spans="1:85">
      <c r="A50" s="125" t="str">
        <f t="shared" si="0"/>
        <v/>
      </c>
      <c r="B50" s="256"/>
      <c r="C50" s="256"/>
      <c r="D50" s="256"/>
      <c r="E50" s="256"/>
      <c r="F50" s="256"/>
      <c r="G50" s="256"/>
      <c r="H50" s="256"/>
      <c r="I50" s="256"/>
      <c r="J50" s="256"/>
      <c r="K50" s="257"/>
      <c r="L50" s="257"/>
      <c r="M50" s="257"/>
      <c r="N50" s="258"/>
      <c r="O50" s="256"/>
      <c r="P50" s="126">
        <f t="shared" si="1"/>
        <v>0</v>
      </c>
      <c r="Q50" s="126"/>
      <c r="R50" s="127">
        <f t="shared" si="2"/>
        <v>0</v>
      </c>
      <c r="T50" s="128">
        <f t="shared" si="21"/>
        <v>0</v>
      </c>
      <c r="U50" s="129" t="str">
        <f>IFERROR(VLOOKUP($S50,References!$B$3:$C$7,2,FALSE),"")</f>
        <v/>
      </c>
      <c r="V50" s="129" t="str">
        <f t="shared" si="22"/>
        <v/>
      </c>
      <c r="W50" s="74" t="str">
        <f>IFERROR(VLOOKUP($O50,'Customer List'!$A$1:$J$488,10,FALSE),"")</f>
        <v/>
      </c>
      <c r="Y50"/>
      <c r="Z50"/>
      <c r="AC50" s="74"/>
      <c r="AD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</row>
    <row r="51" spans="1:85">
      <c r="A51" s="125" t="str">
        <f t="shared" si="0"/>
        <v/>
      </c>
      <c r="B51" s="256"/>
      <c r="C51" s="256"/>
      <c r="D51" s="256"/>
      <c r="E51" s="256"/>
      <c r="F51" s="256"/>
      <c r="G51" s="256"/>
      <c r="H51" s="256"/>
      <c r="I51" s="256"/>
      <c r="J51" s="256"/>
      <c r="K51" s="257"/>
      <c r="L51" s="257"/>
      <c r="M51" s="257"/>
      <c r="N51" s="258"/>
      <c r="O51" s="256"/>
      <c r="P51" s="126">
        <f t="shared" si="1"/>
        <v>0</v>
      </c>
      <c r="Q51" s="126"/>
      <c r="R51" s="127">
        <f t="shared" si="2"/>
        <v>0</v>
      </c>
      <c r="T51" s="128">
        <f t="shared" si="21"/>
        <v>0</v>
      </c>
      <c r="U51" s="129" t="str">
        <f>IFERROR(VLOOKUP($S51,References!$B$3:$C$7,2,FALSE),"")</f>
        <v/>
      </c>
      <c r="V51" s="129" t="str">
        <f t="shared" si="22"/>
        <v/>
      </c>
      <c r="W51" s="74" t="str">
        <f>IFERROR(VLOOKUP($O51,'Customer List'!$A$1:$J$488,10,FALSE),"")</f>
        <v/>
      </c>
      <c r="Y51"/>
      <c r="Z51"/>
      <c r="AC51" s="74"/>
      <c r="AD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</row>
    <row r="52" spans="1:85">
      <c r="A52" s="125" t="str">
        <f t="shared" si="0"/>
        <v/>
      </c>
      <c r="B52" s="256"/>
      <c r="C52" s="256"/>
      <c r="D52" s="256"/>
      <c r="E52" s="256"/>
      <c r="F52" s="256"/>
      <c r="G52" s="256"/>
      <c r="H52" s="256"/>
      <c r="I52" s="256"/>
      <c r="J52" s="256"/>
      <c r="K52" s="257"/>
      <c r="L52" s="257"/>
      <c r="M52" s="257"/>
      <c r="N52" s="258"/>
      <c r="O52" s="256"/>
      <c r="P52" s="126">
        <f t="shared" si="1"/>
        <v>0</v>
      </c>
      <c r="Q52" s="126"/>
      <c r="R52" s="127">
        <f t="shared" si="2"/>
        <v>0</v>
      </c>
      <c r="T52" s="128">
        <f t="shared" si="21"/>
        <v>0</v>
      </c>
      <c r="U52" s="129" t="str">
        <f>IFERROR(VLOOKUP($S52,References!$B$3:$C$7,2,FALSE),"")</f>
        <v/>
      </c>
      <c r="V52" s="129" t="str">
        <f t="shared" si="22"/>
        <v/>
      </c>
      <c r="W52" s="74" t="str">
        <f>IFERROR(VLOOKUP($O52,'Customer List'!$A$1:$J$488,10,FALSE),"")</f>
        <v/>
      </c>
      <c r="Y52"/>
      <c r="Z52"/>
      <c r="AC52" s="74"/>
      <c r="AD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</row>
    <row r="53" spans="1:85">
      <c r="A53" s="125" t="str">
        <f t="shared" si="0"/>
        <v/>
      </c>
      <c r="B53" s="256"/>
      <c r="C53" s="256"/>
      <c r="D53" s="256"/>
      <c r="E53" s="256"/>
      <c r="F53" s="256"/>
      <c r="G53" s="256"/>
      <c r="H53" s="256"/>
      <c r="I53" s="256"/>
      <c r="J53" s="256"/>
      <c r="K53" s="257"/>
      <c r="L53" s="257"/>
      <c r="M53" s="257"/>
      <c r="N53" s="258"/>
      <c r="O53" s="256"/>
      <c r="P53" s="126">
        <f t="shared" si="1"/>
        <v>0</v>
      </c>
      <c r="Q53" s="126"/>
      <c r="R53" s="127">
        <f t="shared" si="2"/>
        <v>0</v>
      </c>
      <c r="T53" s="128">
        <f t="shared" si="21"/>
        <v>0</v>
      </c>
      <c r="U53" s="129" t="str">
        <f>IFERROR(VLOOKUP($S53,References!$B$3:$C$7,2,FALSE),"")</f>
        <v/>
      </c>
      <c r="V53" s="129" t="str">
        <f t="shared" ref="V53:V72" si="23">IF(T53&gt;=8,400,(IFERROR(T53*U53,"")))</f>
        <v/>
      </c>
      <c r="W53" s="74" t="str">
        <f>IFERROR(VLOOKUP($O53,'Customer List'!$A$1:$J$488,10,FALSE),"")</f>
        <v/>
      </c>
      <c r="Y53"/>
      <c r="Z53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</row>
    <row r="54" spans="1:85">
      <c r="A54" s="125" t="str">
        <f t="shared" si="0"/>
        <v/>
      </c>
      <c r="B54" s="256"/>
      <c r="C54" s="256"/>
      <c r="D54" s="256"/>
      <c r="E54" s="256"/>
      <c r="F54" s="256"/>
      <c r="G54" s="256"/>
      <c r="H54" s="256"/>
      <c r="I54" s="256"/>
      <c r="J54" s="256"/>
      <c r="K54" s="257"/>
      <c r="L54" s="257"/>
      <c r="M54" s="257"/>
      <c r="N54" s="256"/>
      <c r="O54" s="256"/>
      <c r="P54" s="126">
        <f t="shared" si="1"/>
        <v>0</v>
      </c>
      <c r="Q54" s="126"/>
      <c r="R54" s="127">
        <f t="shared" si="2"/>
        <v>0</v>
      </c>
      <c r="T54" s="128">
        <f t="shared" si="21"/>
        <v>0</v>
      </c>
      <c r="U54" s="129" t="str">
        <f>IFERROR(VLOOKUP($S54,References!$B$3:$C$7,2,FALSE),"")</f>
        <v/>
      </c>
      <c r="V54" s="129" t="str">
        <f t="shared" si="23"/>
        <v/>
      </c>
      <c r="W54" s="74" t="str">
        <f>IFERROR(VLOOKUP($O54,'Customer List'!$A$1:$J$488,10,FALSE),"")</f>
        <v/>
      </c>
      <c r="Y54"/>
      <c r="Z5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</row>
    <row r="55" spans="1:85">
      <c r="A55" s="125" t="str">
        <f t="shared" si="0"/>
        <v/>
      </c>
      <c r="B55" s="256"/>
      <c r="C55" s="256"/>
      <c r="D55" s="256"/>
      <c r="E55" s="256"/>
      <c r="F55" s="256"/>
      <c r="G55" s="256"/>
      <c r="H55" s="256"/>
      <c r="I55" s="256"/>
      <c r="J55" s="256"/>
      <c r="K55" s="257"/>
      <c r="L55" s="257"/>
      <c r="M55" s="256"/>
      <c r="N55" s="256"/>
      <c r="O55" s="256"/>
      <c r="P55" s="126">
        <f t="shared" si="1"/>
        <v>0</v>
      </c>
      <c r="Q55" s="126"/>
      <c r="R55" s="127">
        <f t="shared" si="2"/>
        <v>0</v>
      </c>
      <c r="T55" s="128">
        <f t="shared" si="21"/>
        <v>0</v>
      </c>
      <c r="U55" s="129" t="str">
        <f>IFERROR(VLOOKUP($S55,References!$B$3:$C$7,2,FALSE),"")</f>
        <v/>
      </c>
      <c r="V55" s="129" t="str">
        <f t="shared" si="23"/>
        <v/>
      </c>
      <c r="W55" s="74" t="str">
        <f>IFERROR(VLOOKUP($O55,'Customer List'!$A$1:$J$488,10,FALSE),"")</f>
        <v/>
      </c>
      <c r="Y55"/>
      <c r="Z55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</row>
    <row r="56" spans="1:85">
      <c r="A56" s="125" t="str">
        <f t="shared" si="0"/>
        <v/>
      </c>
      <c r="B56" s="256"/>
      <c r="C56" s="256"/>
      <c r="D56" s="256"/>
      <c r="E56" s="256"/>
      <c r="F56" s="256"/>
      <c r="G56" s="256"/>
      <c r="H56" s="256"/>
      <c r="I56" s="256"/>
      <c r="J56" s="256"/>
      <c r="K56" s="257"/>
      <c r="L56" s="257"/>
      <c r="M56" s="257"/>
      <c r="N56" s="256"/>
      <c r="O56" s="256"/>
      <c r="P56" s="126">
        <f t="shared" si="1"/>
        <v>0</v>
      </c>
      <c r="Q56" s="126"/>
      <c r="R56" s="127">
        <f t="shared" si="2"/>
        <v>0</v>
      </c>
      <c r="T56" s="128">
        <f t="shared" si="21"/>
        <v>0</v>
      </c>
      <c r="U56" s="129" t="str">
        <f>IFERROR(VLOOKUP($S56,References!$B$3:$C$7,2,FALSE),"")</f>
        <v/>
      </c>
      <c r="V56" s="129" t="str">
        <f t="shared" si="23"/>
        <v/>
      </c>
      <c r="W56" s="74" t="str">
        <f>IFERROR(VLOOKUP($O56,'Customer List'!$A$1:$J$488,10,FALSE),"")</f>
        <v/>
      </c>
      <c r="Y56"/>
      <c r="Z56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</row>
    <row r="57" spans="1:85">
      <c r="A57" s="125" t="str">
        <f t="shared" si="0"/>
        <v/>
      </c>
      <c r="B57" s="256"/>
      <c r="C57" s="256"/>
      <c r="D57" s="256"/>
      <c r="E57" s="256"/>
      <c r="F57" s="256"/>
      <c r="G57" s="256"/>
      <c r="H57" s="256"/>
      <c r="I57" s="256"/>
      <c r="J57" s="256"/>
      <c r="K57" s="257"/>
      <c r="L57" s="257"/>
      <c r="M57" s="257"/>
      <c r="N57" s="256"/>
      <c r="O57" s="256"/>
      <c r="P57" s="126">
        <f t="shared" si="1"/>
        <v>0</v>
      </c>
      <c r="Q57" s="126"/>
      <c r="R57" s="127">
        <f t="shared" si="2"/>
        <v>0</v>
      </c>
      <c r="T57" s="128">
        <f t="shared" si="21"/>
        <v>0</v>
      </c>
      <c r="U57" s="129" t="str">
        <f>IFERROR(VLOOKUP($S57,References!$B$3:$C$7,2,FALSE),"")</f>
        <v/>
      </c>
      <c r="V57" s="129" t="str">
        <f t="shared" si="23"/>
        <v/>
      </c>
      <c r="W57" s="74" t="str">
        <f>IFERROR(VLOOKUP($O57,'Customer List'!$A$1:$J$488,10,FALSE),"")</f>
        <v/>
      </c>
      <c r="Y57"/>
      <c r="Z57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</row>
    <row r="58" spans="1:85">
      <c r="A58" s="125" t="str">
        <f t="shared" si="0"/>
        <v/>
      </c>
      <c r="B58" s="256"/>
      <c r="C58" s="256"/>
      <c r="D58" s="256"/>
      <c r="E58" s="256"/>
      <c r="F58" s="256"/>
      <c r="G58" s="256"/>
      <c r="H58" s="256"/>
      <c r="I58" s="256"/>
      <c r="J58" s="256"/>
      <c r="K58" s="257"/>
      <c r="L58" s="257"/>
      <c r="M58" s="257"/>
      <c r="N58" s="256"/>
      <c r="O58" s="256"/>
      <c r="P58" s="126">
        <f t="shared" si="1"/>
        <v>0</v>
      </c>
      <c r="Q58" s="126"/>
      <c r="R58" s="127">
        <f t="shared" si="2"/>
        <v>0</v>
      </c>
      <c r="T58" s="128">
        <f t="shared" si="21"/>
        <v>0</v>
      </c>
      <c r="U58" s="129" t="str">
        <f>IFERROR(VLOOKUP($S58,References!$B$3:$C$7,2,FALSE),"")</f>
        <v/>
      </c>
      <c r="V58" s="129" t="str">
        <f t="shared" si="23"/>
        <v/>
      </c>
      <c r="W58" s="74" t="str">
        <f>IFERROR(VLOOKUP($O58,'Customer List'!$A$1:$J$488,10,FALSE),"")</f>
        <v/>
      </c>
      <c r="Y58"/>
      <c r="Z58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</row>
    <row r="59" spans="1:85">
      <c r="A59" s="125" t="str">
        <f t="shared" si="0"/>
        <v/>
      </c>
      <c r="B59" s="256"/>
      <c r="C59" s="256"/>
      <c r="D59" s="256"/>
      <c r="E59" s="256"/>
      <c r="F59" s="256"/>
      <c r="G59" s="256"/>
      <c r="H59" s="256"/>
      <c r="I59" s="256"/>
      <c r="J59" s="256"/>
      <c r="K59" s="257"/>
      <c r="L59" s="257"/>
      <c r="M59" s="257"/>
      <c r="N59" s="256"/>
      <c r="O59" s="256"/>
      <c r="P59" s="126">
        <f t="shared" si="1"/>
        <v>0</v>
      </c>
      <c r="Q59" s="126"/>
      <c r="R59" s="127">
        <f t="shared" si="2"/>
        <v>0</v>
      </c>
      <c r="T59" s="128">
        <f t="shared" si="21"/>
        <v>0</v>
      </c>
      <c r="U59" s="129" t="str">
        <f>IFERROR(VLOOKUP($S59,References!$B$3:$C$7,2,FALSE),"")</f>
        <v/>
      </c>
      <c r="V59" s="129" t="str">
        <f t="shared" si="23"/>
        <v/>
      </c>
      <c r="W59" s="74" t="str">
        <f>IFERROR(VLOOKUP($O59,'Customer List'!$A$1:$J$488,10,FALSE),"")</f>
        <v/>
      </c>
      <c r="Y59"/>
      <c r="Z59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</row>
    <row r="60" spans="1:85">
      <c r="A60" s="125" t="str">
        <f t="shared" si="0"/>
        <v/>
      </c>
      <c r="B60" s="256"/>
      <c r="C60" s="256"/>
      <c r="D60" s="256"/>
      <c r="E60" s="256"/>
      <c r="F60" s="256"/>
      <c r="G60" s="256"/>
      <c r="H60" s="256"/>
      <c r="I60" s="256"/>
      <c r="J60" s="256"/>
      <c r="K60" s="257"/>
      <c r="L60" s="257"/>
      <c r="M60" s="257"/>
      <c r="N60" s="256"/>
      <c r="O60" s="256"/>
      <c r="P60" s="126">
        <f t="shared" si="1"/>
        <v>0</v>
      </c>
      <c r="Q60" s="126"/>
      <c r="R60" s="127">
        <f t="shared" si="2"/>
        <v>0</v>
      </c>
      <c r="T60" s="128">
        <f t="shared" si="21"/>
        <v>0</v>
      </c>
      <c r="U60" s="129" t="str">
        <f>IFERROR(VLOOKUP($S60,References!$B$3:$C$7,2,FALSE),"")</f>
        <v/>
      </c>
      <c r="V60" s="129" t="str">
        <f t="shared" si="23"/>
        <v/>
      </c>
      <c r="W60" s="74" t="str">
        <f>IFERROR(VLOOKUP($O60,'Customer List'!$A$1:$J$488,10,FALSE),"")</f>
        <v/>
      </c>
      <c r="Y60"/>
      <c r="Z60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</row>
    <row r="61" spans="1:85">
      <c r="A61" s="125" t="str">
        <f t="shared" si="0"/>
        <v/>
      </c>
      <c r="B61" s="256"/>
      <c r="C61" s="256"/>
      <c r="D61" s="256"/>
      <c r="E61" s="256"/>
      <c r="F61" s="256"/>
      <c r="G61" s="256"/>
      <c r="H61" s="256"/>
      <c r="I61" s="256"/>
      <c r="J61" s="256"/>
      <c r="K61" s="257"/>
      <c r="L61" s="257"/>
      <c r="M61" s="257"/>
      <c r="N61" s="256"/>
      <c r="O61" s="256"/>
      <c r="P61" s="126">
        <f t="shared" si="1"/>
        <v>0</v>
      </c>
      <c r="Q61" s="126"/>
      <c r="R61" s="127">
        <f t="shared" si="2"/>
        <v>0</v>
      </c>
      <c r="T61" s="128">
        <f t="shared" si="21"/>
        <v>0</v>
      </c>
      <c r="U61" s="129" t="str">
        <f>IFERROR(VLOOKUP($S61,References!$B$3:$C$7,2,FALSE),"")</f>
        <v/>
      </c>
      <c r="V61" s="129" t="str">
        <f t="shared" si="23"/>
        <v/>
      </c>
      <c r="W61" s="74" t="str">
        <f>IFERROR(VLOOKUP($O61,'Customer List'!$A$1:$J$488,10,FALSE),"")</f>
        <v/>
      </c>
      <c r="Y61"/>
      <c r="Z61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</row>
    <row r="62" spans="1:85">
      <c r="A62" s="125" t="str">
        <f t="shared" si="0"/>
        <v/>
      </c>
      <c r="B62" s="256"/>
      <c r="C62" s="256"/>
      <c r="D62" s="256"/>
      <c r="E62" s="256"/>
      <c r="F62" s="256"/>
      <c r="G62" s="256"/>
      <c r="H62" s="256"/>
      <c r="I62" s="256"/>
      <c r="J62" s="256"/>
      <c r="K62" s="257"/>
      <c r="L62" s="257"/>
      <c r="M62" s="257"/>
      <c r="N62" s="256"/>
      <c r="O62" s="256"/>
      <c r="P62" s="126">
        <f t="shared" si="1"/>
        <v>0</v>
      </c>
      <c r="Q62" s="126"/>
      <c r="R62" s="127">
        <f t="shared" si="2"/>
        <v>0</v>
      </c>
      <c r="T62" s="128">
        <f t="shared" si="21"/>
        <v>0</v>
      </c>
      <c r="U62" s="129" t="str">
        <f>IFERROR(VLOOKUP($S62,References!$B$3:$C$7,2,FALSE),"")</f>
        <v/>
      </c>
      <c r="V62" s="129" t="str">
        <f t="shared" si="23"/>
        <v/>
      </c>
      <c r="W62" s="74" t="str">
        <f>IFERROR(VLOOKUP($O62,'Customer List'!$A$1:$J$488,10,FALSE),"")</f>
        <v/>
      </c>
      <c r="Y62"/>
      <c r="Z62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</row>
    <row r="63" spans="1:85">
      <c r="A63" s="125" t="str">
        <f t="shared" si="0"/>
        <v/>
      </c>
      <c r="B63" s="256"/>
      <c r="C63" s="256"/>
      <c r="D63" s="256"/>
      <c r="E63" s="256"/>
      <c r="F63" s="256"/>
      <c r="G63" s="256"/>
      <c r="H63" s="256"/>
      <c r="I63" s="256"/>
      <c r="J63" s="256"/>
      <c r="K63" s="257"/>
      <c r="L63" s="257"/>
      <c r="M63" s="257"/>
      <c r="N63" s="256"/>
      <c r="O63" s="256"/>
      <c r="P63" s="126">
        <f t="shared" si="1"/>
        <v>0</v>
      </c>
      <c r="Q63" s="126"/>
      <c r="R63" s="127">
        <f t="shared" si="2"/>
        <v>0</v>
      </c>
      <c r="T63" s="128">
        <f t="shared" si="21"/>
        <v>0</v>
      </c>
      <c r="U63" s="129" t="str">
        <f>IFERROR(VLOOKUP($S63,References!$B$3:$C$7,2,FALSE),"")</f>
        <v/>
      </c>
      <c r="V63" s="129" t="str">
        <f t="shared" si="23"/>
        <v/>
      </c>
      <c r="W63" s="74" t="str">
        <f>IFERROR(VLOOKUP($O63,'Customer List'!$A$1:$J$488,10,FALSE),"")</f>
        <v/>
      </c>
      <c r="Y63"/>
      <c r="Z63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</row>
    <row r="64" spans="1:85">
      <c r="A64" s="125" t="str">
        <f t="shared" si="0"/>
        <v/>
      </c>
      <c r="B64" s="256"/>
      <c r="C64" s="256"/>
      <c r="D64" s="256"/>
      <c r="E64" s="256"/>
      <c r="F64" s="256"/>
      <c r="G64" s="256"/>
      <c r="H64" s="256"/>
      <c r="I64" s="256"/>
      <c r="J64" s="256"/>
      <c r="K64" s="257"/>
      <c r="L64" s="257"/>
      <c r="M64" s="257"/>
      <c r="N64" s="256"/>
      <c r="O64" s="256"/>
      <c r="P64" s="126">
        <f t="shared" si="1"/>
        <v>0</v>
      </c>
      <c r="Q64" s="126"/>
      <c r="R64" s="127">
        <f t="shared" si="2"/>
        <v>0</v>
      </c>
      <c r="T64" s="128">
        <f t="shared" si="21"/>
        <v>0</v>
      </c>
      <c r="U64" s="129" t="str">
        <f>IFERROR(VLOOKUP($S64,References!$B$3:$C$7,2,FALSE),"")</f>
        <v/>
      </c>
      <c r="V64" s="129" t="str">
        <f t="shared" si="23"/>
        <v/>
      </c>
      <c r="W64" s="74" t="str">
        <f>IFERROR(VLOOKUP($O64,'Customer List'!$A$1:$J$488,10,FALSE),"")</f>
        <v/>
      </c>
      <c r="Y64"/>
      <c r="Z6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</row>
    <row r="65" spans="1:205">
      <c r="A65" s="125" t="str">
        <f t="shared" si="0"/>
        <v/>
      </c>
      <c r="B65" s="256"/>
      <c r="C65" s="256"/>
      <c r="D65" s="256"/>
      <c r="E65" s="256"/>
      <c r="F65" s="256"/>
      <c r="G65" s="256"/>
      <c r="H65" s="256"/>
      <c r="I65" s="256"/>
      <c r="J65" s="256"/>
      <c r="K65" s="257"/>
      <c r="L65" s="257"/>
      <c r="M65" s="257"/>
      <c r="N65" s="256"/>
      <c r="O65" s="256"/>
      <c r="P65" s="126">
        <f t="shared" si="1"/>
        <v>0</v>
      </c>
      <c r="Q65" s="126"/>
      <c r="R65" s="127">
        <f t="shared" si="2"/>
        <v>0</v>
      </c>
      <c r="T65" s="128">
        <f t="shared" si="21"/>
        <v>0</v>
      </c>
      <c r="U65" s="129" t="str">
        <f>IFERROR(VLOOKUP($S65,References!$B$3:$C$7,2,FALSE),"")</f>
        <v/>
      </c>
      <c r="V65" s="129" t="str">
        <f t="shared" si="23"/>
        <v/>
      </c>
      <c r="W65" s="74" t="str">
        <f>IFERROR(VLOOKUP($O65,'Customer List'!$A$1:$J$488,10,FALSE),"")</f>
        <v/>
      </c>
      <c r="Y65"/>
      <c r="Z65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</row>
    <row r="66" spans="1:205">
      <c r="A66" s="125" t="str">
        <f t="shared" si="0"/>
        <v/>
      </c>
      <c r="B66" s="256"/>
      <c r="C66" s="256"/>
      <c r="D66" s="256"/>
      <c r="E66" s="256"/>
      <c r="F66" s="256"/>
      <c r="G66" s="256"/>
      <c r="H66" s="256"/>
      <c r="I66" s="256"/>
      <c r="J66" s="256"/>
      <c r="K66" s="257"/>
      <c r="L66" s="257"/>
      <c r="M66" s="257"/>
      <c r="N66" s="256"/>
      <c r="O66" s="256"/>
      <c r="P66" s="126">
        <f t="shared" si="1"/>
        <v>0</v>
      </c>
      <c r="Q66" s="126"/>
      <c r="R66" s="127">
        <f t="shared" si="2"/>
        <v>0</v>
      </c>
      <c r="T66" s="128">
        <f t="shared" si="21"/>
        <v>0</v>
      </c>
      <c r="U66" s="129" t="str">
        <f>IFERROR(VLOOKUP($S66,References!$B$3:$C$7,2,FALSE),"")</f>
        <v/>
      </c>
      <c r="V66" s="129" t="str">
        <f t="shared" si="23"/>
        <v/>
      </c>
      <c r="W66" s="74" t="str">
        <f>IFERROR(VLOOKUP($O66,'Customer List'!$A$1:$J$488,10,FALSE),"")</f>
        <v/>
      </c>
      <c r="Y66"/>
      <c r="Z66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</row>
    <row r="67" spans="1:205">
      <c r="A67" s="125" t="str">
        <f t="shared" si="0"/>
        <v/>
      </c>
      <c r="B67" s="256"/>
      <c r="C67" s="256"/>
      <c r="D67" s="256"/>
      <c r="E67" s="256"/>
      <c r="F67" s="256"/>
      <c r="G67" s="256"/>
      <c r="H67" s="256"/>
      <c r="I67" s="256"/>
      <c r="J67" s="256"/>
      <c r="K67" s="257"/>
      <c r="L67" s="257"/>
      <c r="M67" s="257"/>
      <c r="N67" s="256"/>
      <c r="O67" s="256"/>
      <c r="P67" s="126">
        <f t="shared" si="1"/>
        <v>0</v>
      </c>
      <c r="Q67" s="126"/>
      <c r="R67" s="127">
        <f t="shared" si="2"/>
        <v>0</v>
      </c>
      <c r="T67" s="128">
        <f t="shared" si="21"/>
        <v>0</v>
      </c>
      <c r="U67" s="129" t="str">
        <f>IFERROR(VLOOKUP($S67,References!$B$3:$C$7,2,FALSE),"")</f>
        <v/>
      </c>
      <c r="V67" s="129" t="str">
        <f t="shared" si="23"/>
        <v/>
      </c>
      <c r="W67" s="74" t="str">
        <f>IFERROR(VLOOKUP($O67,'Customer List'!$A$1:$J$488,10,FALSE),"")</f>
        <v/>
      </c>
      <c r="Y67"/>
      <c r="Z67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</row>
    <row r="68" spans="1:205">
      <c r="A68" s="125" t="str">
        <f t="shared" si="0"/>
        <v/>
      </c>
      <c r="B68" s="256"/>
      <c r="C68" s="256"/>
      <c r="D68" s="256"/>
      <c r="E68" s="256"/>
      <c r="F68" s="256"/>
      <c r="G68" s="256"/>
      <c r="H68" s="256"/>
      <c r="I68" s="256"/>
      <c r="J68" s="256"/>
      <c r="K68" s="257"/>
      <c r="L68" s="257"/>
      <c r="M68" s="257"/>
      <c r="N68" s="256"/>
      <c r="O68" s="256"/>
      <c r="P68" s="126">
        <f t="shared" si="1"/>
        <v>0</v>
      </c>
      <c r="Q68" s="126"/>
      <c r="R68" s="127">
        <f t="shared" si="2"/>
        <v>0</v>
      </c>
      <c r="T68" s="128">
        <f t="shared" si="21"/>
        <v>0</v>
      </c>
      <c r="U68" s="129" t="str">
        <f>IFERROR(VLOOKUP($S68,References!$B$3:$C$7,2,FALSE),"")</f>
        <v/>
      </c>
      <c r="V68" s="129" t="str">
        <f t="shared" si="23"/>
        <v/>
      </c>
      <c r="W68" s="74" t="str">
        <f>IFERROR(VLOOKUP($O68,'Customer List'!$A$1:$J$488,10,FALSE),"")</f>
        <v/>
      </c>
      <c r="Y68"/>
      <c r="Z68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</row>
    <row r="69" spans="1:205">
      <c r="A69" s="125" t="str">
        <f t="shared" si="0"/>
        <v/>
      </c>
      <c r="B69" s="256"/>
      <c r="C69" s="256"/>
      <c r="D69" s="256"/>
      <c r="E69" s="256"/>
      <c r="F69" s="256"/>
      <c r="G69" s="256"/>
      <c r="H69" s="256"/>
      <c r="I69" s="256"/>
      <c r="J69" s="256"/>
      <c r="K69" s="257"/>
      <c r="L69" s="257"/>
      <c r="M69" s="257"/>
      <c r="N69" s="256"/>
      <c r="O69" s="256"/>
      <c r="P69" s="126">
        <f t="shared" si="1"/>
        <v>0</v>
      </c>
      <c r="Q69" s="126"/>
      <c r="R69" s="127">
        <f t="shared" si="2"/>
        <v>0</v>
      </c>
      <c r="T69" s="128">
        <f t="shared" si="21"/>
        <v>0</v>
      </c>
      <c r="U69" s="129" t="str">
        <f>IFERROR(VLOOKUP($S69,References!$B$3:$C$7,2,FALSE),"")</f>
        <v/>
      </c>
      <c r="V69" s="129" t="str">
        <f t="shared" si="23"/>
        <v/>
      </c>
      <c r="W69" s="74" t="str">
        <f>IFERROR(VLOOKUP($O69,'Customer List'!$A$1:$J$488,10,FALSE),"")</f>
        <v/>
      </c>
      <c r="Y69"/>
      <c r="Z69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</row>
    <row r="70" spans="1:205">
      <c r="A70" s="125" t="str">
        <f t="shared" si="0"/>
        <v/>
      </c>
      <c r="B70" s="256"/>
      <c r="C70" s="256"/>
      <c r="D70" s="256"/>
      <c r="E70" s="256"/>
      <c r="F70" s="256"/>
      <c r="G70" s="256"/>
      <c r="H70" s="256"/>
      <c r="I70" s="256"/>
      <c r="J70" s="256"/>
      <c r="K70" s="257"/>
      <c r="L70" s="257"/>
      <c r="M70" s="257"/>
      <c r="N70" s="256"/>
      <c r="O70" s="256"/>
      <c r="P70" s="126">
        <f t="shared" si="1"/>
        <v>0</v>
      </c>
      <c r="Q70" s="126"/>
      <c r="R70" s="127">
        <f t="shared" si="2"/>
        <v>0</v>
      </c>
      <c r="T70" s="128">
        <f t="shared" si="21"/>
        <v>0</v>
      </c>
      <c r="U70" s="129" t="str">
        <f>IFERROR(VLOOKUP($S70,References!$B$3:$C$7,2,FALSE),"")</f>
        <v/>
      </c>
      <c r="V70" s="129" t="str">
        <f t="shared" si="23"/>
        <v/>
      </c>
      <c r="W70" s="74" t="str">
        <f>IFERROR(VLOOKUP($O70,'Customer List'!$A$1:$J$488,10,FALSE),"")</f>
        <v/>
      </c>
      <c r="Y70"/>
      <c r="Z70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</row>
    <row r="71" spans="1:205">
      <c r="A71" s="125" t="str">
        <f t="shared" si="0"/>
        <v/>
      </c>
      <c r="B71" s="256"/>
      <c r="C71" s="256"/>
      <c r="D71" s="256"/>
      <c r="E71" s="256"/>
      <c r="F71" s="256"/>
      <c r="G71" s="256"/>
      <c r="H71" s="256"/>
      <c r="I71" s="256"/>
      <c r="J71" s="256"/>
      <c r="K71" s="257"/>
      <c r="L71" s="257"/>
      <c r="M71" s="257"/>
      <c r="N71" s="256"/>
      <c r="O71" s="256"/>
      <c r="P71" s="126">
        <f t="shared" si="1"/>
        <v>0</v>
      </c>
      <c r="Q71" s="126"/>
      <c r="R71" s="127">
        <f t="shared" si="2"/>
        <v>0</v>
      </c>
      <c r="T71" s="128">
        <f t="shared" si="21"/>
        <v>0</v>
      </c>
      <c r="U71" s="129" t="str">
        <f>IFERROR(VLOOKUP($S71,References!$B$3:$C$7,2,FALSE),"")</f>
        <v/>
      </c>
      <c r="V71" s="129" t="str">
        <f t="shared" si="23"/>
        <v/>
      </c>
      <c r="W71" s="74" t="str">
        <f>IFERROR(VLOOKUP($O71,'Customer List'!$A$1:$J$488,10,FALSE),"")</f>
        <v/>
      </c>
      <c r="Y71"/>
      <c r="Z71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</row>
    <row r="72" spans="1:205">
      <c r="A72" s="125" t="str">
        <f t="shared" si="0"/>
        <v/>
      </c>
      <c r="B72" s="256"/>
      <c r="C72" s="256"/>
      <c r="D72" s="256"/>
      <c r="E72" s="256"/>
      <c r="F72" s="256"/>
      <c r="G72" s="256"/>
      <c r="H72" s="256"/>
      <c r="I72" s="256"/>
      <c r="J72" s="256"/>
      <c r="K72" s="257"/>
      <c r="L72" s="257"/>
      <c r="M72" s="257"/>
      <c r="N72" s="256"/>
      <c r="O72" s="256"/>
      <c r="P72" s="126">
        <f t="shared" si="1"/>
        <v>0</v>
      </c>
      <c r="Q72" s="126"/>
      <c r="R72" s="127">
        <f t="shared" si="2"/>
        <v>0</v>
      </c>
      <c r="T72" s="128">
        <f t="shared" si="21"/>
        <v>0</v>
      </c>
      <c r="U72" s="129" t="str">
        <f>IFERROR(VLOOKUP($S72,References!$B$3:$C$7,2,FALSE),"")</f>
        <v/>
      </c>
      <c r="V72" s="129" t="str">
        <f t="shared" si="23"/>
        <v/>
      </c>
      <c r="W72" s="74" t="str">
        <f>IFERROR(VLOOKUP($O72,'Customer List'!$A$1:$J$488,10,FALSE),"")</f>
        <v/>
      </c>
      <c r="Y72"/>
      <c r="Z72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</row>
    <row r="73" spans="1:205">
      <c r="A73" s="125" t="str">
        <f t="shared" ref="A73:A136" si="24">O73&amp;S73</f>
        <v/>
      </c>
      <c r="B73" s="256"/>
      <c r="C73" s="256"/>
      <c r="D73" s="256"/>
      <c r="E73" s="256"/>
      <c r="F73" s="256"/>
      <c r="G73" s="256"/>
      <c r="H73" s="256"/>
      <c r="I73" s="256"/>
      <c r="J73" s="256"/>
      <c r="K73" s="257"/>
      <c r="L73" s="257"/>
      <c r="M73" s="257"/>
      <c r="N73" s="256"/>
      <c r="O73" s="256"/>
      <c r="P73" s="126">
        <f t="shared" ref="P73:P136" si="25">INT(L73)</f>
        <v>0</v>
      </c>
      <c r="Q73" s="126"/>
      <c r="R73" s="127">
        <f t="shared" ref="R73:R136" si="26">L73-K73</f>
        <v>0</v>
      </c>
      <c r="T73" s="128">
        <f t="shared" ref="T73:T136" si="27">IF(S73="50 - Cleaning Fee",1,HOUR($R73)+MINUTE(R73)/60)</f>
        <v>0</v>
      </c>
      <c r="U73" s="129" t="str">
        <f>IFERROR(VLOOKUP($S73,References!$B$3:$C$7,2,FALSE),"")</f>
        <v/>
      </c>
      <c r="V73" s="129" t="str">
        <f t="shared" ref="V73:V136" si="28">IF(T73&gt;=8,400,(IFERROR(T73*U73,"")))</f>
        <v/>
      </c>
      <c r="W73" s="74" t="str">
        <f>IFERROR(VLOOKUP($O73,'Customer List'!$A$1:$J$488,10,FALSE),"")</f>
        <v/>
      </c>
      <c r="Y73"/>
      <c r="Z73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</row>
    <row r="74" spans="1:205">
      <c r="A74" s="125" t="str">
        <f t="shared" si="24"/>
        <v/>
      </c>
      <c r="B74" s="256"/>
      <c r="C74" s="256"/>
      <c r="D74" s="256"/>
      <c r="E74" s="256"/>
      <c r="F74" s="256"/>
      <c r="G74" s="256"/>
      <c r="H74" s="256"/>
      <c r="I74" s="256"/>
      <c r="J74" s="256"/>
      <c r="K74" s="257"/>
      <c r="L74" s="257"/>
      <c r="M74" s="257"/>
      <c r="N74" s="256"/>
      <c r="O74" s="256"/>
      <c r="P74" s="126">
        <f t="shared" si="25"/>
        <v>0</v>
      </c>
      <c r="Q74" s="126"/>
      <c r="R74" s="127">
        <f t="shared" si="26"/>
        <v>0</v>
      </c>
      <c r="T74" s="128">
        <f t="shared" si="27"/>
        <v>0</v>
      </c>
      <c r="U74" s="129" t="str">
        <f>IFERROR(VLOOKUP($S74,References!$B$3:$C$7,2,FALSE),"")</f>
        <v/>
      </c>
      <c r="V74" s="129" t="str">
        <f t="shared" si="28"/>
        <v/>
      </c>
      <c r="W74" s="74" t="str">
        <f>IFERROR(VLOOKUP($O74,'Customer List'!$A$1:$J$488,10,FALSE),"")</f>
        <v/>
      </c>
      <c r="Y74"/>
      <c r="Z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</row>
    <row r="75" spans="1:205">
      <c r="A75" s="125" t="str">
        <f t="shared" si="24"/>
        <v/>
      </c>
      <c r="B75" s="256"/>
      <c r="C75" s="256"/>
      <c r="D75" s="256"/>
      <c r="E75" s="256"/>
      <c r="F75" s="256"/>
      <c r="G75" s="256"/>
      <c r="H75" s="256"/>
      <c r="I75" s="256"/>
      <c r="J75" s="256"/>
      <c r="K75" s="257"/>
      <c r="L75" s="257"/>
      <c r="M75" s="257"/>
      <c r="N75" s="256"/>
      <c r="O75" s="256"/>
      <c r="P75" s="126">
        <f t="shared" si="25"/>
        <v>0</v>
      </c>
      <c r="Q75" s="126"/>
      <c r="R75" s="127">
        <f t="shared" si="26"/>
        <v>0</v>
      </c>
      <c r="T75" s="128">
        <f t="shared" si="27"/>
        <v>0</v>
      </c>
      <c r="U75" s="129" t="str">
        <f>IFERROR(VLOOKUP($S75,References!$B$3:$C$7,2,FALSE),"")</f>
        <v/>
      </c>
      <c r="V75" s="129" t="str">
        <f t="shared" si="28"/>
        <v/>
      </c>
      <c r="W75" s="74" t="str">
        <f>IFERROR(VLOOKUP($O75,'Customer List'!$A$1:$J$488,10,FALSE),"")</f>
        <v/>
      </c>
      <c r="Y75"/>
      <c r="Z75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</row>
    <row r="76" spans="1:205">
      <c r="A76" s="125" t="str">
        <f t="shared" si="24"/>
        <v/>
      </c>
      <c r="B76" s="256"/>
      <c r="C76" s="256"/>
      <c r="D76" s="256"/>
      <c r="E76" s="256"/>
      <c r="F76" s="256"/>
      <c r="G76" s="256"/>
      <c r="H76" s="256"/>
      <c r="I76" s="256"/>
      <c r="J76" s="256"/>
      <c r="K76" s="257"/>
      <c r="L76" s="257"/>
      <c r="M76" s="257"/>
      <c r="N76" s="256"/>
      <c r="O76" s="256"/>
      <c r="P76" s="126">
        <f t="shared" si="25"/>
        <v>0</v>
      </c>
      <c r="Q76" s="126"/>
      <c r="R76" s="127">
        <f t="shared" si="26"/>
        <v>0</v>
      </c>
      <c r="T76" s="128">
        <f t="shared" si="27"/>
        <v>0</v>
      </c>
      <c r="U76" s="129" t="str">
        <f>IFERROR(VLOOKUP($S76,References!$B$3:$C$7,2,FALSE),"")</f>
        <v/>
      </c>
      <c r="V76" s="129" t="str">
        <f t="shared" si="28"/>
        <v/>
      </c>
      <c r="W76" s="74" t="str">
        <f>IFERROR(VLOOKUP($O76,'Customer List'!$A$1:$J$488,10,FALSE),"")</f>
        <v/>
      </c>
      <c r="Y76"/>
      <c r="Z76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</row>
    <row r="77" spans="1:205" s="122" customFormat="1">
      <c r="A77" s="125" t="str">
        <f t="shared" si="24"/>
        <v/>
      </c>
      <c r="B77" s="256"/>
      <c r="C77" s="256"/>
      <c r="D77" s="256"/>
      <c r="E77" s="256"/>
      <c r="F77" s="256"/>
      <c r="G77" s="256"/>
      <c r="H77" s="256"/>
      <c r="I77" s="256"/>
      <c r="J77" s="256"/>
      <c r="K77" s="257"/>
      <c r="L77" s="257"/>
      <c r="M77" s="257"/>
      <c r="N77" s="256"/>
      <c r="O77" s="256"/>
      <c r="P77" s="126">
        <f t="shared" si="25"/>
        <v>0</v>
      </c>
      <c r="Q77" s="126"/>
      <c r="R77" s="127">
        <f t="shared" si="26"/>
        <v>0</v>
      </c>
      <c r="T77" s="128">
        <f t="shared" si="27"/>
        <v>0</v>
      </c>
      <c r="U77" s="129" t="str">
        <f>IFERROR(VLOOKUP($S77,References!$B$3:$C$7,2,FALSE),"")</f>
        <v/>
      </c>
      <c r="V77" s="129" t="str">
        <f t="shared" si="28"/>
        <v/>
      </c>
      <c r="W77" s="74" t="str">
        <f>IFERROR(VLOOKUP($O77,'Customer List'!$A$1:$J$488,10,FALSE),"")</f>
        <v/>
      </c>
      <c r="X77" s="123"/>
      <c r="Y77"/>
      <c r="Z77"/>
      <c r="AA77" s="132"/>
      <c r="AB77" s="132"/>
      <c r="AC77" s="132"/>
      <c r="AD77" s="132"/>
      <c r="AE77" s="132"/>
      <c r="AF77" s="132"/>
      <c r="AG77" s="132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2"/>
      <c r="CI77" s="132"/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/>
      <c r="CU77" s="132"/>
      <c r="CV77" s="132"/>
      <c r="CW77" s="132"/>
      <c r="CX77" s="132"/>
      <c r="CY77" s="132"/>
      <c r="CZ77" s="132"/>
      <c r="DA77" s="132"/>
      <c r="DB77" s="132"/>
      <c r="DC77" s="132"/>
      <c r="DD77" s="132"/>
      <c r="DE77" s="132"/>
      <c r="DF77" s="132"/>
      <c r="DG77" s="132"/>
      <c r="DH77" s="132"/>
      <c r="DI77" s="132"/>
      <c r="DJ77" s="132"/>
      <c r="DK77" s="132"/>
      <c r="DL77" s="132"/>
      <c r="DM77" s="132"/>
      <c r="DN77" s="132"/>
      <c r="DO77" s="132"/>
      <c r="DP77" s="132"/>
      <c r="DQ77" s="132"/>
      <c r="DR77" s="132"/>
      <c r="DS77" s="132"/>
      <c r="DT77" s="132"/>
      <c r="DU77" s="132"/>
      <c r="DV77" s="132"/>
      <c r="DW77" s="132"/>
      <c r="DX77" s="132"/>
      <c r="DY77" s="132"/>
      <c r="DZ77" s="132"/>
      <c r="EA77" s="132"/>
      <c r="EB77" s="132"/>
      <c r="EC77" s="132"/>
      <c r="ED77" s="132"/>
      <c r="EE77" s="132"/>
      <c r="EF77" s="132"/>
      <c r="EG77" s="132"/>
      <c r="EH77" s="132"/>
      <c r="EI77" s="132"/>
      <c r="EJ77" s="132"/>
      <c r="EK77" s="132"/>
      <c r="EL77" s="132"/>
      <c r="EM77" s="132"/>
      <c r="EN77" s="132"/>
      <c r="EO77" s="132"/>
      <c r="EP77" s="132"/>
      <c r="EQ77" s="132"/>
      <c r="ER77" s="132"/>
      <c r="ES77" s="132"/>
      <c r="ET77" s="132"/>
      <c r="EU77" s="132"/>
      <c r="EV77" s="132"/>
      <c r="EW77" s="132"/>
      <c r="EX77" s="132"/>
      <c r="EY77" s="132"/>
      <c r="EZ77" s="132"/>
      <c r="FA77" s="132"/>
      <c r="FB77" s="132"/>
      <c r="FC77" s="132"/>
      <c r="FD77" s="132"/>
      <c r="FE77" s="132"/>
      <c r="FF77" s="132"/>
      <c r="FG77" s="132"/>
      <c r="FH77" s="132"/>
      <c r="FI77" s="132"/>
      <c r="FJ77" s="132"/>
      <c r="FK77" s="132"/>
      <c r="FL77" s="132"/>
      <c r="FM77" s="132"/>
      <c r="FN77" s="132"/>
      <c r="FO77" s="132"/>
      <c r="FP77" s="132"/>
      <c r="FQ77" s="132"/>
      <c r="FR77" s="132"/>
      <c r="FS77" s="132"/>
      <c r="FT77" s="132"/>
      <c r="FU77" s="132"/>
      <c r="FV77" s="132"/>
      <c r="FW77" s="132"/>
      <c r="FX77" s="132"/>
      <c r="FY77" s="132"/>
      <c r="FZ77" s="132"/>
      <c r="GA77" s="132"/>
      <c r="GB77" s="132"/>
      <c r="GC77" s="132"/>
      <c r="GD77" s="132"/>
      <c r="GE77" s="132"/>
      <c r="GF77" s="132"/>
      <c r="GG77" s="132"/>
      <c r="GH77" s="132"/>
      <c r="GI77" s="132"/>
      <c r="GJ77" s="132"/>
      <c r="GK77" s="132"/>
      <c r="GL77" s="132"/>
      <c r="GM77" s="132"/>
      <c r="GN77" s="132"/>
      <c r="GO77" s="132"/>
      <c r="GP77" s="132"/>
      <c r="GQ77" s="132"/>
      <c r="GR77" s="132"/>
      <c r="GS77" s="132"/>
      <c r="GT77" s="132"/>
      <c r="GU77" s="132"/>
      <c r="GV77" s="132"/>
      <c r="GW77" s="132"/>
    </row>
    <row r="78" spans="1:205">
      <c r="A78" s="125" t="str">
        <f t="shared" si="24"/>
        <v/>
      </c>
      <c r="B78" s="256"/>
      <c r="C78" s="256"/>
      <c r="D78" s="256"/>
      <c r="E78" s="256"/>
      <c r="F78" s="256"/>
      <c r="G78" s="256"/>
      <c r="H78" s="256"/>
      <c r="I78" s="256"/>
      <c r="J78" s="256"/>
      <c r="K78" s="257"/>
      <c r="L78" s="257"/>
      <c r="M78" s="256"/>
      <c r="N78" s="256"/>
      <c r="O78" s="256"/>
      <c r="P78" s="126">
        <f t="shared" si="25"/>
        <v>0</v>
      </c>
      <c r="Q78" s="126"/>
      <c r="R78" s="127">
        <f t="shared" si="26"/>
        <v>0</v>
      </c>
      <c r="T78" s="128">
        <f t="shared" si="27"/>
        <v>0</v>
      </c>
      <c r="U78" s="129" t="str">
        <f>IFERROR(VLOOKUP($S78,References!$B$3:$C$7,2,FALSE),"")</f>
        <v/>
      </c>
      <c r="V78" s="129" t="str">
        <f t="shared" si="28"/>
        <v/>
      </c>
      <c r="W78" s="74" t="str">
        <f>IFERROR(VLOOKUP($O78,'Customer List'!$A$1:$J$488,10,FALSE),"")</f>
        <v/>
      </c>
      <c r="Y78"/>
      <c r="Z78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</row>
    <row r="79" spans="1:205">
      <c r="A79" s="125" t="str">
        <f t="shared" si="24"/>
        <v/>
      </c>
      <c r="B79" s="256"/>
      <c r="C79" s="256"/>
      <c r="D79" s="256"/>
      <c r="E79" s="256"/>
      <c r="F79" s="256"/>
      <c r="G79" s="256"/>
      <c r="H79" s="256"/>
      <c r="I79" s="256"/>
      <c r="J79" s="256"/>
      <c r="K79" s="257"/>
      <c r="L79" s="257"/>
      <c r="M79" s="256"/>
      <c r="N79" s="256"/>
      <c r="O79" s="256"/>
      <c r="P79" s="126">
        <f t="shared" si="25"/>
        <v>0</v>
      </c>
      <c r="Q79" s="126"/>
      <c r="R79" s="127">
        <f t="shared" si="26"/>
        <v>0</v>
      </c>
      <c r="T79" s="128">
        <f t="shared" si="27"/>
        <v>0</v>
      </c>
      <c r="U79" s="129" t="str">
        <f>IFERROR(VLOOKUP($S79,References!$B$3:$C$7,2,FALSE),"")</f>
        <v/>
      </c>
      <c r="V79" s="129" t="str">
        <f t="shared" si="28"/>
        <v/>
      </c>
      <c r="W79" s="74" t="str">
        <f>IFERROR(VLOOKUP($O79,'Customer List'!$A$1:$J$488,10,FALSE),"")</f>
        <v/>
      </c>
      <c r="Y79"/>
      <c r="Z79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</row>
    <row r="80" spans="1:205">
      <c r="A80" s="125" t="str">
        <f t="shared" si="24"/>
        <v/>
      </c>
      <c r="B80" s="256"/>
      <c r="C80" s="256"/>
      <c r="D80" s="256"/>
      <c r="E80" s="256"/>
      <c r="F80" s="256"/>
      <c r="G80" s="256"/>
      <c r="H80" s="256"/>
      <c r="I80" s="256"/>
      <c r="J80" s="256"/>
      <c r="K80" s="257"/>
      <c r="L80" s="257"/>
      <c r="M80" s="257"/>
      <c r="N80" s="256"/>
      <c r="O80" s="256"/>
      <c r="P80" s="126">
        <f t="shared" si="25"/>
        <v>0</v>
      </c>
      <c r="Q80" s="126"/>
      <c r="R80" s="127">
        <f t="shared" si="26"/>
        <v>0</v>
      </c>
      <c r="T80" s="128">
        <f t="shared" si="27"/>
        <v>0</v>
      </c>
      <c r="U80" s="129" t="str">
        <f>IFERROR(VLOOKUP($S80,References!$B$3:$C$7,2,FALSE),"")</f>
        <v/>
      </c>
      <c r="V80" s="129" t="str">
        <f t="shared" si="28"/>
        <v/>
      </c>
      <c r="W80" s="74" t="str">
        <f>IFERROR(VLOOKUP($O80,'Customer List'!$A$1:$J$488,10,FALSE),"")</f>
        <v/>
      </c>
      <c r="X80" s="132"/>
      <c r="Y80"/>
      <c r="Z80"/>
      <c r="AH80" s="74"/>
      <c r="AI80" s="74"/>
      <c r="AJ80" s="74"/>
      <c r="AK80" s="74"/>
      <c r="AL80" s="74"/>
      <c r="AM80" s="74"/>
      <c r="AN80" s="74"/>
      <c r="AO80" s="74"/>
      <c r="AP80" s="74"/>
    </row>
    <row r="81" spans="1:34">
      <c r="A81" s="125" t="str">
        <f t="shared" si="24"/>
        <v/>
      </c>
      <c r="B81" s="256"/>
      <c r="C81" s="256"/>
      <c r="D81" s="256"/>
      <c r="E81" s="256"/>
      <c r="F81" s="256"/>
      <c r="G81" s="256"/>
      <c r="H81" s="256"/>
      <c r="I81" s="256"/>
      <c r="J81" s="256"/>
      <c r="K81" s="257"/>
      <c r="L81" s="257"/>
      <c r="M81" s="257"/>
      <c r="N81" s="256"/>
      <c r="O81" s="256"/>
      <c r="P81" s="126">
        <f t="shared" si="25"/>
        <v>0</v>
      </c>
      <c r="Q81" s="126"/>
      <c r="R81" s="127">
        <f t="shared" si="26"/>
        <v>0</v>
      </c>
      <c r="T81" s="128">
        <f t="shared" si="27"/>
        <v>0</v>
      </c>
      <c r="U81" s="129" t="str">
        <f>IFERROR(VLOOKUP($S81,References!$B$3:$C$7,2,FALSE),"")</f>
        <v/>
      </c>
      <c r="V81" s="129" t="str">
        <f t="shared" si="28"/>
        <v/>
      </c>
      <c r="W81" s="74" t="str">
        <f>IFERROR(VLOOKUP($O81,'Customer List'!$A$1:$J$488,10,FALSE),"")</f>
        <v/>
      </c>
      <c r="Y81"/>
      <c r="Z81"/>
      <c r="AH81" s="74"/>
    </row>
    <row r="82" spans="1:34">
      <c r="A82" s="125" t="str">
        <f t="shared" si="24"/>
        <v/>
      </c>
      <c r="B82" s="256"/>
      <c r="C82" s="256"/>
      <c r="D82" s="256"/>
      <c r="E82" s="256"/>
      <c r="F82" s="256"/>
      <c r="G82" s="256"/>
      <c r="H82" s="256"/>
      <c r="I82" s="256"/>
      <c r="J82" s="256"/>
      <c r="K82" s="257"/>
      <c r="L82" s="257"/>
      <c r="M82" s="257"/>
      <c r="N82" s="256"/>
      <c r="O82" s="256"/>
      <c r="P82" s="126">
        <f t="shared" si="25"/>
        <v>0</v>
      </c>
      <c r="Q82" s="126"/>
      <c r="R82" s="127">
        <f t="shared" si="26"/>
        <v>0</v>
      </c>
      <c r="T82" s="128">
        <f t="shared" si="27"/>
        <v>0</v>
      </c>
      <c r="U82" s="129" t="str">
        <f>IFERROR(VLOOKUP($S82,References!$B$3:$C$7,2,FALSE),"")</f>
        <v/>
      </c>
      <c r="V82" s="129" t="str">
        <f t="shared" si="28"/>
        <v/>
      </c>
      <c r="W82" s="74" t="str">
        <f>IFERROR(VLOOKUP($O82,'Customer List'!$A$1:$J$488,10,FALSE),"")</f>
        <v/>
      </c>
      <c r="Y82"/>
      <c r="Z82"/>
      <c r="AH82" s="74"/>
    </row>
    <row r="83" spans="1:34">
      <c r="A83" s="125" t="str">
        <f t="shared" si="24"/>
        <v/>
      </c>
      <c r="B83" s="256"/>
      <c r="C83" s="256"/>
      <c r="D83" s="256"/>
      <c r="E83" s="256"/>
      <c r="F83" s="256"/>
      <c r="G83" s="256"/>
      <c r="H83" s="256"/>
      <c r="I83" s="256"/>
      <c r="J83" s="256"/>
      <c r="K83" s="257"/>
      <c r="L83" s="257"/>
      <c r="M83" s="257"/>
      <c r="N83" s="256"/>
      <c r="O83" s="256"/>
      <c r="P83" s="126">
        <f t="shared" si="25"/>
        <v>0</v>
      </c>
      <c r="Q83" s="126"/>
      <c r="R83" s="127">
        <f t="shared" si="26"/>
        <v>0</v>
      </c>
      <c r="T83" s="128">
        <f t="shared" si="27"/>
        <v>0</v>
      </c>
      <c r="U83" s="129" t="str">
        <f>IFERROR(VLOOKUP($S83,References!$B$3:$C$7,2,FALSE),"")</f>
        <v/>
      </c>
      <c r="V83" s="129" t="str">
        <f t="shared" si="28"/>
        <v/>
      </c>
      <c r="W83" s="74" t="str">
        <f>IFERROR(VLOOKUP($O83,'Customer List'!$A$1:$J$488,10,FALSE),"")</f>
        <v/>
      </c>
      <c r="Y83"/>
      <c r="Z83"/>
      <c r="AH83" s="74"/>
    </row>
    <row r="84" spans="1:34">
      <c r="A84" s="125" t="str">
        <f t="shared" si="24"/>
        <v/>
      </c>
      <c r="B84" s="256"/>
      <c r="C84" s="256"/>
      <c r="D84" s="256"/>
      <c r="E84" s="256"/>
      <c r="F84" s="256"/>
      <c r="G84" s="256"/>
      <c r="H84" s="256"/>
      <c r="I84" s="256"/>
      <c r="J84" s="256"/>
      <c r="K84" s="257"/>
      <c r="L84" s="257"/>
      <c r="M84" s="257"/>
      <c r="N84" s="256"/>
      <c r="O84" s="256"/>
      <c r="P84" s="126">
        <f t="shared" si="25"/>
        <v>0</v>
      </c>
      <c r="Q84" s="126"/>
      <c r="R84" s="127">
        <f t="shared" si="26"/>
        <v>0</v>
      </c>
      <c r="T84" s="128">
        <f t="shared" si="27"/>
        <v>0</v>
      </c>
      <c r="U84" s="129" t="str">
        <f>IFERROR(VLOOKUP($S84,References!$B$3:$C$7,2,FALSE),"")</f>
        <v/>
      </c>
      <c r="V84" s="129" t="str">
        <f t="shared" si="28"/>
        <v/>
      </c>
      <c r="W84" s="74" t="str">
        <f>IFERROR(VLOOKUP($O84,'Customer List'!$A$1:$J$488,10,FALSE),"")</f>
        <v/>
      </c>
      <c r="Y84"/>
      <c r="Z84"/>
      <c r="AH84" s="74"/>
    </row>
    <row r="85" spans="1:34">
      <c r="A85" s="125" t="str">
        <f t="shared" si="24"/>
        <v/>
      </c>
      <c r="B85" s="256"/>
      <c r="C85" s="256"/>
      <c r="D85" s="256"/>
      <c r="E85" s="256"/>
      <c r="F85" s="256"/>
      <c r="G85" s="256"/>
      <c r="H85" s="256"/>
      <c r="I85" s="256"/>
      <c r="J85" s="256"/>
      <c r="K85" s="257"/>
      <c r="L85" s="257"/>
      <c r="M85" s="257"/>
      <c r="N85" s="256"/>
      <c r="O85" s="256"/>
      <c r="P85" s="126">
        <f t="shared" si="25"/>
        <v>0</v>
      </c>
      <c r="Q85" s="126"/>
      <c r="R85" s="127">
        <f t="shared" si="26"/>
        <v>0</v>
      </c>
      <c r="T85" s="128">
        <f t="shared" si="27"/>
        <v>0</v>
      </c>
      <c r="U85" s="129" t="str">
        <f>IFERROR(VLOOKUP($S85,References!$B$3:$C$7,2,FALSE),"")</f>
        <v/>
      </c>
      <c r="V85" s="129" t="str">
        <f t="shared" si="28"/>
        <v/>
      </c>
      <c r="W85" s="74" t="str">
        <f>IFERROR(VLOOKUP($O85,'Customer List'!$A$1:$J$488,10,FALSE),"")</f>
        <v/>
      </c>
      <c r="Y85"/>
      <c r="Z85"/>
      <c r="AH85" s="74"/>
    </row>
    <row r="86" spans="1:34">
      <c r="A86" s="125" t="str">
        <f t="shared" si="24"/>
        <v/>
      </c>
      <c r="B86" s="256"/>
      <c r="C86" s="256"/>
      <c r="D86" s="256"/>
      <c r="E86" s="256"/>
      <c r="F86" s="256"/>
      <c r="G86" s="256"/>
      <c r="H86" s="256"/>
      <c r="I86" s="256"/>
      <c r="J86" s="256"/>
      <c r="K86" s="257"/>
      <c r="L86" s="257"/>
      <c r="M86" s="257"/>
      <c r="N86" s="256"/>
      <c r="O86" s="256"/>
      <c r="P86" s="126">
        <f t="shared" si="25"/>
        <v>0</v>
      </c>
      <c r="Q86" s="126"/>
      <c r="R86" s="127">
        <f t="shared" si="26"/>
        <v>0</v>
      </c>
      <c r="T86" s="128">
        <f t="shared" si="27"/>
        <v>0</v>
      </c>
      <c r="U86" s="129" t="str">
        <f>IFERROR(VLOOKUP($S86,References!$B$3:$C$7,2,FALSE),"")</f>
        <v/>
      </c>
      <c r="V86" s="129" t="str">
        <f t="shared" si="28"/>
        <v/>
      </c>
      <c r="W86" s="74" t="str">
        <f>IFERROR(VLOOKUP($O86,'Customer List'!$A$1:$J$488,10,FALSE),"")</f>
        <v/>
      </c>
      <c r="Y86" s="74"/>
      <c r="Z86" s="74"/>
      <c r="AH86" s="74"/>
    </row>
    <row r="87" spans="1:34">
      <c r="A87" s="125" t="str">
        <f t="shared" si="24"/>
        <v/>
      </c>
      <c r="B87" s="256"/>
      <c r="C87" s="256"/>
      <c r="D87" s="256"/>
      <c r="E87" s="256"/>
      <c r="F87" s="256"/>
      <c r="G87" s="256"/>
      <c r="H87" s="256"/>
      <c r="I87" s="256"/>
      <c r="J87" s="256"/>
      <c r="K87" s="257"/>
      <c r="L87" s="257"/>
      <c r="M87" s="257"/>
      <c r="N87" s="256"/>
      <c r="O87" s="256"/>
      <c r="P87" s="126">
        <f t="shared" si="25"/>
        <v>0</v>
      </c>
      <c r="Q87" s="126"/>
      <c r="R87" s="127">
        <f t="shared" si="26"/>
        <v>0</v>
      </c>
      <c r="T87" s="128">
        <f t="shared" si="27"/>
        <v>0</v>
      </c>
      <c r="U87" s="129" t="str">
        <f>IFERROR(VLOOKUP($S87,References!$B$3:$C$7,2,FALSE),"")</f>
        <v/>
      </c>
      <c r="V87" s="129" t="str">
        <f t="shared" si="28"/>
        <v/>
      </c>
      <c r="W87" s="74" t="str">
        <f>IFERROR(VLOOKUP($O87,'Customer List'!$A$1:$J$488,10,FALSE),"")</f>
        <v/>
      </c>
      <c r="Y87" s="74"/>
      <c r="Z87" s="74"/>
      <c r="AH87" s="74"/>
    </row>
    <row r="88" spans="1:34">
      <c r="A88" s="125" t="str">
        <f t="shared" si="24"/>
        <v/>
      </c>
      <c r="B88" s="256"/>
      <c r="C88" s="256"/>
      <c r="D88" s="256"/>
      <c r="E88" s="256"/>
      <c r="F88" s="256"/>
      <c r="G88" s="256"/>
      <c r="H88" s="256"/>
      <c r="I88" s="256"/>
      <c r="J88" s="256"/>
      <c r="K88" s="257"/>
      <c r="L88" s="257"/>
      <c r="M88" s="257"/>
      <c r="N88" s="256"/>
      <c r="O88" s="256"/>
      <c r="P88" s="126">
        <f t="shared" si="25"/>
        <v>0</v>
      </c>
      <c r="Q88" s="126"/>
      <c r="R88" s="127">
        <f t="shared" si="26"/>
        <v>0</v>
      </c>
      <c r="T88" s="128">
        <f t="shared" si="27"/>
        <v>0</v>
      </c>
      <c r="U88" s="129" t="str">
        <f>IFERROR(VLOOKUP($S88,References!$B$3:$C$7,2,FALSE),"")</f>
        <v/>
      </c>
      <c r="V88" s="129" t="str">
        <f t="shared" si="28"/>
        <v/>
      </c>
      <c r="W88" s="74" t="str">
        <f>IFERROR(VLOOKUP($O88,'Customer List'!$A$1:$J$488,10,FALSE),"")</f>
        <v/>
      </c>
      <c r="AH88" s="74"/>
    </row>
    <row r="89" spans="1:34">
      <c r="A89" s="125" t="str">
        <f t="shared" si="24"/>
        <v/>
      </c>
      <c r="B89" s="256"/>
      <c r="C89" s="256"/>
      <c r="D89" s="256"/>
      <c r="E89" s="256"/>
      <c r="F89" s="256"/>
      <c r="G89" s="256"/>
      <c r="H89" s="256"/>
      <c r="I89" s="256"/>
      <c r="J89" s="256"/>
      <c r="K89" s="257"/>
      <c r="L89" s="257"/>
      <c r="M89" s="257"/>
      <c r="N89" s="256"/>
      <c r="O89" s="256"/>
      <c r="P89" s="126">
        <f t="shared" si="25"/>
        <v>0</v>
      </c>
      <c r="Q89" s="126"/>
      <c r="R89" s="127">
        <f t="shared" si="26"/>
        <v>0</v>
      </c>
      <c r="T89" s="128">
        <f t="shared" si="27"/>
        <v>0</v>
      </c>
      <c r="U89" s="129" t="str">
        <f>IFERROR(VLOOKUP($S89,References!$B$3:$C$7,2,FALSE),"")</f>
        <v/>
      </c>
      <c r="V89" s="129" t="str">
        <f t="shared" si="28"/>
        <v/>
      </c>
      <c r="W89" s="74" t="str">
        <f>IFERROR(VLOOKUP($O89,'Customer List'!$A$1:$J$488,10,FALSE),"")</f>
        <v/>
      </c>
      <c r="AH89" s="74"/>
    </row>
    <row r="90" spans="1:34">
      <c r="A90" s="125" t="str">
        <f t="shared" si="24"/>
        <v/>
      </c>
      <c r="B90" s="256"/>
      <c r="C90" s="256"/>
      <c r="D90" s="256"/>
      <c r="E90" s="256"/>
      <c r="F90" s="256"/>
      <c r="G90" s="256"/>
      <c r="H90" s="256"/>
      <c r="I90" s="256"/>
      <c r="J90" s="256"/>
      <c r="K90" s="257"/>
      <c r="L90" s="257"/>
      <c r="M90" s="257"/>
      <c r="N90" s="256"/>
      <c r="O90" s="256"/>
      <c r="P90" s="126">
        <f t="shared" si="25"/>
        <v>0</v>
      </c>
      <c r="Q90" s="126"/>
      <c r="R90" s="127">
        <f t="shared" si="26"/>
        <v>0</v>
      </c>
      <c r="T90" s="128">
        <f t="shared" si="27"/>
        <v>0</v>
      </c>
      <c r="U90" s="129" t="str">
        <f>IFERROR(VLOOKUP($S90,References!$B$3:$C$7,2,FALSE),"")</f>
        <v/>
      </c>
      <c r="V90" s="129" t="str">
        <f t="shared" si="28"/>
        <v/>
      </c>
      <c r="W90" s="74" t="str">
        <f>IFERROR(VLOOKUP($O90,'Customer List'!$A$1:$J$488,10,FALSE),"")</f>
        <v/>
      </c>
      <c r="AH90" s="74"/>
    </row>
    <row r="91" spans="1:34">
      <c r="A91" s="125" t="str">
        <f t="shared" si="24"/>
        <v/>
      </c>
      <c r="B91" s="256"/>
      <c r="C91" s="256"/>
      <c r="D91" s="256"/>
      <c r="E91" s="256"/>
      <c r="F91" s="256"/>
      <c r="G91" s="256"/>
      <c r="H91" s="256"/>
      <c r="I91" s="256"/>
      <c r="J91" s="256"/>
      <c r="K91" s="257"/>
      <c r="L91" s="257"/>
      <c r="M91" s="257"/>
      <c r="N91" s="256"/>
      <c r="O91" s="256"/>
      <c r="P91" s="126">
        <f t="shared" si="25"/>
        <v>0</v>
      </c>
      <c r="Q91" s="126"/>
      <c r="R91" s="127">
        <f t="shared" si="26"/>
        <v>0</v>
      </c>
      <c r="T91" s="128">
        <f t="shared" si="27"/>
        <v>0</v>
      </c>
      <c r="U91" s="129" t="str">
        <f>IFERROR(VLOOKUP($S91,References!$B$3:$C$7,2,FALSE),"")</f>
        <v/>
      </c>
      <c r="V91" s="129" t="str">
        <f t="shared" si="28"/>
        <v/>
      </c>
      <c r="W91" s="74" t="str">
        <f>IFERROR(VLOOKUP($O91,'Customer List'!$A$1:$J$488,10,FALSE),"")</f>
        <v/>
      </c>
      <c r="AH91" s="74"/>
    </row>
    <row r="92" spans="1:34">
      <c r="A92" s="125" t="str">
        <f t="shared" si="24"/>
        <v/>
      </c>
      <c r="B92" s="256"/>
      <c r="C92" s="256"/>
      <c r="D92" s="256"/>
      <c r="E92" s="256"/>
      <c r="F92" s="256"/>
      <c r="G92" s="256"/>
      <c r="H92" s="256"/>
      <c r="I92" s="256"/>
      <c r="J92" s="256"/>
      <c r="K92" s="257"/>
      <c r="L92" s="257"/>
      <c r="M92" s="257"/>
      <c r="N92" s="256"/>
      <c r="O92" s="256"/>
      <c r="P92" s="126">
        <f t="shared" si="25"/>
        <v>0</v>
      </c>
      <c r="Q92" s="126"/>
      <c r="R92" s="127">
        <f t="shared" si="26"/>
        <v>0</v>
      </c>
      <c r="T92" s="128">
        <f t="shared" si="27"/>
        <v>0</v>
      </c>
      <c r="U92" s="129" t="str">
        <f>IFERROR(VLOOKUP($S92,References!$B$3:$C$7,2,FALSE),"")</f>
        <v/>
      </c>
      <c r="V92" s="129" t="str">
        <f t="shared" si="28"/>
        <v/>
      </c>
      <c r="W92" s="74" t="str">
        <f>IFERROR(VLOOKUP($O92,'Customer List'!$A$1:$J$488,10,FALSE),"")</f>
        <v/>
      </c>
      <c r="AH92" s="74"/>
    </row>
    <row r="93" spans="1:34">
      <c r="A93" s="125" t="str">
        <f t="shared" si="24"/>
        <v/>
      </c>
      <c r="B93" s="256"/>
      <c r="C93" s="256"/>
      <c r="D93" s="256"/>
      <c r="E93" s="256"/>
      <c r="F93" s="256"/>
      <c r="G93" s="256"/>
      <c r="H93" s="256"/>
      <c r="I93" s="256"/>
      <c r="J93" s="256"/>
      <c r="K93" s="257"/>
      <c r="L93" s="257"/>
      <c r="M93" s="256"/>
      <c r="N93" s="256"/>
      <c r="O93" s="256"/>
      <c r="P93" s="126">
        <f t="shared" si="25"/>
        <v>0</v>
      </c>
      <c r="Q93" s="126"/>
      <c r="R93" s="127">
        <f t="shared" si="26"/>
        <v>0</v>
      </c>
      <c r="T93" s="128">
        <f t="shared" si="27"/>
        <v>0</v>
      </c>
      <c r="U93" s="129" t="str">
        <f>IFERROR(VLOOKUP($S93,References!$B$3:$C$7,2,FALSE),"")</f>
        <v/>
      </c>
      <c r="V93" s="129" t="str">
        <f t="shared" si="28"/>
        <v/>
      </c>
      <c r="W93" s="74" t="str">
        <f>IFERROR(VLOOKUP($O93,'Customer List'!$A$1:$J$488,10,FALSE),"")</f>
        <v/>
      </c>
      <c r="AH93" s="74"/>
    </row>
    <row r="94" spans="1:34">
      <c r="A94" s="125" t="str">
        <f t="shared" si="24"/>
        <v/>
      </c>
      <c r="B94" s="256"/>
      <c r="C94" s="256"/>
      <c r="D94" s="256"/>
      <c r="E94" s="256"/>
      <c r="F94" s="256"/>
      <c r="G94" s="256"/>
      <c r="H94" s="256"/>
      <c r="I94" s="256"/>
      <c r="J94" s="256"/>
      <c r="K94" s="257"/>
      <c r="L94" s="257"/>
      <c r="M94" s="257"/>
      <c r="N94" s="256"/>
      <c r="O94" s="256"/>
      <c r="P94" s="126">
        <f t="shared" si="25"/>
        <v>0</v>
      </c>
      <c r="Q94" s="126"/>
      <c r="R94" s="127">
        <f t="shared" si="26"/>
        <v>0</v>
      </c>
      <c r="T94" s="128">
        <f t="shared" si="27"/>
        <v>0</v>
      </c>
      <c r="U94" s="129" t="str">
        <f>IFERROR(VLOOKUP($S94,References!$B$3:$C$7,2,FALSE),"")</f>
        <v/>
      </c>
      <c r="V94" s="129" t="str">
        <f t="shared" si="28"/>
        <v/>
      </c>
      <c r="W94" s="74" t="str">
        <f>IFERROR(VLOOKUP($O94,'Customer List'!$A$1:$J$488,10,FALSE),"")</f>
        <v/>
      </c>
      <c r="AH94" s="74"/>
    </row>
    <row r="95" spans="1:34">
      <c r="A95" s="125" t="str">
        <f t="shared" si="24"/>
        <v/>
      </c>
      <c r="B95" s="256"/>
      <c r="C95" s="256"/>
      <c r="D95" s="256"/>
      <c r="E95" s="256"/>
      <c r="F95" s="256"/>
      <c r="G95" s="256"/>
      <c r="H95" s="256"/>
      <c r="I95" s="256"/>
      <c r="J95" s="256"/>
      <c r="K95" s="257"/>
      <c r="L95" s="257"/>
      <c r="M95" s="257"/>
      <c r="N95" s="256"/>
      <c r="O95" s="256"/>
      <c r="P95" s="126">
        <f t="shared" si="25"/>
        <v>0</v>
      </c>
      <c r="Q95" s="126"/>
      <c r="R95" s="127">
        <f t="shared" si="26"/>
        <v>0</v>
      </c>
      <c r="T95" s="128">
        <f t="shared" si="27"/>
        <v>0</v>
      </c>
      <c r="U95" s="129" t="str">
        <f>IFERROR(VLOOKUP($S95,References!$B$3:$C$7,2,FALSE),"")</f>
        <v/>
      </c>
      <c r="V95" s="129" t="str">
        <f t="shared" si="28"/>
        <v/>
      </c>
      <c r="W95" s="74" t="str">
        <f>IFERROR(VLOOKUP($O95,'Customer List'!$A$1:$J$488,10,FALSE),"")</f>
        <v/>
      </c>
      <c r="AH95" s="74"/>
    </row>
    <row r="96" spans="1:34">
      <c r="A96" s="125" t="str">
        <f t="shared" si="24"/>
        <v/>
      </c>
      <c r="B96" s="256"/>
      <c r="C96" s="256"/>
      <c r="D96" s="256"/>
      <c r="E96" s="256"/>
      <c r="F96" s="256"/>
      <c r="G96" s="256"/>
      <c r="H96" s="256"/>
      <c r="I96" s="256"/>
      <c r="J96" s="256"/>
      <c r="K96" s="257"/>
      <c r="L96" s="257"/>
      <c r="M96" s="257"/>
      <c r="N96" s="256"/>
      <c r="O96" s="256"/>
      <c r="P96" s="126">
        <f t="shared" si="25"/>
        <v>0</v>
      </c>
      <c r="Q96" s="126"/>
      <c r="R96" s="127">
        <f t="shared" si="26"/>
        <v>0</v>
      </c>
      <c r="T96" s="128">
        <f t="shared" si="27"/>
        <v>0</v>
      </c>
      <c r="U96" s="129" t="str">
        <f>IFERROR(VLOOKUP($S96,References!$B$3:$C$7,2,FALSE),"")</f>
        <v/>
      </c>
      <c r="V96" s="129" t="str">
        <f t="shared" si="28"/>
        <v/>
      </c>
      <c r="W96" s="74" t="str">
        <f>IFERROR(VLOOKUP($O96,'Customer List'!$A$1:$J$488,10,FALSE),"")</f>
        <v/>
      </c>
      <c r="AH96" s="74"/>
    </row>
    <row r="97" spans="1:90">
      <c r="A97" s="125" t="str">
        <f t="shared" si="24"/>
        <v/>
      </c>
      <c r="B97" s="247"/>
      <c r="C97" s="247"/>
      <c r="D97" s="247"/>
      <c r="E97" s="247"/>
      <c r="F97" s="247"/>
      <c r="G97" s="247"/>
      <c r="H97" s="247"/>
      <c r="I97" s="247"/>
      <c r="J97" s="247"/>
      <c r="K97" s="248"/>
      <c r="L97" s="248"/>
      <c r="M97" s="248"/>
      <c r="N97" s="247"/>
      <c r="O97" s="256"/>
      <c r="P97" s="126">
        <f t="shared" si="25"/>
        <v>0</v>
      </c>
      <c r="Q97" s="126"/>
      <c r="R97" s="127">
        <f t="shared" si="26"/>
        <v>0</v>
      </c>
      <c r="T97" s="128">
        <f t="shared" si="27"/>
        <v>0</v>
      </c>
      <c r="U97" s="129" t="str">
        <f>IFERROR(VLOOKUP($S97,References!$B$3:$C$7,2,FALSE),"")</f>
        <v/>
      </c>
      <c r="V97" s="129" t="str">
        <f t="shared" si="28"/>
        <v/>
      </c>
      <c r="W97" s="74" t="str">
        <f>IFERROR(VLOOKUP($O97,'Customer List'!$A$1:$J$488,10,FALSE),"")</f>
        <v/>
      </c>
      <c r="AH97" s="74"/>
    </row>
    <row r="98" spans="1:90" ht="17.399999999999999" customHeight="1">
      <c r="A98" s="125" t="str">
        <f t="shared" si="24"/>
        <v/>
      </c>
      <c r="B98" s="247"/>
      <c r="C98" s="247"/>
      <c r="D98" s="247"/>
      <c r="E98" s="247"/>
      <c r="F98" s="247"/>
      <c r="G98" s="247"/>
      <c r="H98" s="247"/>
      <c r="I98" s="247"/>
      <c r="J98" s="247"/>
      <c r="K98" s="248"/>
      <c r="L98" s="248"/>
      <c r="M98" s="248"/>
      <c r="N98" s="247"/>
      <c r="O98" s="256"/>
      <c r="P98" s="126">
        <f t="shared" si="25"/>
        <v>0</v>
      </c>
      <c r="Q98" s="126"/>
      <c r="R98" s="127">
        <f t="shared" si="26"/>
        <v>0</v>
      </c>
      <c r="T98" s="128">
        <f t="shared" si="27"/>
        <v>0</v>
      </c>
      <c r="U98" s="129" t="str">
        <f>IFERROR(VLOOKUP($S98,References!$B$3:$C$7,2,FALSE),"")</f>
        <v/>
      </c>
      <c r="V98" s="129" t="str">
        <f t="shared" si="28"/>
        <v/>
      </c>
      <c r="W98" s="74" t="str">
        <f>IFERROR(VLOOKUP($O98,'Customer List'!$A$1:$J$488,10,FALSE),"")</f>
        <v/>
      </c>
      <c r="Y98" s="132"/>
      <c r="Z98" s="132"/>
      <c r="AA98" s="132"/>
      <c r="AB98" s="132"/>
      <c r="AC98" s="132"/>
      <c r="AD98" s="132"/>
      <c r="AE98" s="132"/>
      <c r="AF98" s="132"/>
      <c r="AG98" s="132"/>
      <c r="AH98" s="134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2"/>
      <c r="BZ98" s="132"/>
      <c r="CA98" s="132"/>
      <c r="CB98" s="132"/>
      <c r="CC98" s="132"/>
      <c r="CD98" s="132"/>
      <c r="CE98" s="132"/>
      <c r="CF98" s="132"/>
      <c r="CG98" s="132"/>
      <c r="CH98" s="132"/>
      <c r="CI98" s="132"/>
      <c r="CJ98" s="132"/>
      <c r="CK98" s="132"/>
      <c r="CL98" s="132"/>
    </row>
    <row r="99" spans="1:90" s="122" customFormat="1">
      <c r="A99" s="125" t="str">
        <f t="shared" si="24"/>
        <v/>
      </c>
      <c r="B99" s="247"/>
      <c r="C99" s="247"/>
      <c r="D99" s="247"/>
      <c r="E99" s="247"/>
      <c r="F99" s="247"/>
      <c r="G99" s="256"/>
      <c r="H99" s="256"/>
      <c r="I99" s="256"/>
      <c r="J99" s="247"/>
      <c r="K99" s="248"/>
      <c r="L99" s="248"/>
      <c r="M99" s="248"/>
      <c r="N99" s="247"/>
      <c r="O99" s="256"/>
      <c r="P99" s="126">
        <f t="shared" si="25"/>
        <v>0</v>
      </c>
      <c r="Q99" s="126"/>
      <c r="R99" s="127">
        <f t="shared" si="26"/>
        <v>0</v>
      </c>
      <c r="T99" s="128">
        <f t="shared" si="27"/>
        <v>0</v>
      </c>
      <c r="U99" s="129" t="str">
        <f>IFERROR(VLOOKUP($S99,References!$B$3:$C$7,2,FALSE),"")</f>
        <v/>
      </c>
      <c r="V99" s="129" t="str">
        <f t="shared" si="28"/>
        <v/>
      </c>
      <c r="W99" s="74" t="str">
        <f>IFERROR(VLOOKUP($O99,'Customer List'!$A$1:$J$488,10,FALSE),"")</f>
        <v/>
      </c>
      <c r="X99" s="123"/>
      <c r="Y99" s="132"/>
      <c r="Z99" s="132"/>
      <c r="AA99" s="132"/>
      <c r="AB99" s="132"/>
      <c r="AC99" s="132"/>
      <c r="AD99" s="132"/>
      <c r="AE99" s="132"/>
      <c r="AF99" s="132"/>
      <c r="AG99" s="132"/>
      <c r="AH99" s="134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2"/>
      <c r="BZ99" s="132"/>
      <c r="CA99" s="132"/>
      <c r="CB99" s="132"/>
      <c r="CC99" s="132"/>
      <c r="CD99" s="132"/>
      <c r="CE99" s="132"/>
      <c r="CF99" s="132"/>
      <c r="CG99" s="132"/>
      <c r="CH99" s="132"/>
      <c r="CI99" s="132"/>
      <c r="CJ99" s="132"/>
      <c r="CK99" s="132"/>
      <c r="CL99" s="132"/>
    </row>
    <row r="100" spans="1:90">
      <c r="A100" s="125" t="str">
        <f t="shared" si="24"/>
        <v/>
      </c>
      <c r="B100" s="247"/>
      <c r="C100" s="256"/>
      <c r="D100" s="256"/>
      <c r="E100" s="256"/>
      <c r="F100" s="247"/>
      <c r="G100" s="256"/>
      <c r="H100" s="256"/>
      <c r="I100" s="256"/>
      <c r="J100" s="247"/>
      <c r="K100" s="248"/>
      <c r="L100" s="248"/>
      <c r="M100" s="248"/>
      <c r="N100" s="256"/>
      <c r="O100" s="256"/>
      <c r="P100" s="126">
        <f t="shared" si="25"/>
        <v>0</v>
      </c>
      <c r="Q100" s="126"/>
      <c r="R100" s="127">
        <f t="shared" si="26"/>
        <v>0</v>
      </c>
      <c r="T100" s="128">
        <f t="shared" si="27"/>
        <v>0</v>
      </c>
      <c r="U100" s="129" t="str">
        <f>IFERROR(VLOOKUP($S100,References!$B$3:$C$7,2,FALSE),"")</f>
        <v/>
      </c>
      <c r="V100" s="129" t="str">
        <f t="shared" si="28"/>
        <v/>
      </c>
      <c r="W100" s="74" t="str">
        <f>IFERROR(VLOOKUP($O100,'Customer List'!$A$1:$J$488,10,FALSE),"")</f>
        <v/>
      </c>
      <c r="AH100" s="74"/>
    </row>
    <row r="101" spans="1:90" s="132" customFormat="1">
      <c r="A101" s="125" t="str">
        <f t="shared" si="24"/>
        <v/>
      </c>
      <c r="B101" s="247"/>
      <c r="C101" s="256"/>
      <c r="D101" s="256"/>
      <c r="E101" s="256"/>
      <c r="F101" s="247"/>
      <c r="G101" s="256"/>
      <c r="H101" s="256"/>
      <c r="I101" s="256"/>
      <c r="J101" s="247"/>
      <c r="K101" s="248"/>
      <c r="L101" s="248"/>
      <c r="M101" s="248"/>
      <c r="N101" s="256"/>
      <c r="O101" s="256"/>
      <c r="P101" s="126">
        <f t="shared" si="25"/>
        <v>0</v>
      </c>
      <c r="Q101" s="126"/>
      <c r="R101" s="127">
        <f t="shared" si="26"/>
        <v>0</v>
      </c>
      <c r="S101" s="122"/>
      <c r="T101" s="128">
        <f t="shared" si="27"/>
        <v>0</v>
      </c>
      <c r="U101" s="129" t="str">
        <f>IFERROR(VLOOKUP($S101,References!$B$3:$C$7,2,FALSE),"")</f>
        <v/>
      </c>
      <c r="V101" s="129" t="str">
        <f t="shared" si="28"/>
        <v/>
      </c>
      <c r="W101" s="74" t="str">
        <f>IFERROR(VLOOKUP($O101,'Customer List'!$A$1:$J$488,10,FALSE),"")</f>
        <v/>
      </c>
      <c r="X101" s="123"/>
      <c r="AH101" s="134"/>
    </row>
    <row r="102" spans="1:90">
      <c r="A102" s="125" t="str">
        <f t="shared" si="24"/>
        <v/>
      </c>
      <c r="B102" s="247"/>
      <c r="C102" s="256"/>
      <c r="D102" s="256"/>
      <c r="E102" s="256"/>
      <c r="F102" s="247"/>
      <c r="G102" s="256"/>
      <c r="H102" s="256"/>
      <c r="I102" s="256"/>
      <c r="J102" s="247"/>
      <c r="K102" s="248"/>
      <c r="L102" s="248"/>
      <c r="M102" s="248"/>
      <c r="N102" s="256"/>
      <c r="O102" s="256"/>
      <c r="P102" s="126">
        <f t="shared" si="25"/>
        <v>0</v>
      </c>
      <c r="Q102" s="126"/>
      <c r="R102" s="127">
        <f t="shared" si="26"/>
        <v>0</v>
      </c>
      <c r="T102" s="128">
        <f t="shared" si="27"/>
        <v>0</v>
      </c>
      <c r="U102" s="129" t="str">
        <f>IFERROR(VLOOKUP($S102,References!$B$3:$C$7,2,FALSE),"")</f>
        <v/>
      </c>
      <c r="V102" s="129" t="str">
        <f t="shared" si="28"/>
        <v/>
      </c>
      <c r="W102" s="74" t="str">
        <f>IFERROR(VLOOKUP($O102,'Customer List'!$A$1:$J$488,10,FALSE),"")</f>
        <v/>
      </c>
      <c r="AH102" s="74"/>
    </row>
    <row r="103" spans="1:90">
      <c r="A103" s="125" t="str">
        <f t="shared" si="24"/>
        <v/>
      </c>
      <c r="B103" s="247"/>
      <c r="C103" s="256"/>
      <c r="D103" s="256"/>
      <c r="E103" s="256"/>
      <c r="F103" s="247"/>
      <c r="G103" s="256"/>
      <c r="H103" s="256"/>
      <c r="I103" s="256"/>
      <c r="J103" s="247"/>
      <c r="K103" s="248"/>
      <c r="L103" s="248"/>
      <c r="M103" s="248"/>
      <c r="N103" s="256"/>
      <c r="O103" s="256"/>
      <c r="P103" s="126">
        <f t="shared" si="25"/>
        <v>0</v>
      </c>
      <c r="Q103" s="126"/>
      <c r="R103" s="127">
        <f t="shared" si="26"/>
        <v>0</v>
      </c>
      <c r="T103" s="128">
        <f t="shared" si="27"/>
        <v>0</v>
      </c>
      <c r="U103" s="129" t="str">
        <f>IFERROR(VLOOKUP($S103,References!$B$3:$C$7,2,FALSE),"")</f>
        <v/>
      </c>
      <c r="V103" s="129" t="str">
        <f t="shared" si="28"/>
        <v/>
      </c>
      <c r="W103" s="74" t="str">
        <f>IFERROR(VLOOKUP($O103,'Customer List'!$A$1:$J$488,10,FALSE),"")</f>
        <v/>
      </c>
      <c r="AH103" s="74"/>
    </row>
    <row r="104" spans="1:90">
      <c r="A104" s="125" t="str">
        <f t="shared" si="24"/>
        <v/>
      </c>
      <c r="B104" s="247"/>
      <c r="C104" s="256"/>
      <c r="D104" s="256"/>
      <c r="E104" s="256"/>
      <c r="F104" s="247"/>
      <c r="G104" s="256"/>
      <c r="H104" s="256"/>
      <c r="I104" s="256"/>
      <c r="J104" s="247"/>
      <c r="K104" s="248"/>
      <c r="L104" s="248"/>
      <c r="M104" s="248"/>
      <c r="N104" s="256"/>
      <c r="O104" s="256"/>
      <c r="P104" s="126">
        <f t="shared" si="25"/>
        <v>0</v>
      </c>
      <c r="Q104" s="126"/>
      <c r="R104" s="127">
        <f t="shared" si="26"/>
        <v>0</v>
      </c>
      <c r="T104" s="128">
        <f t="shared" si="27"/>
        <v>0</v>
      </c>
      <c r="U104" s="129" t="str">
        <f>IFERROR(VLOOKUP($S104,References!$B$3:$C$7,2,FALSE),"")</f>
        <v/>
      </c>
      <c r="V104" s="129" t="str">
        <f t="shared" si="28"/>
        <v/>
      </c>
      <c r="W104" s="74" t="str">
        <f>IFERROR(VLOOKUP($O104,'Customer List'!$A$1:$J$488,10,FALSE),"")</f>
        <v/>
      </c>
      <c r="AH104" s="74"/>
    </row>
    <row r="105" spans="1:90">
      <c r="A105" s="125" t="str">
        <f t="shared" si="24"/>
        <v/>
      </c>
      <c r="B105" s="247"/>
      <c r="C105" s="247"/>
      <c r="D105" s="247"/>
      <c r="E105" s="247"/>
      <c r="F105" s="247"/>
      <c r="G105" s="247"/>
      <c r="H105" s="247"/>
      <c r="I105" s="247"/>
      <c r="J105" s="247"/>
      <c r="K105" s="248"/>
      <c r="L105" s="248"/>
      <c r="M105" s="248"/>
      <c r="N105" s="247"/>
      <c r="O105" s="256"/>
      <c r="P105" s="126">
        <f t="shared" si="25"/>
        <v>0</v>
      </c>
      <c r="Q105" s="126"/>
      <c r="R105" s="127">
        <f t="shared" si="26"/>
        <v>0</v>
      </c>
      <c r="T105" s="128">
        <f t="shared" si="27"/>
        <v>0</v>
      </c>
      <c r="U105" s="129" t="str">
        <f>IFERROR(VLOOKUP($S105,References!$B$3:$C$7,2,FALSE),"")</f>
        <v/>
      </c>
      <c r="V105" s="129" t="str">
        <f t="shared" si="28"/>
        <v/>
      </c>
      <c r="W105" s="74" t="str">
        <f>IFERROR(VLOOKUP($O105,'Customer List'!$A$1:$J$488,10,FALSE),"")</f>
        <v/>
      </c>
      <c r="X105" s="132"/>
      <c r="AH105" s="74"/>
    </row>
    <row r="106" spans="1:90">
      <c r="A106" s="125" t="str">
        <f t="shared" si="24"/>
        <v/>
      </c>
      <c r="B106" s="247"/>
      <c r="C106" s="247"/>
      <c r="D106" s="247"/>
      <c r="E106" s="247"/>
      <c r="F106" s="247"/>
      <c r="G106" s="247"/>
      <c r="H106" s="247"/>
      <c r="I106" s="247"/>
      <c r="J106" s="247"/>
      <c r="K106" s="248"/>
      <c r="L106" s="248"/>
      <c r="M106" s="248"/>
      <c r="N106" s="247"/>
      <c r="O106" s="256"/>
      <c r="P106" s="126">
        <f t="shared" si="25"/>
        <v>0</v>
      </c>
      <c r="Q106" s="126"/>
      <c r="R106" s="127">
        <f t="shared" si="26"/>
        <v>0</v>
      </c>
      <c r="T106" s="128">
        <f t="shared" si="27"/>
        <v>0</v>
      </c>
      <c r="U106" s="129" t="str">
        <f>IFERROR(VLOOKUP($S106,References!$B$3:$C$7,2,FALSE),"")</f>
        <v/>
      </c>
      <c r="V106" s="129" t="str">
        <f t="shared" si="28"/>
        <v/>
      </c>
      <c r="W106" s="74" t="str">
        <f>IFERROR(VLOOKUP($O106,'Customer List'!$A$1:$J$488,10,FALSE),"")</f>
        <v/>
      </c>
      <c r="X106" s="132"/>
      <c r="AH106" s="74"/>
    </row>
    <row r="107" spans="1:90">
      <c r="A107" s="125" t="str">
        <f t="shared" si="24"/>
        <v/>
      </c>
      <c r="B107" s="247"/>
      <c r="C107" s="247"/>
      <c r="D107" s="247"/>
      <c r="E107" s="247"/>
      <c r="F107" s="247"/>
      <c r="G107" s="247"/>
      <c r="H107" s="247"/>
      <c r="I107" s="247"/>
      <c r="J107" s="247"/>
      <c r="K107" s="248"/>
      <c r="L107" s="248"/>
      <c r="M107" s="248"/>
      <c r="N107" s="247"/>
      <c r="O107" s="256"/>
      <c r="P107" s="126">
        <f t="shared" si="25"/>
        <v>0</v>
      </c>
      <c r="Q107" s="126"/>
      <c r="R107" s="127">
        <f t="shared" si="26"/>
        <v>0</v>
      </c>
      <c r="T107" s="128">
        <f t="shared" si="27"/>
        <v>0</v>
      </c>
      <c r="U107" s="129" t="str">
        <f>IFERROR(VLOOKUP($S107,References!$B$3:$C$7,2,FALSE),"")</f>
        <v/>
      </c>
      <c r="V107" s="129" t="str">
        <f t="shared" si="28"/>
        <v/>
      </c>
      <c r="W107" s="74" t="str">
        <f>IFERROR(VLOOKUP($O107,'Customer List'!$A$1:$J$488,10,FALSE),"")</f>
        <v/>
      </c>
      <c r="X107" s="132"/>
      <c r="AH107" s="74"/>
    </row>
    <row r="108" spans="1:90">
      <c r="A108" s="125" t="str">
        <f t="shared" si="24"/>
        <v/>
      </c>
      <c r="B108" s="247"/>
      <c r="C108" s="247"/>
      <c r="D108" s="247"/>
      <c r="E108" s="247"/>
      <c r="F108" s="247"/>
      <c r="G108" s="247"/>
      <c r="H108" s="247"/>
      <c r="I108" s="247"/>
      <c r="J108" s="247"/>
      <c r="K108" s="248"/>
      <c r="L108" s="248"/>
      <c r="M108" s="248"/>
      <c r="N108" s="247"/>
      <c r="O108" s="256"/>
      <c r="P108" s="126">
        <f t="shared" si="25"/>
        <v>0</v>
      </c>
      <c r="Q108" s="126"/>
      <c r="R108" s="127">
        <f t="shared" si="26"/>
        <v>0</v>
      </c>
      <c r="T108" s="128">
        <f t="shared" si="27"/>
        <v>0</v>
      </c>
      <c r="U108" s="129" t="str">
        <f>IFERROR(VLOOKUP($S108,References!$B$3:$C$7,2,FALSE),"")</f>
        <v/>
      </c>
      <c r="V108" s="129" t="str">
        <f t="shared" si="28"/>
        <v/>
      </c>
      <c r="W108" s="74" t="str">
        <f>IFERROR(VLOOKUP($O108,'Customer List'!$A$1:$J$488,10,FALSE),"")</f>
        <v/>
      </c>
      <c r="AH108" s="74"/>
    </row>
    <row r="109" spans="1:90">
      <c r="A109" s="125" t="str">
        <f t="shared" si="24"/>
        <v/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8"/>
      <c r="L109" s="248"/>
      <c r="M109" s="248"/>
      <c r="N109" s="247"/>
      <c r="O109" s="256"/>
      <c r="P109" s="126">
        <f t="shared" si="25"/>
        <v>0</v>
      </c>
      <c r="Q109" s="126"/>
      <c r="R109" s="127">
        <f t="shared" si="26"/>
        <v>0</v>
      </c>
      <c r="T109" s="128">
        <f t="shared" si="27"/>
        <v>0</v>
      </c>
      <c r="U109" s="129" t="str">
        <f>IFERROR(VLOOKUP($S109,References!$B$3:$C$7,2,FALSE),"")</f>
        <v/>
      </c>
      <c r="V109" s="129" t="str">
        <f t="shared" si="28"/>
        <v/>
      </c>
      <c r="W109" s="74" t="str">
        <f>IFERROR(VLOOKUP($O109,'Customer List'!$A$1:$J$488,10,FALSE),"")</f>
        <v/>
      </c>
      <c r="AH109" s="74"/>
    </row>
    <row r="110" spans="1:90">
      <c r="A110" s="125" t="str">
        <f t="shared" si="24"/>
        <v/>
      </c>
      <c r="B110" s="247"/>
      <c r="C110" s="247"/>
      <c r="D110" s="247"/>
      <c r="E110" s="247"/>
      <c r="F110" s="247"/>
      <c r="G110" s="247"/>
      <c r="H110" s="247"/>
      <c r="I110" s="247"/>
      <c r="J110" s="247"/>
      <c r="K110" s="248"/>
      <c r="L110" s="248"/>
      <c r="M110" s="248"/>
      <c r="N110" s="247"/>
      <c r="O110" s="256"/>
      <c r="P110" s="126">
        <f t="shared" si="25"/>
        <v>0</v>
      </c>
      <c r="Q110" s="126"/>
      <c r="R110" s="127">
        <f t="shared" si="26"/>
        <v>0</v>
      </c>
      <c r="T110" s="128">
        <f t="shared" si="27"/>
        <v>0</v>
      </c>
      <c r="U110" s="129" t="str">
        <f>IFERROR(VLOOKUP($S110,References!$B$3:$C$7,2,FALSE),"")</f>
        <v/>
      </c>
      <c r="V110" s="129" t="str">
        <f t="shared" si="28"/>
        <v/>
      </c>
      <c r="W110" s="74" t="str">
        <f>IFERROR(VLOOKUP($O110,'Customer List'!$A$1:$J$488,10,FALSE),"")</f>
        <v/>
      </c>
      <c r="AH110" s="74"/>
    </row>
    <row r="111" spans="1:90">
      <c r="A111" s="125" t="str">
        <f t="shared" si="24"/>
        <v/>
      </c>
      <c r="B111" s="247"/>
      <c r="C111" s="247"/>
      <c r="D111" s="247"/>
      <c r="E111" s="247"/>
      <c r="F111" s="247"/>
      <c r="G111" s="247"/>
      <c r="H111" s="247"/>
      <c r="I111" s="247"/>
      <c r="J111" s="247"/>
      <c r="K111" s="248"/>
      <c r="L111" s="248"/>
      <c r="M111" s="248"/>
      <c r="N111" s="247"/>
      <c r="O111" s="256"/>
      <c r="P111" s="126">
        <f t="shared" si="25"/>
        <v>0</v>
      </c>
      <c r="Q111" s="126"/>
      <c r="R111" s="127">
        <f t="shared" si="26"/>
        <v>0</v>
      </c>
      <c r="T111" s="128">
        <f t="shared" si="27"/>
        <v>0</v>
      </c>
      <c r="U111" s="129" t="str">
        <f>IFERROR(VLOOKUP($S111,References!$B$3:$C$7,2,FALSE),"")</f>
        <v/>
      </c>
      <c r="V111" s="129" t="str">
        <f t="shared" si="28"/>
        <v/>
      </c>
      <c r="W111" s="74" t="str">
        <f>IFERROR(VLOOKUP($O111,'Customer List'!$A$1:$J$488,10,FALSE),"")</f>
        <v/>
      </c>
      <c r="AH111" s="74"/>
    </row>
    <row r="112" spans="1:90">
      <c r="A112" s="125" t="str">
        <f t="shared" si="24"/>
        <v/>
      </c>
      <c r="B112" s="247"/>
      <c r="C112" s="247"/>
      <c r="D112" s="247"/>
      <c r="E112" s="247"/>
      <c r="F112" s="247"/>
      <c r="G112" s="247"/>
      <c r="H112" s="247"/>
      <c r="I112" s="247"/>
      <c r="J112" s="247"/>
      <c r="K112" s="248"/>
      <c r="L112" s="248"/>
      <c r="M112" s="248"/>
      <c r="N112" s="247"/>
      <c r="O112" s="256"/>
      <c r="P112" s="126">
        <f t="shared" si="25"/>
        <v>0</v>
      </c>
      <c r="Q112" s="126"/>
      <c r="R112" s="127">
        <f t="shared" si="26"/>
        <v>0</v>
      </c>
      <c r="T112" s="128">
        <f t="shared" si="27"/>
        <v>0</v>
      </c>
      <c r="U112" s="129" t="str">
        <f>IFERROR(VLOOKUP($S112,References!$B$3:$C$7,2,FALSE),"")</f>
        <v/>
      </c>
      <c r="V112" s="129" t="str">
        <f t="shared" si="28"/>
        <v/>
      </c>
      <c r="W112" s="74" t="str">
        <f>IFERROR(VLOOKUP($O112,'Customer List'!$A$1:$J$488,10,FALSE),"")</f>
        <v/>
      </c>
      <c r="AH112" s="74"/>
    </row>
    <row r="113" spans="1:213">
      <c r="A113" s="125" t="str">
        <f t="shared" si="24"/>
        <v/>
      </c>
      <c r="B113" s="247"/>
      <c r="C113" s="247"/>
      <c r="D113" s="247"/>
      <c r="E113" s="247"/>
      <c r="F113" s="247"/>
      <c r="G113" s="247"/>
      <c r="H113" s="247"/>
      <c r="I113" s="247"/>
      <c r="J113" s="247"/>
      <c r="K113" s="248"/>
      <c r="L113" s="248"/>
      <c r="M113" s="248"/>
      <c r="N113" s="247"/>
      <c r="O113" s="256"/>
      <c r="P113" s="126">
        <f t="shared" si="25"/>
        <v>0</v>
      </c>
      <c r="Q113" s="126"/>
      <c r="R113" s="127">
        <f t="shared" si="26"/>
        <v>0</v>
      </c>
      <c r="T113" s="128">
        <f t="shared" si="27"/>
        <v>0</v>
      </c>
      <c r="U113" s="129" t="str">
        <f>IFERROR(VLOOKUP($S113,References!$B$3:$C$7,2,FALSE),"")</f>
        <v/>
      </c>
      <c r="V113" s="129" t="str">
        <f t="shared" si="28"/>
        <v/>
      </c>
      <c r="W113" s="74" t="str">
        <f>IFERROR(VLOOKUP($O113,'Customer List'!$A$1:$J$488,10,FALSE),"")</f>
        <v/>
      </c>
      <c r="AH113" s="74"/>
    </row>
    <row r="114" spans="1:213" ht="18.600000000000001" customHeight="1">
      <c r="A114" s="125" t="str">
        <f t="shared" si="24"/>
        <v/>
      </c>
      <c r="B114" s="247"/>
      <c r="C114" s="247"/>
      <c r="D114" s="247"/>
      <c r="E114" s="247"/>
      <c r="F114" s="247"/>
      <c r="G114" s="247"/>
      <c r="H114" s="247"/>
      <c r="I114" s="247"/>
      <c r="J114" s="247"/>
      <c r="K114" s="248"/>
      <c r="L114" s="248"/>
      <c r="M114" s="248"/>
      <c r="N114" s="247"/>
      <c r="O114" s="256"/>
      <c r="P114" s="126">
        <f t="shared" si="25"/>
        <v>0</v>
      </c>
      <c r="Q114" s="126"/>
      <c r="R114" s="127">
        <f t="shared" si="26"/>
        <v>0</v>
      </c>
      <c r="T114" s="128">
        <f t="shared" si="27"/>
        <v>0</v>
      </c>
      <c r="U114" s="129" t="str">
        <f>IFERROR(VLOOKUP($S114,References!$B$3:$C$7,2,FALSE),"")</f>
        <v/>
      </c>
      <c r="V114" s="129" t="str">
        <f t="shared" si="28"/>
        <v/>
      </c>
      <c r="W114" s="74" t="str">
        <f>IFERROR(VLOOKUP($O114,'Customer List'!$A$1:$J$488,10,FALSE),"")</f>
        <v/>
      </c>
      <c r="AH114" s="74"/>
    </row>
    <row r="115" spans="1:213">
      <c r="A115" s="125" t="str">
        <f t="shared" si="24"/>
        <v/>
      </c>
      <c r="B115" s="247"/>
      <c r="C115" s="247"/>
      <c r="D115" s="247"/>
      <c r="E115" s="247"/>
      <c r="F115" s="247"/>
      <c r="G115" s="247"/>
      <c r="H115" s="247"/>
      <c r="I115" s="247"/>
      <c r="J115" s="247"/>
      <c r="K115" s="248"/>
      <c r="L115" s="248"/>
      <c r="M115" s="248"/>
      <c r="N115" s="247"/>
      <c r="O115" s="256"/>
      <c r="P115" s="126">
        <f t="shared" si="25"/>
        <v>0</v>
      </c>
      <c r="Q115" s="126"/>
      <c r="R115" s="127">
        <f t="shared" si="26"/>
        <v>0</v>
      </c>
      <c r="T115" s="128">
        <f t="shared" si="27"/>
        <v>0</v>
      </c>
      <c r="U115" s="129" t="str">
        <f>IFERROR(VLOOKUP($S115,References!$B$3:$C$7,2,FALSE),"")</f>
        <v/>
      </c>
      <c r="V115" s="129" t="str">
        <f t="shared" si="28"/>
        <v/>
      </c>
      <c r="W115" s="74" t="str">
        <f>IFERROR(VLOOKUP($O115,'Customer List'!$A$1:$J$488,10,FALSE),"")</f>
        <v/>
      </c>
      <c r="AH115" s="74"/>
    </row>
    <row r="116" spans="1:213">
      <c r="A116" s="125" t="str">
        <f t="shared" si="24"/>
        <v/>
      </c>
      <c r="B116" s="247"/>
      <c r="C116" s="247"/>
      <c r="D116" s="247"/>
      <c r="E116" s="247"/>
      <c r="F116" s="247"/>
      <c r="G116" s="247"/>
      <c r="H116" s="247"/>
      <c r="I116" s="247"/>
      <c r="J116" s="247"/>
      <c r="K116" s="248"/>
      <c r="L116" s="248"/>
      <c r="M116" s="248"/>
      <c r="N116" s="247"/>
      <c r="O116" s="256"/>
      <c r="P116" s="126">
        <f t="shared" si="25"/>
        <v>0</v>
      </c>
      <c r="Q116" s="126"/>
      <c r="R116" s="127">
        <f t="shared" si="26"/>
        <v>0</v>
      </c>
      <c r="T116" s="128">
        <f t="shared" si="27"/>
        <v>0</v>
      </c>
      <c r="U116" s="129" t="str">
        <f>IFERROR(VLOOKUP($S116,References!$B$3:$C$7,2,FALSE),"")</f>
        <v/>
      </c>
      <c r="V116" s="129" t="str">
        <f t="shared" si="28"/>
        <v/>
      </c>
      <c r="W116" s="74" t="str">
        <f>IFERROR(VLOOKUP($O116,'Customer List'!$A$1:$J$488,10,FALSE),"")</f>
        <v/>
      </c>
      <c r="AH116" s="74"/>
    </row>
    <row r="117" spans="1:213">
      <c r="A117" s="125" t="str">
        <f t="shared" si="24"/>
        <v/>
      </c>
      <c r="B117" s="247"/>
      <c r="C117" s="247"/>
      <c r="D117" s="247"/>
      <c r="E117" s="247"/>
      <c r="F117" s="247"/>
      <c r="G117" s="247"/>
      <c r="H117" s="247"/>
      <c r="I117" s="247"/>
      <c r="J117" s="247"/>
      <c r="K117" s="248"/>
      <c r="L117" s="248"/>
      <c r="M117" s="248"/>
      <c r="N117" s="247"/>
      <c r="O117" s="256"/>
      <c r="P117" s="126">
        <f t="shared" si="25"/>
        <v>0</v>
      </c>
      <c r="Q117" s="126"/>
      <c r="R117" s="127">
        <f t="shared" si="26"/>
        <v>0</v>
      </c>
      <c r="T117" s="128">
        <f t="shared" si="27"/>
        <v>0</v>
      </c>
      <c r="U117" s="129" t="str">
        <f>IFERROR(VLOOKUP($S117,References!$B$3:$C$7,2,FALSE),"")</f>
        <v/>
      </c>
      <c r="V117" s="129" t="str">
        <f t="shared" si="28"/>
        <v/>
      </c>
      <c r="W117" s="74" t="str">
        <f>IFERROR(VLOOKUP($O117,'Customer List'!$A$1:$J$488,10,FALSE),"")</f>
        <v/>
      </c>
      <c r="AH117" s="74"/>
    </row>
    <row r="118" spans="1:213">
      <c r="A118" s="125" t="str">
        <f t="shared" si="24"/>
        <v/>
      </c>
      <c r="B118" s="247"/>
      <c r="C118" s="247"/>
      <c r="D118" s="247"/>
      <c r="E118" s="247"/>
      <c r="F118" s="247"/>
      <c r="G118" s="247"/>
      <c r="H118" s="247"/>
      <c r="I118" s="247"/>
      <c r="J118" s="247"/>
      <c r="K118" s="248"/>
      <c r="L118" s="248"/>
      <c r="M118" s="248"/>
      <c r="N118" s="247"/>
      <c r="O118" s="256"/>
      <c r="P118" s="126">
        <f t="shared" si="25"/>
        <v>0</v>
      </c>
      <c r="Q118" s="126"/>
      <c r="R118" s="127">
        <f t="shared" si="26"/>
        <v>0</v>
      </c>
      <c r="T118" s="128">
        <f t="shared" si="27"/>
        <v>0</v>
      </c>
      <c r="U118" s="129" t="str">
        <f>IFERROR(VLOOKUP($S118,References!$B$3:$C$7,2,FALSE),"")</f>
        <v/>
      </c>
      <c r="V118" s="129" t="str">
        <f t="shared" si="28"/>
        <v/>
      </c>
      <c r="W118" s="74" t="str">
        <f>IFERROR(VLOOKUP($O118,'Customer List'!$A$1:$J$488,10,FALSE),"")</f>
        <v/>
      </c>
      <c r="AH118" s="74"/>
    </row>
    <row r="119" spans="1:213">
      <c r="A119" s="125" t="str">
        <f t="shared" si="24"/>
        <v/>
      </c>
      <c r="B119" s="247"/>
      <c r="C119" s="247"/>
      <c r="D119" s="247"/>
      <c r="E119" s="247"/>
      <c r="F119" s="247"/>
      <c r="G119" s="247"/>
      <c r="H119" s="247"/>
      <c r="I119" s="247"/>
      <c r="J119" s="247"/>
      <c r="K119" s="248"/>
      <c r="L119" s="248"/>
      <c r="M119" s="248"/>
      <c r="N119" s="247"/>
      <c r="O119" s="256"/>
      <c r="P119" s="126">
        <f t="shared" si="25"/>
        <v>0</v>
      </c>
      <c r="Q119" s="126"/>
      <c r="R119" s="127">
        <f t="shared" si="26"/>
        <v>0</v>
      </c>
      <c r="T119" s="128">
        <f t="shared" si="27"/>
        <v>0</v>
      </c>
      <c r="U119" s="129" t="str">
        <f>IFERROR(VLOOKUP($S119,References!$B$3:$C$7,2,FALSE),"")</f>
        <v/>
      </c>
      <c r="V119" s="129" t="str">
        <f t="shared" si="28"/>
        <v/>
      </c>
      <c r="W119" s="74" t="str">
        <f>IFERROR(VLOOKUP($O119,'Customer List'!$A$1:$J$488,10,FALSE),"")</f>
        <v/>
      </c>
      <c r="AH119" s="74"/>
    </row>
    <row r="120" spans="1:213">
      <c r="A120" s="125" t="str">
        <f t="shared" si="24"/>
        <v/>
      </c>
      <c r="B120" s="247"/>
      <c r="C120" s="247"/>
      <c r="D120" s="247"/>
      <c r="E120" s="247"/>
      <c r="F120" s="247"/>
      <c r="G120" s="247"/>
      <c r="H120" s="247"/>
      <c r="I120" s="247"/>
      <c r="J120" s="247"/>
      <c r="K120" s="248"/>
      <c r="L120" s="248"/>
      <c r="M120" s="248"/>
      <c r="N120" s="247"/>
      <c r="O120" s="256"/>
      <c r="P120" s="126">
        <f t="shared" si="25"/>
        <v>0</v>
      </c>
      <c r="Q120" s="126"/>
      <c r="R120" s="127">
        <f t="shared" si="26"/>
        <v>0</v>
      </c>
      <c r="T120" s="128">
        <f t="shared" si="27"/>
        <v>0</v>
      </c>
      <c r="U120" s="129" t="str">
        <f>IFERROR(VLOOKUP($S120,References!$B$3:$C$7,2,FALSE),"")</f>
        <v/>
      </c>
      <c r="V120" s="129" t="str">
        <f t="shared" si="28"/>
        <v/>
      </c>
      <c r="W120" s="74" t="str">
        <f>IFERROR(VLOOKUP($O120,'Customer List'!$A$1:$J$488,10,FALSE),"")</f>
        <v/>
      </c>
      <c r="AH120" s="74"/>
    </row>
    <row r="121" spans="1:213">
      <c r="A121" s="125" t="str">
        <f t="shared" si="24"/>
        <v/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8"/>
      <c r="L121" s="248"/>
      <c r="M121" s="248"/>
      <c r="N121" s="247"/>
      <c r="O121" s="256"/>
      <c r="P121" s="126">
        <f t="shared" si="25"/>
        <v>0</v>
      </c>
      <c r="Q121" s="126"/>
      <c r="R121" s="127">
        <f t="shared" si="26"/>
        <v>0</v>
      </c>
      <c r="T121" s="128">
        <f t="shared" si="27"/>
        <v>0</v>
      </c>
      <c r="U121" s="129" t="str">
        <f>IFERROR(VLOOKUP($S121,References!$B$3:$C$7,2,FALSE),"")</f>
        <v/>
      </c>
      <c r="V121" s="129" t="str">
        <f t="shared" si="28"/>
        <v/>
      </c>
      <c r="W121" s="74" t="str">
        <f>IFERROR(VLOOKUP($O121,'Customer List'!$A$1:$J$488,10,FALSE),"")</f>
        <v/>
      </c>
      <c r="AH121" s="74"/>
    </row>
    <row r="122" spans="1:213">
      <c r="A122" s="125" t="str">
        <f t="shared" si="24"/>
        <v/>
      </c>
      <c r="B122" s="247"/>
      <c r="C122" s="247"/>
      <c r="D122" s="247"/>
      <c r="E122" s="247"/>
      <c r="F122" s="247"/>
      <c r="G122" s="247"/>
      <c r="H122" s="247"/>
      <c r="I122" s="247"/>
      <c r="J122" s="247"/>
      <c r="K122" s="248"/>
      <c r="L122" s="248"/>
      <c r="M122" s="248"/>
      <c r="N122" s="247"/>
      <c r="O122" s="256"/>
      <c r="P122" s="126">
        <f t="shared" si="25"/>
        <v>0</v>
      </c>
      <c r="Q122" s="126"/>
      <c r="R122" s="127">
        <f t="shared" si="26"/>
        <v>0</v>
      </c>
      <c r="T122" s="128">
        <f t="shared" si="27"/>
        <v>0</v>
      </c>
      <c r="U122" s="129" t="str">
        <f>IFERROR(VLOOKUP($S122,References!$B$3:$C$7,2,FALSE),"")</f>
        <v/>
      </c>
      <c r="V122" s="129" t="str">
        <f t="shared" si="28"/>
        <v/>
      </c>
      <c r="W122" s="74" t="str">
        <f>IFERROR(VLOOKUP($O122,'Customer List'!$A$1:$J$488,10,FALSE),"")</f>
        <v/>
      </c>
      <c r="AH122" s="74"/>
    </row>
    <row r="123" spans="1:213" s="122" customFormat="1" ht="18.600000000000001" customHeight="1">
      <c r="A123" s="125" t="str">
        <f t="shared" si="24"/>
        <v/>
      </c>
      <c r="B123" s="247"/>
      <c r="C123" s="247"/>
      <c r="D123" s="247"/>
      <c r="E123" s="247"/>
      <c r="F123" s="247"/>
      <c r="G123" s="247"/>
      <c r="H123" s="247"/>
      <c r="I123" s="247"/>
      <c r="J123" s="247"/>
      <c r="K123" s="248"/>
      <c r="L123" s="248"/>
      <c r="M123" s="248"/>
      <c r="N123" s="247"/>
      <c r="O123" s="256"/>
      <c r="P123" s="126">
        <f t="shared" si="25"/>
        <v>0</v>
      </c>
      <c r="Q123" s="126"/>
      <c r="R123" s="127">
        <f t="shared" si="26"/>
        <v>0</v>
      </c>
      <c r="T123" s="128">
        <f t="shared" si="27"/>
        <v>0</v>
      </c>
      <c r="U123" s="129" t="str">
        <f>IFERROR(VLOOKUP($S123,References!$B$3:$C$7,2,FALSE),"")</f>
        <v/>
      </c>
      <c r="V123" s="129" t="str">
        <f t="shared" si="28"/>
        <v/>
      </c>
      <c r="W123" s="74" t="str">
        <f>IFERROR(VLOOKUP($O123,'Customer List'!$A$1:$J$488,10,FALSE),"")</f>
        <v/>
      </c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74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</row>
    <row r="124" spans="1:213">
      <c r="A124" s="125" t="str">
        <f t="shared" si="24"/>
        <v/>
      </c>
      <c r="B124" s="247"/>
      <c r="C124" s="247"/>
      <c r="D124" s="247"/>
      <c r="E124" s="247"/>
      <c r="F124" s="247"/>
      <c r="G124" s="247"/>
      <c r="H124" s="247"/>
      <c r="I124" s="247"/>
      <c r="J124" s="247"/>
      <c r="K124" s="248"/>
      <c r="L124" s="248"/>
      <c r="M124" s="248"/>
      <c r="N124" s="247"/>
      <c r="O124" s="256"/>
      <c r="P124" s="126">
        <f t="shared" si="25"/>
        <v>0</v>
      </c>
      <c r="Q124" s="126"/>
      <c r="R124" s="127">
        <f t="shared" si="26"/>
        <v>0</v>
      </c>
      <c r="T124" s="128">
        <f t="shared" si="27"/>
        <v>0</v>
      </c>
      <c r="U124" s="129" t="str">
        <f>IFERROR(VLOOKUP($S124,References!$B$3:$C$7,2,FALSE),"")</f>
        <v/>
      </c>
      <c r="V124" s="129" t="str">
        <f t="shared" si="28"/>
        <v/>
      </c>
      <c r="W124" s="74" t="str">
        <f>IFERROR(VLOOKUP($O124,'Customer List'!$A$1:$J$488,10,FALSE),"")</f>
        <v/>
      </c>
      <c r="AH124" s="74"/>
    </row>
    <row r="125" spans="1:213">
      <c r="A125" s="125" t="str">
        <f t="shared" si="24"/>
        <v/>
      </c>
      <c r="B125" s="247"/>
      <c r="C125" s="247"/>
      <c r="D125" s="247"/>
      <c r="E125" s="247"/>
      <c r="F125" s="247"/>
      <c r="G125" s="247"/>
      <c r="H125" s="247"/>
      <c r="I125" s="247"/>
      <c r="J125" s="247"/>
      <c r="K125" s="248"/>
      <c r="L125" s="248"/>
      <c r="M125" s="248"/>
      <c r="N125" s="247"/>
      <c r="O125" s="256"/>
      <c r="P125" s="126">
        <f t="shared" si="25"/>
        <v>0</v>
      </c>
      <c r="Q125" s="126"/>
      <c r="R125" s="127">
        <f t="shared" si="26"/>
        <v>0</v>
      </c>
      <c r="T125" s="128">
        <f t="shared" si="27"/>
        <v>0</v>
      </c>
      <c r="U125" s="129" t="str">
        <f>IFERROR(VLOOKUP($S125,References!$B$3:$C$7,2,FALSE),"")</f>
        <v/>
      </c>
      <c r="V125" s="129" t="str">
        <f t="shared" si="28"/>
        <v/>
      </c>
      <c r="W125" s="74" t="str">
        <f>IFERROR(VLOOKUP($O125,'Customer List'!$A$1:$J$488,10,FALSE),"")</f>
        <v/>
      </c>
      <c r="AH125" s="74"/>
    </row>
    <row r="126" spans="1:213">
      <c r="A126" s="125" t="str">
        <f t="shared" si="24"/>
        <v/>
      </c>
      <c r="B126" s="247"/>
      <c r="C126" s="247"/>
      <c r="D126" s="247"/>
      <c r="E126" s="247"/>
      <c r="F126" s="247"/>
      <c r="G126" s="247"/>
      <c r="H126" s="247"/>
      <c r="I126" s="247"/>
      <c r="J126" s="247"/>
      <c r="K126" s="248"/>
      <c r="L126" s="248"/>
      <c r="M126" s="248"/>
      <c r="N126" s="247"/>
      <c r="O126" s="256"/>
      <c r="P126" s="126">
        <f t="shared" si="25"/>
        <v>0</v>
      </c>
      <c r="Q126" s="126"/>
      <c r="R126" s="127">
        <f t="shared" si="26"/>
        <v>0</v>
      </c>
      <c r="T126" s="128">
        <f t="shared" si="27"/>
        <v>0</v>
      </c>
      <c r="U126" s="129" t="str">
        <f>IFERROR(VLOOKUP($S126,References!$B$3:$C$7,2,FALSE),"")</f>
        <v/>
      </c>
      <c r="V126" s="129" t="str">
        <f t="shared" si="28"/>
        <v/>
      </c>
      <c r="W126" s="74" t="str">
        <f>IFERROR(VLOOKUP($O126,'Customer List'!$A$1:$J$488,10,FALSE),"")</f>
        <v/>
      </c>
      <c r="AH126" s="74"/>
    </row>
    <row r="127" spans="1:213" ht="19.2" customHeight="1">
      <c r="A127" s="125" t="str">
        <f t="shared" si="24"/>
        <v/>
      </c>
      <c r="B127" s="247"/>
      <c r="C127" s="247"/>
      <c r="D127" s="247"/>
      <c r="E127" s="247"/>
      <c r="F127" s="247"/>
      <c r="G127" s="247"/>
      <c r="H127" s="247"/>
      <c r="I127" s="247"/>
      <c r="J127" s="247"/>
      <c r="K127" s="248"/>
      <c r="L127" s="248"/>
      <c r="M127" s="248"/>
      <c r="N127" s="247"/>
      <c r="O127" s="256"/>
      <c r="P127" s="126">
        <f t="shared" si="25"/>
        <v>0</v>
      </c>
      <c r="Q127" s="126"/>
      <c r="R127" s="127">
        <f t="shared" si="26"/>
        <v>0</v>
      </c>
      <c r="T127" s="128">
        <f t="shared" si="27"/>
        <v>0</v>
      </c>
      <c r="U127" s="129" t="str">
        <f>IFERROR(VLOOKUP($S127,References!$B$3:$C$7,2,FALSE),"")</f>
        <v/>
      </c>
      <c r="V127" s="129" t="str">
        <f t="shared" si="28"/>
        <v/>
      </c>
      <c r="W127" s="74" t="str">
        <f>IFERROR(VLOOKUP($O127,'Customer List'!$A$1:$J$488,10,FALSE),"")</f>
        <v/>
      </c>
      <c r="AH127" s="74"/>
    </row>
    <row r="128" spans="1:213">
      <c r="A128" s="125" t="str">
        <f t="shared" si="24"/>
        <v/>
      </c>
      <c r="B128" s="247"/>
      <c r="C128" s="247"/>
      <c r="D128" s="247"/>
      <c r="E128" s="247"/>
      <c r="F128" s="247"/>
      <c r="G128" s="247"/>
      <c r="H128" s="247"/>
      <c r="I128" s="247"/>
      <c r="J128" s="247"/>
      <c r="K128" s="248"/>
      <c r="L128" s="248"/>
      <c r="M128" s="248"/>
      <c r="N128" s="247"/>
      <c r="O128" s="256"/>
      <c r="P128" s="126">
        <f t="shared" si="25"/>
        <v>0</v>
      </c>
      <c r="Q128" s="126"/>
      <c r="R128" s="127">
        <f t="shared" si="26"/>
        <v>0</v>
      </c>
      <c r="T128" s="128">
        <f t="shared" si="27"/>
        <v>0</v>
      </c>
      <c r="U128" s="129" t="str">
        <f>IFERROR(VLOOKUP($S128,References!$B$3:$C$7,2,FALSE),"")</f>
        <v/>
      </c>
      <c r="V128" s="129" t="str">
        <f t="shared" si="28"/>
        <v/>
      </c>
      <c r="W128" s="74" t="str">
        <f>IFERROR(VLOOKUP($O128,'Customer List'!$A$1:$J$488,10,FALSE),"")</f>
        <v/>
      </c>
      <c r="AH128" s="74"/>
    </row>
    <row r="129" spans="1:34">
      <c r="A129" s="125" t="str">
        <f t="shared" si="24"/>
        <v/>
      </c>
      <c r="B129" s="247"/>
      <c r="C129" s="247"/>
      <c r="D129" s="247"/>
      <c r="E129" s="247"/>
      <c r="F129" s="247"/>
      <c r="G129" s="247"/>
      <c r="H129" s="247"/>
      <c r="I129" s="247"/>
      <c r="J129" s="247"/>
      <c r="K129" s="248"/>
      <c r="L129" s="248"/>
      <c r="M129" s="248"/>
      <c r="N129" s="247"/>
      <c r="O129" s="256"/>
      <c r="P129" s="126">
        <f t="shared" si="25"/>
        <v>0</v>
      </c>
      <c r="Q129" s="126"/>
      <c r="R129" s="127">
        <f t="shared" si="26"/>
        <v>0</v>
      </c>
      <c r="T129" s="128">
        <f t="shared" si="27"/>
        <v>0</v>
      </c>
      <c r="U129" s="129" t="str">
        <f>IFERROR(VLOOKUP($S129,References!$B$3:$C$7,2,FALSE),"")</f>
        <v/>
      </c>
      <c r="V129" s="129" t="str">
        <f t="shared" si="28"/>
        <v/>
      </c>
      <c r="W129" s="74" t="str">
        <f>IFERROR(VLOOKUP($O129,'Customer List'!$A$1:$J$488,10,FALSE),"")</f>
        <v/>
      </c>
      <c r="AH129" s="74"/>
    </row>
    <row r="130" spans="1:34" ht="22.35" customHeight="1">
      <c r="A130" s="125" t="str">
        <f t="shared" si="24"/>
        <v/>
      </c>
      <c r="B130" s="247"/>
      <c r="C130" s="247"/>
      <c r="D130" s="247"/>
      <c r="E130" s="247"/>
      <c r="F130" s="247"/>
      <c r="G130" s="247"/>
      <c r="H130" s="247"/>
      <c r="I130" s="247"/>
      <c r="J130" s="247"/>
      <c r="K130" s="248"/>
      <c r="L130" s="248"/>
      <c r="M130" s="248"/>
      <c r="N130" s="247"/>
      <c r="O130" s="256"/>
      <c r="P130" s="126">
        <f t="shared" si="25"/>
        <v>0</v>
      </c>
      <c r="Q130" s="126"/>
      <c r="R130" s="127">
        <f t="shared" si="26"/>
        <v>0</v>
      </c>
      <c r="T130" s="128">
        <f t="shared" si="27"/>
        <v>0</v>
      </c>
      <c r="U130" s="129" t="str">
        <f>IFERROR(VLOOKUP($S130,References!$B$3:$C$7,2,FALSE),"")</f>
        <v/>
      </c>
      <c r="V130" s="129" t="str">
        <f t="shared" si="28"/>
        <v/>
      </c>
      <c r="W130" s="74" t="str">
        <f>IFERROR(VLOOKUP($O130,'Customer List'!$A$1:$J$488,10,FALSE),"")</f>
        <v/>
      </c>
      <c r="AH130" s="74"/>
    </row>
    <row r="131" spans="1:34">
      <c r="A131" s="125" t="str">
        <f t="shared" si="24"/>
        <v/>
      </c>
      <c r="B131" s="247"/>
      <c r="C131" s="247"/>
      <c r="D131" s="247"/>
      <c r="E131" s="247"/>
      <c r="F131" s="247"/>
      <c r="G131" s="247"/>
      <c r="H131" s="247"/>
      <c r="I131" s="247"/>
      <c r="J131" s="247"/>
      <c r="K131" s="248"/>
      <c r="L131" s="248"/>
      <c r="M131" s="248"/>
      <c r="N131" s="247"/>
      <c r="O131" s="256"/>
      <c r="P131" s="126">
        <f t="shared" si="25"/>
        <v>0</v>
      </c>
      <c r="Q131" s="126"/>
      <c r="R131" s="127">
        <f t="shared" si="26"/>
        <v>0</v>
      </c>
      <c r="T131" s="128">
        <f t="shared" si="27"/>
        <v>0</v>
      </c>
      <c r="U131" s="129" t="str">
        <f>IFERROR(VLOOKUP($S131,References!$B$3:$C$7,2,FALSE),"")</f>
        <v/>
      </c>
      <c r="V131" s="129" t="str">
        <f t="shared" si="28"/>
        <v/>
      </c>
      <c r="W131" s="74" t="str">
        <f>IFERROR(VLOOKUP($O131,'Customer List'!$A$1:$J$488,10,FALSE),"")</f>
        <v/>
      </c>
      <c r="AH131" s="74"/>
    </row>
    <row r="132" spans="1:34">
      <c r="A132" s="125" t="str">
        <f t="shared" si="24"/>
        <v/>
      </c>
      <c r="B132" s="247"/>
      <c r="C132" s="247"/>
      <c r="D132" s="247"/>
      <c r="E132" s="247"/>
      <c r="F132" s="247"/>
      <c r="G132" s="247"/>
      <c r="H132" s="247"/>
      <c r="I132" s="247"/>
      <c r="J132" s="247"/>
      <c r="K132" s="248"/>
      <c r="L132" s="248"/>
      <c r="M132" s="248"/>
      <c r="N132" s="247"/>
      <c r="O132" s="256"/>
      <c r="P132" s="126">
        <f t="shared" si="25"/>
        <v>0</v>
      </c>
      <c r="Q132" s="126"/>
      <c r="R132" s="127">
        <f t="shared" si="26"/>
        <v>0</v>
      </c>
      <c r="T132" s="128">
        <f t="shared" si="27"/>
        <v>0</v>
      </c>
      <c r="U132" s="129" t="str">
        <f>IFERROR(VLOOKUP($S132,References!$B$3:$C$7,2,FALSE),"")</f>
        <v/>
      </c>
      <c r="V132" s="129" t="str">
        <f t="shared" si="28"/>
        <v/>
      </c>
      <c r="W132" s="74" t="str">
        <f>IFERROR(VLOOKUP($O132,'Customer List'!$A$1:$J$488,10,FALSE),"")</f>
        <v/>
      </c>
      <c r="AH132" s="74"/>
    </row>
    <row r="133" spans="1:34">
      <c r="A133" s="125" t="str">
        <f t="shared" si="24"/>
        <v/>
      </c>
      <c r="B133" s="247"/>
      <c r="C133" s="247"/>
      <c r="D133" s="247"/>
      <c r="E133" s="247"/>
      <c r="F133" s="247"/>
      <c r="G133" s="247"/>
      <c r="H133" s="247"/>
      <c r="I133" s="247"/>
      <c r="J133" s="247"/>
      <c r="K133" s="248"/>
      <c r="L133" s="248"/>
      <c r="M133" s="248"/>
      <c r="N133" s="247"/>
      <c r="O133" s="256"/>
      <c r="P133" s="126">
        <f t="shared" si="25"/>
        <v>0</v>
      </c>
      <c r="Q133" s="126"/>
      <c r="R133" s="127">
        <f t="shared" si="26"/>
        <v>0</v>
      </c>
      <c r="T133" s="128">
        <f t="shared" si="27"/>
        <v>0</v>
      </c>
      <c r="U133" s="129" t="str">
        <f>IFERROR(VLOOKUP($S133,References!$B$3:$C$7,2,FALSE),"")</f>
        <v/>
      </c>
      <c r="V133" s="129" t="str">
        <f t="shared" si="28"/>
        <v/>
      </c>
      <c r="W133" s="74" t="str">
        <f>IFERROR(VLOOKUP($O133,'Customer List'!$A$1:$J$488,10,FALSE),"")</f>
        <v/>
      </c>
      <c r="AH133" s="74"/>
    </row>
    <row r="134" spans="1:34">
      <c r="A134" s="125" t="str">
        <f t="shared" si="24"/>
        <v/>
      </c>
      <c r="B134" s="247"/>
      <c r="C134" s="247"/>
      <c r="D134" s="247"/>
      <c r="E134" s="247"/>
      <c r="F134" s="247"/>
      <c r="G134" s="247"/>
      <c r="H134" s="247"/>
      <c r="I134" s="247"/>
      <c r="J134" s="247"/>
      <c r="K134" s="248"/>
      <c r="L134" s="248"/>
      <c r="M134" s="248"/>
      <c r="N134" s="247"/>
      <c r="O134" s="256"/>
      <c r="P134" s="126">
        <f t="shared" si="25"/>
        <v>0</v>
      </c>
      <c r="Q134" s="126"/>
      <c r="R134" s="127">
        <f t="shared" si="26"/>
        <v>0</v>
      </c>
      <c r="T134" s="128">
        <f t="shared" si="27"/>
        <v>0</v>
      </c>
      <c r="U134" s="129" t="str">
        <f>IFERROR(VLOOKUP($S134,References!$B$3:$C$7,2,FALSE),"")</f>
        <v/>
      </c>
      <c r="V134" s="129" t="str">
        <f t="shared" si="28"/>
        <v/>
      </c>
      <c r="W134" s="74" t="str">
        <f>IFERROR(VLOOKUP($O134,'Customer List'!$A$1:$J$488,10,FALSE),"")</f>
        <v/>
      </c>
      <c r="AH134" s="74"/>
    </row>
    <row r="135" spans="1:34">
      <c r="A135" s="125" t="str">
        <f t="shared" si="24"/>
        <v/>
      </c>
      <c r="B135" s="247"/>
      <c r="C135" s="247"/>
      <c r="D135" s="247"/>
      <c r="E135" s="247"/>
      <c r="F135" s="247"/>
      <c r="G135" s="247"/>
      <c r="H135" s="247"/>
      <c r="I135" s="247"/>
      <c r="J135" s="247"/>
      <c r="K135" s="248"/>
      <c r="L135" s="248"/>
      <c r="M135" s="248"/>
      <c r="N135" s="247"/>
      <c r="O135" s="256"/>
      <c r="P135" s="126">
        <f t="shared" si="25"/>
        <v>0</v>
      </c>
      <c r="Q135" s="126"/>
      <c r="R135" s="127">
        <f t="shared" si="26"/>
        <v>0</v>
      </c>
      <c r="T135" s="128">
        <f t="shared" si="27"/>
        <v>0</v>
      </c>
      <c r="U135" s="129" t="str">
        <f>IFERROR(VLOOKUP($S135,References!$B$3:$C$7,2,FALSE),"")</f>
        <v/>
      </c>
      <c r="V135" s="129" t="str">
        <f t="shared" si="28"/>
        <v/>
      </c>
      <c r="W135" s="74" t="str">
        <f>IFERROR(VLOOKUP($O135,'Customer List'!$A$1:$J$488,10,FALSE),"")</f>
        <v/>
      </c>
      <c r="AH135" s="74"/>
    </row>
    <row r="136" spans="1:34">
      <c r="A136" s="125" t="str">
        <f t="shared" si="24"/>
        <v/>
      </c>
      <c r="B136" s="247"/>
      <c r="C136" s="247"/>
      <c r="D136" s="247"/>
      <c r="E136" s="247"/>
      <c r="F136" s="247"/>
      <c r="G136" s="247"/>
      <c r="H136" s="247"/>
      <c r="I136" s="247"/>
      <c r="J136" s="247"/>
      <c r="K136" s="248"/>
      <c r="L136" s="248"/>
      <c r="M136" s="248"/>
      <c r="N136" s="247"/>
      <c r="O136" s="256"/>
      <c r="P136" s="126">
        <f t="shared" si="25"/>
        <v>0</v>
      </c>
      <c r="Q136" s="126"/>
      <c r="R136" s="127">
        <f t="shared" si="26"/>
        <v>0</v>
      </c>
      <c r="T136" s="128">
        <f t="shared" si="27"/>
        <v>0</v>
      </c>
      <c r="U136" s="129" t="str">
        <f>IFERROR(VLOOKUP($S136,References!$B$3:$C$7,2,FALSE),"")</f>
        <v/>
      </c>
      <c r="V136" s="129" t="str">
        <f t="shared" si="28"/>
        <v/>
      </c>
      <c r="W136" s="74" t="str">
        <f>IFERROR(VLOOKUP($O136,'Customer List'!$A$1:$J$488,10,FALSE),"")</f>
        <v/>
      </c>
      <c r="AH136" s="74"/>
    </row>
    <row r="137" spans="1:34" ht="18.600000000000001" customHeight="1">
      <c r="A137" s="125" t="str">
        <f t="shared" ref="A137:A200" si="29">O137&amp;S137</f>
        <v/>
      </c>
      <c r="B137" s="247"/>
      <c r="C137" s="247"/>
      <c r="D137" s="247"/>
      <c r="E137" s="247"/>
      <c r="F137" s="247"/>
      <c r="G137" s="247"/>
      <c r="H137" s="247"/>
      <c r="I137" s="247"/>
      <c r="J137" s="247"/>
      <c r="K137" s="248"/>
      <c r="L137" s="248"/>
      <c r="M137" s="248"/>
      <c r="N137" s="247"/>
      <c r="O137" s="256"/>
      <c r="P137" s="126">
        <f t="shared" ref="P137:P200" si="30">INT(L137)</f>
        <v>0</v>
      </c>
      <c r="Q137" s="126"/>
      <c r="R137" s="127">
        <f t="shared" ref="R137:R200" si="31">L137-K137</f>
        <v>0</v>
      </c>
      <c r="T137" s="128">
        <f t="shared" ref="T137:T200" si="32">IF(S137="50 - Cleaning Fee",1,HOUR($R137)+MINUTE(R137)/60)</f>
        <v>0</v>
      </c>
      <c r="U137" s="129" t="str">
        <f>IFERROR(VLOOKUP($S137,References!$B$3:$C$7,2,FALSE),"")</f>
        <v/>
      </c>
      <c r="V137" s="129" t="str">
        <f t="shared" ref="V137:V200" si="33">IF(T137&gt;=8,400,(IFERROR(T137*U137,"")))</f>
        <v/>
      </c>
      <c r="W137" s="74" t="str">
        <f>IFERROR(VLOOKUP($O137,'Customer List'!$A$1:$J$488,10,FALSE),"")</f>
        <v/>
      </c>
      <c r="AH137" s="74"/>
    </row>
    <row r="138" spans="1:34">
      <c r="A138" s="125" t="str">
        <f t="shared" si="29"/>
        <v/>
      </c>
      <c r="B138" s="247"/>
      <c r="C138" s="247"/>
      <c r="D138" s="247"/>
      <c r="E138" s="247"/>
      <c r="F138" s="247"/>
      <c r="G138" s="247"/>
      <c r="H138" s="247"/>
      <c r="I138" s="247"/>
      <c r="J138" s="247"/>
      <c r="K138" s="248"/>
      <c r="L138" s="248"/>
      <c r="M138" s="248"/>
      <c r="N138" s="247"/>
      <c r="O138" s="256"/>
      <c r="P138" s="126">
        <f t="shared" si="30"/>
        <v>0</v>
      </c>
      <c r="Q138" s="126"/>
      <c r="R138" s="127">
        <f t="shared" si="31"/>
        <v>0</v>
      </c>
      <c r="T138" s="128">
        <f t="shared" si="32"/>
        <v>0</v>
      </c>
      <c r="U138" s="129" t="str">
        <f>IFERROR(VLOOKUP($S138,References!$B$3:$C$7,2,FALSE),"")</f>
        <v/>
      </c>
      <c r="V138" s="129" t="str">
        <f t="shared" si="33"/>
        <v/>
      </c>
      <c r="W138" s="74" t="str">
        <f>IFERROR(VLOOKUP($O138,'Customer List'!$A$1:$J$488,10,FALSE),"")</f>
        <v/>
      </c>
      <c r="AH138" s="74"/>
    </row>
    <row r="139" spans="1:34">
      <c r="A139" s="125" t="str">
        <f t="shared" si="29"/>
        <v/>
      </c>
      <c r="B139" s="247"/>
      <c r="C139" s="247"/>
      <c r="D139" s="247"/>
      <c r="E139" s="247"/>
      <c r="F139" s="247"/>
      <c r="G139" s="247"/>
      <c r="H139" s="247"/>
      <c r="I139" s="249"/>
      <c r="J139" s="247"/>
      <c r="K139" s="248"/>
      <c r="L139" s="248"/>
      <c r="M139" s="248"/>
      <c r="N139" s="247"/>
      <c r="O139" s="256"/>
      <c r="P139" s="126">
        <f t="shared" si="30"/>
        <v>0</v>
      </c>
      <c r="Q139" s="126"/>
      <c r="R139" s="127">
        <f t="shared" si="31"/>
        <v>0</v>
      </c>
      <c r="T139" s="128">
        <f t="shared" si="32"/>
        <v>0</v>
      </c>
      <c r="U139" s="129" t="str">
        <f>IFERROR(VLOOKUP($S139,References!$B$3:$C$7,2,FALSE),"")</f>
        <v/>
      </c>
      <c r="V139" s="129" t="str">
        <f t="shared" si="33"/>
        <v/>
      </c>
      <c r="W139" s="74" t="str">
        <f>IFERROR(VLOOKUP($O139,'Customer List'!$A$1:$J$488,10,FALSE),"")</f>
        <v/>
      </c>
      <c r="AH139" s="74"/>
    </row>
    <row r="140" spans="1:34">
      <c r="A140" s="125" t="str">
        <f t="shared" si="29"/>
        <v/>
      </c>
      <c r="B140" s="247"/>
      <c r="C140" s="247"/>
      <c r="D140" s="247"/>
      <c r="E140" s="247"/>
      <c r="F140" s="247"/>
      <c r="G140" s="247"/>
      <c r="H140" s="247"/>
      <c r="I140" s="247"/>
      <c r="J140" s="247"/>
      <c r="K140" s="248"/>
      <c r="L140" s="248"/>
      <c r="M140" s="248"/>
      <c r="N140" s="247"/>
      <c r="O140" s="256"/>
      <c r="P140" s="126">
        <f t="shared" si="30"/>
        <v>0</v>
      </c>
      <c r="Q140" s="126"/>
      <c r="R140" s="127">
        <f t="shared" si="31"/>
        <v>0</v>
      </c>
      <c r="T140" s="128">
        <f t="shared" si="32"/>
        <v>0</v>
      </c>
      <c r="U140" s="129" t="str">
        <f>IFERROR(VLOOKUP($S140,References!$B$3:$C$7,2,FALSE),"")</f>
        <v/>
      </c>
      <c r="V140" s="129" t="str">
        <f t="shared" si="33"/>
        <v/>
      </c>
      <c r="W140" s="74" t="str">
        <f>IFERROR(VLOOKUP($O140,'Customer List'!$A$1:$J$488,10,FALSE),"")</f>
        <v/>
      </c>
      <c r="AH140" s="74"/>
    </row>
    <row r="141" spans="1:34" ht="18" customHeight="1">
      <c r="A141" s="125" t="str">
        <f t="shared" si="29"/>
        <v/>
      </c>
      <c r="B141" s="247"/>
      <c r="C141" s="247"/>
      <c r="D141" s="247"/>
      <c r="E141" s="247"/>
      <c r="F141" s="247"/>
      <c r="G141" s="247"/>
      <c r="H141" s="247"/>
      <c r="I141" s="247"/>
      <c r="J141" s="247"/>
      <c r="K141" s="248"/>
      <c r="L141" s="248"/>
      <c r="M141" s="248"/>
      <c r="N141" s="247"/>
      <c r="O141" s="256"/>
      <c r="P141" s="126">
        <f t="shared" si="30"/>
        <v>0</v>
      </c>
      <c r="Q141" s="126"/>
      <c r="R141" s="127">
        <f t="shared" si="31"/>
        <v>0</v>
      </c>
      <c r="T141" s="128">
        <f t="shared" si="32"/>
        <v>0</v>
      </c>
      <c r="U141" s="129" t="str">
        <f>IFERROR(VLOOKUP($S141,References!$B$3:$C$7,2,FALSE),"")</f>
        <v/>
      </c>
      <c r="V141" s="129" t="str">
        <f t="shared" si="33"/>
        <v/>
      </c>
      <c r="W141" s="74" t="str">
        <f>IFERROR(VLOOKUP($O141,'Customer List'!$A$1:$J$488,10,FALSE),"")</f>
        <v/>
      </c>
      <c r="AH141" s="74"/>
    </row>
    <row r="142" spans="1:34">
      <c r="A142" s="125" t="str">
        <f t="shared" si="29"/>
        <v/>
      </c>
      <c r="B142" s="247"/>
      <c r="C142" s="247"/>
      <c r="D142" s="247"/>
      <c r="E142" s="247"/>
      <c r="F142" s="247"/>
      <c r="G142" s="247"/>
      <c r="H142" s="247"/>
      <c r="I142" s="247"/>
      <c r="J142" s="247"/>
      <c r="K142" s="248"/>
      <c r="L142" s="248"/>
      <c r="M142" s="248"/>
      <c r="N142" s="247"/>
      <c r="O142" s="256"/>
      <c r="P142" s="126">
        <f t="shared" si="30"/>
        <v>0</v>
      </c>
      <c r="Q142" s="126"/>
      <c r="R142" s="127">
        <f t="shared" si="31"/>
        <v>0</v>
      </c>
      <c r="T142" s="128">
        <f t="shared" si="32"/>
        <v>0</v>
      </c>
      <c r="U142" s="129" t="str">
        <f>IFERROR(VLOOKUP($S142,References!$B$3:$C$7,2,FALSE),"")</f>
        <v/>
      </c>
      <c r="V142" s="129" t="str">
        <f t="shared" si="33"/>
        <v/>
      </c>
      <c r="W142" s="74" t="str">
        <f>IFERROR(VLOOKUP($O142,'Customer List'!$A$1:$J$488,10,FALSE),"")</f>
        <v/>
      </c>
      <c r="AH142" s="74"/>
    </row>
    <row r="143" spans="1:34">
      <c r="A143" s="125" t="str">
        <f t="shared" si="29"/>
        <v/>
      </c>
      <c r="B143" s="247"/>
      <c r="C143" s="247"/>
      <c r="D143" s="247"/>
      <c r="E143" s="247"/>
      <c r="F143" s="247"/>
      <c r="G143" s="247"/>
      <c r="H143" s="247"/>
      <c r="I143" s="247"/>
      <c r="J143" s="247"/>
      <c r="K143" s="248"/>
      <c r="L143" s="248"/>
      <c r="M143" s="248"/>
      <c r="N143" s="247"/>
      <c r="O143" s="256"/>
      <c r="P143" s="126">
        <f t="shared" si="30"/>
        <v>0</v>
      </c>
      <c r="Q143" s="126"/>
      <c r="R143" s="127">
        <f t="shared" si="31"/>
        <v>0</v>
      </c>
      <c r="T143" s="128">
        <f t="shared" si="32"/>
        <v>0</v>
      </c>
      <c r="U143" s="129" t="str">
        <f>IFERROR(VLOOKUP($S143,References!$B$3:$C$7,2,FALSE),"")</f>
        <v/>
      </c>
      <c r="V143" s="129" t="str">
        <f t="shared" si="33"/>
        <v/>
      </c>
      <c r="W143" s="74" t="str">
        <f>IFERROR(VLOOKUP($O143,'Customer List'!$A$1:$J$488,10,FALSE),"")</f>
        <v/>
      </c>
      <c r="AH143" s="74"/>
    </row>
    <row r="144" spans="1:34">
      <c r="A144" s="125" t="str">
        <f t="shared" si="29"/>
        <v/>
      </c>
      <c r="B144" s="247"/>
      <c r="C144" s="247"/>
      <c r="D144" s="247"/>
      <c r="E144" s="247"/>
      <c r="F144" s="247"/>
      <c r="G144" s="247"/>
      <c r="H144" s="247"/>
      <c r="I144" s="247"/>
      <c r="J144" s="247"/>
      <c r="K144" s="248"/>
      <c r="L144" s="248"/>
      <c r="M144" s="248"/>
      <c r="N144" s="247"/>
      <c r="O144" s="247"/>
      <c r="P144" s="126">
        <f t="shared" si="30"/>
        <v>0</v>
      </c>
      <c r="Q144" s="126"/>
      <c r="R144" s="127">
        <f t="shared" si="31"/>
        <v>0</v>
      </c>
      <c r="T144" s="128">
        <f t="shared" si="32"/>
        <v>0</v>
      </c>
      <c r="U144" s="129" t="str">
        <f>IFERROR(VLOOKUP($S144,References!$B$3:$C$7,2,FALSE),"")</f>
        <v/>
      </c>
      <c r="V144" s="129" t="str">
        <f t="shared" si="33"/>
        <v/>
      </c>
      <c r="W144" s="74" t="str">
        <f>IFERROR(VLOOKUP($O144,'Customer List'!$A$1:$J$488,10,FALSE),"")</f>
        <v/>
      </c>
      <c r="AH144" s="74"/>
    </row>
    <row r="145" spans="1:375">
      <c r="A145" s="125" t="str">
        <f t="shared" si="29"/>
        <v/>
      </c>
      <c r="B145" s="247"/>
      <c r="C145" s="247"/>
      <c r="D145" s="247"/>
      <c r="E145" s="247"/>
      <c r="F145" s="247"/>
      <c r="G145" s="247"/>
      <c r="H145" s="247"/>
      <c r="I145" s="247"/>
      <c r="J145" s="247"/>
      <c r="K145" s="248"/>
      <c r="L145" s="248"/>
      <c r="M145" s="248"/>
      <c r="N145" s="247"/>
      <c r="O145" s="247"/>
      <c r="P145" s="126">
        <f t="shared" si="30"/>
        <v>0</v>
      </c>
      <c r="Q145" s="126"/>
      <c r="R145" s="127">
        <f t="shared" si="31"/>
        <v>0</v>
      </c>
      <c r="T145" s="128">
        <f t="shared" si="32"/>
        <v>0</v>
      </c>
      <c r="U145" s="129" t="str">
        <f>IFERROR(VLOOKUP($S145,References!$B$3:$C$7,2,FALSE),"")</f>
        <v/>
      </c>
      <c r="V145" s="129" t="str">
        <f t="shared" si="33"/>
        <v/>
      </c>
      <c r="W145" s="74" t="str">
        <f>IFERROR(VLOOKUP($O145,'Customer List'!$A$1:$J$488,10,FALSE),"")</f>
        <v/>
      </c>
      <c r="AH145" s="74"/>
    </row>
    <row r="146" spans="1:375">
      <c r="A146" s="125" t="str">
        <f t="shared" si="29"/>
        <v/>
      </c>
      <c r="B146" s="247"/>
      <c r="C146" s="247"/>
      <c r="D146" s="247"/>
      <c r="E146" s="247"/>
      <c r="F146" s="247"/>
      <c r="G146" s="247"/>
      <c r="H146" s="247"/>
      <c r="I146" s="247"/>
      <c r="J146" s="247"/>
      <c r="K146" s="248"/>
      <c r="L146" s="248"/>
      <c r="M146" s="248"/>
      <c r="N146" s="247"/>
      <c r="O146" s="247"/>
      <c r="P146" s="126">
        <f t="shared" si="30"/>
        <v>0</v>
      </c>
      <c r="Q146" s="126"/>
      <c r="R146" s="127">
        <f t="shared" si="31"/>
        <v>0</v>
      </c>
      <c r="T146" s="128">
        <f t="shared" si="32"/>
        <v>0</v>
      </c>
      <c r="U146" s="129" t="str">
        <f>IFERROR(VLOOKUP($S146,References!$B$3:$C$7,2,FALSE),"")</f>
        <v/>
      </c>
      <c r="V146" s="129" t="str">
        <f t="shared" si="33"/>
        <v/>
      </c>
      <c r="W146" s="74" t="str">
        <f>IFERROR(VLOOKUP($O146,'Customer List'!$A$1:$J$488,10,FALSE),"")</f>
        <v/>
      </c>
      <c r="AH146" s="74"/>
    </row>
    <row r="147" spans="1:375">
      <c r="A147" s="125" t="str">
        <f t="shared" si="29"/>
        <v/>
      </c>
      <c r="B147" s="247"/>
      <c r="C147" s="247"/>
      <c r="D147" s="247"/>
      <c r="E147" s="247"/>
      <c r="F147" s="247"/>
      <c r="G147" s="247"/>
      <c r="H147" s="247"/>
      <c r="I147" s="247"/>
      <c r="J147" s="247"/>
      <c r="K147" s="248"/>
      <c r="L147" s="248"/>
      <c r="M147" s="248"/>
      <c r="N147" s="247"/>
      <c r="O147" s="247"/>
      <c r="P147" s="126">
        <f t="shared" si="30"/>
        <v>0</v>
      </c>
      <c r="Q147" s="126"/>
      <c r="R147" s="127">
        <f t="shared" si="31"/>
        <v>0</v>
      </c>
      <c r="T147" s="128">
        <f t="shared" si="32"/>
        <v>0</v>
      </c>
      <c r="U147" s="129" t="str">
        <f>IFERROR(VLOOKUP($S147,References!$B$3:$C$7,2,FALSE),"")</f>
        <v/>
      </c>
      <c r="V147" s="129" t="str">
        <f t="shared" si="33"/>
        <v/>
      </c>
      <c r="W147" s="74" t="str">
        <f>IFERROR(VLOOKUP($O147,'Customer List'!$A$1:$J$488,10,FALSE),"")</f>
        <v/>
      </c>
      <c r="AH147" s="74"/>
    </row>
    <row r="148" spans="1:375" ht="29.4" customHeight="1">
      <c r="A148" s="125" t="str">
        <f t="shared" si="29"/>
        <v/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8"/>
      <c r="L148" s="248"/>
      <c r="M148" s="248"/>
      <c r="N148" s="247"/>
      <c r="O148" s="247"/>
      <c r="P148" s="126">
        <f t="shared" si="30"/>
        <v>0</v>
      </c>
      <c r="Q148" s="126"/>
      <c r="R148" s="127">
        <f t="shared" si="31"/>
        <v>0</v>
      </c>
      <c r="T148" s="128">
        <f t="shared" si="32"/>
        <v>0</v>
      </c>
      <c r="U148" s="129" t="str">
        <f>IFERROR(VLOOKUP($S148,References!$B$3:$C$7,2,FALSE),"")</f>
        <v/>
      </c>
      <c r="V148" s="129" t="str">
        <f t="shared" si="33"/>
        <v/>
      </c>
      <c r="W148" s="74" t="str">
        <f>IFERROR(VLOOKUP($O148,'Customer List'!$A$1:$J$488,10,FALSE),"")</f>
        <v/>
      </c>
      <c r="AH148" s="74"/>
    </row>
    <row r="149" spans="1:375">
      <c r="A149" s="125" t="str">
        <f t="shared" si="29"/>
        <v/>
      </c>
      <c r="B149" s="247"/>
      <c r="C149" s="247"/>
      <c r="D149" s="247"/>
      <c r="E149" s="247"/>
      <c r="F149" s="247"/>
      <c r="G149" s="247"/>
      <c r="H149" s="247"/>
      <c r="I149" s="247"/>
      <c r="J149" s="247"/>
      <c r="K149" s="248"/>
      <c r="L149" s="248"/>
      <c r="M149" s="248"/>
      <c r="N149" s="247"/>
      <c r="O149" s="247"/>
      <c r="P149" s="126">
        <f t="shared" si="30"/>
        <v>0</v>
      </c>
      <c r="Q149" s="126"/>
      <c r="R149" s="127">
        <f t="shared" si="31"/>
        <v>0</v>
      </c>
      <c r="T149" s="128">
        <f t="shared" si="32"/>
        <v>0</v>
      </c>
      <c r="U149" s="129" t="str">
        <f>IFERROR(VLOOKUP($S149,References!$B$3:$C$7,2,FALSE),"")</f>
        <v/>
      </c>
      <c r="V149" s="129" t="str">
        <f t="shared" si="33"/>
        <v/>
      </c>
      <c r="W149" s="74" t="str">
        <f>IFERROR(VLOOKUP($O149,'Customer List'!$A$1:$J$488,10,FALSE),"")</f>
        <v/>
      </c>
      <c r="AH149" s="74"/>
    </row>
    <row r="150" spans="1:375">
      <c r="A150" s="125" t="str">
        <f t="shared" si="29"/>
        <v/>
      </c>
      <c r="B150" s="247"/>
      <c r="C150" s="247"/>
      <c r="D150" s="247"/>
      <c r="E150" s="247"/>
      <c r="F150" s="247"/>
      <c r="G150" s="247"/>
      <c r="H150" s="247"/>
      <c r="I150" s="247"/>
      <c r="J150" s="247"/>
      <c r="K150" s="248"/>
      <c r="L150" s="248"/>
      <c r="M150" s="248"/>
      <c r="N150" s="247"/>
      <c r="O150" s="247"/>
      <c r="P150" s="126">
        <f t="shared" si="30"/>
        <v>0</v>
      </c>
      <c r="Q150" s="126"/>
      <c r="R150" s="127">
        <f t="shared" si="31"/>
        <v>0</v>
      </c>
      <c r="T150" s="128">
        <f t="shared" si="32"/>
        <v>0</v>
      </c>
      <c r="U150" s="129" t="str">
        <f>IFERROR(VLOOKUP($S150,References!$B$3:$C$7,2,FALSE),"")</f>
        <v/>
      </c>
      <c r="V150" s="129" t="str">
        <f t="shared" si="33"/>
        <v/>
      </c>
      <c r="W150" s="74" t="str">
        <f>IFERROR(VLOOKUP($O150,'Customer List'!$A$1:$J$488,10,FALSE),"")</f>
        <v/>
      </c>
      <c r="AH150" s="74"/>
    </row>
    <row r="151" spans="1:375">
      <c r="A151" s="125" t="str">
        <f t="shared" si="29"/>
        <v/>
      </c>
      <c r="B151" s="247"/>
      <c r="C151" s="247"/>
      <c r="D151" s="247"/>
      <c r="E151" s="247"/>
      <c r="F151" s="247"/>
      <c r="G151" s="247"/>
      <c r="H151" s="247"/>
      <c r="I151" s="247"/>
      <c r="J151" s="247"/>
      <c r="K151" s="248"/>
      <c r="L151" s="248"/>
      <c r="M151" s="248"/>
      <c r="N151" s="247"/>
      <c r="O151" s="247"/>
      <c r="P151" s="126">
        <f t="shared" si="30"/>
        <v>0</v>
      </c>
      <c r="Q151" s="126"/>
      <c r="R151" s="127">
        <f t="shared" si="31"/>
        <v>0</v>
      </c>
      <c r="T151" s="128">
        <f t="shared" si="32"/>
        <v>0</v>
      </c>
      <c r="U151" s="129" t="str">
        <f>IFERROR(VLOOKUP($S151,References!$B$3:$C$7,2,FALSE),"")</f>
        <v/>
      </c>
      <c r="V151" s="129" t="str">
        <f t="shared" si="33"/>
        <v/>
      </c>
      <c r="W151" s="74" t="str">
        <f>IFERROR(VLOOKUP($O151,'Customer List'!$A$1:$J$488,10,FALSE),"")</f>
        <v/>
      </c>
      <c r="AH151" s="74"/>
    </row>
    <row r="152" spans="1:375" s="122" customFormat="1" ht="20.399999999999999" customHeight="1">
      <c r="A152" s="125" t="str">
        <f t="shared" si="29"/>
        <v/>
      </c>
      <c r="B152" s="247"/>
      <c r="C152" s="247"/>
      <c r="D152" s="247"/>
      <c r="E152" s="247"/>
      <c r="F152" s="247"/>
      <c r="G152" s="247"/>
      <c r="H152" s="247"/>
      <c r="I152" s="247"/>
      <c r="J152" s="247"/>
      <c r="K152" s="248"/>
      <c r="L152" s="248"/>
      <c r="M152" s="248"/>
      <c r="N152" s="247"/>
      <c r="O152" s="247"/>
      <c r="P152" s="126">
        <f t="shared" si="30"/>
        <v>0</v>
      </c>
      <c r="Q152" s="126"/>
      <c r="R152" s="127">
        <f t="shared" si="31"/>
        <v>0</v>
      </c>
      <c r="T152" s="128">
        <f t="shared" si="32"/>
        <v>0</v>
      </c>
      <c r="U152" s="129" t="str">
        <f>IFERROR(VLOOKUP($S152,References!$B$3:$C$7,2,FALSE),"")</f>
        <v/>
      </c>
      <c r="V152" s="129" t="str">
        <f t="shared" si="33"/>
        <v/>
      </c>
      <c r="W152" s="74" t="str">
        <f>IFERROR(VLOOKUP($O152,'Customer List'!$A$1:$J$488,10,FALSE),"")</f>
        <v/>
      </c>
      <c r="X152" s="123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4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  <c r="BC152" s="132"/>
      <c r="BD152" s="132"/>
      <c r="BE152" s="132"/>
      <c r="BF152" s="132"/>
      <c r="BG152" s="132"/>
      <c r="BH152" s="132"/>
      <c r="BI152" s="132"/>
      <c r="BJ152" s="132"/>
      <c r="BK152" s="132"/>
      <c r="BL152" s="132"/>
      <c r="BM152" s="132"/>
      <c r="BN152" s="132"/>
      <c r="BO152" s="132"/>
      <c r="BP152" s="132"/>
      <c r="BQ152" s="132"/>
      <c r="BR152" s="132"/>
      <c r="BS152" s="132"/>
      <c r="BT152" s="132"/>
      <c r="BU152" s="132"/>
      <c r="BV152" s="132"/>
      <c r="BW152" s="132"/>
      <c r="BX152" s="132"/>
      <c r="BY152" s="132"/>
      <c r="BZ152" s="132"/>
      <c r="CA152" s="132"/>
      <c r="CB152" s="132"/>
      <c r="CC152" s="132"/>
      <c r="CD152" s="132"/>
      <c r="CE152" s="132"/>
      <c r="CF152" s="132"/>
      <c r="CG152" s="132"/>
      <c r="CH152" s="132"/>
      <c r="CI152" s="132"/>
      <c r="CJ152" s="132"/>
      <c r="CK152" s="132"/>
      <c r="CL152" s="132"/>
      <c r="CM152" s="132"/>
      <c r="CN152" s="132"/>
      <c r="CO152" s="132"/>
      <c r="CP152" s="132"/>
      <c r="CQ152" s="132"/>
      <c r="CR152" s="132"/>
      <c r="CS152" s="132"/>
      <c r="CT152" s="132"/>
      <c r="CU152" s="132"/>
      <c r="CV152" s="132"/>
      <c r="CW152" s="132"/>
      <c r="CX152" s="132"/>
      <c r="CY152" s="132"/>
      <c r="CZ152" s="132"/>
      <c r="DA152" s="132"/>
      <c r="DB152" s="132"/>
      <c r="DC152" s="132"/>
      <c r="DD152" s="132"/>
      <c r="DE152" s="132"/>
      <c r="DF152" s="132"/>
      <c r="DG152" s="132"/>
      <c r="DH152" s="132"/>
      <c r="DI152" s="132"/>
      <c r="DJ152" s="132"/>
      <c r="DK152" s="132"/>
      <c r="DL152" s="132"/>
      <c r="DM152" s="132"/>
      <c r="DN152" s="132"/>
      <c r="DO152" s="132"/>
      <c r="DP152" s="132"/>
      <c r="DQ152" s="132"/>
      <c r="DR152" s="132"/>
      <c r="DS152" s="132"/>
      <c r="DT152" s="132"/>
      <c r="DU152" s="132"/>
      <c r="DV152" s="132"/>
      <c r="DW152" s="132"/>
      <c r="DX152" s="132"/>
      <c r="DY152" s="132"/>
      <c r="DZ152" s="132"/>
      <c r="EA152" s="132"/>
      <c r="EB152" s="132"/>
      <c r="EC152" s="132"/>
      <c r="ED152" s="132"/>
      <c r="EE152" s="132"/>
      <c r="EF152" s="132"/>
      <c r="EG152" s="132"/>
      <c r="EH152" s="132"/>
      <c r="EI152" s="132"/>
      <c r="EJ152" s="132"/>
      <c r="EK152" s="132"/>
      <c r="EL152" s="132"/>
      <c r="EM152" s="132"/>
      <c r="EN152" s="132"/>
      <c r="EO152" s="132"/>
      <c r="EP152" s="132"/>
      <c r="EQ152" s="132"/>
      <c r="ER152" s="132"/>
      <c r="ES152" s="132"/>
      <c r="ET152" s="132"/>
      <c r="EU152" s="132"/>
      <c r="EV152" s="132"/>
      <c r="EW152" s="132"/>
      <c r="EX152" s="132"/>
      <c r="EY152" s="132"/>
      <c r="EZ152" s="132"/>
      <c r="FA152" s="132"/>
      <c r="FB152" s="132"/>
      <c r="FC152" s="132"/>
      <c r="FD152" s="132"/>
      <c r="FE152" s="132"/>
      <c r="FF152" s="132"/>
      <c r="FG152" s="132"/>
      <c r="FH152" s="132"/>
      <c r="FI152" s="132"/>
      <c r="FJ152" s="132"/>
      <c r="FK152" s="132"/>
      <c r="FL152" s="132"/>
      <c r="FM152" s="132"/>
      <c r="FN152" s="132"/>
      <c r="FO152" s="132"/>
      <c r="FP152" s="132"/>
      <c r="FQ152" s="132"/>
      <c r="FR152" s="132"/>
      <c r="FS152" s="132"/>
      <c r="FT152" s="132"/>
      <c r="FU152" s="132"/>
      <c r="FV152" s="132"/>
      <c r="FW152" s="132"/>
      <c r="FX152" s="132"/>
      <c r="FY152" s="132"/>
      <c r="FZ152" s="132"/>
      <c r="GA152" s="132"/>
      <c r="GB152" s="132"/>
      <c r="GC152" s="132"/>
      <c r="GD152" s="132"/>
      <c r="GE152" s="132"/>
      <c r="GF152" s="132"/>
      <c r="GG152" s="132"/>
      <c r="GH152" s="132"/>
      <c r="GI152" s="132"/>
      <c r="GJ152" s="132"/>
      <c r="GK152" s="132"/>
      <c r="GL152" s="132"/>
      <c r="GM152" s="132"/>
      <c r="GN152" s="132"/>
      <c r="GO152" s="132"/>
      <c r="GP152" s="132"/>
      <c r="GQ152" s="132"/>
      <c r="GR152" s="132"/>
      <c r="GS152" s="132"/>
      <c r="GT152" s="132"/>
      <c r="GU152" s="132"/>
      <c r="GV152" s="132"/>
      <c r="GW152" s="132"/>
      <c r="GX152" s="132"/>
      <c r="GY152" s="132"/>
      <c r="GZ152" s="132"/>
      <c r="HA152" s="132"/>
      <c r="HB152" s="132"/>
      <c r="HC152" s="132"/>
      <c r="HD152" s="132"/>
      <c r="HE152" s="132"/>
      <c r="HF152" s="132"/>
      <c r="HG152" s="132"/>
      <c r="HH152" s="132"/>
      <c r="HI152" s="132"/>
      <c r="HJ152" s="132"/>
      <c r="HK152" s="132"/>
      <c r="HL152" s="132"/>
      <c r="HM152" s="132"/>
      <c r="HN152" s="132"/>
      <c r="HO152" s="132"/>
      <c r="HP152" s="132"/>
      <c r="HQ152" s="132"/>
      <c r="HR152" s="132"/>
      <c r="HS152" s="132"/>
      <c r="HT152" s="132"/>
      <c r="HU152" s="132"/>
      <c r="HV152" s="132"/>
      <c r="HW152" s="132"/>
      <c r="HX152" s="132"/>
      <c r="HY152" s="132"/>
      <c r="HZ152" s="132"/>
      <c r="IA152" s="132"/>
      <c r="IB152" s="132"/>
      <c r="IC152" s="132"/>
      <c r="ID152" s="132"/>
      <c r="IE152" s="132"/>
      <c r="IF152" s="132"/>
      <c r="IG152" s="132"/>
      <c r="IH152" s="132"/>
      <c r="II152" s="132"/>
      <c r="IJ152" s="132"/>
      <c r="IK152" s="132"/>
      <c r="IL152" s="132"/>
      <c r="IM152" s="132"/>
      <c r="IN152" s="132"/>
      <c r="IO152" s="132"/>
      <c r="IP152" s="132"/>
      <c r="IQ152" s="132"/>
      <c r="IR152" s="132"/>
      <c r="IS152" s="132"/>
      <c r="IT152" s="132"/>
      <c r="IU152" s="132"/>
      <c r="IV152" s="132"/>
      <c r="IW152" s="132"/>
      <c r="IX152" s="132"/>
      <c r="IY152" s="132"/>
      <c r="IZ152" s="132"/>
      <c r="JA152" s="132"/>
      <c r="JB152" s="132"/>
      <c r="JC152" s="132"/>
      <c r="JD152" s="132"/>
      <c r="JE152" s="132"/>
      <c r="JF152" s="132"/>
      <c r="JG152" s="132"/>
      <c r="JH152" s="132"/>
      <c r="JI152" s="132"/>
      <c r="JJ152" s="132"/>
      <c r="JK152" s="132"/>
      <c r="JL152" s="132"/>
      <c r="JM152" s="132"/>
      <c r="JN152" s="132"/>
      <c r="JO152" s="132"/>
      <c r="JP152" s="132"/>
      <c r="JQ152" s="132"/>
      <c r="JR152" s="132"/>
      <c r="JS152" s="132"/>
      <c r="JT152" s="132"/>
      <c r="JU152" s="132"/>
      <c r="JV152" s="132"/>
      <c r="JW152" s="132"/>
      <c r="JX152" s="132"/>
      <c r="JY152" s="132"/>
      <c r="JZ152" s="132"/>
      <c r="KA152" s="132"/>
      <c r="KB152" s="132"/>
      <c r="KC152" s="132"/>
      <c r="KD152" s="132"/>
      <c r="KE152" s="132"/>
      <c r="KF152" s="132"/>
      <c r="KG152" s="132"/>
      <c r="KH152" s="132"/>
      <c r="KI152" s="132"/>
      <c r="KJ152" s="132"/>
      <c r="KK152" s="132"/>
      <c r="KL152" s="132"/>
      <c r="KM152" s="132"/>
      <c r="KN152" s="132"/>
      <c r="KO152" s="132"/>
      <c r="KP152" s="132"/>
      <c r="KQ152" s="132"/>
      <c r="KR152" s="132"/>
      <c r="KS152" s="132"/>
      <c r="KT152" s="132"/>
      <c r="KU152" s="132"/>
      <c r="KV152" s="132"/>
      <c r="KW152" s="132"/>
      <c r="KX152" s="132"/>
      <c r="KY152" s="132"/>
      <c r="KZ152" s="132"/>
      <c r="LA152" s="132"/>
      <c r="LB152" s="132"/>
      <c r="LC152" s="132"/>
      <c r="LD152" s="132"/>
      <c r="LE152" s="132"/>
      <c r="LF152" s="132"/>
      <c r="LG152" s="132"/>
      <c r="LH152" s="132"/>
      <c r="LI152" s="132"/>
      <c r="LJ152" s="132"/>
      <c r="LK152" s="132"/>
      <c r="LL152" s="132"/>
      <c r="LM152" s="132"/>
      <c r="LN152" s="132"/>
      <c r="LO152" s="132"/>
      <c r="LP152" s="132"/>
      <c r="LQ152" s="132"/>
      <c r="LR152" s="132"/>
      <c r="LS152" s="132"/>
      <c r="LT152" s="132"/>
      <c r="LU152" s="132"/>
      <c r="LV152" s="132"/>
      <c r="LW152" s="132"/>
      <c r="LX152" s="132"/>
      <c r="LY152" s="132"/>
      <c r="LZ152" s="132"/>
      <c r="MA152" s="132"/>
      <c r="MB152" s="132"/>
      <c r="MC152" s="132"/>
      <c r="MD152" s="132"/>
      <c r="ME152" s="132"/>
      <c r="MF152" s="132"/>
      <c r="MG152" s="132"/>
      <c r="MH152" s="132"/>
      <c r="MI152" s="132"/>
      <c r="MJ152" s="132"/>
      <c r="MK152" s="132"/>
      <c r="ML152" s="132"/>
      <c r="MM152" s="132"/>
      <c r="MN152" s="132"/>
      <c r="MO152" s="132"/>
      <c r="MP152" s="132"/>
      <c r="MQ152" s="132"/>
      <c r="MR152" s="132"/>
      <c r="MS152" s="132"/>
      <c r="MT152" s="132"/>
      <c r="MU152" s="132"/>
      <c r="MV152" s="132"/>
      <c r="MW152" s="132"/>
      <c r="MX152" s="132"/>
      <c r="MY152" s="132"/>
      <c r="MZ152" s="132"/>
      <c r="NA152" s="132"/>
      <c r="NB152" s="132"/>
      <c r="NC152" s="132"/>
      <c r="ND152" s="132"/>
      <c r="NE152" s="132"/>
      <c r="NF152" s="132"/>
      <c r="NG152" s="132"/>
      <c r="NH152" s="132"/>
      <c r="NI152" s="132"/>
      <c r="NJ152" s="132"/>
      <c r="NK152" s="132"/>
    </row>
    <row r="153" spans="1:375" s="122" customFormat="1">
      <c r="A153" s="125" t="str">
        <f t="shared" si="29"/>
        <v/>
      </c>
      <c r="B153" s="247"/>
      <c r="C153" s="247"/>
      <c r="D153" s="247"/>
      <c r="E153" s="247"/>
      <c r="F153" s="247"/>
      <c r="G153" s="247"/>
      <c r="H153" s="247"/>
      <c r="I153" s="247"/>
      <c r="J153" s="247"/>
      <c r="K153" s="248"/>
      <c r="L153" s="248"/>
      <c r="M153" s="248"/>
      <c r="N153" s="247"/>
      <c r="O153" s="247"/>
      <c r="P153" s="126">
        <f t="shared" si="30"/>
        <v>0</v>
      </c>
      <c r="Q153" s="126"/>
      <c r="R153" s="127">
        <f t="shared" si="31"/>
        <v>0</v>
      </c>
      <c r="T153" s="128">
        <f t="shared" si="32"/>
        <v>0</v>
      </c>
      <c r="U153" s="129" t="str">
        <f>IFERROR(VLOOKUP($S153,References!$B$3:$C$7,2,FALSE),"")</f>
        <v/>
      </c>
      <c r="V153" s="129" t="str">
        <f t="shared" si="33"/>
        <v/>
      </c>
      <c r="W153" s="74" t="str">
        <f>IFERROR(VLOOKUP($O153,'Customer List'!$A$1:$J$488,10,FALSE),"")</f>
        <v/>
      </c>
      <c r="X153" s="123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4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  <c r="BC153" s="132"/>
      <c r="BD153" s="132"/>
      <c r="BE153" s="132"/>
      <c r="BF153" s="132"/>
      <c r="BG153" s="132"/>
      <c r="BH153" s="132"/>
      <c r="BI153" s="132"/>
      <c r="BJ153" s="132"/>
      <c r="BK153" s="132"/>
      <c r="BL153" s="132"/>
      <c r="BM153" s="132"/>
      <c r="BN153" s="132"/>
      <c r="BO153" s="132"/>
      <c r="BP153" s="132"/>
      <c r="BQ153" s="132"/>
      <c r="BR153" s="132"/>
      <c r="BS153" s="132"/>
      <c r="BT153" s="132"/>
      <c r="BU153" s="132"/>
      <c r="BV153" s="132"/>
      <c r="BW153" s="132"/>
      <c r="BX153" s="132"/>
      <c r="BY153" s="132"/>
      <c r="BZ153" s="132"/>
      <c r="CA153" s="132"/>
      <c r="CB153" s="132"/>
      <c r="CC153" s="132"/>
      <c r="CD153" s="132"/>
      <c r="CE153" s="132"/>
      <c r="CF153" s="132"/>
      <c r="CG153" s="132"/>
      <c r="CH153" s="132"/>
      <c r="CI153" s="132"/>
      <c r="CJ153" s="132"/>
      <c r="CK153" s="132"/>
      <c r="CL153" s="132"/>
      <c r="CM153" s="132"/>
      <c r="CN153" s="132"/>
      <c r="CO153" s="132"/>
      <c r="CP153" s="132"/>
      <c r="CQ153" s="132"/>
      <c r="CR153" s="132"/>
      <c r="CS153" s="132"/>
      <c r="CT153" s="132"/>
      <c r="CU153" s="132"/>
      <c r="CV153" s="132"/>
      <c r="CW153" s="132"/>
      <c r="CX153" s="132"/>
      <c r="CY153" s="132"/>
      <c r="CZ153" s="132"/>
      <c r="DA153" s="132"/>
      <c r="DB153" s="132"/>
      <c r="DC153" s="132"/>
      <c r="DD153" s="132"/>
      <c r="DE153" s="132"/>
      <c r="DF153" s="132"/>
      <c r="DG153" s="132"/>
      <c r="DH153" s="132"/>
      <c r="DI153" s="132"/>
      <c r="DJ153" s="132"/>
      <c r="DK153" s="132"/>
      <c r="DL153" s="132"/>
      <c r="DM153" s="132"/>
      <c r="DN153" s="132"/>
      <c r="DO153" s="132"/>
      <c r="DP153" s="132"/>
      <c r="DQ153" s="132"/>
      <c r="DR153" s="132"/>
      <c r="DS153" s="132"/>
      <c r="DT153" s="132"/>
      <c r="DU153" s="132"/>
      <c r="DV153" s="132"/>
      <c r="DW153" s="132"/>
      <c r="DX153" s="132"/>
      <c r="DY153" s="132"/>
      <c r="DZ153" s="132"/>
      <c r="EA153" s="132"/>
      <c r="EB153" s="132"/>
      <c r="EC153" s="132"/>
      <c r="ED153" s="132"/>
      <c r="EE153" s="132"/>
      <c r="EF153" s="132"/>
      <c r="EG153" s="132"/>
      <c r="EH153" s="132"/>
      <c r="EI153" s="132"/>
      <c r="EJ153" s="132"/>
      <c r="EK153" s="132"/>
      <c r="EL153" s="132"/>
      <c r="EM153" s="132"/>
      <c r="EN153" s="132"/>
      <c r="EO153" s="132"/>
      <c r="EP153" s="132"/>
      <c r="EQ153" s="132"/>
      <c r="ER153" s="132"/>
      <c r="ES153" s="132"/>
      <c r="ET153" s="132"/>
      <c r="EU153" s="132"/>
      <c r="EV153" s="132"/>
      <c r="EW153" s="132"/>
      <c r="EX153" s="132"/>
      <c r="EY153" s="132"/>
      <c r="EZ153" s="132"/>
      <c r="FA153" s="132"/>
      <c r="FB153" s="132"/>
      <c r="FC153" s="132"/>
      <c r="FD153" s="132"/>
      <c r="FE153" s="132"/>
      <c r="FF153" s="132"/>
      <c r="FG153" s="132"/>
      <c r="FH153" s="132"/>
      <c r="FI153" s="132"/>
      <c r="FJ153" s="132"/>
      <c r="FK153" s="132"/>
      <c r="FL153" s="132"/>
      <c r="FM153" s="132"/>
      <c r="FN153" s="132"/>
      <c r="FO153" s="132"/>
      <c r="FP153" s="132"/>
      <c r="FQ153" s="132"/>
      <c r="FR153" s="132"/>
      <c r="FS153" s="132"/>
      <c r="FT153" s="132"/>
      <c r="FU153" s="132"/>
      <c r="FV153" s="132"/>
      <c r="FW153" s="132"/>
      <c r="FX153" s="132"/>
      <c r="FY153" s="132"/>
      <c r="FZ153" s="132"/>
      <c r="GA153" s="132"/>
      <c r="GB153" s="132"/>
      <c r="GC153" s="132"/>
      <c r="GD153" s="132"/>
      <c r="GE153" s="132"/>
      <c r="GF153" s="132"/>
      <c r="GG153" s="132"/>
      <c r="GH153" s="132"/>
      <c r="GI153" s="132"/>
      <c r="GJ153" s="132"/>
      <c r="GK153" s="132"/>
      <c r="GL153" s="132"/>
      <c r="GM153" s="132"/>
      <c r="GN153" s="132"/>
      <c r="GO153" s="132"/>
      <c r="GP153" s="132"/>
      <c r="GQ153" s="132"/>
      <c r="GR153" s="132"/>
      <c r="GS153" s="132"/>
      <c r="GT153" s="132"/>
      <c r="GU153" s="132"/>
      <c r="GV153" s="132"/>
      <c r="GW153" s="132"/>
      <c r="GX153" s="132"/>
      <c r="GY153" s="132"/>
      <c r="GZ153" s="132"/>
      <c r="HA153" s="132"/>
      <c r="HB153" s="132"/>
      <c r="HC153" s="132"/>
      <c r="HD153" s="132"/>
      <c r="HE153" s="132"/>
      <c r="HF153" s="132"/>
      <c r="HG153" s="132"/>
      <c r="HH153" s="132"/>
      <c r="HI153" s="132"/>
      <c r="HJ153" s="132"/>
      <c r="HK153" s="132"/>
      <c r="HL153" s="132"/>
      <c r="HM153" s="132"/>
      <c r="HN153" s="132"/>
      <c r="HO153" s="132"/>
      <c r="HP153" s="132"/>
      <c r="HQ153" s="132"/>
      <c r="HR153" s="132"/>
      <c r="HS153" s="132"/>
      <c r="HT153" s="132"/>
      <c r="HU153" s="132"/>
      <c r="HV153" s="132"/>
      <c r="HW153" s="132"/>
      <c r="HX153" s="132"/>
      <c r="HY153" s="132"/>
      <c r="HZ153" s="132"/>
      <c r="IA153" s="132"/>
      <c r="IB153" s="132"/>
      <c r="IC153" s="132"/>
      <c r="ID153" s="132"/>
      <c r="IE153" s="132"/>
      <c r="IF153" s="132"/>
      <c r="IG153" s="132"/>
      <c r="IH153" s="132"/>
      <c r="II153" s="132"/>
      <c r="IJ153" s="132"/>
      <c r="IK153" s="132"/>
      <c r="IL153" s="132"/>
      <c r="IM153" s="132"/>
      <c r="IN153" s="132"/>
      <c r="IO153" s="132"/>
      <c r="IP153" s="132"/>
      <c r="IQ153" s="132"/>
      <c r="IR153" s="132"/>
      <c r="IS153" s="132"/>
      <c r="IT153" s="132"/>
      <c r="IU153" s="132"/>
      <c r="IV153" s="132"/>
      <c r="IW153" s="132"/>
      <c r="IX153" s="132"/>
      <c r="IY153" s="132"/>
      <c r="IZ153" s="132"/>
      <c r="JA153" s="132"/>
      <c r="JB153" s="132"/>
      <c r="JC153" s="132"/>
      <c r="JD153" s="132"/>
      <c r="JE153" s="132"/>
      <c r="JF153" s="132"/>
      <c r="JG153" s="132"/>
      <c r="JH153" s="132"/>
      <c r="JI153" s="132"/>
      <c r="JJ153" s="132"/>
      <c r="JK153" s="132"/>
      <c r="JL153" s="132"/>
      <c r="JM153" s="132"/>
      <c r="JN153" s="132"/>
      <c r="JO153" s="132"/>
      <c r="JP153" s="132"/>
      <c r="JQ153" s="132"/>
      <c r="JR153" s="132"/>
      <c r="JS153" s="132"/>
      <c r="JT153" s="132"/>
      <c r="JU153" s="132"/>
      <c r="JV153" s="132"/>
      <c r="JW153" s="132"/>
      <c r="JX153" s="132"/>
      <c r="JY153" s="132"/>
      <c r="JZ153" s="132"/>
      <c r="KA153" s="132"/>
      <c r="KB153" s="132"/>
      <c r="KC153" s="132"/>
      <c r="KD153" s="132"/>
      <c r="KE153" s="132"/>
      <c r="KF153" s="132"/>
      <c r="KG153" s="132"/>
      <c r="KH153" s="132"/>
      <c r="KI153" s="132"/>
      <c r="KJ153" s="132"/>
      <c r="KK153" s="132"/>
      <c r="KL153" s="132"/>
      <c r="KM153" s="132"/>
      <c r="KN153" s="132"/>
      <c r="KO153" s="132"/>
      <c r="KP153" s="132"/>
      <c r="KQ153" s="132"/>
      <c r="KR153" s="132"/>
      <c r="KS153" s="132"/>
      <c r="KT153" s="132"/>
      <c r="KU153" s="132"/>
      <c r="KV153" s="132"/>
      <c r="KW153" s="132"/>
      <c r="KX153" s="132"/>
      <c r="KY153" s="132"/>
      <c r="KZ153" s="132"/>
      <c r="LA153" s="132"/>
      <c r="LB153" s="132"/>
      <c r="LC153" s="132"/>
      <c r="LD153" s="132"/>
      <c r="LE153" s="132"/>
      <c r="LF153" s="132"/>
      <c r="LG153" s="132"/>
      <c r="LH153" s="132"/>
      <c r="LI153" s="132"/>
      <c r="LJ153" s="132"/>
      <c r="LK153" s="132"/>
      <c r="LL153" s="132"/>
      <c r="LM153" s="132"/>
      <c r="LN153" s="132"/>
      <c r="LO153" s="132"/>
      <c r="LP153" s="132"/>
      <c r="LQ153" s="132"/>
      <c r="LR153" s="132"/>
      <c r="LS153" s="132"/>
      <c r="LT153" s="132"/>
      <c r="LU153" s="132"/>
      <c r="LV153" s="132"/>
      <c r="LW153" s="132"/>
      <c r="LX153" s="132"/>
      <c r="LY153" s="132"/>
      <c r="LZ153" s="132"/>
      <c r="MA153" s="132"/>
      <c r="MB153" s="132"/>
      <c r="MC153" s="132"/>
      <c r="MD153" s="132"/>
      <c r="ME153" s="132"/>
      <c r="MF153" s="132"/>
      <c r="MG153" s="132"/>
      <c r="MH153" s="132"/>
      <c r="MI153" s="132"/>
      <c r="MJ153" s="132"/>
      <c r="MK153" s="132"/>
      <c r="ML153" s="132"/>
      <c r="MM153" s="132"/>
      <c r="MN153" s="132"/>
      <c r="MO153" s="132"/>
      <c r="MP153" s="132"/>
      <c r="MQ153" s="132"/>
      <c r="MR153" s="132"/>
      <c r="MS153" s="132"/>
      <c r="MT153" s="132"/>
      <c r="MU153" s="132"/>
      <c r="MV153" s="132"/>
      <c r="MW153" s="132"/>
      <c r="MX153" s="132"/>
      <c r="MY153" s="132"/>
      <c r="MZ153" s="132"/>
      <c r="NA153" s="132"/>
      <c r="NB153" s="132"/>
      <c r="NC153" s="132"/>
      <c r="ND153" s="132"/>
      <c r="NE153" s="132"/>
      <c r="NF153" s="132"/>
      <c r="NG153" s="132"/>
      <c r="NH153" s="132"/>
      <c r="NI153" s="132"/>
      <c r="NJ153" s="132"/>
      <c r="NK153" s="132"/>
    </row>
    <row r="154" spans="1:375" s="122" customFormat="1">
      <c r="A154" s="125" t="str">
        <f t="shared" si="29"/>
        <v/>
      </c>
      <c r="B154" s="247"/>
      <c r="C154" s="247"/>
      <c r="D154" s="247"/>
      <c r="E154" s="247"/>
      <c r="F154" s="247"/>
      <c r="G154" s="247"/>
      <c r="H154" s="247"/>
      <c r="I154" s="247"/>
      <c r="J154" s="247"/>
      <c r="K154" s="248"/>
      <c r="L154" s="248"/>
      <c r="M154" s="248"/>
      <c r="N154" s="247"/>
      <c r="O154" s="247"/>
      <c r="P154" s="126">
        <f t="shared" si="30"/>
        <v>0</v>
      </c>
      <c r="Q154" s="126"/>
      <c r="R154" s="127">
        <f t="shared" si="31"/>
        <v>0</v>
      </c>
      <c r="T154" s="128">
        <f t="shared" si="32"/>
        <v>0</v>
      </c>
      <c r="U154" s="129" t="str">
        <f>IFERROR(VLOOKUP($S154,References!$B$3:$C$7,2,FALSE),"")</f>
        <v/>
      </c>
      <c r="V154" s="129" t="str">
        <f t="shared" si="33"/>
        <v/>
      </c>
      <c r="W154" s="74" t="str">
        <f>IFERROR(VLOOKUP($O154,'Customer List'!$A$1:$J$488,10,FALSE),"")</f>
        <v/>
      </c>
      <c r="X154" s="123"/>
      <c r="Y154" s="132"/>
      <c r="Z154" s="132"/>
      <c r="AA154" s="132"/>
      <c r="AB154" s="132"/>
      <c r="AC154" s="132"/>
      <c r="AD154" s="132"/>
      <c r="AE154" s="132"/>
      <c r="AF154" s="132"/>
      <c r="AG154" s="132"/>
      <c r="AH154" s="134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  <c r="BC154" s="132"/>
      <c r="BD154" s="132"/>
      <c r="BE154" s="132"/>
      <c r="BF154" s="132"/>
      <c r="BG154" s="132"/>
      <c r="BH154" s="132"/>
      <c r="BI154" s="132"/>
      <c r="BJ154" s="132"/>
      <c r="BK154" s="132"/>
      <c r="BL154" s="132"/>
      <c r="BM154" s="132"/>
      <c r="BN154" s="132"/>
      <c r="BO154" s="132"/>
      <c r="BP154" s="132"/>
      <c r="BQ154" s="132"/>
      <c r="BR154" s="132"/>
      <c r="BS154" s="132"/>
      <c r="BT154" s="132"/>
      <c r="BU154" s="132"/>
      <c r="BV154" s="132"/>
      <c r="BW154" s="132"/>
      <c r="BX154" s="132"/>
      <c r="BY154" s="132"/>
      <c r="BZ154" s="132"/>
      <c r="CA154" s="132"/>
      <c r="CB154" s="132"/>
      <c r="CC154" s="132"/>
      <c r="CD154" s="132"/>
      <c r="CE154" s="132"/>
      <c r="CF154" s="132"/>
      <c r="CG154" s="132"/>
      <c r="CH154" s="132"/>
      <c r="CI154" s="132"/>
      <c r="CJ154" s="132"/>
      <c r="CK154" s="132"/>
      <c r="CL154" s="132"/>
      <c r="CM154" s="132"/>
      <c r="CN154" s="132"/>
      <c r="CO154" s="132"/>
      <c r="CP154" s="132"/>
      <c r="CQ154" s="132"/>
      <c r="CR154" s="132"/>
      <c r="CS154" s="132"/>
      <c r="CT154" s="132"/>
      <c r="CU154" s="132"/>
      <c r="CV154" s="132"/>
      <c r="CW154" s="132"/>
      <c r="CX154" s="132"/>
      <c r="CY154" s="132"/>
      <c r="CZ154" s="132"/>
      <c r="DA154" s="132"/>
      <c r="DB154" s="132"/>
      <c r="DC154" s="132"/>
      <c r="DD154" s="132"/>
      <c r="DE154" s="132"/>
      <c r="DF154" s="132"/>
      <c r="DG154" s="132"/>
      <c r="DH154" s="132"/>
      <c r="DI154" s="132"/>
      <c r="DJ154" s="132"/>
      <c r="DK154" s="132"/>
      <c r="DL154" s="132"/>
      <c r="DM154" s="132"/>
      <c r="DN154" s="132"/>
      <c r="DO154" s="132"/>
      <c r="DP154" s="132"/>
      <c r="DQ154" s="132"/>
      <c r="DR154" s="132"/>
      <c r="DS154" s="132"/>
      <c r="DT154" s="132"/>
      <c r="DU154" s="132"/>
      <c r="DV154" s="132"/>
      <c r="DW154" s="132"/>
      <c r="DX154" s="132"/>
      <c r="DY154" s="132"/>
      <c r="DZ154" s="132"/>
      <c r="EA154" s="132"/>
      <c r="EB154" s="132"/>
      <c r="EC154" s="132"/>
      <c r="ED154" s="132"/>
      <c r="EE154" s="132"/>
      <c r="EF154" s="132"/>
      <c r="EG154" s="132"/>
      <c r="EH154" s="132"/>
      <c r="EI154" s="132"/>
      <c r="EJ154" s="132"/>
      <c r="EK154" s="132"/>
      <c r="EL154" s="132"/>
      <c r="EM154" s="132"/>
      <c r="EN154" s="132"/>
      <c r="EO154" s="132"/>
      <c r="EP154" s="132"/>
      <c r="EQ154" s="132"/>
      <c r="ER154" s="132"/>
      <c r="ES154" s="132"/>
      <c r="ET154" s="132"/>
      <c r="EU154" s="132"/>
      <c r="EV154" s="132"/>
      <c r="EW154" s="132"/>
      <c r="EX154" s="132"/>
      <c r="EY154" s="132"/>
      <c r="EZ154" s="132"/>
      <c r="FA154" s="132"/>
      <c r="FB154" s="132"/>
      <c r="FC154" s="132"/>
      <c r="FD154" s="132"/>
      <c r="FE154" s="132"/>
      <c r="FF154" s="132"/>
      <c r="FG154" s="132"/>
      <c r="FH154" s="132"/>
      <c r="FI154" s="132"/>
      <c r="FJ154" s="132"/>
      <c r="FK154" s="132"/>
      <c r="FL154" s="132"/>
      <c r="FM154" s="132"/>
      <c r="FN154" s="132"/>
      <c r="FO154" s="132"/>
      <c r="FP154" s="132"/>
      <c r="FQ154" s="132"/>
      <c r="FR154" s="132"/>
      <c r="FS154" s="132"/>
      <c r="FT154" s="132"/>
      <c r="FU154" s="132"/>
      <c r="FV154" s="132"/>
      <c r="FW154" s="132"/>
      <c r="FX154" s="132"/>
      <c r="FY154" s="132"/>
      <c r="FZ154" s="132"/>
      <c r="GA154" s="132"/>
      <c r="GB154" s="132"/>
      <c r="GC154" s="132"/>
      <c r="GD154" s="132"/>
      <c r="GE154" s="132"/>
      <c r="GF154" s="132"/>
      <c r="GG154" s="132"/>
      <c r="GH154" s="132"/>
      <c r="GI154" s="132"/>
      <c r="GJ154" s="132"/>
      <c r="GK154" s="132"/>
      <c r="GL154" s="132"/>
      <c r="GM154" s="132"/>
      <c r="GN154" s="132"/>
      <c r="GO154" s="132"/>
      <c r="GP154" s="132"/>
      <c r="GQ154" s="132"/>
      <c r="GR154" s="132"/>
      <c r="GS154" s="132"/>
      <c r="GT154" s="132"/>
      <c r="GU154" s="132"/>
      <c r="GV154" s="132"/>
      <c r="GW154" s="132"/>
      <c r="GX154" s="132"/>
      <c r="GY154" s="132"/>
      <c r="GZ154" s="132"/>
      <c r="HA154" s="132"/>
      <c r="HB154" s="132"/>
      <c r="HC154" s="132"/>
      <c r="HD154" s="132"/>
      <c r="HE154" s="132"/>
      <c r="HF154" s="132"/>
      <c r="HG154" s="132"/>
      <c r="HH154" s="132"/>
      <c r="HI154" s="132"/>
      <c r="HJ154" s="132"/>
      <c r="HK154" s="132"/>
      <c r="HL154" s="132"/>
      <c r="HM154" s="132"/>
      <c r="HN154" s="132"/>
      <c r="HO154" s="132"/>
      <c r="HP154" s="132"/>
      <c r="HQ154" s="132"/>
      <c r="HR154" s="132"/>
      <c r="HS154" s="132"/>
      <c r="HT154" s="132"/>
      <c r="HU154" s="132"/>
      <c r="HV154" s="132"/>
      <c r="HW154" s="132"/>
      <c r="HX154" s="132"/>
      <c r="HY154" s="132"/>
      <c r="HZ154" s="132"/>
      <c r="IA154" s="132"/>
      <c r="IB154" s="132"/>
      <c r="IC154" s="132"/>
      <c r="ID154" s="132"/>
      <c r="IE154" s="132"/>
      <c r="IF154" s="132"/>
      <c r="IG154" s="132"/>
      <c r="IH154" s="132"/>
      <c r="II154" s="132"/>
      <c r="IJ154" s="132"/>
      <c r="IK154" s="132"/>
      <c r="IL154" s="132"/>
      <c r="IM154" s="132"/>
      <c r="IN154" s="132"/>
      <c r="IO154" s="132"/>
      <c r="IP154" s="132"/>
      <c r="IQ154" s="132"/>
      <c r="IR154" s="132"/>
      <c r="IS154" s="132"/>
      <c r="IT154" s="132"/>
      <c r="IU154" s="132"/>
      <c r="IV154" s="132"/>
      <c r="IW154" s="132"/>
      <c r="IX154" s="132"/>
      <c r="IY154" s="132"/>
      <c r="IZ154" s="132"/>
      <c r="JA154" s="132"/>
      <c r="JB154" s="132"/>
      <c r="JC154" s="132"/>
      <c r="JD154" s="132"/>
      <c r="JE154" s="132"/>
      <c r="JF154" s="132"/>
      <c r="JG154" s="132"/>
      <c r="JH154" s="132"/>
      <c r="JI154" s="132"/>
      <c r="JJ154" s="132"/>
      <c r="JK154" s="132"/>
      <c r="JL154" s="132"/>
      <c r="JM154" s="132"/>
      <c r="JN154" s="132"/>
      <c r="JO154" s="132"/>
      <c r="JP154" s="132"/>
      <c r="JQ154" s="132"/>
      <c r="JR154" s="132"/>
      <c r="JS154" s="132"/>
      <c r="JT154" s="132"/>
      <c r="JU154" s="132"/>
      <c r="JV154" s="132"/>
      <c r="JW154" s="132"/>
      <c r="JX154" s="132"/>
      <c r="JY154" s="132"/>
      <c r="JZ154" s="132"/>
      <c r="KA154" s="132"/>
      <c r="KB154" s="132"/>
      <c r="KC154" s="132"/>
      <c r="KD154" s="132"/>
      <c r="KE154" s="132"/>
      <c r="KF154" s="132"/>
      <c r="KG154" s="132"/>
      <c r="KH154" s="132"/>
      <c r="KI154" s="132"/>
      <c r="KJ154" s="132"/>
      <c r="KK154" s="132"/>
      <c r="KL154" s="132"/>
      <c r="KM154" s="132"/>
      <c r="KN154" s="132"/>
      <c r="KO154" s="132"/>
      <c r="KP154" s="132"/>
      <c r="KQ154" s="132"/>
      <c r="KR154" s="132"/>
      <c r="KS154" s="132"/>
      <c r="KT154" s="132"/>
      <c r="KU154" s="132"/>
      <c r="KV154" s="132"/>
      <c r="KW154" s="132"/>
      <c r="KX154" s="132"/>
      <c r="KY154" s="132"/>
      <c r="KZ154" s="132"/>
      <c r="LA154" s="132"/>
      <c r="LB154" s="132"/>
      <c r="LC154" s="132"/>
      <c r="LD154" s="132"/>
      <c r="LE154" s="132"/>
      <c r="LF154" s="132"/>
      <c r="LG154" s="132"/>
      <c r="LH154" s="132"/>
      <c r="LI154" s="132"/>
      <c r="LJ154" s="132"/>
      <c r="LK154" s="132"/>
      <c r="LL154" s="132"/>
      <c r="LM154" s="132"/>
      <c r="LN154" s="132"/>
      <c r="LO154" s="132"/>
      <c r="LP154" s="132"/>
      <c r="LQ154" s="132"/>
      <c r="LR154" s="132"/>
      <c r="LS154" s="132"/>
      <c r="LT154" s="132"/>
      <c r="LU154" s="132"/>
      <c r="LV154" s="132"/>
      <c r="LW154" s="132"/>
      <c r="LX154" s="132"/>
      <c r="LY154" s="132"/>
      <c r="LZ154" s="132"/>
      <c r="MA154" s="132"/>
      <c r="MB154" s="132"/>
      <c r="MC154" s="132"/>
      <c r="MD154" s="132"/>
      <c r="ME154" s="132"/>
      <c r="MF154" s="132"/>
      <c r="MG154" s="132"/>
      <c r="MH154" s="132"/>
      <c r="MI154" s="132"/>
      <c r="MJ154" s="132"/>
      <c r="MK154" s="132"/>
      <c r="ML154" s="132"/>
      <c r="MM154" s="132"/>
      <c r="MN154" s="132"/>
      <c r="MO154" s="132"/>
      <c r="MP154" s="132"/>
      <c r="MQ154" s="132"/>
      <c r="MR154" s="132"/>
      <c r="MS154" s="132"/>
      <c r="MT154" s="132"/>
      <c r="MU154" s="132"/>
      <c r="MV154" s="132"/>
      <c r="MW154" s="132"/>
      <c r="MX154" s="132"/>
      <c r="MY154" s="132"/>
      <c r="MZ154" s="132"/>
      <c r="NA154" s="132"/>
      <c r="NB154" s="132"/>
      <c r="NC154" s="132"/>
      <c r="ND154" s="132"/>
      <c r="NE154" s="132"/>
      <c r="NF154" s="132"/>
      <c r="NG154" s="132"/>
      <c r="NH154" s="132"/>
      <c r="NI154" s="132"/>
      <c r="NJ154" s="132"/>
      <c r="NK154" s="132"/>
    </row>
    <row r="155" spans="1:375" s="122" customFormat="1">
      <c r="A155" s="125" t="str">
        <f t="shared" si="29"/>
        <v/>
      </c>
      <c r="B155" s="247"/>
      <c r="C155" s="247"/>
      <c r="D155" s="247"/>
      <c r="E155" s="247"/>
      <c r="F155" s="247"/>
      <c r="G155" s="247"/>
      <c r="H155" s="247"/>
      <c r="I155" s="247"/>
      <c r="J155" s="247"/>
      <c r="K155" s="248"/>
      <c r="L155" s="248"/>
      <c r="M155" s="248"/>
      <c r="N155" s="247"/>
      <c r="O155" s="247"/>
      <c r="P155" s="126">
        <f t="shared" si="30"/>
        <v>0</v>
      </c>
      <c r="Q155" s="126"/>
      <c r="R155" s="127">
        <f t="shared" si="31"/>
        <v>0</v>
      </c>
      <c r="T155" s="128">
        <f t="shared" si="32"/>
        <v>0</v>
      </c>
      <c r="U155" s="129" t="str">
        <f>IFERROR(VLOOKUP($S155,References!$B$3:$C$7,2,FALSE),"")</f>
        <v/>
      </c>
      <c r="V155" s="129" t="str">
        <f t="shared" si="33"/>
        <v/>
      </c>
      <c r="W155" s="74" t="str">
        <f>IFERROR(VLOOKUP($O155,'Customer List'!$A$1:$J$488,10,FALSE),"")</f>
        <v/>
      </c>
      <c r="X155" s="123"/>
      <c r="Y155" s="132"/>
      <c r="Z155" s="132"/>
      <c r="AA155" s="132"/>
      <c r="AB155" s="132"/>
      <c r="AC155" s="132"/>
      <c r="AD155" s="132"/>
      <c r="AE155" s="132"/>
      <c r="AF155" s="132"/>
      <c r="AG155" s="132"/>
      <c r="AH155" s="134"/>
      <c r="AI155" s="132"/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32"/>
      <c r="AW155" s="132"/>
      <c r="AX155" s="132"/>
      <c r="AY155" s="132"/>
      <c r="AZ155" s="132"/>
      <c r="BA155" s="132"/>
      <c r="BB155" s="132"/>
      <c r="BC155" s="132"/>
      <c r="BD155" s="132"/>
      <c r="BE155" s="132"/>
      <c r="BF155" s="132"/>
      <c r="BG155" s="132"/>
      <c r="BH155" s="132"/>
      <c r="BI155" s="132"/>
      <c r="BJ155" s="132"/>
      <c r="BK155" s="132"/>
      <c r="BL155" s="132"/>
      <c r="BM155" s="132"/>
      <c r="BN155" s="132"/>
      <c r="BO155" s="132"/>
      <c r="BP155" s="132"/>
      <c r="BQ155" s="132"/>
      <c r="BR155" s="132"/>
      <c r="BS155" s="132"/>
      <c r="BT155" s="132"/>
      <c r="BU155" s="132"/>
      <c r="BV155" s="132"/>
      <c r="BW155" s="132"/>
      <c r="BX155" s="132"/>
      <c r="BY155" s="132"/>
      <c r="BZ155" s="132"/>
      <c r="CA155" s="132"/>
      <c r="CB155" s="132"/>
      <c r="CC155" s="132"/>
      <c r="CD155" s="132"/>
      <c r="CE155" s="132"/>
      <c r="CF155" s="132"/>
      <c r="CG155" s="132"/>
      <c r="CH155" s="132"/>
      <c r="CI155" s="132"/>
      <c r="CJ155" s="132"/>
      <c r="CK155" s="132"/>
      <c r="CL155" s="132"/>
      <c r="CM155" s="132"/>
      <c r="CN155" s="132"/>
      <c r="CO155" s="132"/>
      <c r="CP155" s="132"/>
      <c r="CQ155" s="132"/>
      <c r="CR155" s="132"/>
      <c r="CS155" s="132"/>
      <c r="CT155" s="132"/>
      <c r="CU155" s="132"/>
      <c r="CV155" s="132"/>
      <c r="CW155" s="132"/>
      <c r="CX155" s="132"/>
      <c r="CY155" s="132"/>
      <c r="CZ155" s="132"/>
      <c r="DA155" s="132"/>
      <c r="DB155" s="132"/>
      <c r="DC155" s="132"/>
      <c r="DD155" s="132"/>
      <c r="DE155" s="132"/>
      <c r="DF155" s="132"/>
      <c r="DG155" s="132"/>
      <c r="DH155" s="132"/>
      <c r="DI155" s="132"/>
      <c r="DJ155" s="132"/>
      <c r="DK155" s="132"/>
      <c r="DL155" s="132"/>
      <c r="DM155" s="132"/>
      <c r="DN155" s="132"/>
      <c r="DO155" s="132"/>
      <c r="DP155" s="132"/>
      <c r="DQ155" s="132"/>
      <c r="DR155" s="132"/>
      <c r="DS155" s="132"/>
      <c r="DT155" s="132"/>
      <c r="DU155" s="132"/>
      <c r="DV155" s="132"/>
      <c r="DW155" s="132"/>
      <c r="DX155" s="132"/>
      <c r="DY155" s="132"/>
      <c r="DZ155" s="132"/>
      <c r="EA155" s="132"/>
      <c r="EB155" s="132"/>
      <c r="EC155" s="132"/>
      <c r="ED155" s="132"/>
      <c r="EE155" s="132"/>
      <c r="EF155" s="132"/>
      <c r="EG155" s="132"/>
      <c r="EH155" s="132"/>
      <c r="EI155" s="132"/>
      <c r="EJ155" s="132"/>
      <c r="EK155" s="132"/>
      <c r="EL155" s="132"/>
      <c r="EM155" s="132"/>
      <c r="EN155" s="132"/>
      <c r="EO155" s="132"/>
      <c r="EP155" s="132"/>
      <c r="EQ155" s="132"/>
      <c r="ER155" s="132"/>
      <c r="ES155" s="132"/>
      <c r="ET155" s="132"/>
      <c r="EU155" s="132"/>
      <c r="EV155" s="132"/>
      <c r="EW155" s="132"/>
      <c r="EX155" s="132"/>
      <c r="EY155" s="132"/>
      <c r="EZ155" s="132"/>
      <c r="FA155" s="132"/>
      <c r="FB155" s="132"/>
      <c r="FC155" s="132"/>
      <c r="FD155" s="132"/>
      <c r="FE155" s="132"/>
      <c r="FF155" s="132"/>
      <c r="FG155" s="132"/>
      <c r="FH155" s="132"/>
      <c r="FI155" s="132"/>
      <c r="FJ155" s="132"/>
      <c r="FK155" s="132"/>
      <c r="FL155" s="132"/>
      <c r="FM155" s="132"/>
      <c r="FN155" s="132"/>
      <c r="FO155" s="132"/>
      <c r="FP155" s="132"/>
      <c r="FQ155" s="132"/>
      <c r="FR155" s="132"/>
      <c r="FS155" s="132"/>
      <c r="FT155" s="132"/>
      <c r="FU155" s="132"/>
      <c r="FV155" s="132"/>
      <c r="FW155" s="132"/>
      <c r="FX155" s="132"/>
      <c r="FY155" s="132"/>
      <c r="FZ155" s="132"/>
      <c r="GA155" s="132"/>
      <c r="GB155" s="132"/>
      <c r="GC155" s="132"/>
      <c r="GD155" s="132"/>
      <c r="GE155" s="132"/>
      <c r="GF155" s="132"/>
      <c r="GG155" s="132"/>
      <c r="GH155" s="132"/>
      <c r="GI155" s="132"/>
      <c r="GJ155" s="132"/>
      <c r="GK155" s="132"/>
      <c r="GL155" s="132"/>
      <c r="GM155" s="132"/>
      <c r="GN155" s="132"/>
      <c r="GO155" s="132"/>
      <c r="GP155" s="132"/>
      <c r="GQ155" s="132"/>
      <c r="GR155" s="132"/>
      <c r="GS155" s="132"/>
      <c r="GT155" s="132"/>
      <c r="GU155" s="132"/>
      <c r="GV155" s="132"/>
      <c r="GW155" s="132"/>
      <c r="GX155" s="132"/>
      <c r="GY155" s="132"/>
      <c r="GZ155" s="132"/>
      <c r="HA155" s="132"/>
      <c r="HB155" s="132"/>
      <c r="HC155" s="132"/>
      <c r="HD155" s="132"/>
      <c r="HE155" s="132"/>
      <c r="HF155" s="132"/>
      <c r="HG155" s="132"/>
      <c r="HH155" s="132"/>
      <c r="HI155" s="132"/>
      <c r="HJ155" s="132"/>
      <c r="HK155" s="132"/>
      <c r="HL155" s="132"/>
      <c r="HM155" s="132"/>
      <c r="HN155" s="132"/>
      <c r="HO155" s="132"/>
      <c r="HP155" s="132"/>
      <c r="HQ155" s="132"/>
      <c r="HR155" s="132"/>
      <c r="HS155" s="132"/>
      <c r="HT155" s="132"/>
      <c r="HU155" s="132"/>
      <c r="HV155" s="132"/>
      <c r="HW155" s="132"/>
      <c r="HX155" s="132"/>
      <c r="HY155" s="132"/>
      <c r="HZ155" s="132"/>
      <c r="IA155" s="132"/>
      <c r="IB155" s="132"/>
      <c r="IC155" s="132"/>
      <c r="ID155" s="132"/>
      <c r="IE155" s="132"/>
      <c r="IF155" s="132"/>
      <c r="IG155" s="132"/>
      <c r="IH155" s="132"/>
      <c r="II155" s="132"/>
      <c r="IJ155" s="132"/>
      <c r="IK155" s="132"/>
      <c r="IL155" s="132"/>
      <c r="IM155" s="132"/>
      <c r="IN155" s="132"/>
      <c r="IO155" s="132"/>
      <c r="IP155" s="132"/>
      <c r="IQ155" s="132"/>
      <c r="IR155" s="132"/>
      <c r="IS155" s="132"/>
      <c r="IT155" s="132"/>
      <c r="IU155" s="132"/>
      <c r="IV155" s="132"/>
      <c r="IW155" s="132"/>
      <c r="IX155" s="132"/>
      <c r="IY155" s="132"/>
      <c r="IZ155" s="132"/>
      <c r="JA155" s="132"/>
      <c r="JB155" s="132"/>
      <c r="JC155" s="132"/>
      <c r="JD155" s="132"/>
      <c r="JE155" s="132"/>
      <c r="JF155" s="132"/>
      <c r="JG155" s="132"/>
      <c r="JH155" s="132"/>
      <c r="JI155" s="132"/>
      <c r="JJ155" s="132"/>
      <c r="JK155" s="132"/>
      <c r="JL155" s="132"/>
      <c r="JM155" s="132"/>
      <c r="JN155" s="132"/>
      <c r="JO155" s="132"/>
      <c r="JP155" s="132"/>
      <c r="JQ155" s="132"/>
      <c r="JR155" s="132"/>
      <c r="JS155" s="132"/>
      <c r="JT155" s="132"/>
      <c r="JU155" s="132"/>
      <c r="JV155" s="132"/>
      <c r="JW155" s="132"/>
      <c r="JX155" s="132"/>
      <c r="JY155" s="132"/>
      <c r="JZ155" s="132"/>
      <c r="KA155" s="132"/>
      <c r="KB155" s="132"/>
      <c r="KC155" s="132"/>
      <c r="KD155" s="132"/>
      <c r="KE155" s="132"/>
      <c r="KF155" s="132"/>
      <c r="KG155" s="132"/>
      <c r="KH155" s="132"/>
      <c r="KI155" s="132"/>
      <c r="KJ155" s="132"/>
      <c r="KK155" s="132"/>
      <c r="KL155" s="132"/>
      <c r="KM155" s="132"/>
      <c r="KN155" s="132"/>
      <c r="KO155" s="132"/>
      <c r="KP155" s="132"/>
      <c r="KQ155" s="132"/>
      <c r="KR155" s="132"/>
      <c r="KS155" s="132"/>
      <c r="KT155" s="132"/>
      <c r="KU155" s="132"/>
      <c r="KV155" s="132"/>
      <c r="KW155" s="132"/>
      <c r="KX155" s="132"/>
      <c r="KY155" s="132"/>
      <c r="KZ155" s="132"/>
      <c r="LA155" s="132"/>
      <c r="LB155" s="132"/>
      <c r="LC155" s="132"/>
      <c r="LD155" s="132"/>
      <c r="LE155" s="132"/>
      <c r="LF155" s="132"/>
      <c r="LG155" s="132"/>
      <c r="LH155" s="132"/>
      <c r="LI155" s="132"/>
      <c r="LJ155" s="132"/>
      <c r="LK155" s="132"/>
      <c r="LL155" s="132"/>
      <c r="LM155" s="132"/>
      <c r="LN155" s="132"/>
      <c r="LO155" s="132"/>
      <c r="LP155" s="132"/>
      <c r="LQ155" s="132"/>
      <c r="LR155" s="132"/>
      <c r="LS155" s="132"/>
      <c r="LT155" s="132"/>
      <c r="LU155" s="132"/>
      <c r="LV155" s="132"/>
      <c r="LW155" s="132"/>
      <c r="LX155" s="132"/>
      <c r="LY155" s="132"/>
      <c r="LZ155" s="132"/>
      <c r="MA155" s="132"/>
      <c r="MB155" s="132"/>
      <c r="MC155" s="132"/>
      <c r="MD155" s="132"/>
      <c r="ME155" s="132"/>
      <c r="MF155" s="132"/>
      <c r="MG155" s="132"/>
      <c r="MH155" s="132"/>
      <c r="MI155" s="132"/>
      <c r="MJ155" s="132"/>
      <c r="MK155" s="132"/>
      <c r="ML155" s="132"/>
      <c r="MM155" s="132"/>
      <c r="MN155" s="132"/>
      <c r="MO155" s="132"/>
      <c r="MP155" s="132"/>
      <c r="MQ155" s="132"/>
      <c r="MR155" s="132"/>
      <c r="MS155" s="132"/>
      <c r="MT155" s="132"/>
      <c r="MU155" s="132"/>
      <c r="MV155" s="132"/>
      <c r="MW155" s="132"/>
      <c r="MX155" s="132"/>
      <c r="MY155" s="132"/>
      <c r="MZ155" s="132"/>
      <c r="NA155" s="132"/>
      <c r="NB155" s="132"/>
      <c r="NC155" s="132"/>
      <c r="ND155" s="132"/>
      <c r="NE155" s="132"/>
      <c r="NF155" s="132"/>
      <c r="NG155" s="132"/>
      <c r="NH155" s="132"/>
      <c r="NI155" s="132"/>
      <c r="NJ155" s="132"/>
      <c r="NK155" s="132"/>
    </row>
    <row r="156" spans="1:375" s="122" customFormat="1">
      <c r="A156" s="125" t="str">
        <f t="shared" si="29"/>
        <v/>
      </c>
      <c r="B156" s="247"/>
      <c r="C156" s="247"/>
      <c r="D156" s="247"/>
      <c r="E156" s="247"/>
      <c r="F156" s="247"/>
      <c r="G156" s="247"/>
      <c r="H156" s="247"/>
      <c r="I156" s="247"/>
      <c r="J156" s="247"/>
      <c r="K156" s="248"/>
      <c r="L156" s="248"/>
      <c r="M156" s="248"/>
      <c r="N156" s="247"/>
      <c r="O156" s="247"/>
      <c r="P156" s="126">
        <f t="shared" si="30"/>
        <v>0</v>
      </c>
      <c r="Q156" s="126"/>
      <c r="R156" s="127">
        <f t="shared" si="31"/>
        <v>0</v>
      </c>
      <c r="T156" s="128">
        <f t="shared" si="32"/>
        <v>0</v>
      </c>
      <c r="U156" s="129" t="str">
        <f>IFERROR(VLOOKUP($S156,References!$B$3:$C$7,2,FALSE),"")</f>
        <v/>
      </c>
      <c r="V156" s="129" t="str">
        <f t="shared" si="33"/>
        <v/>
      </c>
      <c r="W156" s="74" t="str">
        <f>IFERROR(VLOOKUP($O156,'Customer List'!$A$1:$J$488,10,FALSE),"")</f>
        <v/>
      </c>
      <c r="X156" s="123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34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2"/>
      <c r="BZ156" s="132"/>
      <c r="CA156" s="132"/>
      <c r="CB156" s="132"/>
      <c r="CC156" s="132"/>
      <c r="CD156" s="132"/>
      <c r="CE156" s="132"/>
      <c r="CF156" s="132"/>
      <c r="CG156" s="132"/>
      <c r="CH156" s="132"/>
      <c r="CI156" s="132"/>
      <c r="CJ156" s="132"/>
      <c r="CK156" s="132"/>
      <c r="CL156" s="132"/>
      <c r="CM156" s="132"/>
      <c r="CN156" s="132"/>
      <c r="CO156" s="132"/>
      <c r="CP156" s="132"/>
      <c r="CQ156" s="132"/>
      <c r="CR156" s="132"/>
      <c r="CS156" s="132"/>
      <c r="CT156" s="132"/>
      <c r="CU156" s="132"/>
      <c r="CV156" s="132"/>
      <c r="CW156" s="132"/>
      <c r="CX156" s="132"/>
      <c r="CY156" s="132"/>
      <c r="CZ156" s="132"/>
      <c r="DA156" s="132"/>
      <c r="DB156" s="132"/>
      <c r="DC156" s="132"/>
      <c r="DD156" s="132"/>
      <c r="DE156" s="132"/>
      <c r="DF156" s="132"/>
      <c r="DG156" s="132"/>
      <c r="DH156" s="132"/>
      <c r="DI156" s="132"/>
      <c r="DJ156" s="132"/>
      <c r="DK156" s="132"/>
      <c r="DL156" s="132"/>
      <c r="DM156" s="132"/>
      <c r="DN156" s="132"/>
      <c r="DO156" s="132"/>
      <c r="DP156" s="132"/>
      <c r="DQ156" s="132"/>
      <c r="DR156" s="132"/>
      <c r="DS156" s="132"/>
      <c r="DT156" s="132"/>
      <c r="DU156" s="132"/>
      <c r="DV156" s="132"/>
      <c r="DW156" s="132"/>
      <c r="DX156" s="132"/>
      <c r="DY156" s="132"/>
      <c r="DZ156" s="132"/>
      <c r="EA156" s="132"/>
      <c r="EB156" s="132"/>
      <c r="EC156" s="132"/>
      <c r="ED156" s="132"/>
      <c r="EE156" s="132"/>
      <c r="EF156" s="132"/>
      <c r="EG156" s="132"/>
      <c r="EH156" s="132"/>
      <c r="EI156" s="132"/>
      <c r="EJ156" s="132"/>
      <c r="EK156" s="132"/>
      <c r="EL156" s="132"/>
      <c r="EM156" s="132"/>
      <c r="EN156" s="132"/>
      <c r="EO156" s="132"/>
      <c r="EP156" s="132"/>
      <c r="EQ156" s="132"/>
      <c r="ER156" s="132"/>
      <c r="ES156" s="132"/>
      <c r="ET156" s="132"/>
      <c r="EU156" s="132"/>
      <c r="EV156" s="132"/>
      <c r="EW156" s="132"/>
      <c r="EX156" s="132"/>
      <c r="EY156" s="132"/>
      <c r="EZ156" s="132"/>
      <c r="FA156" s="132"/>
      <c r="FB156" s="132"/>
      <c r="FC156" s="132"/>
      <c r="FD156" s="132"/>
      <c r="FE156" s="132"/>
      <c r="FF156" s="132"/>
      <c r="FG156" s="132"/>
      <c r="FH156" s="132"/>
      <c r="FI156" s="132"/>
      <c r="FJ156" s="132"/>
      <c r="FK156" s="132"/>
      <c r="FL156" s="132"/>
      <c r="FM156" s="132"/>
      <c r="FN156" s="132"/>
      <c r="FO156" s="132"/>
      <c r="FP156" s="132"/>
      <c r="FQ156" s="132"/>
      <c r="FR156" s="132"/>
      <c r="FS156" s="132"/>
      <c r="FT156" s="132"/>
      <c r="FU156" s="132"/>
      <c r="FV156" s="132"/>
      <c r="FW156" s="132"/>
      <c r="FX156" s="132"/>
      <c r="FY156" s="132"/>
      <c r="FZ156" s="132"/>
      <c r="GA156" s="132"/>
      <c r="GB156" s="132"/>
      <c r="GC156" s="132"/>
      <c r="GD156" s="132"/>
      <c r="GE156" s="132"/>
      <c r="GF156" s="132"/>
      <c r="GG156" s="132"/>
      <c r="GH156" s="132"/>
      <c r="GI156" s="132"/>
      <c r="GJ156" s="132"/>
      <c r="GK156" s="132"/>
      <c r="GL156" s="132"/>
      <c r="GM156" s="132"/>
      <c r="GN156" s="132"/>
      <c r="GO156" s="132"/>
      <c r="GP156" s="132"/>
      <c r="GQ156" s="132"/>
      <c r="GR156" s="132"/>
      <c r="GS156" s="132"/>
      <c r="GT156" s="132"/>
      <c r="GU156" s="132"/>
      <c r="GV156" s="132"/>
      <c r="GW156" s="132"/>
      <c r="GX156" s="132"/>
      <c r="GY156" s="132"/>
      <c r="GZ156" s="132"/>
      <c r="HA156" s="132"/>
      <c r="HB156" s="132"/>
      <c r="HC156" s="132"/>
      <c r="HD156" s="132"/>
      <c r="HE156" s="132"/>
      <c r="HF156" s="132"/>
      <c r="HG156" s="132"/>
      <c r="HH156" s="132"/>
      <c r="HI156" s="132"/>
      <c r="HJ156" s="132"/>
      <c r="HK156" s="132"/>
      <c r="HL156" s="132"/>
      <c r="HM156" s="132"/>
      <c r="HN156" s="132"/>
      <c r="HO156" s="132"/>
      <c r="HP156" s="132"/>
      <c r="HQ156" s="132"/>
      <c r="HR156" s="132"/>
      <c r="HS156" s="132"/>
      <c r="HT156" s="132"/>
      <c r="HU156" s="132"/>
      <c r="HV156" s="132"/>
      <c r="HW156" s="132"/>
      <c r="HX156" s="132"/>
      <c r="HY156" s="132"/>
      <c r="HZ156" s="132"/>
      <c r="IA156" s="132"/>
      <c r="IB156" s="132"/>
      <c r="IC156" s="132"/>
      <c r="ID156" s="132"/>
      <c r="IE156" s="132"/>
      <c r="IF156" s="132"/>
      <c r="IG156" s="132"/>
      <c r="IH156" s="132"/>
      <c r="II156" s="132"/>
      <c r="IJ156" s="132"/>
      <c r="IK156" s="132"/>
      <c r="IL156" s="132"/>
      <c r="IM156" s="132"/>
      <c r="IN156" s="132"/>
      <c r="IO156" s="132"/>
      <c r="IP156" s="132"/>
      <c r="IQ156" s="132"/>
      <c r="IR156" s="132"/>
      <c r="IS156" s="132"/>
      <c r="IT156" s="132"/>
      <c r="IU156" s="132"/>
      <c r="IV156" s="132"/>
      <c r="IW156" s="132"/>
      <c r="IX156" s="132"/>
      <c r="IY156" s="132"/>
      <c r="IZ156" s="132"/>
      <c r="JA156" s="132"/>
      <c r="JB156" s="132"/>
      <c r="JC156" s="132"/>
      <c r="JD156" s="132"/>
      <c r="JE156" s="132"/>
      <c r="JF156" s="132"/>
      <c r="JG156" s="132"/>
      <c r="JH156" s="132"/>
      <c r="JI156" s="132"/>
      <c r="JJ156" s="132"/>
      <c r="JK156" s="132"/>
      <c r="JL156" s="132"/>
      <c r="JM156" s="132"/>
      <c r="JN156" s="132"/>
      <c r="JO156" s="132"/>
      <c r="JP156" s="132"/>
      <c r="JQ156" s="132"/>
      <c r="JR156" s="132"/>
      <c r="JS156" s="132"/>
      <c r="JT156" s="132"/>
      <c r="JU156" s="132"/>
      <c r="JV156" s="132"/>
      <c r="JW156" s="132"/>
      <c r="JX156" s="132"/>
      <c r="JY156" s="132"/>
      <c r="JZ156" s="132"/>
      <c r="KA156" s="132"/>
      <c r="KB156" s="132"/>
      <c r="KC156" s="132"/>
      <c r="KD156" s="132"/>
      <c r="KE156" s="132"/>
      <c r="KF156" s="132"/>
      <c r="KG156" s="132"/>
      <c r="KH156" s="132"/>
      <c r="KI156" s="132"/>
      <c r="KJ156" s="132"/>
      <c r="KK156" s="132"/>
      <c r="KL156" s="132"/>
      <c r="KM156" s="132"/>
      <c r="KN156" s="132"/>
      <c r="KO156" s="132"/>
      <c r="KP156" s="132"/>
      <c r="KQ156" s="132"/>
      <c r="KR156" s="132"/>
      <c r="KS156" s="132"/>
      <c r="KT156" s="132"/>
      <c r="KU156" s="132"/>
      <c r="KV156" s="132"/>
      <c r="KW156" s="132"/>
      <c r="KX156" s="132"/>
      <c r="KY156" s="132"/>
      <c r="KZ156" s="132"/>
      <c r="LA156" s="132"/>
      <c r="LB156" s="132"/>
      <c r="LC156" s="132"/>
      <c r="LD156" s="132"/>
      <c r="LE156" s="132"/>
      <c r="LF156" s="132"/>
      <c r="LG156" s="132"/>
      <c r="LH156" s="132"/>
      <c r="LI156" s="132"/>
      <c r="LJ156" s="132"/>
      <c r="LK156" s="132"/>
      <c r="LL156" s="132"/>
      <c r="LM156" s="132"/>
      <c r="LN156" s="132"/>
      <c r="LO156" s="132"/>
      <c r="LP156" s="132"/>
      <c r="LQ156" s="132"/>
      <c r="LR156" s="132"/>
      <c r="LS156" s="132"/>
      <c r="LT156" s="132"/>
      <c r="LU156" s="132"/>
      <c r="LV156" s="132"/>
      <c r="LW156" s="132"/>
      <c r="LX156" s="132"/>
      <c r="LY156" s="132"/>
      <c r="LZ156" s="132"/>
      <c r="MA156" s="132"/>
      <c r="MB156" s="132"/>
      <c r="MC156" s="132"/>
      <c r="MD156" s="132"/>
      <c r="ME156" s="132"/>
      <c r="MF156" s="132"/>
      <c r="MG156" s="132"/>
      <c r="MH156" s="132"/>
      <c r="MI156" s="132"/>
      <c r="MJ156" s="132"/>
      <c r="MK156" s="132"/>
      <c r="ML156" s="132"/>
      <c r="MM156" s="132"/>
      <c r="MN156" s="132"/>
      <c r="MO156" s="132"/>
      <c r="MP156" s="132"/>
      <c r="MQ156" s="132"/>
      <c r="MR156" s="132"/>
      <c r="MS156" s="132"/>
      <c r="MT156" s="132"/>
      <c r="MU156" s="132"/>
      <c r="MV156" s="132"/>
      <c r="MW156" s="132"/>
      <c r="MX156" s="132"/>
      <c r="MY156" s="132"/>
      <c r="MZ156" s="132"/>
      <c r="NA156" s="132"/>
      <c r="NB156" s="132"/>
      <c r="NC156" s="132"/>
      <c r="ND156" s="132"/>
      <c r="NE156" s="132"/>
      <c r="NF156" s="132"/>
      <c r="NG156" s="132"/>
      <c r="NH156" s="132"/>
      <c r="NI156" s="132"/>
      <c r="NJ156" s="132"/>
      <c r="NK156" s="132"/>
    </row>
    <row r="157" spans="1:375" s="122" customFormat="1">
      <c r="A157" s="125" t="str">
        <f t="shared" si="29"/>
        <v/>
      </c>
      <c r="B157" s="247"/>
      <c r="C157" s="247"/>
      <c r="D157" s="247"/>
      <c r="E157" s="247"/>
      <c r="F157" s="247"/>
      <c r="G157" s="247"/>
      <c r="H157" s="247"/>
      <c r="I157" s="247"/>
      <c r="J157" s="247"/>
      <c r="K157" s="248"/>
      <c r="L157" s="248"/>
      <c r="M157" s="248"/>
      <c r="N157" s="247"/>
      <c r="O157" s="247"/>
      <c r="P157" s="126">
        <f t="shared" si="30"/>
        <v>0</v>
      </c>
      <c r="Q157" s="126"/>
      <c r="R157" s="127">
        <f t="shared" si="31"/>
        <v>0</v>
      </c>
      <c r="T157" s="128">
        <f t="shared" si="32"/>
        <v>0</v>
      </c>
      <c r="U157" s="129" t="str">
        <f>IFERROR(VLOOKUP($S157,References!$B$3:$C$7,2,FALSE),"")</f>
        <v/>
      </c>
      <c r="V157" s="129" t="str">
        <f t="shared" si="33"/>
        <v/>
      </c>
      <c r="W157" s="74" t="str">
        <f>IFERROR(VLOOKUP($O157,'Customer List'!$A$1:$J$488,10,FALSE),"")</f>
        <v/>
      </c>
      <c r="X157" s="123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4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  <c r="BC157" s="132"/>
      <c r="BD157" s="132"/>
      <c r="BE157" s="132"/>
      <c r="BF157" s="132"/>
      <c r="BG157" s="132"/>
      <c r="BH157" s="132"/>
      <c r="BI157" s="132"/>
      <c r="BJ157" s="132"/>
      <c r="BK157" s="132"/>
      <c r="BL157" s="132"/>
      <c r="BM157" s="132"/>
      <c r="BN157" s="132"/>
      <c r="BO157" s="132"/>
      <c r="BP157" s="132"/>
      <c r="BQ157" s="132"/>
      <c r="BR157" s="132"/>
      <c r="BS157" s="132"/>
      <c r="BT157" s="132"/>
      <c r="BU157" s="132"/>
      <c r="BV157" s="132"/>
      <c r="BW157" s="132"/>
      <c r="BX157" s="132"/>
      <c r="BY157" s="132"/>
      <c r="BZ157" s="132"/>
      <c r="CA157" s="132"/>
      <c r="CB157" s="132"/>
      <c r="CC157" s="132"/>
      <c r="CD157" s="132"/>
      <c r="CE157" s="132"/>
      <c r="CF157" s="132"/>
      <c r="CG157" s="132"/>
      <c r="CH157" s="132"/>
      <c r="CI157" s="132"/>
      <c r="CJ157" s="132"/>
      <c r="CK157" s="132"/>
      <c r="CL157" s="132"/>
      <c r="CM157" s="132"/>
      <c r="CN157" s="132"/>
      <c r="CO157" s="132"/>
      <c r="CP157" s="132"/>
      <c r="CQ157" s="132"/>
      <c r="CR157" s="132"/>
      <c r="CS157" s="132"/>
      <c r="CT157" s="132"/>
      <c r="CU157" s="132"/>
      <c r="CV157" s="132"/>
      <c r="CW157" s="132"/>
      <c r="CX157" s="132"/>
      <c r="CY157" s="132"/>
      <c r="CZ157" s="132"/>
      <c r="DA157" s="132"/>
      <c r="DB157" s="132"/>
      <c r="DC157" s="132"/>
      <c r="DD157" s="132"/>
      <c r="DE157" s="132"/>
      <c r="DF157" s="132"/>
      <c r="DG157" s="132"/>
      <c r="DH157" s="132"/>
      <c r="DI157" s="132"/>
      <c r="DJ157" s="132"/>
      <c r="DK157" s="132"/>
      <c r="DL157" s="132"/>
      <c r="DM157" s="132"/>
      <c r="DN157" s="132"/>
      <c r="DO157" s="132"/>
      <c r="DP157" s="132"/>
      <c r="DQ157" s="132"/>
      <c r="DR157" s="132"/>
      <c r="DS157" s="132"/>
      <c r="DT157" s="132"/>
      <c r="DU157" s="132"/>
      <c r="DV157" s="132"/>
      <c r="DW157" s="132"/>
      <c r="DX157" s="132"/>
      <c r="DY157" s="132"/>
      <c r="DZ157" s="132"/>
      <c r="EA157" s="132"/>
      <c r="EB157" s="132"/>
      <c r="EC157" s="132"/>
      <c r="ED157" s="132"/>
      <c r="EE157" s="132"/>
      <c r="EF157" s="132"/>
      <c r="EG157" s="132"/>
      <c r="EH157" s="132"/>
      <c r="EI157" s="132"/>
      <c r="EJ157" s="132"/>
      <c r="EK157" s="132"/>
      <c r="EL157" s="132"/>
      <c r="EM157" s="132"/>
      <c r="EN157" s="132"/>
      <c r="EO157" s="132"/>
      <c r="EP157" s="132"/>
      <c r="EQ157" s="132"/>
      <c r="ER157" s="132"/>
      <c r="ES157" s="132"/>
      <c r="ET157" s="132"/>
      <c r="EU157" s="132"/>
      <c r="EV157" s="132"/>
      <c r="EW157" s="132"/>
      <c r="EX157" s="132"/>
      <c r="EY157" s="132"/>
      <c r="EZ157" s="132"/>
      <c r="FA157" s="132"/>
      <c r="FB157" s="132"/>
      <c r="FC157" s="132"/>
      <c r="FD157" s="132"/>
      <c r="FE157" s="132"/>
      <c r="FF157" s="132"/>
      <c r="FG157" s="132"/>
      <c r="FH157" s="132"/>
      <c r="FI157" s="132"/>
      <c r="FJ157" s="132"/>
      <c r="FK157" s="132"/>
      <c r="FL157" s="132"/>
      <c r="FM157" s="132"/>
      <c r="FN157" s="132"/>
      <c r="FO157" s="132"/>
      <c r="FP157" s="132"/>
      <c r="FQ157" s="132"/>
      <c r="FR157" s="132"/>
      <c r="FS157" s="132"/>
      <c r="FT157" s="132"/>
      <c r="FU157" s="132"/>
      <c r="FV157" s="132"/>
      <c r="FW157" s="132"/>
      <c r="FX157" s="132"/>
      <c r="FY157" s="132"/>
      <c r="FZ157" s="132"/>
      <c r="GA157" s="132"/>
      <c r="GB157" s="132"/>
      <c r="GC157" s="132"/>
      <c r="GD157" s="132"/>
      <c r="GE157" s="132"/>
      <c r="GF157" s="132"/>
      <c r="GG157" s="132"/>
      <c r="GH157" s="132"/>
      <c r="GI157" s="132"/>
      <c r="GJ157" s="132"/>
      <c r="GK157" s="132"/>
      <c r="GL157" s="132"/>
      <c r="GM157" s="132"/>
      <c r="GN157" s="132"/>
      <c r="GO157" s="132"/>
      <c r="GP157" s="132"/>
      <c r="GQ157" s="132"/>
      <c r="GR157" s="132"/>
      <c r="GS157" s="132"/>
      <c r="GT157" s="132"/>
      <c r="GU157" s="132"/>
      <c r="GV157" s="132"/>
      <c r="GW157" s="132"/>
      <c r="GX157" s="132"/>
      <c r="GY157" s="132"/>
      <c r="GZ157" s="132"/>
      <c r="HA157" s="132"/>
      <c r="HB157" s="132"/>
      <c r="HC157" s="132"/>
      <c r="HD157" s="132"/>
      <c r="HE157" s="132"/>
      <c r="HF157" s="132"/>
      <c r="HG157" s="132"/>
      <c r="HH157" s="132"/>
      <c r="HI157" s="132"/>
      <c r="HJ157" s="132"/>
      <c r="HK157" s="132"/>
      <c r="HL157" s="132"/>
      <c r="HM157" s="132"/>
      <c r="HN157" s="132"/>
      <c r="HO157" s="132"/>
      <c r="HP157" s="132"/>
      <c r="HQ157" s="132"/>
      <c r="HR157" s="132"/>
      <c r="HS157" s="132"/>
      <c r="HT157" s="132"/>
      <c r="HU157" s="132"/>
      <c r="HV157" s="132"/>
      <c r="HW157" s="132"/>
      <c r="HX157" s="132"/>
      <c r="HY157" s="132"/>
      <c r="HZ157" s="132"/>
      <c r="IA157" s="132"/>
      <c r="IB157" s="132"/>
      <c r="IC157" s="132"/>
      <c r="ID157" s="132"/>
      <c r="IE157" s="132"/>
      <c r="IF157" s="132"/>
      <c r="IG157" s="132"/>
      <c r="IH157" s="132"/>
      <c r="II157" s="132"/>
      <c r="IJ157" s="132"/>
      <c r="IK157" s="132"/>
      <c r="IL157" s="132"/>
      <c r="IM157" s="132"/>
      <c r="IN157" s="132"/>
      <c r="IO157" s="132"/>
      <c r="IP157" s="132"/>
      <c r="IQ157" s="132"/>
      <c r="IR157" s="132"/>
      <c r="IS157" s="132"/>
      <c r="IT157" s="132"/>
      <c r="IU157" s="132"/>
      <c r="IV157" s="132"/>
      <c r="IW157" s="132"/>
      <c r="IX157" s="132"/>
      <c r="IY157" s="132"/>
      <c r="IZ157" s="132"/>
      <c r="JA157" s="132"/>
      <c r="JB157" s="132"/>
      <c r="JC157" s="132"/>
      <c r="JD157" s="132"/>
      <c r="JE157" s="132"/>
      <c r="JF157" s="132"/>
      <c r="JG157" s="132"/>
      <c r="JH157" s="132"/>
      <c r="JI157" s="132"/>
      <c r="JJ157" s="132"/>
      <c r="JK157" s="132"/>
      <c r="JL157" s="132"/>
      <c r="JM157" s="132"/>
      <c r="JN157" s="132"/>
      <c r="JO157" s="132"/>
      <c r="JP157" s="132"/>
      <c r="JQ157" s="132"/>
      <c r="JR157" s="132"/>
      <c r="JS157" s="132"/>
      <c r="JT157" s="132"/>
      <c r="JU157" s="132"/>
      <c r="JV157" s="132"/>
      <c r="JW157" s="132"/>
      <c r="JX157" s="132"/>
      <c r="JY157" s="132"/>
      <c r="JZ157" s="132"/>
      <c r="KA157" s="132"/>
      <c r="KB157" s="132"/>
      <c r="KC157" s="132"/>
      <c r="KD157" s="132"/>
      <c r="KE157" s="132"/>
      <c r="KF157" s="132"/>
      <c r="KG157" s="132"/>
      <c r="KH157" s="132"/>
      <c r="KI157" s="132"/>
      <c r="KJ157" s="132"/>
      <c r="KK157" s="132"/>
      <c r="KL157" s="132"/>
      <c r="KM157" s="132"/>
      <c r="KN157" s="132"/>
      <c r="KO157" s="132"/>
      <c r="KP157" s="132"/>
      <c r="KQ157" s="132"/>
      <c r="KR157" s="132"/>
      <c r="KS157" s="132"/>
      <c r="KT157" s="132"/>
      <c r="KU157" s="132"/>
      <c r="KV157" s="132"/>
      <c r="KW157" s="132"/>
      <c r="KX157" s="132"/>
      <c r="KY157" s="132"/>
      <c r="KZ157" s="132"/>
      <c r="LA157" s="132"/>
      <c r="LB157" s="132"/>
      <c r="LC157" s="132"/>
      <c r="LD157" s="132"/>
      <c r="LE157" s="132"/>
      <c r="LF157" s="132"/>
      <c r="LG157" s="132"/>
      <c r="LH157" s="132"/>
      <c r="LI157" s="132"/>
      <c r="LJ157" s="132"/>
      <c r="LK157" s="132"/>
      <c r="LL157" s="132"/>
      <c r="LM157" s="132"/>
      <c r="LN157" s="132"/>
      <c r="LO157" s="132"/>
      <c r="LP157" s="132"/>
      <c r="LQ157" s="132"/>
      <c r="LR157" s="132"/>
      <c r="LS157" s="132"/>
      <c r="LT157" s="132"/>
      <c r="LU157" s="132"/>
      <c r="LV157" s="132"/>
      <c r="LW157" s="132"/>
      <c r="LX157" s="132"/>
      <c r="LY157" s="132"/>
      <c r="LZ157" s="132"/>
      <c r="MA157" s="132"/>
      <c r="MB157" s="132"/>
      <c r="MC157" s="132"/>
      <c r="MD157" s="132"/>
      <c r="ME157" s="132"/>
      <c r="MF157" s="132"/>
      <c r="MG157" s="132"/>
      <c r="MH157" s="132"/>
      <c r="MI157" s="132"/>
      <c r="MJ157" s="132"/>
      <c r="MK157" s="132"/>
      <c r="ML157" s="132"/>
      <c r="MM157" s="132"/>
      <c r="MN157" s="132"/>
      <c r="MO157" s="132"/>
      <c r="MP157" s="132"/>
      <c r="MQ157" s="132"/>
      <c r="MR157" s="132"/>
      <c r="MS157" s="132"/>
      <c r="MT157" s="132"/>
      <c r="MU157" s="132"/>
      <c r="MV157" s="132"/>
      <c r="MW157" s="132"/>
      <c r="MX157" s="132"/>
      <c r="MY157" s="132"/>
      <c r="MZ157" s="132"/>
      <c r="NA157" s="132"/>
      <c r="NB157" s="132"/>
      <c r="NC157" s="132"/>
      <c r="ND157" s="132"/>
      <c r="NE157" s="132"/>
      <c r="NF157" s="132"/>
      <c r="NG157" s="132"/>
      <c r="NH157" s="132"/>
      <c r="NI157" s="132"/>
      <c r="NJ157" s="132"/>
      <c r="NK157" s="132"/>
    </row>
    <row r="158" spans="1:375" s="122" customFormat="1">
      <c r="A158" s="125" t="str">
        <f t="shared" si="29"/>
        <v/>
      </c>
      <c r="B158" s="247"/>
      <c r="C158" s="247"/>
      <c r="D158" s="247"/>
      <c r="E158" s="247"/>
      <c r="F158" s="247"/>
      <c r="G158" s="247"/>
      <c r="H158" s="247"/>
      <c r="I158" s="247"/>
      <c r="J158" s="247"/>
      <c r="K158" s="248"/>
      <c r="L158" s="248"/>
      <c r="M158" s="248"/>
      <c r="N158" s="247"/>
      <c r="O158" s="247"/>
      <c r="P158" s="126">
        <f t="shared" si="30"/>
        <v>0</v>
      </c>
      <c r="Q158" s="126"/>
      <c r="R158" s="127">
        <f t="shared" si="31"/>
        <v>0</v>
      </c>
      <c r="T158" s="128">
        <f t="shared" si="32"/>
        <v>0</v>
      </c>
      <c r="U158" s="129" t="str">
        <f>IFERROR(VLOOKUP($S158,References!$B$3:$C$7,2,FALSE),"")</f>
        <v/>
      </c>
      <c r="V158" s="129" t="str">
        <f t="shared" si="33"/>
        <v/>
      </c>
      <c r="W158" s="74" t="str">
        <f>IFERROR(VLOOKUP($O158,'Customer List'!$A$1:$J$488,10,FALSE),"")</f>
        <v/>
      </c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4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  <c r="BC158" s="132"/>
      <c r="BD158" s="132"/>
      <c r="BE158" s="132"/>
      <c r="BF158" s="132"/>
      <c r="BG158" s="132"/>
      <c r="BH158" s="132"/>
      <c r="BI158" s="132"/>
      <c r="BJ158" s="132"/>
      <c r="BK158" s="132"/>
      <c r="BL158" s="132"/>
      <c r="BM158" s="132"/>
      <c r="BN158" s="132"/>
      <c r="BO158" s="132"/>
      <c r="BP158" s="132"/>
      <c r="BQ158" s="132"/>
      <c r="BR158" s="132"/>
      <c r="BS158" s="132"/>
      <c r="BT158" s="132"/>
      <c r="BU158" s="132"/>
      <c r="BV158" s="132"/>
      <c r="BW158" s="132"/>
      <c r="BX158" s="132"/>
      <c r="BY158" s="132"/>
      <c r="BZ158" s="132"/>
      <c r="CA158" s="132"/>
      <c r="CB158" s="132"/>
      <c r="CC158" s="132"/>
      <c r="CD158" s="132"/>
      <c r="CE158" s="132"/>
      <c r="CF158" s="132"/>
      <c r="CG158" s="132"/>
      <c r="CH158" s="132"/>
      <c r="CI158" s="132"/>
      <c r="CJ158" s="132"/>
      <c r="CK158" s="132"/>
      <c r="CL158" s="132"/>
      <c r="CM158" s="132"/>
      <c r="CN158" s="132"/>
      <c r="CO158" s="132"/>
      <c r="CP158" s="132"/>
      <c r="CQ158" s="132"/>
      <c r="CR158" s="132"/>
      <c r="CS158" s="132"/>
      <c r="CT158" s="132"/>
      <c r="CU158" s="132"/>
      <c r="CV158" s="132"/>
      <c r="CW158" s="132"/>
      <c r="CX158" s="132"/>
      <c r="CY158" s="132"/>
      <c r="CZ158" s="132"/>
      <c r="DA158" s="132"/>
      <c r="DB158" s="132"/>
      <c r="DC158" s="132"/>
      <c r="DD158" s="132"/>
      <c r="DE158" s="132"/>
      <c r="DF158" s="132"/>
      <c r="DG158" s="132"/>
      <c r="DH158" s="132"/>
      <c r="DI158" s="132"/>
      <c r="DJ158" s="132"/>
      <c r="DK158" s="132"/>
      <c r="DL158" s="132"/>
      <c r="DM158" s="132"/>
      <c r="DN158" s="132"/>
      <c r="DO158" s="132"/>
      <c r="DP158" s="132"/>
      <c r="DQ158" s="132"/>
      <c r="DR158" s="132"/>
      <c r="DS158" s="132"/>
      <c r="DT158" s="132"/>
      <c r="DU158" s="132"/>
      <c r="DV158" s="132"/>
      <c r="DW158" s="132"/>
      <c r="DX158" s="132"/>
      <c r="DY158" s="132"/>
      <c r="DZ158" s="132"/>
      <c r="EA158" s="132"/>
      <c r="EB158" s="132"/>
      <c r="EC158" s="132"/>
      <c r="ED158" s="132"/>
      <c r="EE158" s="132"/>
      <c r="EF158" s="132"/>
      <c r="EG158" s="132"/>
      <c r="EH158" s="132"/>
      <c r="EI158" s="132"/>
      <c r="EJ158" s="132"/>
      <c r="EK158" s="132"/>
      <c r="EL158" s="132"/>
      <c r="EM158" s="132"/>
      <c r="EN158" s="132"/>
      <c r="EO158" s="132"/>
      <c r="EP158" s="132"/>
      <c r="EQ158" s="132"/>
      <c r="ER158" s="132"/>
      <c r="ES158" s="132"/>
      <c r="ET158" s="132"/>
      <c r="EU158" s="132"/>
      <c r="EV158" s="132"/>
      <c r="EW158" s="132"/>
      <c r="EX158" s="132"/>
      <c r="EY158" s="132"/>
      <c r="EZ158" s="132"/>
      <c r="FA158" s="132"/>
      <c r="FB158" s="132"/>
      <c r="FC158" s="132"/>
      <c r="FD158" s="132"/>
      <c r="FE158" s="132"/>
      <c r="FF158" s="132"/>
      <c r="FG158" s="132"/>
      <c r="FH158" s="132"/>
      <c r="FI158" s="132"/>
      <c r="FJ158" s="132"/>
      <c r="FK158" s="132"/>
      <c r="FL158" s="132"/>
      <c r="FM158" s="132"/>
      <c r="FN158" s="132"/>
      <c r="FO158" s="132"/>
      <c r="FP158" s="132"/>
      <c r="FQ158" s="132"/>
      <c r="FR158" s="132"/>
      <c r="FS158" s="132"/>
      <c r="FT158" s="132"/>
      <c r="FU158" s="132"/>
      <c r="FV158" s="132"/>
      <c r="FW158" s="132"/>
      <c r="FX158" s="132"/>
      <c r="FY158" s="132"/>
      <c r="FZ158" s="132"/>
      <c r="GA158" s="132"/>
      <c r="GB158" s="132"/>
      <c r="GC158" s="132"/>
      <c r="GD158" s="132"/>
      <c r="GE158" s="132"/>
      <c r="GF158" s="132"/>
      <c r="GG158" s="132"/>
      <c r="GH158" s="132"/>
      <c r="GI158" s="132"/>
      <c r="GJ158" s="132"/>
      <c r="GK158" s="132"/>
      <c r="GL158" s="132"/>
      <c r="GM158" s="132"/>
      <c r="GN158" s="132"/>
      <c r="GO158" s="132"/>
      <c r="GP158" s="132"/>
      <c r="GQ158" s="132"/>
      <c r="GR158" s="132"/>
      <c r="GS158" s="132"/>
      <c r="GT158" s="132"/>
      <c r="GU158" s="132"/>
      <c r="GV158" s="132"/>
      <c r="GW158" s="132"/>
      <c r="GX158" s="132"/>
      <c r="GY158" s="132"/>
      <c r="GZ158" s="132"/>
      <c r="HA158" s="132"/>
      <c r="HB158" s="132"/>
      <c r="HC158" s="132"/>
      <c r="HD158" s="132"/>
      <c r="HE158" s="132"/>
      <c r="HF158" s="132"/>
      <c r="HG158" s="132"/>
      <c r="HH158" s="132"/>
      <c r="HI158" s="132"/>
      <c r="HJ158" s="132"/>
      <c r="HK158" s="132"/>
      <c r="HL158" s="132"/>
      <c r="HM158" s="132"/>
      <c r="HN158" s="132"/>
      <c r="HO158" s="132"/>
      <c r="HP158" s="132"/>
      <c r="HQ158" s="132"/>
      <c r="HR158" s="132"/>
      <c r="HS158" s="132"/>
      <c r="HT158" s="132"/>
      <c r="HU158" s="132"/>
      <c r="HV158" s="132"/>
      <c r="HW158" s="132"/>
      <c r="HX158" s="132"/>
      <c r="HY158" s="132"/>
      <c r="HZ158" s="132"/>
      <c r="IA158" s="132"/>
      <c r="IB158" s="132"/>
      <c r="IC158" s="132"/>
      <c r="ID158" s="132"/>
      <c r="IE158" s="132"/>
      <c r="IF158" s="132"/>
      <c r="IG158" s="132"/>
      <c r="IH158" s="132"/>
      <c r="II158" s="132"/>
      <c r="IJ158" s="132"/>
      <c r="IK158" s="132"/>
      <c r="IL158" s="132"/>
      <c r="IM158" s="132"/>
      <c r="IN158" s="132"/>
      <c r="IO158" s="132"/>
      <c r="IP158" s="132"/>
      <c r="IQ158" s="132"/>
      <c r="IR158" s="132"/>
      <c r="IS158" s="132"/>
      <c r="IT158" s="132"/>
      <c r="IU158" s="132"/>
      <c r="IV158" s="132"/>
      <c r="IW158" s="132"/>
      <c r="IX158" s="132"/>
      <c r="IY158" s="132"/>
      <c r="IZ158" s="132"/>
      <c r="JA158" s="132"/>
      <c r="JB158" s="132"/>
      <c r="JC158" s="132"/>
      <c r="JD158" s="132"/>
      <c r="JE158" s="132"/>
      <c r="JF158" s="132"/>
      <c r="JG158" s="132"/>
      <c r="JH158" s="132"/>
      <c r="JI158" s="132"/>
      <c r="JJ158" s="132"/>
      <c r="JK158" s="132"/>
      <c r="JL158" s="132"/>
      <c r="JM158" s="132"/>
      <c r="JN158" s="132"/>
      <c r="JO158" s="132"/>
      <c r="JP158" s="132"/>
      <c r="JQ158" s="132"/>
      <c r="JR158" s="132"/>
      <c r="JS158" s="132"/>
      <c r="JT158" s="132"/>
      <c r="JU158" s="132"/>
      <c r="JV158" s="132"/>
      <c r="JW158" s="132"/>
      <c r="JX158" s="132"/>
      <c r="JY158" s="132"/>
      <c r="JZ158" s="132"/>
      <c r="KA158" s="132"/>
      <c r="KB158" s="132"/>
      <c r="KC158" s="132"/>
      <c r="KD158" s="132"/>
      <c r="KE158" s="132"/>
      <c r="KF158" s="132"/>
      <c r="KG158" s="132"/>
      <c r="KH158" s="132"/>
      <c r="KI158" s="132"/>
      <c r="KJ158" s="132"/>
      <c r="KK158" s="132"/>
      <c r="KL158" s="132"/>
      <c r="KM158" s="132"/>
      <c r="KN158" s="132"/>
      <c r="KO158" s="132"/>
      <c r="KP158" s="132"/>
      <c r="KQ158" s="132"/>
      <c r="KR158" s="132"/>
      <c r="KS158" s="132"/>
      <c r="KT158" s="132"/>
      <c r="KU158" s="132"/>
      <c r="KV158" s="132"/>
      <c r="KW158" s="132"/>
      <c r="KX158" s="132"/>
      <c r="KY158" s="132"/>
      <c r="KZ158" s="132"/>
      <c r="LA158" s="132"/>
      <c r="LB158" s="132"/>
      <c r="LC158" s="132"/>
      <c r="LD158" s="132"/>
      <c r="LE158" s="132"/>
      <c r="LF158" s="132"/>
      <c r="LG158" s="132"/>
      <c r="LH158" s="132"/>
      <c r="LI158" s="132"/>
      <c r="LJ158" s="132"/>
      <c r="LK158" s="132"/>
      <c r="LL158" s="132"/>
      <c r="LM158" s="132"/>
      <c r="LN158" s="132"/>
      <c r="LO158" s="132"/>
      <c r="LP158" s="132"/>
      <c r="LQ158" s="132"/>
      <c r="LR158" s="132"/>
      <c r="LS158" s="132"/>
      <c r="LT158" s="132"/>
      <c r="LU158" s="132"/>
      <c r="LV158" s="132"/>
      <c r="LW158" s="132"/>
      <c r="LX158" s="132"/>
      <c r="LY158" s="132"/>
      <c r="LZ158" s="132"/>
      <c r="MA158" s="132"/>
      <c r="MB158" s="132"/>
      <c r="MC158" s="132"/>
      <c r="MD158" s="132"/>
      <c r="ME158" s="132"/>
      <c r="MF158" s="132"/>
      <c r="MG158" s="132"/>
      <c r="MH158" s="132"/>
      <c r="MI158" s="132"/>
      <c r="MJ158" s="132"/>
      <c r="MK158" s="132"/>
      <c r="ML158" s="132"/>
      <c r="MM158" s="132"/>
      <c r="MN158" s="132"/>
      <c r="MO158" s="132"/>
      <c r="MP158" s="132"/>
      <c r="MQ158" s="132"/>
      <c r="MR158" s="132"/>
      <c r="MS158" s="132"/>
      <c r="MT158" s="132"/>
      <c r="MU158" s="132"/>
      <c r="MV158" s="132"/>
      <c r="MW158" s="132"/>
      <c r="MX158" s="132"/>
      <c r="MY158" s="132"/>
      <c r="MZ158" s="132"/>
      <c r="NA158" s="132"/>
      <c r="NB158" s="132"/>
      <c r="NC158" s="132"/>
      <c r="ND158" s="132"/>
      <c r="NE158" s="132"/>
      <c r="NF158" s="132"/>
      <c r="NG158" s="132"/>
      <c r="NH158" s="132"/>
      <c r="NI158" s="132"/>
      <c r="NJ158" s="132"/>
      <c r="NK158" s="132"/>
    </row>
    <row r="159" spans="1:375" s="122" customFormat="1">
      <c r="A159" s="125" t="str">
        <f t="shared" si="29"/>
        <v/>
      </c>
      <c r="B159" s="240"/>
      <c r="C159" s="240"/>
      <c r="D159" s="240"/>
      <c r="E159" s="240"/>
      <c r="F159" s="240"/>
      <c r="G159" s="240"/>
      <c r="H159" s="240"/>
      <c r="I159" s="240"/>
      <c r="J159" s="240"/>
      <c r="K159" s="241"/>
      <c r="L159" s="241"/>
      <c r="M159" s="241"/>
      <c r="N159" s="240"/>
      <c r="O159" s="247"/>
      <c r="P159" s="126">
        <f t="shared" si="30"/>
        <v>0</v>
      </c>
      <c r="Q159" s="126"/>
      <c r="R159" s="127">
        <f t="shared" si="31"/>
        <v>0</v>
      </c>
      <c r="T159" s="128">
        <f t="shared" si="32"/>
        <v>0</v>
      </c>
      <c r="U159" s="129" t="str">
        <f>IFERROR(VLOOKUP($S159,References!$B$3:$C$7,2,FALSE),"")</f>
        <v/>
      </c>
      <c r="V159" s="129" t="str">
        <f t="shared" si="33"/>
        <v/>
      </c>
      <c r="W159" s="74" t="str">
        <f>IFERROR(VLOOKUP($O159,'Customer List'!$A$1:$J$488,10,FALSE),"")</f>
        <v/>
      </c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  <c r="AH159" s="134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  <c r="BC159" s="132"/>
      <c r="BD159" s="132"/>
      <c r="BE159" s="132"/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2"/>
      <c r="BQ159" s="132"/>
      <c r="BR159" s="132"/>
      <c r="BS159" s="132"/>
      <c r="BT159" s="132"/>
      <c r="BU159" s="132"/>
      <c r="BV159" s="132"/>
      <c r="BW159" s="132"/>
      <c r="BX159" s="132"/>
      <c r="BY159" s="132"/>
      <c r="BZ159" s="132"/>
      <c r="CA159" s="132"/>
      <c r="CB159" s="132"/>
      <c r="CC159" s="132"/>
      <c r="CD159" s="132"/>
      <c r="CE159" s="132"/>
      <c r="CF159" s="132"/>
      <c r="CG159" s="132"/>
      <c r="CH159" s="132"/>
      <c r="CI159" s="132"/>
      <c r="CJ159" s="132"/>
      <c r="CK159" s="132"/>
      <c r="CL159" s="132"/>
      <c r="CM159" s="132"/>
      <c r="CN159" s="132"/>
      <c r="CO159" s="132"/>
      <c r="CP159" s="132"/>
      <c r="CQ159" s="132"/>
      <c r="CR159" s="132"/>
      <c r="CS159" s="132"/>
      <c r="CT159" s="132"/>
      <c r="CU159" s="132"/>
      <c r="CV159" s="132"/>
      <c r="CW159" s="132"/>
      <c r="CX159" s="132"/>
      <c r="CY159" s="132"/>
      <c r="CZ159" s="132"/>
      <c r="DA159" s="132"/>
      <c r="DB159" s="132"/>
      <c r="DC159" s="132"/>
      <c r="DD159" s="132"/>
      <c r="DE159" s="132"/>
      <c r="DF159" s="132"/>
      <c r="DG159" s="132"/>
      <c r="DH159" s="132"/>
      <c r="DI159" s="132"/>
      <c r="DJ159" s="132"/>
      <c r="DK159" s="132"/>
      <c r="DL159" s="132"/>
      <c r="DM159" s="132"/>
      <c r="DN159" s="132"/>
      <c r="DO159" s="132"/>
      <c r="DP159" s="132"/>
      <c r="DQ159" s="132"/>
      <c r="DR159" s="132"/>
      <c r="DS159" s="132"/>
      <c r="DT159" s="132"/>
      <c r="DU159" s="132"/>
      <c r="DV159" s="132"/>
      <c r="DW159" s="132"/>
      <c r="DX159" s="132"/>
      <c r="DY159" s="132"/>
      <c r="DZ159" s="132"/>
      <c r="EA159" s="132"/>
      <c r="EB159" s="132"/>
      <c r="EC159" s="132"/>
      <c r="ED159" s="132"/>
      <c r="EE159" s="132"/>
      <c r="EF159" s="132"/>
      <c r="EG159" s="132"/>
      <c r="EH159" s="132"/>
      <c r="EI159" s="132"/>
      <c r="EJ159" s="132"/>
      <c r="EK159" s="132"/>
      <c r="EL159" s="132"/>
      <c r="EM159" s="132"/>
      <c r="EN159" s="132"/>
      <c r="EO159" s="132"/>
      <c r="EP159" s="132"/>
      <c r="EQ159" s="132"/>
      <c r="ER159" s="132"/>
      <c r="ES159" s="132"/>
      <c r="ET159" s="132"/>
      <c r="EU159" s="132"/>
      <c r="EV159" s="132"/>
      <c r="EW159" s="132"/>
      <c r="EX159" s="132"/>
      <c r="EY159" s="132"/>
      <c r="EZ159" s="132"/>
      <c r="FA159" s="132"/>
      <c r="FB159" s="132"/>
      <c r="FC159" s="132"/>
      <c r="FD159" s="132"/>
      <c r="FE159" s="132"/>
      <c r="FF159" s="132"/>
      <c r="FG159" s="132"/>
      <c r="FH159" s="132"/>
      <c r="FI159" s="132"/>
      <c r="FJ159" s="132"/>
      <c r="FK159" s="132"/>
      <c r="FL159" s="132"/>
      <c r="FM159" s="132"/>
      <c r="FN159" s="132"/>
      <c r="FO159" s="132"/>
      <c r="FP159" s="132"/>
      <c r="FQ159" s="132"/>
      <c r="FR159" s="132"/>
      <c r="FS159" s="132"/>
      <c r="FT159" s="132"/>
      <c r="FU159" s="132"/>
      <c r="FV159" s="132"/>
      <c r="FW159" s="132"/>
      <c r="FX159" s="132"/>
      <c r="FY159" s="132"/>
      <c r="FZ159" s="132"/>
      <c r="GA159" s="132"/>
      <c r="GB159" s="132"/>
      <c r="GC159" s="132"/>
      <c r="GD159" s="132"/>
      <c r="GE159" s="132"/>
      <c r="GF159" s="132"/>
      <c r="GG159" s="132"/>
      <c r="GH159" s="132"/>
      <c r="GI159" s="132"/>
      <c r="GJ159" s="132"/>
      <c r="GK159" s="132"/>
      <c r="GL159" s="132"/>
      <c r="GM159" s="132"/>
      <c r="GN159" s="132"/>
      <c r="GO159" s="132"/>
      <c r="GP159" s="132"/>
      <c r="GQ159" s="132"/>
      <c r="GR159" s="132"/>
      <c r="GS159" s="132"/>
      <c r="GT159" s="132"/>
      <c r="GU159" s="132"/>
      <c r="GV159" s="132"/>
      <c r="GW159" s="132"/>
      <c r="GX159" s="132"/>
      <c r="GY159" s="132"/>
      <c r="GZ159" s="132"/>
      <c r="HA159" s="132"/>
      <c r="HB159" s="132"/>
      <c r="HC159" s="132"/>
      <c r="HD159" s="132"/>
      <c r="HE159" s="132"/>
      <c r="HF159" s="132"/>
      <c r="HG159" s="132"/>
      <c r="HH159" s="132"/>
      <c r="HI159" s="132"/>
      <c r="HJ159" s="132"/>
      <c r="HK159" s="132"/>
      <c r="HL159" s="132"/>
      <c r="HM159" s="132"/>
      <c r="HN159" s="132"/>
      <c r="HO159" s="132"/>
      <c r="HP159" s="132"/>
      <c r="HQ159" s="132"/>
      <c r="HR159" s="132"/>
      <c r="HS159" s="132"/>
      <c r="HT159" s="132"/>
      <c r="HU159" s="132"/>
      <c r="HV159" s="132"/>
      <c r="HW159" s="132"/>
      <c r="HX159" s="132"/>
      <c r="HY159" s="132"/>
      <c r="HZ159" s="132"/>
      <c r="IA159" s="132"/>
      <c r="IB159" s="132"/>
      <c r="IC159" s="132"/>
      <c r="ID159" s="132"/>
      <c r="IE159" s="132"/>
      <c r="IF159" s="132"/>
      <c r="IG159" s="132"/>
      <c r="IH159" s="132"/>
      <c r="II159" s="132"/>
      <c r="IJ159" s="132"/>
      <c r="IK159" s="132"/>
      <c r="IL159" s="132"/>
      <c r="IM159" s="132"/>
      <c r="IN159" s="132"/>
      <c r="IO159" s="132"/>
      <c r="IP159" s="132"/>
      <c r="IQ159" s="132"/>
      <c r="IR159" s="132"/>
      <c r="IS159" s="132"/>
      <c r="IT159" s="132"/>
      <c r="IU159" s="132"/>
      <c r="IV159" s="132"/>
      <c r="IW159" s="132"/>
      <c r="IX159" s="132"/>
      <c r="IY159" s="132"/>
      <c r="IZ159" s="132"/>
      <c r="JA159" s="132"/>
      <c r="JB159" s="132"/>
      <c r="JC159" s="132"/>
      <c r="JD159" s="132"/>
      <c r="JE159" s="132"/>
      <c r="JF159" s="132"/>
      <c r="JG159" s="132"/>
      <c r="JH159" s="132"/>
      <c r="JI159" s="132"/>
      <c r="JJ159" s="132"/>
      <c r="JK159" s="132"/>
      <c r="JL159" s="132"/>
      <c r="JM159" s="132"/>
      <c r="JN159" s="132"/>
      <c r="JO159" s="132"/>
      <c r="JP159" s="132"/>
      <c r="JQ159" s="132"/>
      <c r="JR159" s="132"/>
      <c r="JS159" s="132"/>
      <c r="JT159" s="132"/>
      <c r="JU159" s="132"/>
      <c r="JV159" s="132"/>
      <c r="JW159" s="132"/>
      <c r="JX159" s="132"/>
      <c r="JY159" s="132"/>
      <c r="JZ159" s="132"/>
      <c r="KA159" s="132"/>
      <c r="KB159" s="132"/>
      <c r="KC159" s="132"/>
      <c r="KD159" s="132"/>
      <c r="KE159" s="132"/>
      <c r="KF159" s="132"/>
      <c r="KG159" s="132"/>
      <c r="KH159" s="132"/>
      <c r="KI159" s="132"/>
      <c r="KJ159" s="132"/>
      <c r="KK159" s="132"/>
      <c r="KL159" s="132"/>
      <c r="KM159" s="132"/>
      <c r="KN159" s="132"/>
      <c r="KO159" s="132"/>
      <c r="KP159" s="132"/>
      <c r="KQ159" s="132"/>
      <c r="KR159" s="132"/>
      <c r="KS159" s="132"/>
      <c r="KT159" s="132"/>
      <c r="KU159" s="132"/>
      <c r="KV159" s="132"/>
      <c r="KW159" s="132"/>
      <c r="KX159" s="132"/>
      <c r="KY159" s="132"/>
      <c r="KZ159" s="132"/>
      <c r="LA159" s="132"/>
      <c r="LB159" s="132"/>
      <c r="LC159" s="132"/>
      <c r="LD159" s="132"/>
      <c r="LE159" s="132"/>
      <c r="LF159" s="132"/>
      <c r="LG159" s="132"/>
      <c r="LH159" s="132"/>
      <c r="LI159" s="132"/>
      <c r="LJ159" s="132"/>
      <c r="LK159" s="132"/>
      <c r="LL159" s="132"/>
      <c r="LM159" s="132"/>
      <c r="LN159" s="132"/>
      <c r="LO159" s="132"/>
      <c r="LP159" s="132"/>
      <c r="LQ159" s="132"/>
      <c r="LR159" s="132"/>
      <c r="LS159" s="132"/>
      <c r="LT159" s="132"/>
      <c r="LU159" s="132"/>
      <c r="LV159" s="132"/>
      <c r="LW159" s="132"/>
      <c r="LX159" s="132"/>
      <c r="LY159" s="132"/>
      <c r="LZ159" s="132"/>
      <c r="MA159" s="132"/>
      <c r="MB159" s="132"/>
      <c r="MC159" s="132"/>
      <c r="MD159" s="132"/>
      <c r="ME159" s="132"/>
      <c r="MF159" s="132"/>
      <c r="MG159" s="132"/>
      <c r="MH159" s="132"/>
      <c r="MI159" s="132"/>
      <c r="MJ159" s="132"/>
      <c r="MK159" s="132"/>
      <c r="ML159" s="132"/>
      <c r="MM159" s="132"/>
      <c r="MN159" s="132"/>
      <c r="MO159" s="132"/>
      <c r="MP159" s="132"/>
      <c r="MQ159" s="132"/>
      <c r="MR159" s="132"/>
      <c r="MS159" s="132"/>
      <c r="MT159" s="132"/>
      <c r="MU159" s="132"/>
      <c r="MV159" s="132"/>
      <c r="MW159" s="132"/>
      <c r="MX159" s="132"/>
      <c r="MY159" s="132"/>
      <c r="MZ159" s="132"/>
      <c r="NA159" s="132"/>
      <c r="NB159" s="132"/>
      <c r="NC159" s="132"/>
      <c r="ND159" s="132"/>
      <c r="NE159" s="132"/>
      <c r="NF159" s="132"/>
      <c r="NG159" s="132"/>
      <c r="NH159" s="132"/>
      <c r="NI159" s="132"/>
      <c r="NJ159" s="132"/>
      <c r="NK159" s="132"/>
    </row>
    <row r="160" spans="1:375" ht="23.1" customHeight="1">
      <c r="A160" s="125" t="str">
        <f t="shared" si="29"/>
        <v/>
      </c>
      <c r="B160" s="240"/>
      <c r="C160" s="240"/>
      <c r="D160" s="240"/>
      <c r="E160" s="240"/>
      <c r="F160" s="240"/>
      <c r="G160" s="247"/>
      <c r="H160" s="247"/>
      <c r="I160" s="247"/>
      <c r="J160" s="240"/>
      <c r="K160" s="241"/>
      <c r="L160" s="241"/>
      <c r="M160" s="241"/>
      <c r="N160" s="246"/>
      <c r="O160" s="247"/>
      <c r="P160" s="126">
        <f t="shared" si="30"/>
        <v>0</v>
      </c>
      <c r="Q160" s="126"/>
      <c r="R160" s="127">
        <f t="shared" si="31"/>
        <v>0</v>
      </c>
      <c r="T160" s="128">
        <f t="shared" si="32"/>
        <v>0</v>
      </c>
      <c r="U160" s="129" t="str">
        <f>IFERROR(VLOOKUP($S160,References!$B$3:$C$7,2,FALSE),"")</f>
        <v/>
      </c>
      <c r="V160" s="129" t="str">
        <f t="shared" si="33"/>
        <v/>
      </c>
      <c r="W160" s="74" t="str">
        <f>IFERROR(VLOOKUP($O160,'Customer List'!$A$1:$J$488,10,FALSE),"")</f>
        <v/>
      </c>
      <c r="X160" s="132"/>
      <c r="AH160" s="74"/>
    </row>
    <row r="161" spans="1:34">
      <c r="A161" s="125" t="str">
        <f t="shared" si="29"/>
        <v/>
      </c>
      <c r="B161" s="240"/>
      <c r="C161" s="247"/>
      <c r="D161" s="250"/>
      <c r="E161" s="247"/>
      <c r="F161" s="240"/>
      <c r="G161" s="247"/>
      <c r="H161" s="247"/>
      <c r="I161" s="247"/>
      <c r="J161" s="240"/>
      <c r="K161" s="241"/>
      <c r="L161" s="241"/>
      <c r="M161" s="241"/>
      <c r="N161" s="247"/>
      <c r="O161" s="247"/>
      <c r="P161" s="126">
        <f t="shared" si="30"/>
        <v>0</v>
      </c>
      <c r="Q161" s="126"/>
      <c r="R161" s="127">
        <f t="shared" si="31"/>
        <v>0</v>
      </c>
      <c r="T161" s="128">
        <f t="shared" si="32"/>
        <v>0</v>
      </c>
      <c r="U161" s="129" t="str">
        <f>IFERROR(VLOOKUP($S161,References!$B$3:$C$7,2,FALSE),"")</f>
        <v/>
      </c>
      <c r="V161" s="129" t="str">
        <f t="shared" si="33"/>
        <v/>
      </c>
      <c r="W161" s="74" t="str">
        <f>IFERROR(VLOOKUP($O161,'Customer List'!$A$1:$J$488,10,FALSE),"")</f>
        <v/>
      </c>
      <c r="X161" s="132"/>
      <c r="AH161" s="74"/>
    </row>
    <row r="162" spans="1:34">
      <c r="A162" s="125" t="str">
        <f t="shared" si="29"/>
        <v/>
      </c>
      <c r="B162" s="240"/>
      <c r="C162" s="247"/>
      <c r="D162" s="250"/>
      <c r="E162" s="247"/>
      <c r="F162" s="240"/>
      <c r="G162" s="247"/>
      <c r="H162" s="247"/>
      <c r="I162" s="247"/>
      <c r="J162" s="240"/>
      <c r="K162" s="241"/>
      <c r="L162" s="241"/>
      <c r="M162" s="241"/>
      <c r="N162" s="247"/>
      <c r="O162" s="247"/>
      <c r="P162" s="126">
        <f t="shared" si="30"/>
        <v>0</v>
      </c>
      <c r="Q162" s="126"/>
      <c r="R162" s="127">
        <f t="shared" si="31"/>
        <v>0</v>
      </c>
      <c r="T162" s="128">
        <f t="shared" si="32"/>
        <v>0</v>
      </c>
      <c r="U162" s="129" t="str">
        <f>IFERROR(VLOOKUP($S162,References!$B$3:$C$7,2,FALSE),"")</f>
        <v/>
      </c>
      <c r="V162" s="129" t="str">
        <f t="shared" si="33"/>
        <v/>
      </c>
      <c r="W162" s="74" t="str">
        <f>IFERROR(VLOOKUP($O162,'Customer List'!$A$1:$J$488,10,FALSE),"")</f>
        <v/>
      </c>
      <c r="X162" s="132"/>
      <c r="AH162" s="74"/>
    </row>
    <row r="163" spans="1:34">
      <c r="A163" s="125" t="str">
        <f t="shared" si="29"/>
        <v/>
      </c>
      <c r="B163" s="240"/>
      <c r="C163" s="247"/>
      <c r="D163" s="250"/>
      <c r="E163" s="247"/>
      <c r="F163" s="240"/>
      <c r="G163" s="247"/>
      <c r="H163" s="247"/>
      <c r="I163" s="247"/>
      <c r="J163" s="240"/>
      <c r="K163" s="241"/>
      <c r="L163" s="241"/>
      <c r="M163" s="241"/>
      <c r="N163" s="247"/>
      <c r="O163" s="247"/>
      <c r="P163" s="126">
        <f t="shared" si="30"/>
        <v>0</v>
      </c>
      <c r="Q163" s="126"/>
      <c r="R163" s="127">
        <f t="shared" si="31"/>
        <v>0</v>
      </c>
      <c r="T163" s="128">
        <f t="shared" si="32"/>
        <v>0</v>
      </c>
      <c r="U163" s="129" t="str">
        <f>IFERROR(VLOOKUP($S163,References!$B$3:$C$7,2,FALSE),"")</f>
        <v/>
      </c>
      <c r="V163" s="129" t="str">
        <f t="shared" si="33"/>
        <v/>
      </c>
      <c r="W163" s="74" t="str">
        <f>IFERROR(VLOOKUP($O163,'Customer List'!$A$1:$J$488,10,FALSE),"")</f>
        <v/>
      </c>
      <c r="X163" s="132"/>
      <c r="AH163" s="74"/>
    </row>
    <row r="164" spans="1:34">
      <c r="A164" s="125" t="str">
        <f t="shared" si="29"/>
        <v/>
      </c>
      <c r="B164" s="240"/>
      <c r="C164" s="240"/>
      <c r="D164" s="240"/>
      <c r="E164" s="240"/>
      <c r="F164" s="240"/>
      <c r="G164" s="240"/>
      <c r="H164" s="240"/>
      <c r="I164" s="240"/>
      <c r="J164" s="240"/>
      <c r="K164" s="241"/>
      <c r="L164" s="241"/>
      <c r="M164" s="241"/>
      <c r="N164" s="240"/>
      <c r="O164" s="247"/>
      <c r="P164" s="126">
        <f t="shared" si="30"/>
        <v>0</v>
      </c>
      <c r="Q164" s="126"/>
      <c r="R164" s="127">
        <f t="shared" si="31"/>
        <v>0</v>
      </c>
      <c r="T164" s="128">
        <f t="shared" si="32"/>
        <v>0</v>
      </c>
      <c r="U164" s="129" t="str">
        <f>IFERROR(VLOOKUP($S164,References!$B$3:$C$7,2,FALSE),"")</f>
        <v/>
      </c>
      <c r="V164" s="129" t="str">
        <f t="shared" si="33"/>
        <v/>
      </c>
      <c r="W164" s="74" t="str">
        <f>IFERROR(VLOOKUP($O164,'Customer List'!$A$1:$J$488,10,FALSE),"")</f>
        <v/>
      </c>
      <c r="X164" s="132"/>
      <c r="AH164" s="74"/>
    </row>
    <row r="165" spans="1:34">
      <c r="A165" s="125" t="str">
        <f t="shared" si="29"/>
        <v/>
      </c>
      <c r="B165" s="240"/>
      <c r="C165" s="240"/>
      <c r="D165" s="240"/>
      <c r="E165" s="240"/>
      <c r="F165" s="240"/>
      <c r="G165" s="240"/>
      <c r="H165" s="240"/>
      <c r="I165" s="240"/>
      <c r="J165" s="240"/>
      <c r="K165" s="241"/>
      <c r="L165" s="241"/>
      <c r="M165" s="241"/>
      <c r="N165" s="246"/>
      <c r="O165" s="247"/>
      <c r="P165" s="126">
        <f t="shared" si="30"/>
        <v>0</v>
      </c>
      <c r="Q165" s="126"/>
      <c r="R165" s="127">
        <f t="shared" si="31"/>
        <v>0</v>
      </c>
      <c r="T165" s="128">
        <f t="shared" si="32"/>
        <v>0</v>
      </c>
      <c r="U165" s="129" t="str">
        <f>IFERROR(VLOOKUP($S165,References!$B$3:$C$7,2,FALSE),"")</f>
        <v/>
      </c>
      <c r="V165" s="129" t="str">
        <f t="shared" si="33"/>
        <v/>
      </c>
      <c r="W165" s="74" t="str">
        <f>IFERROR(VLOOKUP($O165,'Customer List'!$A$1:$J$488,10,FALSE),"")</f>
        <v/>
      </c>
      <c r="X165" s="132"/>
      <c r="AH165" s="74"/>
    </row>
    <row r="166" spans="1:34">
      <c r="A166" s="125" t="str">
        <f t="shared" si="29"/>
        <v/>
      </c>
      <c r="B166" s="240"/>
      <c r="C166" s="240"/>
      <c r="D166" s="240"/>
      <c r="E166" s="240"/>
      <c r="F166" s="240"/>
      <c r="G166" s="240"/>
      <c r="H166" s="240"/>
      <c r="I166" s="240"/>
      <c r="J166" s="240"/>
      <c r="K166" s="241"/>
      <c r="L166" s="241"/>
      <c r="M166" s="241"/>
      <c r="N166" s="240"/>
      <c r="O166" s="247"/>
      <c r="P166" s="126">
        <f t="shared" si="30"/>
        <v>0</v>
      </c>
      <c r="Q166" s="126"/>
      <c r="R166" s="127">
        <f t="shared" si="31"/>
        <v>0</v>
      </c>
      <c r="T166" s="128">
        <f t="shared" si="32"/>
        <v>0</v>
      </c>
      <c r="U166" s="129" t="str">
        <f>IFERROR(VLOOKUP($S166,References!$B$3:$C$7,2,FALSE),"")</f>
        <v/>
      </c>
      <c r="V166" s="129" t="str">
        <f t="shared" si="33"/>
        <v/>
      </c>
      <c r="W166" s="74" t="str">
        <f>IFERROR(VLOOKUP($O166,'Customer List'!$A$1:$J$488,10,FALSE),"")</f>
        <v/>
      </c>
      <c r="X166" s="132"/>
      <c r="AH166" s="74"/>
    </row>
    <row r="167" spans="1:34">
      <c r="A167" s="125" t="str">
        <f t="shared" si="29"/>
        <v/>
      </c>
      <c r="B167" s="240"/>
      <c r="C167" s="240"/>
      <c r="D167" s="240"/>
      <c r="E167" s="240"/>
      <c r="F167" s="240"/>
      <c r="G167" s="240"/>
      <c r="H167" s="240"/>
      <c r="I167" s="240"/>
      <c r="J167" s="240"/>
      <c r="K167" s="241"/>
      <c r="L167" s="241"/>
      <c r="M167" s="241"/>
      <c r="N167" s="243"/>
      <c r="O167" s="247"/>
      <c r="P167" s="126">
        <f t="shared" si="30"/>
        <v>0</v>
      </c>
      <c r="Q167" s="126"/>
      <c r="R167" s="127">
        <f t="shared" si="31"/>
        <v>0</v>
      </c>
      <c r="T167" s="128">
        <f t="shared" si="32"/>
        <v>0</v>
      </c>
      <c r="U167" s="129" t="str">
        <f>IFERROR(VLOOKUP($S167,References!$B$3:$C$7,2,FALSE),"")</f>
        <v/>
      </c>
      <c r="V167" s="129" t="str">
        <f t="shared" si="33"/>
        <v/>
      </c>
      <c r="W167" s="74" t="str">
        <f>IFERROR(VLOOKUP($O167,'Customer List'!$A$1:$J$488,10,FALSE),"")</f>
        <v/>
      </c>
      <c r="AH167" s="74"/>
    </row>
    <row r="168" spans="1:34">
      <c r="A168" s="125" t="str">
        <f t="shared" si="29"/>
        <v/>
      </c>
      <c r="B168" s="240"/>
      <c r="C168" s="240"/>
      <c r="D168" s="240"/>
      <c r="E168" s="240"/>
      <c r="F168" s="240"/>
      <c r="G168" s="240"/>
      <c r="H168" s="240"/>
      <c r="I168" s="240"/>
      <c r="J168" s="240"/>
      <c r="K168" s="241"/>
      <c r="L168" s="241"/>
      <c r="M168" s="241"/>
      <c r="N168" s="243"/>
      <c r="O168" s="247"/>
      <c r="P168" s="126">
        <f t="shared" si="30"/>
        <v>0</v>
      </c>
      <c r="Q168" s="126"/>
      <c r="R168" s="127">
        <f t="shared" si="31"/>
        <v>0</v>
      </c>
      <c r="T168" s="128">
        <f t="shared" si="32"/>
        <v>0</v>
      </c>
      <c r="U168" s="129" t="str">
        <f>IFERROR(VLOOKUP($S168,References!$B$3:$C$7,2,FALSE),"")</f>
        <v/>
      </c>
      <c r="V168" s="129" t="str">
        <f t="shared" si="33"/>
        <v/>
      </c>
      <c r="W168" s="74" t="str">
        <f>IFERROR(VLOOKUP($O168,'Customer List'!$A$1:$J$488,10,FALSE),"")</f>
        <v/>
      </c>
      <c r="AH168" s="74"/>
    </row>
    <row r="169" spans="1:34">
      <c r="A169" s="125" t="str">
        <f t="shared" si="29"/>
        <v/>
      </c>
      <c r="B169" s="240"/>
      <c r="C169" s="240"/>
      <c r="D169" s="240"/>
      <c r="E169" s="240"/>
      <c r="F169" s="240"/>
      <c r="G169" s="240"/>
      <c r="H169" s="240"/>
      <c r="I169" s="240"/>
      <c r="J169" s="240"/>
      <c r="K169" s="241"/>
      <c r="L169" s="241"/>
      <c r="M169" s="241"/>
      <c r="N169" s="243"/>
      <c r="O169" s="247"/>
      <c r="P169" s="126">
        <f t="shared" si="30"/>
        <v>0</v>
      </c>
      <c r="Q169" s="126"/>
      <c r="R169" s="127">
        <f t="shared" si="31"/>
        <v>0</v>
      </c>
      <c r="T169" s="128">
        <f t="shared" si="32"/>
        <v>0</v>
      </c>
      <c r="U169" s="129" t="str">
        <f>IFERROR(VLOOKUP($S169,References!$B$3:$C$7,2,FALSE),"")</f>
        <v/>
      </c>
      <c r="V169" s="129" t="str">
        <f t="shared" si="33"/>
        <v/>
      </c>
      <c r="W169" s="74" t="str">
        <f>IFERROR(VLOOKUP($O169,'Customer List'!$A$1:$J$488,10,FALSE),"")</f>
        <v/>
      </c>
      <c r="AH169" s="74"/>
    </row>
    <row r="170" spans="1:34">
      <c r="A170" s="125" t="str">
        <f t="shared" si="29"/>
        <v/>
      </c>
      <c r="B170" s="240"/>
      <c r="C170" s="240"/>
      <c r="D170" s="240"/>
      <c r="E170" s="240"/>
      <c r="F170" s="240"/>
      <c r="G170" s="240"/>
      <c r="H170" s="240"/>
      <c r="I170" s="240"/>
      <c r="J170" s="240"/>
      <c r="K170" s="241"/>
      <c r="L170" s="241"/>
      <c r="M170" s="241"/>
      <c r="N170" s="243"/>
      <c r="O170" s="247"/>
      <c r="P170" s="126">
        <f t="shared" si="30"/>
        <v>0</v>
      </c>
      <c r="Q170" s="126"/>
      <c r="R170" s="127">
        <f t="shared" si="31"/>
        <v>0</v>
      </c>
      <c r="T170" s="128">
        <f t="shared" si="32"/>
        <v>0</v>
      </c>
      <c r="U170" s="129" t="str">
        <f>IFERROR(VLOOKUP($S170,References!$B$3:$C$7,2,FALSE),"")</f>
        <v/>
      </c>
      <c r="V170" s="129" t="str">
        <f t="shared" si="33"/>
        <v/>
      </c>
      <c r="W170" s="74" t="str">
        <f>IFERROR(VLOOKUP($O170,'Customer List'!$A$1:$J$488,10,FALSE),"")</f>
        <v/>
      </c>
      <c r="AH170" s="74"/>
    </row>
    <row r="171" spans="1:34">
      <c r="A171" s="125" t="str">
        <f t="shared" si="29"/>
        <v/>
      </c>
      <c r="B171" s="240"/>
      <c r="C171" s="240"/>
      <c r="D171" s="240"/>
      <c r="E171" s="240"/>
      <c r="F171" s="240"/>
      <c r="G171" s="240"/>
      <c r="H171" s="240"/>
      <c r="I171" s="240"/>
      <c r="J171" s="240"/>
      <c r="K171" s="241"/>
      <c r="L171" s="241"/>
      <c r="M171" s="241"/>
      <c r="N171" s="240"/>
      <c r="O171" s="247"/>
      <c r="P171" s="126">
        <f t="shared" si="30"/>
        <v>0</v>
      </c>
      <c r="Q171" s="126"/>
      <c r="R171" s="127">
        <f t="shared" si="31"/>
        <v>0</v>
      </c>
      <c r="T171" s="128">
        <f t="shared" si="32"/>
        <v>0</v>
      </c>
      <c r="U171" s="129" t="str">
        <f>IFERROR(VLOOKUP($S171,References!$B$3:$C$7,2,FALSE),"")</f>
        <v/>
      </c>
      <c r="V171" s="129" t="str">
        <f t="shared" si="33"/>
        <v/>
      </c>
      <c r="W171" s="74" t="str">
        <f>IFERROR(VLOOKUP($O171,'Customer List'!$A$1:$J$488,10,FALSE),"")</f>
        <v/>
      </c>
      <c r="AH171" s="74"/>
    </row>
    <row r="172" spans="1:34">
      <c r="A172" s="125" t="str">
        <f t="shared" si="29"/>
        <v/>
      </c>
      <c r="B172" s="240"/>
      <c r="C172" s="240"/>
      <c r="D172" s="240"/>
      <c r="E172" s="240"/>
      <c r="F172" s="240"/>
      <c r="G172" s="240"/>
      <c r="H172" s="240"/>
      <c r="I172" s="240"/>
      <c r="J172" s="240"/>
      <c r="K172" s="241"/>
      <c r="L172" s="241"/>
      <c r="M172" s="241"/>
      <c r="N172" s="243"/>
      <c r="O172" s="247"/>
      <c r="P172" s="126">
        <f t="shared" si="30"/>
        <v>0</v>
      </c>
      <c r="Q172" s="126"/>
      <c r="R172" s="127">
        <f t="shared" si="31"/>
        <v>0</v>
      </c>
      <c r="T172" s="128">
        <f t="shared" si="32"/>
        <v>0</v>
      </c>
      <c r="U172" s="129" t="str">
        <f>IFERROR(VLOOKUP($S172,References!$B$3:$C$7,2,FALSE),"")</f>
        <v/>
      </c>
      <c r="V172" s="129" t="str">
        <f t="shared" si="33"/>
        <v/>
      </c>
      <c r="W172" s="74" t="str">
        <f>IFERROR(VLOOKUP($O172,'Customer List'!$A$1:$J$488,10,FALSE),"")</f>
        <v/>
      </c>
      <c r="AH172" s="74"/>
    </row>
    <row r="173" spans="1:34">
      <c r="A173" s="125" t="str">
        <f t="shared" si="29"/>
        <v/>
      </c>
      <c r="B173" s="240"/>
      <c r="C173" s="240"/>
      <c r="D173" s="240"/>
      <c r="E173" s="240"/>
      <c r="F173" s="240"/>
      <c r="G173" s="240"/>
      <c r="H173" s="240"/>
      <c r="I173" s="240"/>
      <c r="J173" s="240"/>
      <c r="K173" s="241"/>
      <c r="L173" s="241"/>
      <c r="M173" s="241"/>
      <c r="N173" s="240"/>
      <c r="O173" s="247"/>
      <c r="P173" s="126">
        <f t="shared" si="30"/>
        <v>0</v>
      </c>
      <c r="Q173" s="126"/>
      <c r="R173" s="127">
        <f t="shared" si="31"/>
        <v>0</v>
      </c>
      <c r="T173" s="128">
        <f t="shared" si="32"/>
        <v>0</v>
      </c>
      <c r="U173" s="129" t="str">
        <f>IFERROR(VLOOKUP($S173,References!$B$3:$C$7,2,FALSE),"")</f>
        <v/>
      </c>
      <c r="V173" s="129" t="str">
        <f t="shared" si="33"/>
        <v/>
      </c>
      <c r="W173" s="74" t="str">
        <f>IFERROR(VLOOKUP($O173,'Customer List'!$A$1:$J$488,10,FALSE),"")</f>
        <v/>
      </c>
      <c r="AH173" s="74"/>
    </row>
    <row r="174" spans="1:34">
      <c r="A174" s="125" t="str">
        <f t="shared" si="29"/>
        <v/>
      </c>
      <c r="B174" s="240"/>
      <c r="C174" s="240"/>
      <c r="D174" s="240"/>
      <c r="E174" s="240"/>
      <c r="F174" s="240"/>
      <c r="G174" s="240"/>
      <c r="H174" s="240"/>
      <c r="I174" s="240"/>
      <c r="J174" s="240"/>
      <c r="K174" s="241"/>
      <c r="L174" s="241"/>
      <c r="M174" s="241"/>
      <c r="N174" s="240"/>
      <c r="O174" s="247"/>
      <c r="P174" s="126">
        <f t="shared" si="30"/>
        <v>0</v>
      </c>
      <c r="Q174" s="126"/>
      <c r="R174" s="127">
        <f t="shared" si="31"/>
        <v>0</v>
      </c>
      <c r="T174" s="128">
        <f t="shared" si="32"/>
        <v>0</v>
      </c>
      <c r="U174" s="129" t="str">
        <f>IFERROR(VLOOKUP($S174,References!$B$3:$C$7,2,FALSE),"")</f>
        <v/>
      </c>
      <c r="V174" s="129" t="str">
        <f t="shared" si="33"/>
        <v/>
      </c>
      <c r="W174" s="74" t="str">
        <f>IFERROR(VLOOKUP($O174,'Customer List'!$A$1:$J$488,10,FALSE),"")</f>
        <v/>
      </c>
      <c r="AH174" s="74"/>
    </row>
    <row r="175" spans="1:34">
      <c r="A175" s="125" t="str">
        <f t="shared" si="29"/>
        <v/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1"/>
      <c r="L175" s="241"/>
      <c r="M175" s="241"/>
      <c r="N175" s="240"/>
      <c r="O175" s="247"/>
      <c r="P175" s="126">
        <f t="shared" si="30"/>
        <v>0</v>
      </c>
      <c r="Q175" s="126"/>
      <c r="R175" s="127">
        <f t="shared" si="31"/>
        <v>0</v>
      </c>
      <c r="T175" s="128">
        <f t="shared" si="32"/>
        <v>0</v>
      </c>
      <c r="U175" s="129" t="str">
        <f>IFERROR(VLOOKUP($S175,References!$B$3:$C$7,2,FALSE),"")</f>
        <v/>
      </c>
      <c r="V175" s="129" t="str">
        <f t="shared" si="33"/>
        <v/>
      </c>
      <c r="W175" s="74" t="str">
        <f>IFERROR(VLOOKUP($O175,'Customer List'!$A$1:$J$488,10,FALSE),"")</f>
        <v/>
      </c>
      <c r="AH175" s="74"/>
    </row>
    <row r="176" spans="1:34">
      <c r="A176" s="125" t="str">
        <f t="shared" si="29"/>
        <v/>
      </c>
      <c r="B176" s="240"/>
      <c r="C176" s="240"/>
      <c r="D176" s="240"/>
      <c r="E176" s="240"/>
      <c r="F176" s="240"/>
      <c r="G176" s="240"/>
      <c r="H176" s="240"/>
      <c r="I176" s="240"/>
      <c r="J176" s="240"/>
      <c r="K176" s="241"/>
      <c r="L176" s="241"/>
      <c r="M176" s="241"/>
      <c r="N176" s="240"/>
      <c r="O176" s="247"/>
      <c r="P176" s="126">
        <f t="shared" si="30"/>
        <v>0</v>
      </c>
      <c r="Q176" s="126"/>
      <c r="R176" s="127">
        <f t="shared" si="31"/>
        <v>0</v>
      </c>
      <c r="T176" s="128">
        <f t="shared" si="32"/>
        <v>0</v>
      </c>
      <c r="U176" s="129" t="str">
        <f>IFERROR(VLOOKUP($S176,References!$B$3:$C$7,2,FALSE),"")</f>
        <v/>
      </c>
      <c r="V176" s="129" t="str">
        <f t="shared" si="33"/>
        <v/>
      </c>
      <c r="W176" s="74" t="str">
        <f>IFERROR(VLOOKUP($O176,'Customer List'!$A$1:$J$488,10,FALSE),"")</f>
        <v/>
      </c>
      <c r="AH176" s="74"/>
    </row>
    <row r="177" spans="1:34">
      <c r="A177" s="125" t="str">
        <f t="shared" si="29"/>
        <v/>
      </c>
      <c r="B177" s="240"/>
      <c r="C177" s="240"/>
      <c r="D177" s="240"/>
      <c r="E177" s="240"/>
      <c r="F177" s="240"/>
      <c r="G177" s="240"/>
      <c r="H177" s="240"/>
      <c r="I177" s="240"/>
      <c r="J177" s="240"/>
      <c r="K177" s="241"/>
      <c r="L177" s="241"/>
      <c r="M177" s="241"/>
      <c r="N177" s="245"/>
      <c r="O177" s="247"/>
      <c r="P177" s="126">
        <f t="shared" si="30"/>
        <v>0</v>
      </c>
      <c r="Q177" s="126"/>
      <c r="R177" s="127">
        <f t="shared" si="31"/>
        <v>0</v>
      </c>
      <c r="T177" s="128">
        <f t="shared" si="32"/>
        <v>0</v>
      </c>
      <c r="U177" s="129" t="str">
        <f>IFERROR(VLOOKUP($S177,References!$B$3:$C$7,2,FALSE),"")</f>
        <v/>
      </c>
      <c r="V177" s="129" t="str">
        <f t="shared" si="33"/>
        <v/>
      </c>
      <c r="W177" s="74" t="str">
        <f>IFERROR(VLOOKUP($O177,'Customer List'!$A$1:$J$488,10,FALSE),"")</f>
        <v/>
      </c>
      <c r="AH177" s="74"/>
    </row>
    <row r="178" spans="1:34">
      <c r="A178" s="125" t="str">
        <f t="shared" si="29"/>
        <v/>
      </c>
      <c r="B178" s="240"/>
      <c r="C178" s="240"/>
      <c r="D178" s="240"/>
      <c r="E178" s="240"/>
      <c r="F178" s="240"/>
      <c r="G178" s="240"/>
      <c r="H178" s="240"/>
      <c r="I178" s="240"/>
      <c r="J178" s="240"/>
      <c r="K178" s="241"/>
      <c r="L178" s="241"/>
      <c r="M178" s="241"/>
      <c r="N178" s="240"/>
      <c r="O178" s="247"/>
      <c r="P178" s="126">
        <f t="shared" si="30"/>
        <v>0</v>
      </c>
      <c r="Q178" s="126"/>
      <c r="R178" s="127">
        <f t="shared" si="31"/>
        <v>0</v>
      </c>
      <c r="T178" s="128">
        <f t="shared" si="32"/>
        <v>0</v>
      </c>
      <c r="U178" s="129" t="str">
        <f>IFERROR(VLOOKUP($S178,References!$B$3:$C$7,2,FALSE),"")</f>
        <v/>
      </c>
      <c r="V178" s="129" t="str">
        <f t="shared" si="33"/>
        <v/>
      </c>
      <c r="W178" s="74" t="str">
        <f>IFERROR(VLOOKUP($O178,'Customer List'!$A$1:$J$488,10,FALSE),"")</f>
        <v/>
      </c>
      <c r="AH178" s="74"/>
    </row>
    <row r="179" spans="1:34">
      <c r="A179" s="125" t="str">
        <f t="shared" si="29"/>
        <v/>
      </c>
      <c r="B179" s="240"/>
      <c r="C179" s="240"/>
      <c r="D179" s="240"/>
      <c r="E179" s="240"/>
      <c r="F179" s="240"/>
      <c r="G179" s="240"/>
      <c r="H179" s="240"/>
      <c r="I179" s="240"/>
      <c r="J179" s="240"/>
      <c r="K179" s="241"/>
      <c r="L179" s="241"/>
      <c r="M179" s="241"/>
      <c r="N179" s="245"/>
      <c r="O179" s="247"/>
      <c r="P179" s="126">
        <f t="shared" si="30"/>
        <v>0</v>
      </c>
      <c r="Q179" s="126"/>
      <c r="R179" s="127">
        <f t="shared" si="31"/>
        <v>0</v>
      </c>
      <c r="T179" s="128">
        <f t="shared" si="32"/>
        <v>0</v>
      </c>
      <c r="U179" s="129" t="str">
        <f>IFERROR(VLOOKUP($S179,References!$B$3:$C$7,2,FALSE),"")</f>
        <v/>
      </c>
      <c r="V179" s="129" t="str">
        <f t="shared" si="33"/>
        <v/>
      </c>
      <c r="W179" s="74" t="str">
        <f>IFERROR(VLOOKUP($O179,'Customer List'!$A$1:$J$488,10,FALSE),"")</f>
        <v/>
      </c>
      <c r="AH179" s="74"/>
    </row>
    <row r="180" spans="1:34">
      <c r="A180" s="125" t="str">
        <f t="shared" si="29"/>
        <v/>
      </c>
      <c r="B180" s="240"/>
      <c r="C180" s="240"/>
      <c r="D180" s="240"/>
      <c r="E180" s="240"/>
      <c r="F180" s="240"/>
      <c r="G180" s="240"/>
      <c r="H180" s="240"/>
      <c r="I180" s="240"/>
      <c r="J180" s="240"/>
      <c r="K180" s="241"/>
      <c r="L180" s="241"/>
      <c r="M180" s="241"/>
      <c r="N180" s="243"/>
      <c r="O180" s="247"/>
      <c r="P180" s="126">
        <f t="shared" si="30"/>
        <v>0</v>
      </c>
      <c r="Q180" s="126"/>
      <c r="R180" s="127">
        <f t="shared" si="31"/>
        <v>0</v>
      </c>
      <c r="T180" s="128">
        <f t="shared" si="32"/>
        <v>0</v>
      </c>
      <c r="U180" s="129" t="str">
        <f>IFERROR(VLOOKUP($S180,References!$B$3:$C$7,2,FALSE),"")</f>
        <v/>
      </c>
      <c r="V180" s="129" t="str">
        <f t="shared" si="33"/>
        <v/>
      </c>
      <c r="W180" s="74" t="str">
        <f>IFERROR(VLOOKUP($O180,'Customer List'!$A$1:$J$488,10,FALSE),"")</f>
        <v/>
      </c>
      <c r="AH180" s="74"/>
    </row>
    <row r="181" spans="1:34">
      <c r="A181" s="125" t="str">
        <f t="shared" si="29"/>
        <v/>
      </c>
      <c r="B181" s="240"/>
      <c r="C181" s="240"/>
      <c r="D181" s="240"/>
      <c r="E181" s="240"/>
      <c r="F181" s="240"/>
      <c r="G181" s="240"/>
      <c r="H181" s="240"/>
      <c r="I181" s="240"/>
      <c r="J181" s="240"/>
      <c r="K181" s="241"/>
      <c r="L181" s="241"/>
      <c r="M181" s="241"/>
      <c r="N181" s="243"/>
      <c r="O181" s="247"/>
      <c r="P181" s="126">
        <f t="shared" si="30"/>
        <v>0</v>
      </c>
      <c r="Q181" s="126"/>
      <c r="R181" s="127">
        <f t="shared" si="31"/>
        <v>0</v>
      </c>
      <c r="T181" s="128">
        <f t="shared" si="32"/>
        <v>0</v>
      </c>
      <c r="U181" s="129" t="str">
        <f>IFERROR(VLOOKUP($S181,References!$B$3:$C$7,2,FALSE),"")</f>
        <v/>
      </c>
      <c r="V181" s="129" t="str">
        <f t="shared" si="33"/>
        <v/>
      </c>
      <c r="W181" s="74" t="str">
        <f>IFERROR(VLOOKUP($O181,'Customer List'!$A$1:$J$488,10,FALSE),"")</f>
        <v/>
      </c>
      <c r="AH181" s="74"/>
    </row>
    <row r="182" spans="1:34">
      <c r="A182" s="125" t="str">
        <f t="shared" si="29"/>
        <v/>
      </c>
      <c r="B182" s="240"/>
      <c r="C182" s="240"/>
      <c r="D182" s="240"/>
      <c r="E182" s="240"/>
      <c r="F182" s="240"/>
      <c r="G182" s="240"/>
      <c r="H182" s="240"/>
      <c r="I182" s="240"/>
      <c r="J182" s="240"/>
      <c r="K182" s="241"/>
      <c r="L182" s="241"/>
      <c r="M182" s="241"/>
      <c r="N182" s="243"/>
      <c r="O182" s="247"/>
      <c r="P182" s="126">
        <f t="shared" si="30"/>
        <v>0</v>
      </c>
      <c r="Q182" s="126"/>
      <c r="R182" s="127">
        <f t="shared" si="31"/>
        <v>0</v>
      </c>
      <c r="T182" s="128">
        <f t="shared" si="32"/>
        <v>0</v>
      </c>
      <c r="U182" s="129" t="str">
        <f>IFERROR(VLOOKUP($S182,References!$B$3:$C$7,2,FALSE),"")</f>
        <v/>
      </c>
      <c r="V182" s="129" t="str">
        <f t="shared" si="33"/>
        <v/>
      </c>
      <c r="W182" s="74" t="str">
        <f>IFERROR(VLOOKUP($O182,'Customer List'!$A$1:$J$488,10,FALSE),"")</f>
        <v/>
      </c>
      <c r="AH182" s="74"/>
    </row>
    <row r="183" spans="1:34">
      <c r="A183" s="125" t="str">
        <f t="shared" si="29"/>
        <v/>
      </c>
      <c r="B183" s="240"/>
      <c r="C183" s="240"/>
      <c r="D183" s="240"/>
      <c r="E183" s="240"/>
      <c r="F183" s="240"/>
      <c r="G183" s="240"/>
      <c r="H183" s="240"/>
      <c r="I183" s="240"/>
      <c r="J183" s="240"/>
      <c r="K183" s="241"/>
      <c r="L183" s="241"/>
      <c r="M183" s="241"/>
      <c r="N183" s="240"/>
      <c r="O183" s="247"/>
      <c r="P183" s="126">
        <f t="shared" si="30"/>
        <v>0</v>
      </c>
      <c r="Q183" s="126"/>
      <c r="R183" s="127">
        <f t="shared" si="31"/>
        <v>0</v>
      </c>
      <c r="T183" s="128">
        <f t="shared" si="32"/>
        <v>0</v>
      </c>
      <c r="U183" s="129" t="str">
        <f>IFERROR(VLOOKUP($S183,References!$B$3:$C$7,2,FALSE),"")</f>
        <v/>
      </c>
      <c r="V183" s="129" t="str">
        <f t="shared" si="33"/>
        <v/>
      </c>
      <c r="W183" s="74" t="str">
        <f>IFERROR(VLOOKUP($O183,'Customer List'!$A$1:$J$488,10,FALSE),"")</f>
        <v/>
      </c>
      <c r="AH183" s="74"/>
    </row>
    <row r="184" spans="1:34">
      <c r="A184" s="125" t="str">
        <f t="shared" si="29"/>
        <v/>
      </c>
      <c r="B184" s="240"/>
      <c r="C184" s="240"/>
      <c r="D184" s="240"/>
      <c r="E184" s="240"/>
      <c r="F184" s="240"/>
      <c r="G184" s="240"/>
      <c r="H184" s="240"/>
      <c r="I184" s="240"/>
      <c r="J184" s="240"/>
      <c r="K184" s="241"/>
      <c r="L184" s="241"/>
      <c r="M184" s="241"/>
      <c r="N184" s="240"/>
      <c r="O184" s="247"/>
      <c r="P184" s="126">
        <f t="shared" si="30"/>
        <v>0</v>
      </c>
      <c r="Q184" s="126"/>
      <c r="R184" s="127">
        <f t="shared" si="31"/>
        <v>0</v>
      </c>
      <c r="T184" s="128">
        <f t="shared" si="32"/>
        <v>0</v>
      </c>
      <c r="U184" s="129" t="str">
        <f>IFERROR(VLOOKUP($S184,References!$B$3:$C$7,2,FALSE),"")</f>
        <v/>
      </c>
      <c r="V184" s="129" t="str">
        <f t="shared" si="33"/>
        <v/>
      </c>
      <c r="W184" s="74" t="str">
        <f>IFERROR(VLOOKUP($O184,'Customer List'!$A$1:$J$488,10,FALSE),"")</f>
        <v/>
      </c>
      <c r="AH184" s="74"/>
    </row>
    <row r="185" spans="1:34">
      <c r="A185" s="125" t="str">
        <f t="shared" si="29"/>
        <v/>
      </c>
      <c r="B185" s="240"/>
      <c r="C185" s="240"/>
      <c r="D185" s="240"/>
      <c r="E185" s="240"/>
      <c r="F185" s="240"/>
      <c r="G185" s="240"/>
      <c r="H185" s="240"/>
      <c r="I185" s="240"/>
      <c r="J185" s="240"/>
      <c r="K185" s="241"/>
      <c r="L185" s="241"/>
      <c r="M185" s="241"/>
      <c r="N185" s="240"/>
      <c r="O185" s="247"/>
      <c r="P185" s="126">
        <f t="shared" si="30"/>
        <v>0</v>
      </c>
      <c r="Q185" s="126"/>
      <c r="R185" s="127">
        <f t="shared" si="31"/>
        <v>0</v>
      </c>
      <c r="T185" s="128">
        <f t="shared" si="32"/>
        <v>0</v>
      </c>
      <c r="U185" s="129" t="str">
        <f>IFERROR(VLOOKUP($S185,References!$B$3:$C$7,2,FALSE),"")</f>
        <v/>
      </c>
      <c r="V185" s="129" t="str">
        <f t="shared" si="33"/>
        <v/>
      </c>
      <c r="W185" s="74" t="str">
        <f>IFERROR(VLOOKUP($O185,'Customer List'!$A$1:$J$488,10,FALSE),"")</f>
        <v/>
      </c>
      <c r="AH185" s="74"/>
    </row>
    <row r="186" spans="1:34">
      <c r="A186" s="125" t="str">
        <f t="shared" si="29"/>
        <v/>
      </c>
      <c r="B186" s="240"/>
      <c r="C186" s="240"/>
      <c r="D186" s="240"/>
      <c r="E186" s="240"/>
      <c r="F186" s="240"/>
      <c r="G186" s="240"/>
      <c r="H186" s="240"/>
      <c r="I186" s="240"/>
      <c r="J186" s="240"/>
      <c r="K186" s="241"/>
      <c r="L186" s="241"/>
      <c r="M186" s="241"/>
      <c r="N186" s="243"/>
      <c r="O186" s="247"/>
      <c r="P186" s="126">
        <f t="shared" si="30"/>
        <v>0</v>
      </c>
      <c r="Q186" s="126"/>
      <c r="R186" s="127">
        <f t="shared" si="31"/>
        <v>0</v>
      </c>
      <c r="T186" s="128">
        <f t="shared" si="32"/>
        <v>0</v>
      </c>
      <c r="U186" s="129" t="str">
        <f>IFERROR(VLOOKUP($S186,References!$B$3:$C$7,2,FALSE),"")</f>
        <v/>
      </c>
      <c r="V186" s="129" t="str">
        <f t="shared" si="33"/>
        <v/>
      </c>
      <c r="W186" s="74" t="str">
        <f>IFERROR(VLOOKUP($O186,'Customer List'!$A$1:$J$488,10,FALSE),"")</f>
        <v/>
      </c>
      <c r="AH186" s="74"/>
    </row>
    <row r="187" spans="1:34">
      <c r="A187" s="125" t="str">
        <f t="shared" si="29"/>
        <v/>
      </c>
      <c r="B187" s="240"/>
      <c r="C187" s="240"/>
      <c r="D187" s="240"/>
      <c r="E187" s="240"/>
      <c r="F187" s="240"/>
      <c r="G187" s="240"/>
      <c r="H187" s="240"/>
      <c r="I187" s="240"/>
      <c r="J187" s="240"/>
      <c r="K187" s="241"/>
      <c r="L187" s="241"/>
      <c r="M187" s="241"/>
      <c r="N187" s="243"/>
      <c r="O187" s="247"/>
      <c r="P187" s="126">
        <f t="shared" si="30"/>
        <v>0</v>
      </c>
      <c r="Q187" s="126"/>
      <c r="R187" s="127">
        <f t="shared" si="31"/>
        <v>0</v>
      </c>
      <c r="T187" s="128">
        <f t="shared" si="32"/>
        <v>0</v>
      </c>
      <c r="U187" s="129" t="str">
        <f>IFERROR(VLOOKUP($S187,References!$B$3:$C$7,2,FALSE),"")</f>
        <v/>
      </c>
      <c r="V187" s="129" t="str">
        <f t="shared" si="33"/>
        <v/>
      </c>
      <c r="W187" s="74" t="str">
        <f>IFERROR(VLOOKUP($O187,'Customer List'!$A$1:$J$488,10,FALSE),"")</f>
        <v/>
      </c>
      <c r="AH187" s="74"/>
    </row>
    <row r="188" spans="1:34">
      <c r="A188" s="125" t="str">
        <f t="shared" si="29"/>
        <v/>
      </c>
      <c r="B188" s="240"/>
      <c r="C188" s="240"/>
      <c r="D188" s="240"/>
      <c r="E188" s="240"/>
      <c r="F188" s="240"/>
      <c r="G188" s="240"/>
      <c r="H188" s="240"/>
      <c r="I188" s="240"/>
      <c r="J188" s="240"/>
      <c r="K188" s="241"/>
      <c r="L188" s="241"/>
      <c r="M188" s="241"/>
      <c r="N188" s="243"/>
      <c r="O188" s="247"/>
      <c r="P188" s="126">
        <f t="shared" si="30"/>
        <v>0</v>
      </c>
      <c r="Q188" s="126"/>
      <c r="R188" s="127">
        <f t="shared" si="31"/>
        <v>0</v>
      </c>
      <c r="T188" s="128">
        <f t="shared" si="32"/>
        <v>0</v>
      </c>
      <c r="U188" s="129" t="str">
        <f>IFERROR(VLOOKUP($S188,References!$B$3:$C$7,2,FALSE),"")</f>
        <v/>
      </c>
      <c r="V188" s="129" t="str">
        <f t="shared" si="33"/>
        <v/>
      </c>
      <c r="W188" s="74" t="str">
        <f>IFERROR(VLOOKUP($O188,'Customer List'!$A$1:$J$488,10,FALSE),"")</f>
        <v/>
      </c>
      <c r="AH188" s="74"/>
    </row>
    <row r="189" spans="1:34">
      <c r="A189" s="125" t="str">
        <f t="shared" si="29"/>
        <v/>
      </c>
      <c r="B189" s="240"/>
      <c r="C189" s="240"/>
      <c r="D189" s="240"/>
      <c r="E189" s="240"/>
      <c r="F189" s="240"/>
      <c r="G189" s="240"/>
      <c r="H189" s="240"/>
      <c r="I189" s="240"/>
      <c r="J189" s="240"/>
      <c r="K189" s="241"/>
      <c r="L189" s="241"/>
      <c r="M189" s="241"/>
      <c r="N189" s="243"/>
      <c r="O189" s="247"/>
      <c r="P189" s="126">
        <f t="shared" si="30"/>
        <v>0</v>
      </c>
      <c r="Q189" s="126"/>
      <c r="R189" s="127">
        <f t="shared" si="31"/>
        <v>0</v>
      </c>
      <c r="T189" s="128">
        <f t="shared" si="32"/>
        <v>0</v>
      </c>
      <c r="U189" s="129" t="str">
        <f>IFERROR(VLOOKUP($S189,References!$B$3:$C$7,2,FALSE),"")</f>
        <v/>
      </c>
      <c r="V189" s="129" t="str">
        <f t="shared" si="33"/>
        <v/>
      </c>
      <c r="W189" s="74" t="str">
        <f>IFERROR(VLOOKUP($O189,'Customer List'!$A$1:$J$488,10,FALSE),"")</f>
        <v/>
      </c>
      <c r="AH189" s="74"/>
    </row>
    <row r="190" spans="1:34">
      <c r="A190" s="125" t="str">
        <f t="shared" si="29"/>
        <v/>
      </c>
      <c r="B190" s="240"/>
      <c r="C190" s="240"/>
      <c r="D190" s="240"/>
      <c r="E190" s="240"/>
      <c r="F190" s="240"/>
      <c r="G190" s="240"/>
      <c r="H190" s="240"/>
      <c r="I190" s="240"/>
      <c r="J190" s="240"/>
      <c r="K190" s="241"/>
      <c r="L190" s="241"/>
      <c r="M190" s="241"/>
      <c r="N190" s="243"/>
      <c r="O190" s="247"/>
      <c r="P190" s="126">
        <f t="shared" si="30"/>
        <v>0</v>
      </c>
      <c r="Q190" s="126"/>
      <c r="R190" s="127">
        <f t="shared" si="31"/>
        <v>0</v>
      </c>
      <c r="T190" s="128">
        <f t="shared" si="32"/>
        <v>0</v>
      </c>
      <c r="U190" s="129" t="str">
        <f>IFERROR(VLOOKUP($S190,References!$B$3:$C$7,2,FALSE),"")</f>
        <v/>
      </c>
      <c r="V190" s="129" t="str">
        <f t="shared" si="33"/>
        <v/>
      </c>
      <c r="W190" s="74" t="str">
        <f>IFERROR(VLOOKUP($O190,'Customer List'!$A$1:$J$488,10,FALSE),"")</f>
        <v/>
      </c>
      <c r="AH190" s="74"/>
    </row>
    <row r="191" spans="1:34">
      <c r="A191" s="125" t="str">
        <f t="shared" si="29"/>
        <v/>
      </c>
      <c r="B191" s="240"/>
      <c r="C191" s="240"/>
      <c r="D191" s="240"/>
      <c r="E191" s="240"/>
      <c r="F191" s="240"/>
      <c r="G191" s="240"/>
      <c r="H191" s="240"/>
      <c r="I191" s="240"/>
      <c r="J191" s="240"/>
      <c r="K191" s="241"/>
      <c r="L191" s="241"/>
      <c r="M191" s="241"/>
      <c r="N191" s="243"/>
      <c r="O191" s="247"/>
      <c r="P191" s="126">
        <f t="shared" si="30"/>
        <v>0</v>
      </c>
      <c r="Q191" s="126"/>
      <c r="R191" s="127">
        <f t="shared" si="31"/>
        <v>0</v>
      </c>
      <c r="T191" s="128">
        <f t="shared" si="32"/>
        <v>0</v>
      </c>
      <c r="U191" s="129" t="str">
        <f>IFERROR(VLOOKUP($S191,References!$B$3:$C$7,2,FALSE),"")</f>
        <v/>
      </c>
      <c r="V191" s="129" t="str">
        <f t="shared" si="33"/>
        <v/>
      </c>
      <c r="W191" s="74" t="str">
        <f>IFERROR(VLOOKUP($O191,'Customer List'!$A$1:$J$488,10,FALSE),"")</f>
        <v/>
      </c>
      <c r="AH191" s="74"/>
    </row>
    <row r="192" spans="1:34">
      <c r="A192" s="125" t="str">
        <f t="shared" si="29"/>
        <v/>
      </c>
      <c r="B192" s="240"/>
      <c r="C192" s="240"/>
      <c r="D192" s="240"/>
      <c r="E192" s="240"/>
      <c r="F192" s="240"/>
      <c r="G192" s="240"/>
      <c r="H192" s="240"/>
      <c r="I192" s="240"/>
      <c r="J192" s="240"/>
      <c r="K192" s="241"/>
      <c r="L192" s="241"/>
      <c r="M192" s="241"/>
      <c r="N192" s="243"/>
      <c r="O192" s="247"/>
      <c r="P192" s="126">
        <f t="shared" si="30"/>
        <v>0</v>
      </c>
      <c r="Q192" s="126"/>
      <c r="R192" s="127">
        <f t="shared" si="31"/>
        <v>0</v>
      </c>
      <c r="T192" s="128">
        <f t="shared" si="32"/>
        <v>0</v>
      </c>
      <c r="U192" s="129" t="str">
        <f>IFERROR(VLOOKUP($S192,References!$B$3:$C$7,2,FALSE),"")</f>
        <v/>
      </c>
      <c r="V192" s="129" t="str">
        <f t="shared" si="33"/>
        <v/>
      </c>
      <c r="W192" s="74" t="str">
        <f>IFERROR(VLOOKUP($O192,'Customer List'!$A$1:$J$488,10,FALSE),"")</f>
        <v/>
      </c>
      <c r="AH192" s="74"/>
    </row>
    <row r="193" spans="1:34">
      <c r="A193" s="125" t="str">
        <f t="shared" si="29"/>
        <v/>
      </c>
      <c r="B193" s="234"/>
      <c r="C193" s="234"/>
      <c r="D193" s="234"/>
      <c r="E193" s="234"/>
      <c r="F193" s="234"/>
      <c r="G193" s="234"/>
      <c r="H193" s="234"/>
      <c r="I193" s="234"/>
      <c r="J193" s="234"/>
      <c r="K193" s="235"/>
      <c r="L193" s="235"/>
      <c r="M193" s="235"/>
      <c r="N193" s="234"/>
      <c r="O193" s="247"/>
      <c r="P193" s="126">
        <f t="shared" si="30"/>
        <v>0</v>
      </c>
      <c r="Q193" s="126"/>
      <c r="R193" s="127">
        <f t="shared" si="31"/>
        <v>0</v>
      </c>
      <c r="T193" s="128">
        <f t="shared" si="32"/>
        <v>0</v>
      </c>
      <c r="U193" s="129" t="str">
        <f>IFERROR(VLOOKUP($S193,References!$B$3:$C$7,2,FALSE),"")</f>
        <v/>
      </c>
      <c r="V193" s="129" t="str">
        <f t="shared" si="33"/>
        <v/>
      </c>
      <c r="W193" s="74" t="str">
        <f>IFERROR(VLOOKUP($O193,'Customer List'!$A$1:$J$488,10,FALSE),"")</f>
        <v/>
      </c>
      <c r="AH193" s="74"/>
    </row>
    <row r="194" spans="1:34">
      <c r="A194" s="125" t="str">
        <f t="shared" si="29"/>
        <v/>
      </c>
      <c r="B194" s="234"/>
      <c r="C194" s="234"/>
      <c r="D194" s="234"/>
      <c r="E194" s="234"/>
      <c r="F194" s="234"/>
      <c r="G194" s="234"/>
      <c r="H194" s="234"/>
      <c r="I194" s="234"/>
      <c r="J194" s="234"/>
      <c r="K194" s="235"/>
      <c r="L194" s="235"/>
      <c r="M194" s="235"/>
      <c r="N194" s="234"/>
      <c r="O194" s="247"/>
      <c r="P194" s="126">
        <f t="shared" si="30"/>
        <v>0</v>
      </c>
      <c r="Q194" s="126"/>
      <c r="R194" s="127">
        <f t="shared" si="31"/>
        <v>0</v>
      </c>
      <c r="T194" s="128">
        <f t="shared" si="32"/>
        <v>0</v>
      </c>
      <c r="U194" s="129" t="str">
        <f>IFERROR(VLOOKUP($S194,References!$B$3:$C$7,2,FALSE),"")</f>
        <v/>
      </c>
      <c r="V194" s="129" t="str">
        <f t="shared" si="33"/>
        <v/>
      </c>
      <c r="W194" s="74" t="str">
        <f>IFERROR(VLOOKUP($O194,'Customer List'!$A$1:$J$488,10,FALSE),"")</f>
        <v/>
      </c>
      <c r="AH194" s="74"/>
    </row>
    <row r="195" spans="1:34">
      <c r="A195" s="125" t="str">
        <f t="shared" si="29"/>
        <v/>
      </c>
      <c r="B195" s="234"/>
      <c r="C195" s="234"/>
      <c r="D195" s="234"/>
      <c r="E195" s="234"/>
      <c r="F195" s="234"/>
      <c r="G195" s="234"/>
      <c r="H195" s="234"/>
      <c r="I195" s="234"/>
      <c r="J195" s="234"/>
      <c r="K195" s="235"/>
      <c r="L195" s="235"/>
      <c r="M195" s="235"/>
      <c r="N195" s="234"/>
      <c r="O195" s="247"/>
      <c r="P195" s="126">
        <f t="shared" si="30"/>
        <v>0</v>
      </c>
      <c r="Q195" s="126"/>
      <c r="R195" s="127">
        <f t="shared" si="31"/>
        <v>0</v>
      </c>
      <c r="T195" s="128">
        <f t="shared" si="32"/>
        <v>0</v>
      </c>
      <c r="U195" s="129" t="str">
        <f>IFERROR(VLOOKUP($S195,References!$B$3:$C$7,2,FALSE),"")</f>
        <v/>
      </c>
      <c r="V195" s="129" t="str">
        <f t="shared" si="33"/>
        <v/>
      </c>
      <c r="W195" s="74" t="str">
        <f>IFERROR(VLOOKUP($O195,'Customer List'!$A$1:$J$488,10,FALSE),"")</f>
        <v/>
      </c>
      <c r="AH195" s="74"/>
    </row>
    <row r="196" spans="1:34">
      <c r="A196" s="125" t="str">
        <f t="shared" si="29"/>
        <v/>
      </c>
      <c r="B196" s="240"/>
      <c r="C196" s="240"/>
      <c r="D196" s="240"/>
      <c r="E196" s="240"/>
      <c r="F196" s="240"/>
      <c r="G196" s="240"/>
      <c r="H196" s="240"/>
      <c r="I196" s="240"/>
      <c r="J196" s="240"/>
      <c r="K196" s="241"/>
      <c r="L196" s="241"/>
      <c r="M196" s="241"/>
      <c r="N196" s="240"/>
      <c r="O196" s="247"/>
      <c r="P196" s="126">
        <f t="shared" si="30"/>
        <v>0</v>
      </c>
      <c r="Q196" s="126"/>
      <c r="R196" s="127">
        <f t="shared" si="31"/>
        <v>0</v>
      </c>
      <c r="T196" s="128">
        <f t="shared" si="32"/>
        <v>0</v>
      </c>
      <c r="U196" s="129" t="str">
        <f>IFERROR(VLOOKUP($S196,References!$B$3:$C$7,2,FALSE),"")</f>
        <v/>
      </c>
      <c r="V196" s="129" t="str">
        <f t="shared" si="33"/>
        <v/>
      </c>
      <c r="W196" s="74" t="str">
        <f>IFERROR(VLOOKUP($O196,'Customer List'!$A$1:$J$488,10,FALSE),"")</f>
        <v/>
      </c>
      <c r="AH196" s="74"/>
    </row>
    <row r="197" spans="1:34">
      <c r="A197" s="125" t="str">
        <f t="shared" si="29"/>
        <v/>
      </c>
      <c r="B197" s="240"/>
      <c r="C197" s="240"/>
      <c r="D197" s="240"/>
      <c r="E197" s="240"/>
      <c r="F197" s="240"/>
      <c r="G197" s="240"/>
      <c r="H197" s="240"/>
      <c r="I197" s="240"/>
      <c r="J197" s="240"/>
      <c r="K197" s="241"/>
      <c r="L197" s="241"/>
      <c r="M197" s="241"/>
      <c r="N197" s="240"/>
      <c r="O197" s="247"/>
      <c r="P197" s="126">
        <f t="shared" si="30"/>
        <v>0</v>
      </c>
      <c r="Q197" s="126"/>
      <c r="R197" s="127">
        <f t="shared" si="31"/>
        <v>0</v>
      </c>
      <c r="T197" s="128">
        <f t="shared" si="32"/>
        <v>0</v>
      </c>
      <c r="U197" s="129" t="str">
        <f>IFERROR(VLOOKUP($S197,References!$B$3:$C$7,2,FALSE),"")</f>
        <v/>
      </c>
      <c r="V197" s="129" t="str">
        <f t="shared" si="33"/>
        <v/>
      </c>
      <c r="W197" s="74" t="str">
        <f>IFERROR(VLOOKUP($O197,'Customer List'!$A$1:$J$488,10,FALSE),"")</f>
        <v/>
      </c>
      <c r="AH197" s="74"/>
    </row>
    <row r="198" spans="1:34">
      <c r="A198" s="125" t="str">
        <f t="shared" si="29"/>
        <v/>
      </c>
      <c r="B198" s="240"/>
      <c r="C198" s="240"/>
      <c r="D198" s="240"/>
      <c r="E198" s="240"/>
      <c r="F198" s="240"/>
      <c r="G198" s="240"/>
      <c r="H198" s="240"/>
      <c r="I198" s="240"/>
      <c r="J198" s="240"/>
      <c r="K198" s="241"/>
      <c r="L198" s="241"/>
      <c r="M198" s="241"/>
      <c r="N198" s="240"/>
      <c r="O198" s="247"/>
      <c r="P198" s="126">
        <f t="shared" si="30"/>
        <v>0</v>
      </c>
      <c r="Q198" s="126"/>
      <c r="R198" s="127">
        <f t="shared" si="31"/>
        <v>0</v>
      </c>
      <c r="T198" s="128">
        <f t="shared" si="32"/>
        <v>0</v>
      </c>
      <c r="U198" s="129" t="str">
        <f>IFERROR(VLOOKUP($S198,References!$B$3:$C$7,2,FALSE),"")</f>
        <v/>
      </c>
      <c r="V198" s="129" t="str">
        <f t="shared" si="33"/>
        <v/>
      </c>
      <c r="W198" s="74" t="str">
        <f>IFERROR(VLOOKUP($O198,'Customer List'!$A$1:$J$488,10,FALSE),"")</f>
        <v/>
      </c>
      <c r="AH198" s="74"/>
    </row>
    <row r="199" spans="1:34">
      <c r="A199" s="125" t="str">
        <f t="shared" si="29"/>
        <v/>
      </c>
      <c r="B199" s="240"/>
      <c r="C199" s="240"/>
      <c r="D199" s="240"/>
      <c r="E199" s="240"/>
      <c r="F199" s="240"/>
      <c r="G199" s="240"/>
      <c r="H199" s="240"/>
      <c r="I199" s="240"/>
      <c r="J199" s="240"/>
      <c r="K199" s="241"/>
      <c r="L199" s="241"/>
      <c r="M199" s="241"/>
      <c r="N199" s="240"/>
      <c r="O199" s="247"/>
      <c r="P199" s="126">
        <f t="shared" si="30"/>
        <v>0</v>
      </c>
      <c r="Q199" s="126"/>
      <c r="R199" s="127">
        <f t="shared" si="31"/>
        <v>0</v>
      </c>
      <c r="T199" s="128">
        <f t="shared" si="32"/>
        <v>0</v>
      </c>
      <c r="U199" s="129" t="str">
        <f>IFERROR(VLOOKUP($S199,References!$B$3:$C$7,2,FALSE),"")</f>
        <v/>
      </c>
      <c r="V199" s="129" t="str">
        <f t="shared" si="33"/>
        <v/>
      </c>
      <c r="W199" s="74" t="str">
        <f>IFERROR(VLOOKUP($O199,'Customer List'!$A$1:$J$488,10,FALSE),"")</f>
        <v/>
      </c>
      <c r="AH199" s="74"/>
    </row>
    <row r="200" spans="1:34">
      <c r="A200" s="125" t="str">
        <f t="shared" si="29"/>
        <v/>
      </c>
      <c r="B200" s="240"/>
      <c r="C200" s="240"/>
      <c r="D200" s="240"/>
      <c r="E200" s="240"/>
      <c r="F200" s="240"/>
      <c r="G200" s="240"/>
      <c r="H200" s="240"/>
      <c r="I200" s="240"/>
      <c r="J200" s="240"/>
      <c r="K200" s="241"/>
      <c r="L200" s="241"/>
      <c r="M200" s="241"/>
      <c r="N200" s="240"/>
      <c r="O200" s="247"/>
      <c r="P200" s="126">
        <f t="shared" si="30"/>
        <v>0</v>
      </c>
      <c r="Q200" s="126"/>
      <c r="R200" s="127">
        <f t="shared" si="31"/>
        <v>0</v>
      </c>
      <c r="T200" s="128">
        <f t="shared" si="32"/>
        <v>0</v>
      </c>
      <c r="U200" s="129" t="str">
        <f>IFERROR(VLOOKUP($S200,References!$B$3:$C$7,2,FALSE),"")</f>
        <v/>
      </c>
      <c r="V200" s="129" t="str">
        <f t="shared" si="33"/>
        <v/>
      </c>
      <c r="W200" s="74" t="str">
        <f>IFERROR(VLOOKUP($O200,'Customer List'!$A$1:$J$488,10,FALSE),"")</f>
        <v/>
      </c>
      <c r="AH200" s="74"/>
    </row>
    <row r="201" spans="1:34">
      <c r="A201" s="125" t="str">
        <f t="shared" ref="A201:A264" si="34">O201&amp;S201</f>
        <v/>
      </c>
      <c r="B201" s="240"/>
      <c r="C201" s="240"/>
      <c r="D201" s="240"/>
      <c r="E201" s="240"/>
      <c r="F201" s="240"/>
      <c r="G201" s="240"/>
      <c r="H201" s="240"/>
      <c r="I201" s="240"/>
      <c r="J201" s="240"/>
      <c r="K201" s="241"/>
      <c r="L201" s="241"/>
      <c r="M201" s="241"/>
      <c r="N201" s="240"/>
      <c r="O201" s="247"/>
      <c r="P201" s="126">
        <f t="shared" ref="P201:P264" si="35">INT(L201)</f>
        <v>0</v>
      </c>
      <c r="Q201" s="126"/>
      <c r="R201" s="127">
        <f t="shared" ref="R201:R264" si="36">L201-K201</f>
        <v>0</v>
      </c>
      <c r="T201" s="128">
        <f t="shared" ref="T201:T262" si="37">IF(S201="50 - Cleaning Fee",1,HOUR($R201)+MINUTE(R201)/60)</f>
        <v>0</v>
      </c>
      <c r="U201" s="129" t="str">
        <f>IFERROR(VLOOKUP($S201,References!$B$3:$C$7,2,FALSE),"")</f>
        <v/>
      </c>
      <c r="V201" s="129" t="str">
        <f t="shared" ref="V201:V264" si="38">IF(T201&gt;=8,400,(IFERROR(T201*U201,"")))</f>
        <v/>
      </c>
      <c r="W201" s="74" t="str">
        <f>IFERROR(VLOOKUP($O201,'Customer List'!$A$1:$J$488,10,FALSE),"")</f>
        <v/>
      </c>
      <c r="AH201" s="74"/>
    </row>
    <row r="202" spans="1:34">
      <c r="A202" s="125" t="str">
        <f t="shared" si="34"/>
        <v/>
      </c>
      <c r="B202" s="240"/>
      <c r="C202" s="240"/>
      <c r="D202" s="240"/>
      <c r="E202" s="240"/>
      <c r="F202" s="240"/>
      <c r="G202" s="240"/>
      <c r="H202" s="240"/>
      <c r="I202" s="240"/>
      <c r="J202" s="240"/>
      <c r="K202" s="241"/>
      <c r="L202" s="241"/>
      <c r="M202" s="241"/>
      <c r="N202" s="240"/>
      <c r="O202" s="247"/>
      <c r="P202" s="126">
        <f t="shared" si="35"/>
        <v>0</v>
      </c>
      <c r="Q202" s="126"/>
      <c r="R202" s="127">
        <f t="shared" si="36"/>
        <v>0</v>
      </c>
      <c r="T202" s="128">
        <f t="shared" si="37"/>
        <v>0</v>
      </c>
      <c r="U202" s="129" t="str">
        <f>IFERROR(VLOOKUP($S202,References!$B$3:$C$7,2,FALSE),"")</f>
        <v/>
      </c>
      <c r="V202" s="129" t="str">
        <f t="shared" si="38"/>
        <v/>
      </c>
      <c r="W202" s="74" t="str">
        <f>IFERROR(VLOOKUP($O202,'Customer List'!$A$1:$J$488,10,FALSE),"")</f>
        <v/>
      </c>
      <c r="AH202" s="74"/>
    </row>
    <row r="203" spans="1:34">
      <c r="A203" s="125" t="str">
        <f t="shared" si="34"/>
        <v/>
      </c>
      <c r="B203" s="240"/>
      <c r="C203" s="240"/>
      <c r="D203" s="240"/>
      <c r="E203" s="240"/>
      <c r="F203" s="240"/>
      <c r="G203" s="240"/>
      <c r="H203" s="240"/>
      <c r="I203" s="240"/>
      <c r="J203" s="240"/>
      <c r="K203" s="241"/>
      <c r="L203" s="241"/>
      <c r="M203" s="241"/>
      <c r="N203" s="240"/>
      <c r="O203" s="247"/>
      <c r="P203" s="126">
        <f t="shared" si="35"/>
        <v>0</v>
      </c>
      <c r="Q203" s="126"/>
      <c r="R203" s="127">
        <f t="shared" si="36"/>
        <v>0</v>
      </c>
      <c r="T203" s="128">
        <f t="shared" si="37"/>
        <v>0</v>
      </c>
      <c r="U203" s="129" t="str">
        <f>IFERROR(VLOOKUP($S203,References!$B$3:$C$7,2,FALSE),"")</f>
        <v/>
      </c>
      <c r="V203" s="129" t="str">
        <f t="shared" si="38"/>
        <v/>
      </c>
      <c r="W203" s="74" t="str">
        <f>IFERROR(VLOOKUP($O203,'Customer List'!$A$1:$J$488,10,FALSE),"")</f>
        <v/>
      </c>
      <c r="AH203" s="74"/>
    </row>
    <row r="204" spans="1:34">
      <c r="A204" s="125" t="str">
        <f t="shared" si="34"/>
        <v/>
      </c>
      <c r="B204" s="240"/>
      <c r="C204" s="240"/>
      <c r="D204" s="240"/>
      <c r="E204" s="240"/>
      <c r="F204" s="240"/>
      <c r="G204" s="240"/>
      <c r="H204" s="240"/>
      <c r="I204" s="240"/>
      <c r="J204" s="240"/>
      <c r="K204" s="241"/>
      <c r="L204" s="241"/>
      <c r="M204" s="241"/>
      <c r="N204" s="240"/>
      <c r="O204" s="247"/>
      <c r="P204" s="126">
        <f t="shared" si="35"/>
        <v>0</v>
      </c>
      <c r="Q204" s="126"/>
      <c r="R204" s="127">
        <f t="shared" si="36"/>
        <v>0</v>
      </c>
      <c r="T204" s="128">
        <f t="shared" si="37"/>
        <v>0</v>
      </c>
      <c r="U204" s="129" t="str">
        <f>IFERROR(VLOOKUP($S204,References!$B$3:$C$7,2,FALSE),"")</f>
        <v/>
      </c>
      <c r="V204" s="129" t="str">
        <f t="shared" si="38"/>
        <v/>
      </c>
      <c r="W204" s="74" t="str">
        <f>IFERROR(VLOOKUP($O204,'Customer List'!$A$1:$J$488,10,FALSE),"")</f>
        <v/>
      </c>
      <c r="AH204" s="74"/>
    </row>
    <row r="205" spans="1:34">
      <c r="A205" s="125" t="str">
        <f t="shared" si="34"/>
        <v/>
      </c>
      <c r="B205" s="240"/>
      <c r="C205" s="240"/>
      <c r="D205" s="240"/>
      <c r="E205" s="240"/>
      <c r="F205" s="240"/>
      <c r="G205" s="240"/>
      <c r="H205" s="240"/>
      <c r="I205" s="240"/>
      <c r="J205" s="240"/>
      <c r="K205" s="241"/>
      <c r="L205" s="241"/>
      <c r="M205" s="241"/>
      <c r="N205" s="240"/>
      <c r="O205" s="247"/>
      <c r="P205" s="126">
        <f t="shared" si="35"/>
        <v>0</v>
      </c>
      <c r="Q205" s="133"/>
      <c r="R205" s="127">
        <f t="shared" si="36"/>
        <v>0</v>
      </c>
      <c r="T205" s="128">
        <f t="shared" si="37"/>
        <v>0</v>
      </c>
      <c r="U205" s="129" t="str">
        <f>IFERROR(VLOOKUP($S205,References!$B$3:$C$7,2,FALSE),"")</f>
        <v/>
      </c>
      <c r="V205" s="129" t="str">
        <f t="shared" si="38"/>
        <v/>
      </c>
      <c r="W205" s="74" t="str">
        <f>IFERROR(VLOOKUP($O205,'Customer List'!$A$1:$J$488,10,FALSE),"")</f>
        <v/>
      </c>
      <c r="AH205" s="74"/>
    </row>
    <row r="206" spans="1:34">
      <c r="A206" s="125" t="str">
        <f t="shared" si="34"/>
        <v/>
      </c>
      <c r="B206" s="240"/>
      <c r="C206" s="240"/>
      <c r="D206" s="240"/>
      <c r="E206" s="240"/>
      <c r="F206" s="240"/>
      <c r="G206" s="240"/>
      <c r="H206" s="240"/>
      <c r="I206" s="240"/>
      <c r="J206" s="240"/>
      <c r="K206" s="241"/>
      <c r="L206" s="241"/>
      <c r="M206" s="241"/>
      <c r="N206" s="240"/>
      <c r="O206" s="247"/>
      <c r="P206" s="126">
        <f t="shared" si="35"/>
        <v>0</v>
      </c>
      <c r="Q206" s="126"/>
      <c r="R206" s="127">
        <f t="shared" si="36"/>
        <v>0</v>
      </c>
      <c r="T206" s="128">
        <f t="shared" si="37"/>
        <v>0</v>
      </c>
      <c r="U206" s="129" t="str">
        <f>IFERROR(VLOOKUP($S206,References!$B$3:$C$7,2,FALSE),"")</f>
        <v/>
      </c>
      <c r="V206" s="129" t="str">
        <f t="shared" si="38"/>
        <v/>
      </c>
      <c r="W206" s="74" t="str">
        <f>IFERROR(VLOOKUP($O206,'Customer List'!$A$1:$J$488,10,FALSE),"")</f>
        <v/>
      </c>
      <c r="AH206" s="74"/>
    </row>
    <row r="207" spans="1:34">
      <c r="A207" s="125" t="str">
        <f t="shared" si="34"/>
        <v/>
      </c>
      <c r="B207" s="240"/>
      <c r="C207" s="240"/>
      <c r="D207" s="240"/>
      <c r="E207" s="240"/>
      <c r="F207" s="240"/>
      <c r="G207" s="240"/>
      <c r="H207" s="240"/>
      <c r="I207" s="240"/>
      <c r="J207" s="240"/>
      <c r="K207" s="241"/>
      <c r="L207" s="241"/>
      <c r="M207" s="241"/>
      <c r="N207" s="240"/>
      <c r="O207" s="247"/>
      <c r="P207" s="126">
        <f t="shared" si="35"/>
        <v>0</v>
      </c>
      <c r="Q207" s="126"/>
      <c r="R207" s="127">
        <f t="shared" si="36"/>
        <v>0</v>
      </c>
      <c r="T207" s="128">
        <f t="shared" si="37"/>
        <v>0</v>
      </c>
      <c r="U207" s="129" t="str">
        <f>IFERROR(VLOOKUP($S207,References!$B$3:$C$7,2,FALSE),"")</f>
        <v/>
      </c>
      <c r="V207" s="129" t="str">
        <f t="shared" si="38"/>
        <v/>
      </c>
      <c r="W207" s="74" t="str">
        <f>IFERROR(VLOOKUP($O207,'Customer List'!$A$1:$J$488,10,FALSE),"")</f>
        <v/>
      </c>
      <c r="AH207" s="74"/>
    </row>
    <row r="208" spans="1:34">
      <c r="A208" s="125" t="str">
        <f t="shared" si="34"/>
        <v/>
      </c>
      <c r="B208" s="240"/>
      <c r="C208" s="240"/>
      <c r="D208" s="240"/>
      <c r="E208" s="240"/>
      <c r="F208" s="240"/>
      <c r="G208" s="240"/>
      <c r="H208" s="240"/>
      <c r="I208" s="240"/>
      <c r="J208" s="240"/>
      <c r="K208" s="241"/>
      <c r="L208" s="241"/>
      <c r="M208" s="241"/>
      <c r="N208" s="240"/>
      <c r="O208" s="240"/>
      <c r="P208" s="126">
        <f t="shared" si="35"/>
        <v>0</v>
      </c>
      <c r="Q208" s="126"/>
      <c r="R208" s="127">
        <f t="shared" si="36"/>
        <v>0</v>
      </c>
      <c r="T208" s="128">
        <f t="shared" si="37"/>
        <v>0</v>
      </c>
      <c r="U208" s="129" t="str">
        <f>IFERROR(VLOOKUP($S208,References!$B$3:$C$7,2,FALSE),"")</f>
        <v/>
      </c>
      <c r="V208" s="129" t="str">
        <f t="shared" si="38"/>
        <v/>
      </c>
      <c r="W208" s="74" t="str">
        <f>IFERROR(VLOOKUP($O208,'Customer List'!$A$1:$J$488,10,FALSE),"")</f>
        <v/>
      </c>
      <c r="AH208" s="74"/>
    </row>
    <row r="209" spans="1:34">
      <c r="A209" s="125" t="str">
        <f t="shared" si="34"/>
        <v/>
      </c>
      <c r="B209" s="240"/>
      <c r="C209" s="240"/>
      <c r="D209" s="240"/>
      <c r="E209" s="240"/>
      <c r="F209" s="240"/>
      <c r="G209" s="240"/>
      <c r="H209" s="240"/>
      <c r="I209" s="240"/>
      <c r="J209" s="240"/>
      <c r="K209" s="241"/>
      <c r="L209" s="241"/>
      <c r="M209" s="241"/>
      <c r="N209" s="240"/>
      <c r="O209" s="240"/>
      <c r="P209" s="126">
        <f t="shared" si="35"/>
        <v>0</v>
      </c>
      <c r="Q209" s="126"/>
      <c r="R209" s="127">
        <f t="shared" si="36"/>
        <v>0</v>
      </c>
      <c r="T209" s="128">
        <f t="shared" si="37"/>
        <v>0</v>
      </c>
      <c r="U209" s="129" t="str">
        <f>IFERROR(VLOOKUP($S209,References!$B$3:$C$7,2,FALSE),"")</f>
        <v/>
      </c>
      <c r="V209" s="129" t="str">
        <f t="shared" si="38"/>
        <v/>
      </c>
      <c r="W209" s="74" t="str">
        <f>IFERROR(VLOOKUP($O209,'Customer List'!$A$1:$J$488,10,FALSE),"")</f>
        <v/>
      </c>
      <c r="AH209" s="74"/>
    </row>
    <row r="210" spans="1:34">
      <c r="A210" s="125" t="str">
        <f t="shared" si="34"/>
        <v/>
      </c>
      <c r="B210" s="240"/>
      <c r="C210" s="240"/>
      <c r="D210" s="240"/>
      <c r="E210" s="240"/>
      <c r="F210" s="240"/>
      <c r="G210" s="240"/>
      <c r="H210" s="240"/>
      <c r="I210" s="240"/>
      <c r="J210" s="240"/>
      <c r="K210" s="241"/>
      <c r="L210" s="241"/>
      <c r="M210" s="240"/>
      <c r="N210" s="240"/>
      <c r="O210" s="240"/>
      <c r="P210" s="126">
        <f t="shared" si="35"/>
        <v>0</v>
      </c>
      <c r="Q210" s="126"/>
      <c r="R210" s="127">
        <f t="shared" si="36"/>
        <v>0</v>
      </c>
      <c r="T210" s="128">
        <f t="shared" si="37"/>
        <v>0</v>
      </c>
      <c r="U210" s="129" t="str">
        <f>IFERROR(VLOOKUP($S210,References!$B$3:$C$7,2,FALSE),"")</f>
        <v/>
      </c>
      <c r="V210" s="129" t="str">
        <f t="shared" si="38"/>
        <v/>
      </c>
      <c r="W210" s="74" t="str">
        <f>IFERROR(VLOOKUP($O210,'Customer List'!$A$1:$J$488,10,FALSE),"")</f>
        <v/>
      </c>
      <c r="AH210" s="74"/>
    </row>
    <row r="211" spans="1:34">
      <c r="A211" s="125" t="str">
        <f t="shared" si="34"/>
        <v/>
      </c>
      <c r="B211" s="240"/>
      <c r="C211" s="240"/>
      <c r="D211" s="240"/>
      <c r="E211" s="240"/>
      <c r="F211" s="240"/>
      <c r="G211" s="240"/>
      <c r="H211" s="240"/>
      <c r="I211" s="240"/>
      <c r="J211" s="240"/>
      <c r="K211" s="241"/>
      <c r="L211" s="241"/>
      <c r="M211" s="241"/>
      <c r="N211" s="240"/>
      <c r="O211" s="240"/>
      <c r="P211" s="126">
        <f t="shared" si="35"/>
        <v>0</v>
      </c>
      <c r="Q211" s="126"/>
      <c r="R211" s="127">
        <f t="shared" si="36"/>
        <v>0</v>
      </c>
      <c r="T211" s="128">
        <f t="shared" si="37"/>
        <v>0</v>
      </c>
      <c r="U211" s="129" t="str">
        <f>IFERROR(VLOOKUP($S211,References!$B$3:$C$7,2,FALSE),"")</f>
        <v/>
      </c>
      <c r="V211" s="129" t="str">
        <f t="shared" si="38"/>
        <v/>
      </c>
      <c r="W211" s="74" t="str">
        <f>IFERROR(VLOOKUP($O211,'Customer List'!$A$1:$J$488,10,FALSE),"")</f>
        <v/>
      </c>
      <c r="AH211" s="74"/>
    </row>
    <row r="212" spans="1:34">
      <c r="A212" s="125" t="str">
        <f t="shared" si="34"/>
        <v/>
      </c>
      <c r="B212" s="240"/>
      <c r="C212" s="240"/>
      <c r="D212" s="240"/>
      <c r="E212" s="240"/>
      <c r="F212" s="240"/>
      <c r="G212" s="240"/>
      <c r="H212" s="240"/>
      <c r="I212" s="240"/>
      <c r="J212" s="240"/>
      <c r="K212" s="241"/>
      <c r="L212" s="241"/>
      <c r="M212" s="241"/>
      <c r="N212" s="240"/>
      <c r="O212" s="240"/>
      <c r="P212" s="126">
        <f t="shared" si="35"/>
        <v>0</v>
      </c>
      <c r="Q212" s="126"/>
      <c r="R212" s="127">
        <f t="shared" si="36"/>
        <v>0</v>
      </c>
      <c r="T212" s="128">
        <f t="shared" si="37"/>
        <v>0</v>
      </c>
      <c r="U212" s="129" t="str">
        <f>IFERROR(VLOOKUP($S212,References!$B$3:$C$7,2,FALSE),"")</f>
        <v/>
      </c>
      <c r="V212" s="129" t="str">
        <f t="shared" si="38"/>
        <v/>
      </c>
      <c r="W212" s="74" t="str">
        <f>IFERROR(VLOOKUP($O212,'Customer List'!$A$1:$J$488,10,FALSE),"")</f>
        <v/>
      </c>
      <c r="AH212" s="74"/>
    </row>
    <row r="213" spans="1:34">
      <c r="A213" s="125" t="str">
        <f t="shared" si="34"/>
        <v/>
      </c>
      <c r="B213" s="240"/>
      <c r="C213" s="240"/>
      <c r="D213" s="240"/>
      <c r="E213" s="240"/>
      <c r="F213" s="240"/>
      <c r="G213" s="240"/>
      <c r="H213" s="240"/>
      <c r="I213" s="240"/>
      <c r="J213" s="240"/>
      <c r="K213" s="241"/>
      <c r="L213" s="241"/>
      <c r="M213" s="241"/>
      <c r="N213" s="240"/>
      <c r="O213" s="240"/>
      <c r="P213" s="126">
        <f t="shared" si="35"/>
        <v>0</v>
      </c>
      <c r="Q213" s="126"/>
      <c r="R213" s="127">
        <f t="shared" si="36"/>
        <v>0</v>
      </c>
      <c r="T213" s="128">
        <f t="shared" si="37"/>
        <v>0</v>
      </c>
      <c r="U213" s="129" t="str">
        <f>IFERROR(VLOOKUP($S213,References!$B$3:$C$7,2,FALSE),"")</f>
        <v/>
      </c>
      <c r="V213" s="129" t="str">
        <f t="shared" si="38"/>
        <v/>
      </c>
      <c r="W213" s="74" t="str">
        <f>IFERROR(VLOOKUP($O213,'Customer List'!$A$1:$J$488,10,FALSE),"")</f>
        <v/>
      </c>
      <c r="AH213" s="74"/>
    </row>
    <row r="214" spans="1:34">
      <c r="A214" s="125" t="str">
        <f t="shared" si="34"/>
        <v/>
      </c>
      <c r="B214" s="240"/>
      <c r="C214" s="240"/>
      <c r="D214" s="240"/>
      <c r="E214" s="240"/>
      <c r="F214" s="240"/>
      <c r="G214" s="240"/>
      <c r="H214" s="240"/>
      <c r="I214" s="240"/>
      <c r="J214" s="240"/>
      <c r="K214" s="241"/>
      <c r="L214" s="241"/>
      <c r="M214" s="241"/>
      <c r="N214" s="240"/>
      <c r="O214" s="240"/>
      <c r="P214" s="126">
        <f t="shared" si="35"/>
        <v>0</v>
      </c>
      <c r="Q214" s="126"/>
      <c r="R214" s="127">
        <f t="shared" si="36"/>
        <v>0</v>
      </c>
      <c r="T214" s="128">
        <f t="shared" si="37"/>
        <v>0</v>
      </c>
      <c r="U214" s="129" t="str">
        <f>IFERROR(VLOOKUP($S214,References!$B$3:$C$7,2,FALSE),"")</f>
        <v/>
      </c>
      <c r="V214" s="129" t="str">
        <f t="shared" si="38"/>
        <v/>
      </c>
      <c r="W214" s="74" t="str">
        <f>IFERROR(VLOOKUP($O214,'Customer List'!$A$1:$J$488,10,FALSE),"")</f>
        <v/>
      </c>
      <c r="AH214" s="74"/>
    </row>
    <row r="215" spans="1:34">
      <c r="A215" s="125" t="str">
        <f t="shared" si="34"/>
        <v/>
      </c>
      <c r="B215" s="240"/>
      <c r="C215" s="240"/>
      <c r="D215" s="240"/>
      <c r="E215" s="240"/>
      <c r="F215" s="240"/>
      <c r="G215" s="240"/>
      <c r="H215" s="240"/>
      <c r="I215" s="240"/>
      <c r="J215" s="240"/>
      <c r="K215" s="241"/>
      <c r="L215" s="241"/>
      <c r="M215" s="241"/>
      <c r="N215" s="240"/>
      <c r="O215" s="240"/>
      <c r="P215" s="126">
        <f t="shared" si="35"/>
        <v>0</v>
      </c>
      <c r="Q215" s="126"/>
      <c r="R215" s="127">
        <f t="shared" si="36"/>
        <v>0</v>
      </c>
      <c r="T215" s="128">
        <f t="shared" si="37"/>
        <v>0</v>
      </c>
      <c r="U215" s="129" t="str">
        <f>IFERROR(VLOOKUP($S215,References!$B$3:$C$7,2,FALSE),"")</f>
        <v/>
      </c>
      <c r="V215" s="129" t="str">
        <f t="shared" si="38"/>
        <v/>
      </c>
      <c r="W215" s="74" t="str">
        <f>IFERROR(VLOOKUP($O215,'Customer List'!$A$1:$J$488,10,FALSE),"")</f>
        <v/>
      </c>
      <c r="AH215" s="74"/>
    </row>
    <row r="216" spans="1:34">
      <c r="A216" s="125" t="str">
        <f t="shared" si="34"/>
        <v/>
      </c>
      <c r="B216" s="240"/>
      <c r="C216" s="240"/>
      <c r="D216" s="240"/>
      <c r="E216" s="240"/>
      <c r="F216" s="240"/>
      <c r="G216" s="240"/>
      <c r="H216" s="240"/>
      <c r="I216" s="240"/>
      <c r="J216" s="240"/>
      <c r="K216" s="241"/>
      <c r="L216" s="241"/>
      <c r="M216" s="241"/>
      <c r="N216" s="240"/>
      <c r="O216" s="240"/>
      <c r="P216" s="126">
        <f t="shared" si="35"/>
        <v>0</v>
      </c>
      <c r="Q216" s="126"/>
      <c r="R216" s="127">
        <f t="shared" si="36"/>
        <v>0</v>
      </c>
      <c r="T216" s="128">
        <f t="shared" si="37"/>
        <v>0</v>
      </c>
      <c r="U216" s="129" t="str">
        <f>IFERROR(VLOOKUP($S216,References!$B$3:$C$7,2,FALSE),"")</f>
        <v/>
      </c>
      <c r="V216" s="129" t="str">
        <f t="shared" si="38"/>
        <v/>
      </c>
      <c r="W216" s="74" t="str">
        <f>IFERROR(VLOOKUP($O216,'Customer List'!$A$1:$J$488,10,FALSE),"")</f>
        <v/>
      </c>
    </row>
    <row r="217" spans="1:34">
      <c r="A217" s="125" t="str">
        <f t="shared" si="34"/>
        <v/>
      </c>
      <c r="B217" s="240"/>
      <c r="C217" s="240"/>
      <c r="D217" s="240"/>
      <c r="E217" s="240"/>
      <c r="F217" s="240"/>
      <c r="G217" s="240"/>
      <c r="H217" s="240"/>
      <c r="I217" s="240"/>
      <c r="J217" s="240"/>
      <c r="K217" s="241"/>
      <c r="L217" s="241"/>
      <c r="M217" s="241"/>
      <c r="N217" s="240"/>
      <c r="O217" s="240"/>
      <c r="P217" s="126">
        <f t="shared" si="35"/>
        <v>0</v>
      </c>
      <c r="Q217" s="126"/>
      <c r="R217" s="127">
        <f t="shared" si="36"/>
        <v>0</v>
      </c>
      <c r="T217" s="128">
        <f t="shared" si="37"/>
        <v>0</v>
      </c>
      <c r="U217" s="129" t="str">
        <f>IFERROR(VLOOKUP($S217,References!$B$3:$C$7,2,FALSE),"")</f>
        <v/>
      </c>
      <c r="V217" s="129" t="str">
        <f t="shared" si="38"/>
        <v/>
      </c>
      <c r="W217" s="74" t="str">
        <f>IFERROR(VLOOKUP($O217,'Customer List'!$A$1:$J$488,10,FALSE),"")</f>
        <v/>
      </c>
    </row>
    <row r="218" spans="1:34">
      <c r="A218" s="125" t="str">
        <f t="shared" si="34"/>
        <v/>
      </c>
      <c r="B218" s="240"/>
      <c r="C218" s="240"/>
      <c r="D218" s="240"/>
      <c r="E218" s="240"/>
      <c r="F218" s="240"/>
      <c r="G218" s="240"/>
      <c r="H218" s="240"/>
      <c r="I218" s="240"/>
      <c r="J218" s="240"/>
      <c r="K218" s="241"/>
      <c r="L218" s="241"/>
      <c r="M218" s="241"/>
      <c r="N218" s="240"/>
      <c r="O218" s="240"/>
      <c r="P218" s="126">
        <f t="shared" si="35"/>
        <v>0</v>
      </c>
      <c r="Q218" s="126"/>
      <c r="R218" s="127">
        <f t="shared" si="36"/>
        <v>0</v>
      </c>
      <c r="T218" s="128">
        <f t="shared" si="37"/>
        <v>0</v>
      </c>
      <c r="U218" s="129" t="str">
        <f>IFERROR(VLOOKUP($S218,References!$B$3:$C$7,2,FALSE),"")</f>
        <v/>
      </c>
      <c r="V218" s="129" t="str">
        <f t="shared" si="38"/>
        <v/>
      </c>
      <c r="W218" s="74" t="str">
        <f>IFERROR(VLOOKUP($O218,'Customer List'!$A$1:$J$488,10,FALSE),"")</f>
        <v/>
      </c>
    </row>
    <row r="219" spans="1:34">
      <c r="A219" s="125" t="str">
        <f t="shared" si="34"/>
        <v/>
      </c>
      <c r="B219" s="240"/>
      <c r="C219" s="240"/>
      <c r="D219" s="240"/>
      <c r="E219" s="240"/>
      <c r="F219" s="240"/>
      <c r="G219" s="240"/>
      <c r="H219" s="240"/>
      <c r="I219" s="240"/>
      <c r="J219" s="240"/>
      <c r="K219" s="241"/>
      <c r="L219" s="241"/>
      <c r="M219" s="241"/>
      <c r="N219" s="240"/>
      <c r="O219" s="240"/>
      <c r="P219" s="126">
        <f t="shared" si="35"/>
        <v>0</v>
      </c>
      <c r="Q219" s="126"/>
      <c r="R219" s="127">
        <f t="shared" si="36"/>
        <v>0</v>
      </c>
      <c r="T219" s="128">
        <f t="shared" si="37"/>
        <v>0</v>
      </c>
      <c r="U219" s="129" t="str">
        <f>IFERROR(VLOOKUP($S219,References!$B$3:$C$7,2,FALSE),"")</f>
        <v/>
      </c>
      <c r="V219" s="129" t="str">
        <f t="shared" si="38"/>
        <v/>
      </c>
      <c r="W219" s="74" t="str">
        <f>IFERROR(VLOOKUP($O219,'Customer List'!$A$1:$J$488,10,FALSE),"")</f>
        <v/>
      </c>
    </row>
    <row r="220" spans="1:34">
      <c r="A220" s="125" t="str">
        <f t="shared" si="34"/>
        <v/>
      </c>
      <c r="B220" s="240"/>
      <c r="C220" s="240"/>
      <c r="D220" s="240"/>
      <c r="E220" s="240"/>
      <c r="F220" s="240"/>
      <c r="G220" s="240"/>
      <c r="H220" s="240"/>
      <c r="I220" s="240"/>
      <c r="J220" s="240"/>
      <c r="K220" s="241"/>
      <c r="L220" s="241"/>
      <c r="M220" s="241"/>
      <c r="N220" s="240"/>
      <c r="O220" s="240"/>
      <c r="P220" s="126">
        <f t="shared" si="35"/>
        <v>0</v>
      </c>
      <c r="Q220" s="126"/>
      <c r="R220" s="127">
        <f t="shared" si="36"/>
        <v>0</v>
      </c>
      <c r="T220" s="128">
        <f t="shared" si="37"/>
        <v>0</v>
      </c>
      <c r="U220" s="129" t="str">
        <f>IFERROR(VLOOKUP($S220,References!$B$3:$C$7,2,FALSE),"")</f>
        <v/>
      </c>
      <c r="V220" s="129" t="str">
        <f t="shared" si="38"/>
        <v/>
      </c>
      <c r="W220" s="74" t="str">
        <f>IFERROR(VLOOKUP($O220,'Customer List'!$A$1:$J$488,10,FALSE),"")</f>
        <v/>
      </c>
    </row>
    <row r="221" spans="1:34">
      <c r="A221" s="125" t="str">
        <f t="shared" si="34"/>
        <v/>
      </c>
      <c r="B221" s="240"/>
      <c r="C221" s="240"/>
      <c r="D221" s="240"/>
      <c r="E221" s="240"/>
      <c r="F221" s="240"/>
      <c r="G221" s="240"/>
      <c r="H221" s="240"/>
      <c r="I221" s="240"/>
      <c r="J221" s="240"/>
      <c r="K221" s="241"/>
      <c r="L221" s="241"/>
      <c r="M221" s="241"/>
      <c r="N221" s="240"/>
      <c r="O221" s="240"/>
      <c r="P221" s="126">
        <f t="shared" si="35"/>
        <v>0</v>
      </c>
      <c r="Q221" s="126"/>
      <c r="R221" s="127">
        <f t="shared" si="36"/>
        <v>0</v>
      </c>
      <c r="T221" s="128">
        <f t="shared" si="37"/>
        <v>0</v>
      </c>
      <c r="U221" s="129" t="str">
        <f>IFERROR(VLOOKUP($S221,References!$B$3:$C$7,2,FALSE),"")</f>
        <v/>
      </c>
      <c r="V221" s="129" t="str">
        <f t="shared" si="38"/>
        <v/>
      </c>
      <c r="W221" s="74" t="str">
        <f>IFERROR(VLOOKUP($O221,'Customer List'!$A$1:$J$488,10,FALSE),"")</f>
        <v/>
      </c>
    </row>
    <row r="222" spans="1:34">
      <c r="A222" s="125" t="str">
        <f t="shared" si="34"/>
        <v/>
      </c>
      <c r="B222" s="240"/>
      <c r="C222" s="240"/>
      <c r="D222" s="240"/>
      <c r="E222" s="240"/>
      <c r="F222" s="240"/>
      <c r="G222" s="240"/>
      <c r="H222" s="240"/>
      <c r="I222" s="244"/>
      <c r="J222" s="240"/>
      <c r="K222" s="241"/>
      <c r="L222" s="241"/>
      <c r="M222" s="241"/>
      <c r="N222" s="240"/>
      <c r="O222" s="240"/>
      <c r="P222" s="126">
        <f t="shared" si="35"/>
        <v>0</v>
      </c>
      <c r="Q222" s="126"/>
      <c r="R222" s="127">
        <f t="shared" si="36"/>
        <v>0</v>
      </c>
      <c r="T222" s="128">
        <f t="shared" si="37"/>
        <v>0</v>
      </c>
      <c r="U222" s="129" t="str">
        <f>IFERROR(VLOOKUP($S222,References!$B$3:$C$7,2,FALSE),"")</f>
        <v/>
      </c>
      <c r="V222" s="129" t="str">
        <f t="shared" si="38"/>
        <v/>
      </c>
      <c r="W222" s="74" t="str">
        <f>IFERROR(VLOOKUP($O222,'Customer List'!$A$1:$J$488,10,FALSE),"")</f>
        <v/>
      </c>
    </row>
    <row r="223" spans="1:34">
      <c r="A223" s="125" t="str">
        <f t="shared" si="34"/>
        <v/>
      </c>
      <c r="B223" s="240"/>
      <c r="C223" s="240"/>
      <c r="D223" s="240"/>
      <c r="E223" s="240"/>
      <c r="F223" s="240"/>
      <c r="G223" s="240"/>
      <c r="H223" s="240"/>
      <c r="I223" s="240"/>
      <c r="J223" s="240"/>
      <c r="K223" s="241"/>
      <c r="L223" s="241"/>
      <c r="M223" s="241"/>
      <c r="N223" s="240"/>
      <c r="O223" s="240"/>
      <c r="P223" s="126">
        <f t="shared" si="35"/>
        <v>0</v>
      </c>
      <c r="Q223" s="126"/>
      <c r="R223" s="127">
        <f t="shared" si="36"/>
        <v>0</v>
      </c>
      <c r="T223" s="128">
        <f t="shared" si="37"/>
        <v>0</v>
      </c>
      <c r="U223" s="129" t="str">
        <f>IFERROR(VLOOKUP($S223,References!$B$3:$C$7,2,FALSE),"")</f>
        <v/>
      </c>
      <c r="V223" s="129" t="str">
        <f t="shared" si="38"/>
        <v/>
      </c>
      <c r="W223" s="74" t="str">
        <f>IFERROR(VLOOKUP($O223,'Customer List'!$A$1:$J$488,10,FALSE),"")</f>
        <v/>
      </c>
    </row>
    <row r="224" spans="1:34">
      <c r="A224" s="125" t="str">
        <f t="shared" si="34"/>
        <v/>
      </c>
      <c r="B224" s="240"/>
      <c r="C224" s="240"/>
      <c r="D224" s="240"/>
      <c r="E224" s="240"/>
      <c r="F224" s="240"/>
      <c r="G224" s="240"/>
      <c r="H224" s="240"/>
      <c r="I224" s="240"/>
      <c r="J224" s="240"/>
      <c r="K224" s="241"/>
      <c r="L224" s="241"/>
      <c r="M224" s="241"/>
      <c r="N224" s="240"/>
      <c r="O224" s="240"/>
      <c r="P224" s="126">
        <f t="shared" si="35"/>
        <v>0</v>
      </c>
      <c r="Q224" s="126"/>
      <c r="R224" s="127">
        <f t="shared" si="36"/>
        <v>0</v>
      </c>
      <c r="T224" s="128">
        <f t="shared" si="37"/>
        <v>0</v>
      </c>
      <c r="U224" s="129" t="str">
        <f>IFERROR(VLOOKUP($S224,References!$B$3:$C$7,2,FALSE),"")</f>
        <v/>
      </c>
      <c r="V224" s="129" t="str">
        <f t="shared" si="38"/>
        <v/>
      </c>
      <c r="W224" s="74" t="str">
        <f>IFERROR(VLOOKUP($O224,'Customer List'!$A$1:$J$488,10,FALSE),"")</f>
        <v/>
      </c>
    </row>
    <row r="225" spans="1:23">
      <c r="A225" s="125" t="str">
        <f t="shared" si="34"/>
        <v/>
      </c>
      <c r="B225" s="240"/>
      <c r="C225" s="240"/>
      <c r="D225" s="240"/>
      <c r="E225" s="240"/>
      <c r="F225" s="240"/>
      <c r="G225" s="240"/>
      <c r="H225" s="240"/>
      <c r="I225" s="240"/>
      <c r="J225" s="240"/>
      <c r="K225" s="241"/>
      <c r="L225" s="241"/>
      <c r="M225" s="241"/>
      <c r="N225" s="240"/>
      <c r="O225" s="240"/>
      <c r="P225" s="126">
        <f t="shared" si="35"/>
        <v>0</v>
      </c>
      <c r="Q225" s="126"/>
      <c r="R225" s="127">
        <f t="shared" si="36"/>
        <v>0</v>
      </c>
      <c r="T225" s="128">
        <f t="shared" si="37"/>
        <v>0</v>
      </c>
      <c r="U225" s="129" t="str">
        <f>IFERROR(VLOOKUP($S225,References!$B$3:$C$7,2,FALSE),"")</f>
        <v/>
      </c>
      <c r="V225" s="129" t="str">
        <f t="shared" si="38"/>
        <v/>
      </c>
      <c r="W225" s="74" t="str">
        <f>IFERROR(VLOOKUP($O225,'Customer List'!$A$1:$J$488,10,FALSE),"")</f>
        <v/>
      </c>
    </row>
    <row r="226" spans="1:23">
      <c r="A226" s="125" t="str">
        <f t="shared" si="34"/>
        <v/>
      </c>
      <c r="B226" s="240"/>
      <c r="C226" s="240"/>
      <c r="D226" s="240"/>
      <c r="E226" s="240"/>
      <c r="F226" s="240"/>
      <c r="G226" s="240"/>
      <c r="H226" s="240"/>
      <c r="I226" s="240"/>
      <c r="J226" s="240"/>
      <c r="K226" s="241"/>
      <c r="L226" s="241"/>
      <c r="M226" s="241"/>
      <c r="N226" s="240"/>
      <c r="O226" s="240"/>
      <c r="P226" s="126">
        <f t="shared" si="35"/>
        <v>0</v>
      </c>
      <c r="Q226" s="126"/>
      <c r="R226" s="127">
        <f t="shared" si="36"/>
        <v>0</v>
      </c>
      <c r="T226" s="128">
        <f t="shared" si="37"/>
        <v>0</v>
      </c>
      <c r="U226" s="129" t="str">
        <f>IFERROR(VLOOKUP($S226,References!$B$3:$C$7,2,FALSE),"")</f>
        <v/>
      </c>
      <c r="V226" s="129" t="str">
        <f t="shared" si="38"/>
        <v/>
      </c>
      <c r="W226" s="74" t="str">
        <f>IFERROR(VLOOKUP($O226,'Customer List'!$A$1:$J$488,10,FALSE),"")</f>
        <v/>
      </c>
    </row>
    <row r="227" spans="1:23">
      <c r="A227" s="125" t="str">
        <f t="shared" si="34"/>
        <v/>
      </c>
      <c r="B227" s="240"/>
      <c r="C227" s="240"/>
      <c r="D227" s="240"/>
      <c r="E227" s="240"/>
      <c r="F227" s="240"/>
      <c r="G227" s="240"/>
      <c r="H227" s="240"/>
      <c r="I227" s="240"/>
      <c r="J227" s="240"/>
      <c r="K227" s="241"/>
      <c r="L227" s="241"/>
      <c r="M227" s="241"/>
      <c r="N227" s="240"/>
      <c r="O227" s="240"/>
      <c r="P227" s="126">
        <f t="shared" si="35"/>
        <v>0</v>
      </c>
      <c r="Q227" s="126"/>
      <c r="R227" s="127">
        <f t="shared" si="36"/>
        <v>0</v>
      </c>
      <c r="T227" s="128">
        <f t="shared" si="37"/>
        <v>0</v>
      </c>
      <c r="U227" s="129" t="str">
        <f>IFERROR(VLOOKUP($S227,References!$B$3:$C$7,2,FALSE),"")</f>
        <v/>
      </c>
      <c r="V227" s="129" t="str">
        <f t="shared" si="38"/>
        <v/>
      </c>
      <c r="W227" s="74" t="str">
        <f>IFERROR(VLOOKUP($O227,'Customer List'!$A$1:$J$488,10,FALSE),"")</f>
        <v/>
      </c>
    </row>
    <row r="228" spans="1:23">
      <c r="A228" s="125" t="str">
        <f t="shared" si="34"/>
        <v/>
      </c>
      <c r="B228" s="240"/>
      <c r="C228" s="240"/>
      <c r="D228" s="240"/>
      <c r="E228" s="240"/>
      <c r="F228" s="240"/>
      <c r="G228" s="240"/>
      <c r="H228" s="240"/>
      <c r="I228" s="240"/>
      <c r="J228" s="240"/>
      <c r="K228" s="241"/>
      <c r="L228" s="241"/>
      <c r="M228" s="241"/>
      <c r="N228" s="240"/>
      <c r="O228" s="240"/>
      <c r="P228" s="126">
        <f t="shared" si="35"/>
        <v>0</v>
      </c>
      <c r="Q228" s="126"/>
      <c r="R228" s="127">
        <f t="shared" si="36"/>
        <v>0</v>
      </c>
      <c r="T228" s="128">
        <f t="shared" si="37"/>
        <v>0</v>
      </c>
      <c r="U228" s="129" t="str">
        <f>IFERROR(VLOOKUP($S228,References!$B$3:$C$7,2,FALSE),"")</f>
        <v/>
      </c>
      <c r="V228" s="129" t="str">
        <f t="shared" si="38"/>
        <v/>
      </c>
      <c r="W228" s="74" t="str">
        <f>IFERROR(VLOOKUP($O228,'Customer List'!$A$1:$J$488,10,FALSE),"")</f>
        <v/>
      </c>
    </row>
    <row r="229" spans="1:23">
      <c r="A229" s="125" t="str">
        <f t="shared" si="34"/>
        <v/>
      </c>
      <c r="B229" s="240"/>
      <c r="C229" s="240"/>
      <c r="D229" s="240"/>
      <c r="E229" s="240"/>
      <c r="F229" s="240"/>
      <c r="G229" s="240"/>
      <c r="H229" s="240"/>
      <c r="I229" s="240"/>
      <c r="J229" s="240"/>
      <c r="K229" s="241"/>
      <c r="L229" s="241"/>
      <c r="M229" s="241"/>
      <c r="N229" s="240"/>
      <c r="O229" s="240"/>
      <c r="P229" s="126">
        <f t="shared" si="35"/>
        <v>0</v>
      </c>
      <c r="Q229" s="126"/>
      <c r="R229" s="127">
        <f t="shared" si="36"/>
        <v>0</v>
      </c>
      <c r="T229" s="128">
        <f t="shared" si="37"/>
        <v>0</v>
      </c>
      <c r="U229" s="129" t="str">
        <f>IFERROR(VLOOKUP($S229,References!$B$3:$C$7,2,FALSE),"")</f>
        <v/>
      </c>
      <c r="V229" s="129" t="str">
        <f t="shared" si="38"/>
        <v/>
      </c>
      <c r="W229" s="74" t="str">
        <f>IFERROR(VLOOKUP($O229,'Customer List'!$A$1:$J$488,10,FALSE),"")</f>
        <v/>
      </c>
    </row>
    <row r="230" spans="1:23">
      <c r="A230" s="125" t="str">
        <f t="shared" si="34"/>
        <v/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1"/>
      <c r="L230" s="241"/>
      <c r="M230" s="241"/>
      <c r="N230" s="240"/>
      <c r="O230" s="240"/>
      <c r="P230" s="126">
        <f t="shared" si="35"/>
        <v>0</v>
      </c>
      <c r="Q230" s="126"/>
      <c r="R230" s="127">
        <f t="shared" si="36"/>
        <v>0</v>
      </c>
      <c r="T230" s="128">
        <f t="shared" si="37"/>
        <v>0</v>
      </c>
      <c r="U230" s="129" t="str">
        <f>IFERROR(VLOOKUP($S230,References!$B$3:$C$7,2,FALSE),"")</f>
        <v/>
      </c>
      <c r="V230" s="129" t="str">
        <f t="shared" si="38"/>
        <v/>
      </c>
      <c r="W230" s="74" t="str">
        <f>IFERROR(VLOOKUP($O230,'Customer List'!$A$1:$J$488,10,FALSE),"")</f>
        <v/>
      </c>
    </row>
    <row r="231" spans="1:23">
      <c r="A231" s="125" t="str">
        <f t="shared" si="34"/>
        <v/>
      </c>
      <c r="B231" s="240"/>
      <c r="C231" s="240"/>
      <c r="D231" s="240"/>
      <c r="E231" s="240"/>
      <c r="F231" s="240"/>
      <c r="G231" s="240"/>
      <c r="H231" s="240"/>
      <c r="I231" s="240"/>
      <c r="J231" s="240"/>
      <c r="K231" s="241"/>
      <c r="L231" s="241"/>
      <c r="M231" s="241"/>
      <c r="N231" s="240"/>
      <c r="O231" s="240"/>
      <c r="P231" s="126">
        <f t="shared" si="35"/>
        <v>0</v>
      </c>
      <c r="Q231" s="126"/>
      <c r="R231" s="127">
        <f t="shared" si="36"/>
        <v>0</v>
      </c>
      <c r="T231" s="128">
        <f t="shared" si="37"/>
        <v>0</v>
      </c>
      <c r="U231" s="129" t="str">
        <f>IFERROR(VLOOKUP($S231,References!$B$3:$C$7,2,FALSE),"")</f>
        <v/>
      </c>
      <c r="V231" s="129" t="str">
        <f t="shared" si="38"/>
        <v/>
      </c>
      <c r="W231" s="74" t="str">
        <f>IFERROR(VLOOKUP($O231,'Customer List'!$A$1:$J$488,10,FALSE),"")</f>
        <v/>
      </c>
    </row>
    <row r="232" spans="1:23">
      <c r="A232" s="125" t="str">
        <f t="shared" si="34"/>
        <v/>
      </c>
      <c r="B232" s="240"/>
      <c r="C232" s="240"/>
      <c r="D232" s="240"/>
      <c r="E232" s="240"/>
      <c r="F232" s="240"/>
      <c r="G232" s="240"/>
      <c r="H232" s="240"/>
      <c r="I232" s="240"/>
      <c r="J232" s="240"/>
      <c r="K232" s="241"/>
      <c r="L232" s="241"/>
      <c r="M232" s="241"/>
      <c r="N232" s="240"/>
      <c r="O232" s="240"/>
      <c r="P232" s="126">
        <f t="shared" si="35"/>
        <v>0</v>
      </c>
      <c r="Q232" s="126"/>
      <c r="R232" s="127">
        <f t="shared" si="36"/>
        <v>0</v>
      </c>
      <c r="T232" s="128">
        <f t="shared" si="37"/>
        <v>0</v>
      </c>
      <c r="U232" s="129" t="str">
        <f>IFERROR(VLOOKUP($S232,References!$B$3:$C$7,2,FALSE),"")</f>
        <v/>
      </c>
      <c r="V232" s="129" t="str">
        <f t="shared" si="38"/>
        <v/>
      </c>
      <c r="W232" s="74" t="str">
        <f>IFERROR(VLOOKUP($O232,'Customer List'!$A$1:$J$488,10,FALSE),"")</f>
        <v/>
      </c>
    </row>
    <row r="233" spans="1:23">
      <c r="A233" s="125" t="str">
        <f t="shared" si="34"/>
        <v/>
      </c>
      <c r="B233" s="240"/>
      <c r="C233" s="240"/>
      <c r="D233" s="240"/>
      <c r="E233" s="240"/>
      <c r="F233" s="240"/>
      <c r="G233" s="240"/>
      <c r="H233" s="240"/>
      <c r="I233" s="240"/>
      <c r="J233" s="240"/>
      <c r="K233" s="241"/>
      <c r="L233" s="241"/>
      <c r="M233" s="241"/>
      <c r="N233" s="240"/>
      <c r="O233" s="240"/>
      <c r="P233" s="126">
        <f t="shared" si="35"/>
        <v>0</v>
      </c>
      <c r="Q233" s="126"/>
      <c r="R233" s="127">
        <f t="shared" si="36"/>
        <v>0</v>
      </c>
      <c r="T233" s="128">
        <f t="shared" si="37"/>
        <v>0</v>
      </c>
      <c r="U233" s="129" t="str">
        <f>IFERROR(VLOOKUP($S233,References!$B$3:$C$7,2,FALSE),"")</f>
        <v/>
      </c>
      <c r="V233" s="129" t="str">
        <f t="shared" si="38"/>
        <v/>
      </c>
      <c r="W233" s="74" t="str">
        <f>IFERROR(VLOOKUP($O233,'Customer List'!$A$1:$J$488,10,FALSE),"")</f>
        <v/>
      </c>
    </row>
    <row r="234" spans="1:23">
      <c r="A234" s="125" t="str">
        <f t="shared" si="34"/>
        <v/>
      </c>
      <c r="B234" s="240"/>
      <c r="C234" s="240"/>
      <c r="D234" s="240"/>
      <c r="E234" s="240"/>
      <c r="F234" s="240"/>
      <c r="G234" s="240"/>
      <c r="H234" s="240"/>
      <c r="I234" s="240"/>
      <c r="J234" s="240"/>
      <c r="K234" s="241"/>
      <c r="L234" s="241"/>
      <c r="M234" s="241"/>
      <c r="N234" s="240"/>
      <c r="O234" s="240"/>
      <c r="P234" s="126">
        <f t="shared" si="35"/>
        <v>0</v>
      </c>
      <c r="Q234" s="126"/>
      <c r="R234" s="127">
        <f t="shared" si="36"/>
        <v>0</v>
      </c>
      <c r="T234" s="128">
        <f t="shared" si="37"/>
        <v>0</v>
      </c>
      <c r="U234" s="129" t="str">
        <f>IFERROR(VLOOKUP($S234,References!$B$3:$C$7,2,FALSE),"")</f>
        <v/>
      </c>
      <c r="V234" s="129" t="str">
        <f t="shared" si="38"/>
        <v/>
      </c>
      <c r="W234" s="74" t="str">
        <f>IFERROR(VLOOKUP($O234,'Customer List'!$A$1:$J$488,10,FALSE),"")</f>
        <v/>
      </c>
    </row>
    <row r="235" spans="1:23">
      <c r="A235" s="125" t="str">
        <f t="shared" si="34"/>
        <v/>
      </c>
      <c r="B235" s="240"/>
      <c r="C235" s="240"/>
      <c r="D235" s="240"/>
      <c r="E235" s="240"/>
      <c r="F235" s="240"/>
      <c r="G235" s="240"/>
      <c r="H235" s="240"/>
      <c r="I235" s="240"/>
      <c r="J235" s="240"/>
      <c r="K235" s="241"/>
      <c r="L235" s="241"/>
      <c r="M235" s="241"/>
      <c r="N235" s="240"/>
      <c r="O235" s="240"/>
      <c r="P235" s="126">
        <f t="shared" si="35"/>
        <v>0</v>
      </c>
      <c r="Q235" s="126"/>
      <c r="R235" s="127">
        <f t="shared" si="36"/>
        <v>0</v>
      </c>
      <c r="T235" s="128">
        <f t="shared" si="37"/>
        <v>0</v>
      </c>
      <c r="U235" s="129" t="str">
        <f>IFERROR(VLOOKUP($S235,References!$B$3:$C$7,2,FALSE),"")</f>
        <v/>
      </c>
      <c r="V235" s="129" t="str">
        <f t="shared" si="38"/>
        <v/>
      </c>
      <c r="W235" s="74" t="str">
        <f>IFERROR(VLOOKUP($O235,'Customer List'!$A$1:$J$488,10,FALSE),"")</f>
        <v/>
      </c>
    </row>
    <row r="236" spans="1:23">
      <c r="A236" s="125" t="str">
        <f t="shared" si="34"/>
        <v/>
      </c>
      <c r="B236" s="240"/>
      <c r="C236" s="240"/>
      <c r="D236" s="240"/>
      <c r="E236" s="240"/>
      <c r="F236" s="240"/>
      <c r="G236" s="240"/>
      <c r="H236" s="240"/>
      <c r="I236" s="240"/>
      <c r="J236" s="240"/>
      <c r="K236" s="241"/>
      <c r="L236" s="241"/>
      <c r="M236" s="241"/>
      <c r="N236" s="240"/>
      <c r="O236" s="240"/>
      <c r="P236" s="126">
        <f t="shared" si="35"/>
        <v>0</v>
      </c>
      <c r="Q236" s="126"/>
      <c r="R236" s="127">
        <f t="shared" si="36"/>
        <v>0</v>
      </c>
      <c r="T236" s="128">
        <f t="shared" si="37"/>
        <v>0</v>
      </c>
      <c r="U236" s="129" t="str">
        <f>IFERROR(VLOOKUP($S236,References!$B$3:$C$7,2,FALSE),"")</f>
        <v/>
      </c>
      <c r="V236" s="129" t="str">
        <f t="shared" si="38"/>
        <v/>
      </c>
      <c r="W236" s="74" t="str">
        <f>IFERROR(VLOOKUP($O236,'Customer List'!$A$1:$J$488,10,FALSE),"")</f>
        <v/>
      </c>
    </row>
    <row r="237" spans="1:23">
      <c r="A237" s="125" t="str">
        <f t="shared" si="34"/>
        <v/>
      </c>
      <c r="B237" s="240"/>
      <c r="C237" s="240"/>
      <c r="D237" s="240"/>
      <c r="E237" s="240"/>
      <c r="F237" s="240"/>
      <c r="G237" s="240"/>
      <c r="H237" s="240"/>
      <c r="I237" s="240"/>
      <c r="J237" s="240"/>
      <c r="K237" s="241"/>
      <c r="L237" s="241"/>
      <c r="M237" s="241"/>
      <c r="N237" s="240"/>
      <c r="O237" s="240"/>
      <c r="P237" s="126">
        <f t="shared" si="35"/>
        <v>0</v>
      </c>
      <c r="Q237" s="126"/>
      <c r="R237" s="127">
        <f t="shared" si="36"/>
        <v>0</v>
      </c>
      <c r="T237" s="128">
        <f t="shared" si="37"/>
        <v>0</v>
      </c>
      <c r="U237" s="129" t="str">
        <f>IFERROR(VLOOKUP($S237,References!$B$3:$C$7,2,FALSE),"")</f>
        <v/>
      </c>
      <c r="V237" s="129" t="str">
        <f t="shared" si="38"/>
        <v/>
      </c>
      <c r="W237" s="74" t="str">
        <f>IFERROR(VLOOKUP($O237,'Customer List'!$A$1:$J$488,10,FALSE),"")</f>
        <v/>
      </c>
    </row>
    <row r="238" spans="1:23">
      <c r="A238" s="125" t="str">
        <f t="shared" si="34"/>
        <v/>
      </c>
      <c r="B238" s="240"/>
      <c r="C238" s="240"/>
      <c r="D238" s="240"/>
      <c r="E238" s="240"/>
      <c r="F238" s="240"/>
      <c r="G238" s="240"/>
      <c r="H238" s="240"/>
      <c r="I238" s="240"/>
      <c r="J238" s="240"/>
      <c r="K238" s="241"/>
      <c r="L238" s="241"/>
      <c r="M238" s="241"/>
      <c r="N238" s="240"/>
      <c r="O238" s="240"/>
      <c r="P238" s="126">
        <f t="shared" si="35"/>
        <v>0</v>
      </c>
      <c r="Q238" s="126"/>
      <c r="R238" s="127">
        <f t="shared" si="36"/>
        <v>0</v>
      </c>
      <c r="T238" s="128">
        <f t="shared" si="37"/>
        <v>0</v>
      </c>
      <c r="U238" s="129" t="str">
        <f>IFERROR(VLOOKUP($S238,References!$B$3:$C$7,2,FALSE),"")</f>
        <v/>
      </c>
      <c r="V238" s="129" t="str">
        <f t="shared" si="38"/>
        <v/>
      </c>
      <c r="W238" s="74" t="str">
        <f>IFERROR(VLOOKUP($O238,'Customer List'!$A$1:$J$488,10,FALSE),"")</f>
        <v/>
      </c>
    </row>
    <row r="239" spans="1:23">
      <c r="A239" s="125" t="str">
        <f t="shared" si="34"/>
        <v/>
      </c>
      <c r="B239" s="240"/>
      <c r="C239" s="240"/>
      <c r="D239" s="240"/>
      <c r="E239" s="240"/>
      <c r="F239" s="240"/>
      <c r="G239" s="240"/>
      <c r="H239" s="240"/>
      <c r="I239" s="240"/>
      <c r="J239" s="240"/>
      <c r="K239" s="241"/>
      <c r="L239" s="241"/>
      <c r="M239" s="241"/>
      <c r="N239" s="240"/>
      <c r="O239" s="240"/>
      <c r="P239" s="126">
        <f t="shared" si="35"/>
        <v>0</v>
      </c>
      <c r="Q239" s="126"/>
      <c r="R239" s="127">
        <f t="shared" si="36"/>
        <v>0</v>
      </c>
      <c r="T239" s="128">
        <f t="shared" si="37"/>
        <v>0</v>
      </c>
      <c r="U239" s="129" t="str">
        <f>IFERROR(VLOOKUP($S239,References!$B$3:$C$7,2,FALSE),"")</f>
        <v/>
      </c>
      <c r="V239" s="129" t="str">
        <f t="shared" si="38"/>
        <v/>
      </c>
      <c r="W239" s="74" t="str">
        <f>IFERROR(VLOOKUP($O239,'Customer List'!$A$1:$J$488,10,FALSE),"")</f>
        <v/>
      </c>
    </row>
    <row r="240" spans="1:23">
      <c r="A240" s="125" t="str">
        <f t="shared" si="34"/>
        <v/>
      </c>
      <c r="B240" s="240"/>
      <c r="C240" s="240"/>
      <c r="D240" s="240"/>
      <c r="E240" s="240"/>
      <c r="F240" s="240"/>
      <c r="G240" s="240"/>
      <c r="H240" s="240"/>
      <c r="I240" s="240"/>
      <c r="J240" s="240"/>
      <c r="K240" s="241"/>
      <c r="L240" s="241"/>
      <c r="M240" s="241"/>
      <c r="N240" s="240"/>
      <c r="O240" s="240"/>
      <c r="P240" s="126">
        <f t="shared" si="35"/>
        <v>0</v>
      </c>
      <c r="Q240" s="126"/>
      <c r="R240" s="127">
        <f t="shared" si="36"/>
        <v>0</v>
      </c>
      <c r="T240" s="128">
        <f t="shared" si="37"/>
        <v>0</v>
      </c>
      <c r="U240" s="129" t="str">
        <f>IFERROR(VLOOKUP($S240,References!$B$3:$C$7,2,FALSE),"")</f>
        <v/>
      </c>
      <c r="V240" s="129" t="str">
        <f t="shared" si="38"/>
        <v/>
      </c>
      <c r="W240" s="74" t="str">
        <f>IFERROR(VLOOKUP($O240,'Customer List'!$A$1:$J$488,10,FALSE),"")</f>
        <v/>
      </c>
    </row>
    <row r="241" spans="1:23">
      <c r="A241" s="125" t="str">
        <f t="shared" si="34"/>
        <v/>
      </c>
      <c r="B241" s="240"/>
      <c r="C241" s="240"/>
      <c r="D241" s="240"/>
      <c r="E241" s="240"/>
      <c r="F241" s="240"/>
      <c r="G241" s="240"/>
      <c r="H241" s="240"/>
      <c r="I241" s="240"/>
      <c r="J241" s="240"/>
      <c r="K241" s="241"/>
      <c r="L241" s="241"/>
      <c r="M241" s="241"/>
      <c r="N241" s="240"/>
      <c r="O241" s="240"/>
      <c r="P241" s="126">
        <f t="shared" si="35"/>
        <v>0</v>
      </c>
      <c r="Q241" s="126"/>
      <c r="R241" s="127">
        <f t="shared" si="36"/>
        <v>0</v>
      </c>
      <c r="T241" s="128">
        <f t="shared" si="37"/>
        <v>0</v>
      </c>
      <c r="U241" s="129" t="str">
        <f>IFERROR(VLOOKUP($S241,References!$B$3:$C$7,2,FALSE),"")</f>
        <v/>
      </c>
      <c r="V241" s="129" t="str">
        <f t="shared" si="38"/>
        <v/>
      </c>
      <c r="W241" s="74" t="str">
        <f>IFERROR(VLOOKUP($O241,'Customer List'!$A$1:$J$488,10,FALSE),"")</f>
        <v/>
      </c>
    </row>
    <row r="242" spans="1:23">
      <c r="A242" s="125" t="str">
        <f t="shared" si="34"/>
        <v/>
      </c>
      <c r="B242" s="240"/>
      <c r="C242" s="240"/>
      <c r="D242" s="240"/>
      <c r="E242" s="240"/>
      <c r="F242" s="240"/>
      <c r="G242" s="240"/>
      <c r="H242" s="240"/>
      <c r="I242" s="240"/>
      <c r="J242" s="240"/>
      <c r="K242" s="241"/>
      <c r="L242" s="241"/>
      <c r="M242" s="241"/>
      <c r="N242" s="240"/>
      <c r="O242" s="240"/>
      <c r="P242" s="126">
        <f t="shared" si="35"/>
        <v>0</v>
      </c>
      <c r="Q242" s="126"/>
      <c r="R242" s="127">
        <f t="shared" si="36"/>
        <v>0</v>
      </c>
      <c r="T242" s="128">
        <f t="shared" si="37"/>
        <v>0</v>
      </c>
      <c r="U242" s="129" t="str">
        <f>IFERROR(VLOOKUP($S242,References!$B$3:$C$7,2,FALSE),"")</f>
        <v/>
      </c>
      <c r="V242" s="129" t="str">
        <f t="shared" si="38"/>
        <v/>
      </c>
      <c r="W242" s="74" t="str">
        <f>IFERROR(VLOOKUP($O242,'Customer List'!$A$1:$J$488,10,FALSE),"")</f>
        <v/>
      </c>
    </row>
    <row r="243" spans="1:23">
      <c r="A243" s="125" t="str">
        <f t="shared" si="34"/>
        <v/>
      </c>
      <c r="B243" s="240"/>
      <c r="C243" s="240"/>
      <c r="D243" s="240"/>
      <c r="E243" s="240"/>
      <c r="F243" s="240"/>
      <c r="G243" s="240"/>
      <c r="H243" s="240"/>
      <c r="I243" s="240"/>
      <c r="J243" s="240"/>
      <c r="K243" s="241"/>
      <c r="L243" s="241"/>
      <c r="M243" s="241"/>
      <c r="N243" s="240"/>
      <c r="O243" s="240"/>
      <c r="P243" s="126">
        <f t="shared" si="35"/>
        <v>0</v>
      </c>
      <c r="Q243" s="126"/>
      <c r="R243" s="127">
        <f t="shared" si="36"/>
        <v>0</v>
      </c>
      <c r="T243" s="128">
        <f t="shared" si="37"/>
        <v>0</v>
      </c>
      <c r="U243" s="129" t="str">
        <f>IFERROR(VLOOKUP($S243,References!$B$3:$C$7,2,FALSE),"")</f>
        <v/>
      </c>
      <c r="V243" s="129" t="str">
        <f t="shared" si="38"/>
        <v/>
      </c>
      <c r="W243" s="74" t="str">
        <f>IFERROR(VLOOKUP($O243,'Customer List'!$A$1:$J$488,10,FALSE),"")</f>
        <v/>
      </c>
    </row>
    <row r="244" spans="1:23">
      <c r="A244" s="125" t="str">
        <f t="shared" si="34"/>
        <v/>
      </c>
      <c r="B244" s="240"/>
      <c r="C244" s="240"/>
      <c r="D244" s="240"/>
      <c r="E244" s="240"/>
      <c r="F244" s="240"/>
      <c r="G244" s="240"/>
      <c r="H244" s="240"/>
      <c r="I244" s="240"/>
      <c r="J244" s="240"/>
      <c r="K244" s="241"/>
      <c r="L244" s="241"/>
      <c r="M244" s="241"/>
      <c r="N244" s="240"/>
      <c r="O244" s="240"/>
      <c r="P244" s="126">
        <f t="shared" si="35"/>
        <v>0</v>
      </c>
      <c r="Q244" s="126"/>
      <c r="R244" s="127">
        <f t="shared" si="36"/>
        <v>0</v>
      </c>
      <c r="T244" s="128">
        <f t="shared" si="37"/>
        <v>0</v>
      </c>
      <c r="U244" s="129" t="str">
        <f>IFERROR(VLOOKUP($S244,References!$B$3:$C$7,2,FALSE),"")</f>
        <v/>
      </c>
      <c r="V244" s="129" t="str">
        <f t="shared" si="38"/>
        <v/>
      </c>
      <c r="W244" s="74" t="str">
        <f>IFERROR(VLOOKUP($O244,'Customer List'!$A$1:$J$488,10,FALSE),"")</f>
        <v/>
      </c>
    </row>
    <row r="245" spans="1:23">
      <c r="A245" s="125" t="str">
        <f t="shared" si="34"/>
        <v/>
      </c>
      <c r="B245" s="240"/>
      <c r="C245" s="240"/>
      <c r="D245" s="240"/>
      <c r="E245" s="240"/>
      <c r="F245" s="240"/>
      <c r="G245" s="240"/>
      <c r="H245" s="240"/>
      <c r="I245" s="240"/>
      <c r="J245" s="240"/>
      <c r="K245" s="241"/>
      <c r="L245" s="241"/>
      <c r="M245" s="241"/>
      <c r="N245" s="240"/>
      <c r="O245" s="240"/>
      <c r="P245" s="126">
        <f t="shared" si="35"/>
        <v>0</v>
      </c>
      <c r="Q245" s="126"/>
      <c r="R245" s="127">
        <f t="shared" si="36"/>
        <v>0</v>
      </c>
      <c r="T245" s="128">
        <f t="shared" si="37"/>
        <v>0</v>
      </c>
      <c r="U245" s="129" t="str">
        <f>IFERROR(VLOOKUP($S245,References!$B$3:$C$7,2,FALSE),"")</f>
        <v/>
      </c>
      <c r="V245" s="129" t="str">
        <f t="shared" si="38"/>
        <v/>
      </c>
      <c r="W245" s="74" t="str">
        <f>IFERROR(VLOOKUP($O245,'Customer List'!$A$1:$J$488,10,FALSE),"")</f>
        <v/>
      </c>
    </row>
    <row r="246" spans="1:23">
      <c r="A246" s="125" t="str">
        <f t="shared" si="34"/>
        <v/>
      </c>
      <c r="B246" s="240"/>
      <c r="C246" s="240"/>
      <c r="D246" s="240"/>
      <c r="E246" s="240"/>
      <c r="F246" s="240"/>
      <c r="G246" s="240"/>
      <c r="H246" s="240"/>
      <c r="I246" s="240"/>
      <c r="J246" s="240"/>
      <c r="K246" s="241"/>
      <c r="L246" s="241"/>
      <c r="M246" s="241"/>
      <c r="N246" s="240"/>
      <c r="O246" s="240"/>
      <c r="P246" s="126">
        <f t="shared" si="35"/>
        <v>0</v>
      </c>
      <c r="Q246" s="126"/>
      <c r="R246" s="127">
        <f t="shared" si="36"/>
        <v>0</v>
      </c>
      <c r="T246" s="128">
        <f t="shared" si="37"/>
        <v>0</v>
      </c>
      <c r="U246" s="129" t="str">
        <f>IFERROR(VLOOKUP($S246,References!$B$3:$C$7,2,FALSE),"")</f>
        <v/>
      </c>
      <c r="V246" s="129" t="str">
        <f t="shared" si="38"/>
        <v/>
      </c>
      <c r="W246" s="74" t="str">
        <f>IFERROR(VLOOKUP($O246,'Customer List'!$A$1:$J$488,10,FALSE),"")</f>
        <v/>
      </c>
    </row>
    <row r="247" spans="1:23">
      <c r="A247" s="125" t="str">
        <f t="shared" si="34"/>
        <v/>
      </c>
      <c r="B247" s="240"/>
      <c r="C247" s="240"/>
      <c r="D247" s="240"/>
      <c r="E247" s="240"/>
      <c r="F247" s="240"/>
      <c r="G247" s="240"/>
      <c r="H247" s="240"/>
      <c r="I247" s="240"/>
      <c r="J247" s="240"/>
      <c r="K247" s="241"/>
      <c r="L247" s="241"/>
      <c r="M247" s="241"/>
      <c r="N247" s="240"/>
      <c r="O247" s="240"/>
      <c r="P247" s="126">
        <f t="shared" si="35"/>
        <v>0</v>
      </c>
      <c r="Q247" s="126"/>
      <c r="R247" s="127">
        <f t="shared" si="36"/>
        <v>0</v>
      </c>
      <c r="T247" s="128">
        <f t="shared" si="37"/>
        <v>0</v>
      </c>
      <c r="U247" s="129" t="str">
        <f>IFERROR(VLOOKUP($S247,References!$B$3:$C$7,2,FALSE),"")</f>
        <v/>
      </c>
      <c r="V247" s="129" t="str">
        <f t="shared" si="38"/>
        <v/>
      </c>
      <c r="W247" s="74" t="str">
        <f>IFERROR(VLOOKUP($O247,'Customer List'!$A$1:$J$488,10,FALSE),"")</f>
        <v/>
      </c>
    </row>
    <row r="248" spans="1:23">
      <c r="A248" s="125" t="str">
        <f t="shared" si="34"/>
        <v/>
      </c>
      <c r="B248" s="240"/>
      <c r="C248" s="240"/>
      <c r="D248" s="240"/>
      <c r="E248" s="240"/>
      <c r="F248" s="240"/>
      <c r="G248" s="240"/>
      <c r="H248" s="240"/>
      <c r="I248" s="240"/>
      <c r="J248" s="240"/>
      <c r="K248" s="241"/>
      <c r="L248" s="241"/>
      <c r="M248" s="241"/>
      <c r="N248" s="240"/>
      <c r="O248" s="240"/>
      <c r="P248" s="126">
        <f t="shared" si="35"/>
        <v>0</v>
      </c>
      <c r="Q248" s="126"/>
      <c r="R248" s="127">
        <f t="shared" si="36"/>
        <v>0</v>
      </c>
      <c r="T248" s="128">
        <f t="shared" si="37"/>
        <v>0</v>
      </c>
      <c r="U248" s="129" t="str">
        <f>IFERROR(VLOOKUP($S248,References!$B$3:$C$7,2,FALSE),"")</f>
        <v/>
      </c>
      <c r="V248" s="129" t="str">
        <f t="shared" si="38"/>
        <v/>
      </c>
      <c r="W248" s="74" t="str">
        <f>IFERROR(VLOOKUP($O248,'Customer List'!$A$1:$J$488,10,FALSE),"")</f>
        <v/>
      </c>
    </row>
    <row r="249" spans="1:23">
      <c r="A249" s="125" t="str">
        <f t="shared" si="34"/>
        <v/>
      </c>
      <c r="B249" s="240"/>
      <c r="C249" s="240"/>
      <c r="D249" s="240"/>
      <c r="E249" s="240"/>
      <c r="F249" s="240"/>
      <c r="G249" s="240"/>
      <c r="H249" s="240"/>
      <c r="I249" s="240"/>
      <c r="J249" s="240"/>
      <c r="K249" s="241"/>
      <c r="L249" s="241"/>
      <c r="M249" s="241"/>
      <c r="N249" s="240"/>
      <c r="O249" s="240"/>
      <c r="P249" s="126">
        <f t="shared" si="35"/>
        <v>0</v>
      </c>
      <c r="Q249" s="126"/>
      <c r="R249" s="127">
        <f t="shared" si="36"/>
        <v>0</v>
      </c>
      <c r="T249" s="128">
        <f t="shared" si="37"/>
        <v>0</v>
      </c>
      <c r="U249" s="129" t="str">
        <f>IFERROR(VLOOKUP($S249,References!$B$3:$C$7,2,FALSE),"")</f>
        <v/>
      </c>
      <c r="V249" s="129" t="str">
        <f t="shared" si="38"/>
        <v/>
      </c>
      <c r="W249" s="74" t="str">
        <f>IFERROR(VLOOKUP($O249,'Customer List'!$A$1:$J$488,10,FALSE),"")</f>
        <v/>
      </c>
    </row>
    <row r="250" spans="1:23">
      <c r="A250" s="125" t="str">
        <f t="shared" si="34"/>
        <v/>
      </c>
      <c r="B250" s="240"/>
      <c r="C250" s="240"/>
      <c r="D250" s="240"/>
      <c r="E250" s="240"/>
      <c r="F250" s="240"/>
      <c r="G250" s="240"/>
      <c r="H250" s="240"/>
      <c r="I250" s="240"/>
      <c r="J250" s="240"/>
      <c r="K250" s="241"/>
      <c r="L250" s="241"/>
      <c r="M250" s="241"/>
      <c r="N250" s="240"/>
      <c r="O250" s="240"/>
      <c r="P250" s="126">
        <f t="shared" si="35"/>
        <v>0</v>
      </c>
      <c r="Q250" s="126"/>
      <c r="R250" s="127">
        <f t="shared" si="36"/>
        <v>0</v>
      </c>
      <c r="T250" s="128">
        <f t="shared" si="37"/>
        <v>0</v>
      </c>
      <c r="U250" s="129" t="str">
        <f>IFERROR(VLOOKUP($S250,References!$B$3:$C$7,2,FALSE),"")</f>
        <v/>
      </c>
      <c r="V250" s="129" t="str">
        <f t="shared" si="38"/>
        <v/>
      </c>
      <c r="W250" s="74" t="str">
        <f>IFERROR(VLOOKUP($O250,'Customer List'!$A$1:$J$488,10,FALSE),"")</f>
        <v/>
      </c>
    </row>
    <row r="251" spans="1:23">
      <c r="A251" s="125" t="str">
        <f t="shared" si="34"/>
        <v/>
      </c>
      <c r="B251" s="240"/>
      <c r="C251" s="240"/>
      <c r="D251" s="240"/>
      <c r="E251" s="240"/>
      <c r="F251" s="240"/>
      <c r="G251" s="240"/>
      <c r="H251" s="240"/>
      <c r="I251" s="240"/>
      <c r="J251" s="240"/>
      <c r="K251" s="241"/>
      <c r="L251" s="241"/>
      <c r="M251" s="241"/>
      <c r="N251" s="240"/>
      <c r="O251" s="240"/>
      <c r="P251" s="126">
        <f t="shared" si="35"/>
        <v>0</v>
      </c>
      <c r="Q251" s="126"/>
      <c r="R251" s="127">
        <f t="shared" si="36"/>
        <v>0</v>
      </c>
      <c r="T251" s="128">
        <f t="shared" si="37"/>
        <v>0</v>
      </c>
      <c r="U251" s="129" t="str">
        <f>IFERROR(VLOOKUP($S251,References!$B$3:$C$7,2,FALSE),"")</f>
        <v/>
      </c>
      <c r="V251" s="129" t="str">
        <f t="shared" si="38"/>
        <v/>
      </c>
      <c r="W251" s="74" t="str">
        <f>IFERROR(VLOOKUP($O251,'Customer List'!$A$1:$J$488,10,FALSE),"")</f>
        <v/>
      </c>
    </row>
    <row r="252" spans="1:23">
      <c r="A252" s="125" t="str">
        <f t="shared" si="34"/>
        <v/>
      </c>
      <c r="B252" s="240"/>
      <c r="C252" s="240"/>
      <c r="D252" s="240"/>
      <c r="E252" s="240"/>
      <c r="F252" s="240"/>
      <c r="G252" s="240"/>
      <c r="H252" s="240"/>
      <c r="I252" s="240"/>
      <c r="J252" s="240"/>
      <c r="K252" s="241"/>
      <c r="L252" s="241"/>
      <c r="M252" s="241"/>
      <c r="N252" s="240"/>
      <c r="O252" s="240"/>
      <c r="P252" s="126">
        <f t="shared" si="35"/>
        <v>0</v>
      </c>
      <c r="Q252" s="126"/>
      <c r="R252" s="127">
        <f t="shared" si="36"/>
        <v>0</v>
      </c>
      <c r="T252" s="128">
        <f t="shared" si="37"/>
        <v>0</v>
      </c>
      <c r="U252" s="129" t="str">
        <f>IFERROR(VLOOKUP($S252,References!$B$3:$C$7,2,FALSE),"")</f>
        <v/>
      </c>
      <c r="V252" s="129" t="str">
        <f t="shared" si="38"/>
        <v/>
      </c>
      <c r="W252" s="74" t="str">
        <f>IFERROR(VLOOKUP($O252,'Customer List'!$A$1:$J$488,10,FALSE),"")</f>
        <v/>
      </c>
    </row>
    <row r="253" spans="1:23">
      <c r="A253" s="125" t="str">
        <f t="shared" si="34"/>
        <v/>
      </c>
      <c r="B253" s="240"/>
      <c r="C253" s="240"/>
      <c r="D253" s="240"/>
      <c r="E253" s="240"/>
      <c r="F253" s="240"/>
      <c r="G253" s="240"/>
      <c r="H253" s="240"/>
      <c r="I253" s="240"/>
      <c r="J253" s="240"/>
      <c r="K253" s="241"/>
      <c r="L253" s="241"/>
      <c r="M253" s="241"/>
      <c r="N253" s="240"/>
      <c r="O253" s="240"/>
      <c r="P253" s="126">
        <f t="shared" si="35"/>
        <v>0</v>
      </c>
      <c r="Q253" s="126"/>
      <c r="R253" s="127">
        <f t="shared" si="36"/>
        <v>0</v>
      </c>
      <c r="T253" s="128">
        <f t="shared" si="37"/>
        <v>0</v>
      </c>
      <c r="U253" s="129" t="str">
        <f>IFERROR(VLOOKUP($S253,References!$B$3:$C$7,2,FALSE),"")</f>
        <v/>
      </c>
      <c r="V253" s="129" t="str">
        <f t="shared" si="38"/>
        <v/>
      </c>
      <c r="W253" s="74" t="str">
        <f>IFERROR(VLOOKUP($O253,'Customer List'!$A$1:$J$488,10,FALSE),"")</f>
        <v/>
      </c>
    </row>
    <row r="254" spans="1:23">
      <c r="A254" s="125" t="str">
        <f t="shared" si="34"/>
        <v/>
      </c>
      <c r="B254" s="240"/>
      <c r="C254" s="240"/>
      <c r="D254" s="240"/>
      <c r="E254" s="240"/>
      <c r="F254" s="240"/>
      <c r="G254" s="240"/>
      <c r="H254" s="240"/>
      <c r="I254" s="240"/>
      <c r="J254" s="240"/>
      <c r="K254" s="241"/>
      <c r="L254" s="241"/>
      <c r="M254" s="241"/>
      <c r="N254" s="240"/>
      <c r="O254" s="240"/>
      <c r="P254" s="126">
        <f t="shared" si="35"/>
        <v>0</v>
      </c>
      <c r="Q254" s="126"/>
      <c r="R254" s="127">
        <f t="shared" si="36"/>
        <v>0</v>
      </c>
      <c r="T254" s="128">
        <f t="shared" si="37"/>
        <v>0</v>
      </c>
      <c r="U254" s="129" t="str">
        <f>IFERROR(VLOOKUP($S254,References!$B$3:$C$7,2,FALSE),"")</f>
        <v/>
      </c>
      <c r="V254" s="129" t="str">
        <f t="shared" si="38"/>
        <v/>
      </c>
      <c r="W254" s="74" t="str">
        <f>IFERROR(VLOOKUP($O254,'Customer List'!$A$1:$J$488,10,FALSE),"")</f>
        <v/>
      </c>
    </row>
    <row r="255" spans="1:23">
      <c r="A255" s="125" t="str">
        <f t="shared" si="34"/>
        <v/>
      </c>
      <c r="B255" s="240"/>
      <c r="C255" s="240"/>
      <c r="D255" s="240"/>
      <c r="E255" s="240"/>
      <c r="F255" s="240"/>
      <c r="G255" s="240"/>
      <c r="H255" s="240"/>
      <c r="I255" s="240"/>
      <c r="J255" s="240"/>
      <c r="K255" s="241"/>
      <c r="L255" s="241"/>
      <c r="M255" s="241"/>
      <c r="N255" s="240"/>
      <c r="O255" s="240"/>
      <c r="P255" s="126">
        <f t="shared" si="35"/>
        <v>0</v>
      </c>
      <c r="Q255" s="126"/>
      <c r="R255" s="127">
        <f t="shared" si="36"/>
        <v>0</v>
      </c>
      <c r="T255" s="128">
        <f t="shared" si="37"/>
        <v>0</v>
      </c>
      <c r="U255" s="129" t="str">
        <f>IFERROR(VLOOKUP($S255,References!$B$3:$C$7,2,FALSE),"")</f>
        <v/>
      </c>
      <c r="V255" s="129" t="str">
        <f t="shared" si="38"/>
        <v/>
      </c>
      <c r="W255" s="74" t="str">
        <f>IFERROR(VLOOKUP($O255,'Customer List'!$A$1:$J$488,10,FALSE),"")</f>
        <v/>
      </c>
    </row>
    <row r="256" spans="1:23">
      <c r="A256" s="125" t="str">
        <f t="shared" si="34"/>
        <v/>
      </c>
      <c r="B256" s="240"/>
      <c r="C256" s="240"/>
      <c r="D256" s="240"/>
      <c r="E256" s="240"/>
      <c r="F256" s="240"/>
      <c r="G256" s="240"/>
      <c r="H256" s="240"/>
      <c r="I256" s="240"/>
      <c r="J256" s="240"/>
      <c r="K256" s="241"/>
      <c r="L256" s="241"/>
      <c r="M256" s="241"/>
      <c r="N256" s="240"/>
      <c r="O256" s="240"/>
      <c r="P256" s="126">
        <f t="shared" si="35"/>
        <v>0</v>
      </c>
      <c r="Q256" s="126"/>
      <c r="R256" s="127">
        <f t="shared" si="36"/>
        <v>0</v>
      </c>
      <c r="T256" s="128">
        <f t="shared" si="37"/>
        <v>0</v>
      </c>
      <c r="U256" s="129" t="str">
        <f>IFERROR(VLOOKUP($S256,References!$B$3:$C$7,2,FALSE),"")</f>
        <v/>
      </c>
      <c r="V256" s="129" t="str">
        <f t="shared" si="38"/>
        <v/>
      </c>
      <c r="W256" s="74" t="str">
        <f>IFERROR(VLOOKUP($O256,'Customer List'!$A$1:$J$488,10,FALSE),"")</f>
        <v/>
      </c>
    </row>
    <row r="257" spans="1:23">
      <c r="A257" s="125" t="str">
        <f t="shared" si="34"/>
        <v/>
      </c>
      <c r="B257" s="240"/>
      <c r="C257" s="240"/>
      <c r="D257" s="240"/>
      <c r="E257" s="240"/>
      <c r="F257" s="240"/>
      <c r="G257" s="240"/>
      <c r="H257" s="240"/>
      <c r="I257" s="240"/>
      <c r="J257" s="240"/>
      <c r="K257" s="241"/>
      <c r="L257" s="241"/>
      <c r="M257" s="241"/>
      <c r="N257" s="240"/>
      <c r="O257" s="240"/>
      <c r="P257" s="126">
        <f t="shared" si="35"/>
        <v>0</v>
      </c>
      <c r="Q257" s="126"/>
      <c r="R257" s="127">
        <f t="shared" si="36"/>
        <v>0</v>
      </c>
      <c r="T257" s="128">
        <f t="shared" si="37"/>
        <v>0</v>
      </c>
      <c r="U257" s="129" t="str">
        <f>IFERROR(VLOOKUP($S257,References!$B$3:$C$7,2,FALSE),"")</f>
        <v/>
      </c>
      <c r="V257" s="129" t="str">
        <f t="shared" si="38"/>
        <v/>
      </c>
      <c r="W257" s="74" t="str">
        <f>IFERROR(VLOOKUP($O257,'Customer List'!$A$1:$J$488,10,FALSE),"")</f>
        <v/>
      </c>
    </row>
    <row r="258" spans="1:23">
      <c r="A258" s="125" t="str">
        <f t="shared" si="34"/>
        <v/>
      </c>
      <c r="B258" s="240"/>
      <c r="C258" s="240"/>
      <c r="D258" s="240"/>
      <c r="E258" s="240"/>
      <c r="F258" s="240"/>
      <c r="G258" s="240"/>
      <c r="H258" s="240"/>
      <c r="I258" s="240"/>
      <c r="J258" s="240"/>
      <c r="K258" s="241"/>
      <c r="L258" s="241"/>
      <c r="M258" s="241"/>
      <c r="N258" s="240"/>
      <c r="O258" s="240"/>
      <c r="P258" s="126">
        <f t="shared" si="35"/>
        <v>0</v>
      </c>
      <c r="Q258" s="126"/>
      <c r="R258" s="127">
        <f t="shared" si="36"/>
        <v>0</v>
      </c>
      <c r="T258" s="128">
        <f t="shared" si="37"/>
        <v>0</v>
      </c>
      <c r="U258" s="129" t="str">
        <f>IFERROR(VLOOKUP($S258,References!$B$3:$C$7,2,FALSE),"")</f>
        <v/>
      </c>
      <c r="V258" s="129" t="str">
        <f t="shared" si="38"/>
        <v/>
      </c>
      <c r="W258" s="74" t="str">
        <f>IFERROR(VLOOKUP($O258,'Customer List'!$A$1:$J$488,10,FALSE),"")</f>
        <v/>
      </c>
    </row>
    <row r="259" spans="1:23">
      <c r="A259" s="125" t="str">
        <f t="shared" si="34"/>
        <v/>
      </c>
      <c r="B259" s="240"/>
      <c r="C259" s="240"/>
      <c r="D259" s="240"/>
      <c r="E259" s="240"/>
      <c r="F259" s="240"/>
      <c r="G259" s="240"/>
      <c r="H259" s="240"/>
      <c r="I259" s="240"/>
      <c r="J259" s="240"/>
      <c r="K259" s="241"/>
      <c r="L259" s="241"/>
      <c r="M259" s="241"/>
      <c r="N259" s="240"/>
      <c r="O259" s="240"/>
      <c r="P259" s="126">
        <f t="shared" si="35"/>
        <v>0</v>
      </c>
      <c r="Q259" s="126"/>
      <c r="R259" s="127">
        <f t="shared" si="36"/>
        <v>0</v>
      </c>
      <c r="T259" s="128">
        <f t="shared" si="37"/>
        <v>0</v>
      </c>
      <c r="U259" s="129" t="str">
        <f>IFERROR(VLOOKUP($S259,References!$B$3:$C$7,2,FALSE),"")</f>
        <v/>
      </c>
      <c r="V259" s="129" t="str">
        <f t="shared" si="38"/>
        <v/>
      </c>
      <c r="W259" s="74" t="str">
        <f>IFERROR(VLOOKUP($O259,'Customer List'!$A$1:$J$488,10,FALSE),"")</f>
        <v/>
      </c>
    </row>
    <row r="260" spans="1:23">
      <c r="A260" s="125" t="str">
        <f t="shared" si="34"/>
        <v/>
      </c>
      <c r="B260" s="240"/>
      <c r="C260" s="240"/>
      <c r="D260" s="240"/>
      <c r="E260" s="240"/>
      <c r="F260" s="240"/>
      <c r="G260" s="240"/>
      <c r="H260" s="240"/>
      <c r="I260" s="240"/>
      <c r="J260" s="240"/>
      <c r="K260" s="241"/>
      <c r="L260" s="241"/>
      <c r="M260" s="241"/>
      <c r="N260" s="240"/>
      <c r="O260" s="240"/>
      <c r="P260" s="126">
        <f t="shared" si="35"/>
        <v>0</v>
      </c>
      <c r="Q260" s="126"/>
      <c r="R260" s="127">
        <f t="shared" si="36"/>
        <v>0</v>
      </c>
      <c r="T260" s="128">
        <f t="shared" si="37"/>
        <v>0</v>
      </c>
      <c r="U260" s="129" t="str">
        <f>IFERROR(VLOOKUP($S260,References!$B$3:$C$7,2,FALSE),"")</f>
        <v/>
      </c>
      <c r="V260" s="129" t="str">
        <f t="shared" si="38"/>
        <v/>
      </c>
      <c r="W260" s="74" t="str">
        <f>IFERROR(VLOOKUP($O260,'Customer List'!$A$1:$J$488,10,FALSE),"")</f>
        <v/>
      </c>
    </row>
    <row r="261" spans="1:23">
      <c r="A261" s="125" t="str">
        <f t="shared" si="34"/>
        <v/>
      </c>
      <c r="B261" s="240"/>
      <c r="C261" s="240"/>
      <c r="D261" s="240"/>
      <c r="E261" s="240"/>
      <c r="F261" s="240"/>
      <c r="G261" s="240"/>
      <c r="H261" s="240"/>
      <c r="I261" s="240"/>
      <c r="J261" s="240"/>
      <c r="K261" s="241"/>
      <c r="L261" s="241"/>
      <c r="M261" s="241"/>
      <c r="N261" s="240"/>
      <c r="O261" s="240"/>
      <c r="P261" s="126">
        <f t="shared" si="35"/>
        <v>0</v>
      </c>
      <c r="Q261" s="126"/>
      <c r="R261" s="127">
        <f t="shared" si="36"/>
        <v>0</v>
      </c>
      <c r="T261" s="128">
        <f t="shared" si="37"/>
        <v>0</v>
      </c>
      <c r="U261" s="129" t="str">
        <f>IFERROR(VLOOKUP($S261,References!$B$3:$C$7,2,FALSE),"")</f>
        <v/>
      </c>
      <c r="V261" s="129" t="str">
        <f t="shared" si="38"/>
        <v/>
      </c>
      <c r="W261" s="74" t="str">
        <f>IFERROR(VLOOKUP($O261,'Customer List'!$A$1:$J$488,10,FALSE),"")</f>
        <v/>
      </c>
    </row>
    <row r="262" spans="1:23">
      <c r="A262" s="125" t="str">
        <f t="shared" si="34"/>
        <v/>
      </c>
      <c r="B262" s="240"/>
      <c r="C262" s="240"/>
      <c r="D262" s="240"/>
      <c r="E262" s="240"/>
      <c r="F262" s="240"/>
      <c r="G262" s="240"/>
      <c r="H262" s="240"/>
      <c r="I262" s="240"/>
      <c r="J262" s="240"/>
      <c r="K262" s="241"/>
      <c r="L262" s="241"/>
      <c r="M262" s="241"/>
      <c r="N262" s="240"/>
      <c r="O262" s="240"/>
      <c r="P262" s="126">
        <f t="shared" si="35"/>
        <v>0</v>
      </c>
      <c r="Q262" s="126"/>
      <c r="R262" s="127">
        <f t="shared" si="36"/>
        <v>0</v>
      </c>
      <c r="T262" s="128">
        <f t="shared" si="37"/>
        <v>0</v>
      </c>
      <c r="U262" s="129" t="str">
        <f>IFERROR(VLOOKUP($S262,References!$B$3:$C$7,2,FALSE),"")</f>
        <v/>
      </c>
      <c r="V262" s="129" t="str">
        <f t="shared" si="38"/>
        <v/>
      </c>
      <c r="W262" s="74" t="str">
        <f>IFERROR(VLOOKUP($O262,'Customer List'!$A$1:$J$488,10,FALSE),"")</f>
        <v/>
      </c>
    </row>
    <row r="263" spans="1:23">
      <c r="A263" s="125" t="str">
        <f t="shared" si="34"/>
        <v/>
      </c>
      <c r="B263" s="240"/>
      <c r="C263" s="240"/>
      <c r="D263" s="240"/>
      <c r="E263" s="240"/>
      <c r="F263" s="240"/>
      <c r="G263" s="240"/>
      <c r="H263" s="240"/>
      <c r="I263" s="240"/>
      <c r="J263" s="240"/>
      <c r="K263" s="241"/>
      <c r="L263" s="241"/>
      <c r="M263" s="241"/>
      <c r="N263" s="240"/>
      <c r="O263" s="240"/>
      <c r="P263" s="126">
        <f t="shared" si="35"/>
        <v>0</v>
      </c>
      <c r="Q263" s="126"/>
      <c r="R263" s="127">
        <f t="shared" si="36"/>
        <v>0</v>
      </c>
      <c r="T263" s="128">
        <f t="shared" ref="T263:T265" si="39">IF(S263="50 - Cleaning Fee",1,HOUR($R263)+MINUTE(R263)/60)</f>
        <v>0</v>
      </c>
      <c r="U263" s="129" t="str">
        <f>IFERROR(VLOOKUP($S263,References!$B$3:$C$7,2,FALSE),"")</f>
        <v/>
      </c>
      <c r="V263" s="129" t="str">
        <f t="shared" si="38"/>
        <v/>
      </c>
      <c r="W263" s="74" t="str">
        <f>IFERROR(VLOOKUP($O263,'Customer List'!$A$1:$J$488,10,FALSE),"")</f>
        <v/>
      </c>
    </row>
    <row r="264" spans="1:23">
      <c r="A264" s="125" t="str">
        <f t="shared" si="34"/>
        <v/>
      </c>
      <c r="B264" s="240"/>
      <c r="C264" s="240"/>
      <c r="D264" s="240"/>
      <c r="E264" s="240"/>
      <c r="F264" s="240"/>
      <c r="G264" s="240"/>
      <c r="H264" s="240"/>
      <c r="I264" s="240"/>
      <c r="J264" s="240"/>
      <c r="K264" s="241"/>
      <c r="L264" s="241"/>
      <c r="M264" s="241"/>
      <c r="N264" s="240"/>
      <c r="O264" s="240"/>
      <c r="P264" s="126">
        <f t="shared" si="35"/>
        <v>0</v>
      </c>
      <c r="Q264" s="126"/>
      <c r="R264" s="127">
        <f t="shared" si="36"/>
        <v>0</v>
      </c>
      <c r="T264" s="128">
        <f t="shared" si="39"/>
        <v>0</v>
      </c>
      <c r="U264" s="129" t="str">
        <f>IFERROR(VLOOKUP($S264,References!$B$3:$C$7,2,FALSE),"")</f>
        <v/>
      </c>
      <c r="V264" s="129" t="str">
        <f t="shared" si="38"/>
        <v/>
      </c>
      <c r="W264" s="74" t="str">
        <f>IFERROR(VLOOKUP($O264,'Customer List'!$A$1:$J$488,10,FALSE),"")</f>
        <v/>
      </c>
    </row>
    <row r="265" spans="1:23">
      <c r="A265" s="125" t="str">
        <f t="shared" ref="A265:A328" si="40">O265&amp;S265</f>
        <v/>
      </c>
      <c r="B265" s="240"/>
      <c r="C265" s="240"/>
      <c r="D265" s="240"/>
      <c r="E265" s="240"/>
      <c r="F265" s="240"/>
      <c r="G265" s="240"/>
      <c r="H265" s="240"/>
      <c r="I265" s="240"/>
      <c r="J265" s="240"/>
      <c r="K265" s="241"/>
      <c r="L265" s="241"/>
      <c r="M265" s="241"/>
      <c r="N265" s="240"/>
      <c r="O265" s="240"/>
      <c r="P265" s="126">
        <f t="shared" ref="P265:P328" si="41">INT(L265)</f>
        <v>0</v>
      </c>
      <c r="Q265" s="126"/>
      <c r="R265" s="127">
        <f t="shared" ref="R265:R328" si="42">L265-K265</f>
        <v>0</v>
      </c>
      <c r="T265" s="128">
        <f t="shared" si="39"/>
        <v>0</v>
      </c>
      <c r="U265" s="129" t="str">
        <f>IFERROR(VLOOKUP($S265,References!$B$3:$C$7,2,FALSE),"")</f>
        <v/>
      </c>
      <c r="V265" s="129" t="str">
        <f t="shared" ref="V265:V328" si="43">IF(T265&gt;=8,400,(IFERROR(T265*U265,"")))</f>
        <v/>
      </c>
      <c r="W265" s="74" t="str">
        <f>IFERROR(VLOOKUP($O265,'Customer List'!$A$1:$J$488,10,FALSE),"")</f>
        <v/>
      </c>
    </row>
    <row r="266" spans="1:23">
      <c r="A266" s="125" t="str">
        <f t="shared" si="40"/>
        <v/>
      </c>
      <c r="B266" s="240"/>
      <c r="C266" s="240"/>
      <c r="D266" s="240"/>
      <c r="E266" s="240"/>
      <c r="F266" s="240"/>
      <c r="G266" s="240"/>
      <c r="H266" s="240"/>
      <c r="I266" s="240"/>
      <c r="J266" s="240"/>
      <c r="K266" s="241"/>
      <c r="L266" s="241"/>
      <c r="M266" s="241"/>
      <c r="N266" s="240"/>
      <c r="O266" s="240"/>
      <c r="P266" s="126">
        <f t="shared" si="41"/>
        <v>0</v>
      </c>
      <c r="Q266" s="126"/>
      <c r="R266" s="127">
        <f t="shared" si="42"/>
        <v>0</v>
      </c>
      <c r="T266" s="128">
        <f t="shared" ref="T266:T329" si="44">IF(S266="50 - Cleaning Fee",1,HOUR($R266)+MINUTE(R266)/60)</f>
        <v>0</v>
      </c>
      <c r="U266" s="129" t="str">
        <f>IFERROR(VLOOKUP($S266,References!$B$3:$C$7,2,FALSE),"")</f>
        <v/>
      </c>
      <c r="V266" s="129" t="str">
        <f t="shared" si="43"/>
        <v/>
      </c>
      <c r="W266" s="74" t="str">
        <f>IFERROR(VLOOKUP($O266,'Customer List'!$A$1:$J$488,10,FALSE),"")</f>
        <v/>
      </c>
    </row>
    <row r="267" spans="1:23">
      <c r="A267" s="125" t="str">
        <f t="shared" si="40"/>
        <v/>
      </c>
      <c r="B267" s="240"/>
      <c r="C267" s="240"/>
      <c r="D267" s="240"/>
      <c r="E267" s="240"/>
      <c r="F267" s="240"/>
      <c r="G267" s="240"/>
      <c r="H267" s="240"/>
      <c r="I267" s="240"/>
      <c r="J267" s="240"/>
      <c r="K267" s="241"/>
      <c r="L267" s="241"/>
      <c r="M267" s="241"/>
      <c r="N267" s="240"/>
      <c r="O267" s="240"/>
      <c r="P267" s="126">
        <f t="shared" si="41"/>
        <v>0</v>
      </c>
      <c r="Q267" s="126"/>
      <c r="R267" s="127">
        <f t="shared" si="42"/>
        <v>0</v>
      </c>
      <c r="T267" s="128">
        <f t="shared" si="44"/>
        <v>0</v>
      </c>
      <c r="U267" s="129" t="str">
        <f>IFERROR(VLOOKUP($S267,References!$B$3:$C$7,2,FALSE),"")</f>
        <v/>
      </c>
      <c r="V267" s="129" t="str">
        <f t="shared" si="43"/>
        <v/>
      </c>
      <c r="W267" s="74" t="str">
        <f>IFERROR(VLOOKUP($O267,'Customer List'!$A$1:$J$488,10,FALSE),"")</f>
        <v/>
      </c>
    </row>
    <row r="268" spans="1:23">
      <c r="A268" s="125" t="str">
        <f t="shared" si="40"/>
        <v/>
      </c>
      <c r="B268" s="240"/>
      <c r="C268" s="240"/>
      <c r="D268" s="240"/>
      <c r="E268" s="240"/>
      <c r="F268" s="240"/>
      <c r="G268" s="240"/>
      <c r="H268" s="240"/>
      <c r="I268" s="240"/>
      <c r="J268" s="240"/>
      <c r="K268" s="241"/>
      <c r="L268" s="241"/>
      <c r="M268" s="241"/>
      <c r="N268" s="240"/>
      <c r="O268" s="240"/>
      <c r="P268" s="126">
        <f t="shared" si="41"/>
        <v>0</v>
      </c>
      <c r="Q268" s="126"/>
      <c r="R268" s="127">
        <f t="shared" si="42"/>
        <v>0</v>
      </c>
      <c r="T268" s="128">
        <f t="shared" si="44"/>
        <v>0</v>
      </c>
      <c r="U268" s="129" t="str">
        <f>IFERROR(VLOOKUP($S268,References!$B$3:$C$7,2,FALSE),"")</f>
        <v/>
      </c>
      <c r="V268" s="129" t="str">
        <f t="shared" si="43"/>
        <v/>
      </c>
      <c r="W268" s="74" t="str">
        <f>IFERROR(VLOOKUP($O268,'Customer List'!$A$1:$J$488,10,FALSE),"")</f>
        <v/>
      </c>
    </row>
    <row r="269" spans="1:23">
      <c r="A269" s="125" t="str">
        <f t="shared" si="40"/>
        <v/>
      </c>
      <c r="B269" s="240"/>
      <c r="C269" s="240"/>
      <c r="D269" s="240"/>
      <c r="E269" s="240"/>
      <c r="F269" s="240"/>
      <c r="G269" s="240"/>
      <c r="H269" s="240"/>
      <c r="I269" s="240"/>
      <c r="J269" s="240"/>
      <c r="K269" s="241"/>
      <c r="L269" s="241"/>
      <c r="M269" s="241"/>
      <c r="N269" s="240"/>
      <c r="O269" s="240"/>
      <c r="P269" s="126">
        <f t="shared" si="41"/>
        <v>0</v>
      </c>
      <c r="Q269" s="126"/>
      <c r="R269" s="127">
        <f t="shared" si="42"/>
        <v>0</v>
      </c>
      <c r="T269" s="128">
        <f t="shared" si="44"/>
        <v>0</v>
      </c>
      <c r="U269" s="129" t="str">
        <f>IFERROR(VLOOKUP($S269,References!$B$3:$C$7,2,FALSE),"")</f>
        <v/>
      </c>
      <c r="V269" s="129" t="str">
        <f t="shared" si="43"/>
        <v/>
      </c>
      <c r="W269" s="74" t="str">
        <f>IFERROR(VLOOKUP($O269,'Customer List'!$A$1:$J$488,10,FALSE),"")</f>
        <v/>
      </c>
    </row>
    <row r="270" spans="1:23">
      <c r="A270" s="125" t="str">
        <f t="shared" si="40"/>
        <v/>
      </c>
      <c r="B270" s="240"/>
      <c r="C270" s="240"/>
      <c r="D270" s="240"/>
      <c r="E270" s="240"/>
      <c r="F270" s="240"/>
      <c r="G270" s="240"/>
      <c r="H270" s="240"/>
      <c r="I270" s="240"/>
      <c r="J270" s="240"/>
      <c r="K270" s="241"/>
      <c r="L270" s="241"/>
      <c r="M270" s="241"/>
      <c r="N270" s="240"/>
      <c r="O270" s="240"/>
      <c r="P270" s="126">
        <f t="shared" si="41"/>
        <v>0</v>
      </c>
      <c r="Q270" s="126"/>
      <c r="R270" s="127">
        <f t="shared" si="42"/>
        <v>0</v>
      </c>
      <c r="T270" s="128">
        <f t="shared" si="44"/>
        <v>0</v>
      </c>
      <c r="U270" s="129" t="str">
        <f>IFERROR(VLOOKUP($S270,References!$B$3:$C$7,2,FALSE),"")</f>
        <v/>
      </c>
      <c r="V270" s="129" t="str">
        <f t="shared" si="43"/>
        <v/>
      </c>
      <c r="W270" s="74" t="str">
        <f>IFERROR(VLOOKUP($O270,'Customer List'!$A$1:$J$488,10,FALSE),"")</f>
        <v/>
      </c>
    </row>
    <row r="271" spans="1:23">
      <c r="A271" s="125" t="str">
        <f t="shared" si="40"/>
        <v/>
      </c>
      <c r="B271" s="240"/>
      <c r="C271" s="240"/>
      <c r="D271" s="240"/>
      <c r="E271" s="240"/>
      <c r="F271" s="240"/>
      <c r="G271" s="243"/>
      <c r="H271" s="240"/>
      <c r="I271" s="244"/>
      <c r="J271" s="240"/>
      <c r="K271" s="241"/>
      <c r="L271" s="241"/>
      <c r="M271" s="241"/>
      <c r="N271" s="240"/>
      <c r="O271" s="240"/>
      <c r="P271" s="126">
        <f t="shared" si="41"/>
        <v>0</v>
      </c>
      <c r="Q271" s="126"/>
      <c r="R271" s="127">
        <f t="shared" si="42"/>
        <v>0</v>
      </c>
      <c r="T271" s="128">
        <f t="shared" si="44"/>
        <v>0</v>
      </c>
      <c r="U271" s="129" t="str">
        <f>IFERROR(VLOOKUP($S271,References!$B$3:$C$7,2,FALSE),"")</f>
        <v/>
      </c>
      <c r="V271" s="129" t="str">
        <f t="shared" si="43"/>
        <v/>
      </c>
      <c r="W271" s="74" t="str">
        <f>IFERROR(VLOOKUP($O271,'Customer List'!$A$1:$J$488,10,FALSE),"")</f>
        <v/>
      </c>
    </row>
    <row r="272" spans="1:23">
      <c r="A272" s="125" t="str">
        <f t="shared" si="40"/>
        <v/>
      </c>
      <c r="B272" s="240"/>
      <c r="C272" s="240"/>
      <c r="D272" s="240"/>
      <c r="E272" s="240"/>
      <c r="F272" s="240"/>
      <c r="G272" s="243"/>
      <c r="H272" s="240"/>
      <c r="I272" s="240"/>
      <c r="J272" s="240"/>
      <c r="K272" s="241"/>
      <c r="L272" s="241"/>
      <c r="M272" s="241"/>
      <c r="N272" s="240"/>
      <c r="O272" s="240"/>
      <c r="P272" s="126">
        <f t="shared" si="41"/>
        <v>0</v>
      </c>
      <c r="Q272" s="126"/>
      <c r="R272" s="127">
        <f t="shared" si="42"/>
        <v>0</v>
      </c>
      <c r="T272" s="128">
        <f t="shared" si="44"/>
        <v>0</v>
      </c>
      <c r="U272" s="129" t="str">
        <f>IFERROR(VLOOKUP($S272,References!$B$3:$C$7,2,FALSE),"")</f>
        <v/>
      </c>
      <c r="V272" s="129" t="str">
        <f t="shared" si="43"/>
        <v/>
      </c>
      <c r="W272" s="74" t="str">
        <f>IFERROR(VLOOKUP($O272,'Customer List'!$A$1:$J$488,10,FALSE),"")</f>
        <v/>
      </c>
    </row>
    <row r="273" spans="1:23">
      <c r="A273" s="125" t="str">
        <f t="shared" si="40"/>
        <v/>
      </c>
      <c r="B273" s="240"/>
      <c r="C273" s="240"/>
      <c r="D273" s="240"/>
      <c r="E273" s="240"/>
      <c r="F273" s="240"/>
      <c r="G273" s="240"/>
      <c r="H273" s="240"/>
      <c r="I273" s="240"/>
      <c r="J273" s="240"/>
      <c r="K273" s="241"/>
      <c r="L273" s="241"/>
      <c r="M273" s="241"/>
      <c r="N273" s="240"/>
      <c r="O273" s="240"/>
      <c r="P273" s="126">
        <f t="shared" si="41"/>
        <v>0</v>
      </c>
      <c r="Q273" s="126"/>
      <c r="R273" s="127">
        <f t="shared" si="42"/>
        <v>0</v>
      </c>
      <c r="T273" s="128">
        <f t="shared" si="44"/>
        <v>0</v>
      </c>
      <c r="U273" s="129" t="str">
        <f>IFERROR(VLOOKUP($S273,References!$B$3:$C$7,2,FALSE),"")</f>
        <v/>
      </c>
      <c r="V273" s="129" t="str">
        <f t="shared" si="43"/>
        <v/>
      </c>
      <c r="W273" s="74" t="str">
        <f>IFERROR(VLOOKUP($O273,'Customer List'!$A$1:$J$488,10,FALSE),"")</f>
        <v/>
      </c>
    </row>
    <row r="274" spans="1:23">
      <c r="A274" s="125" t="str">
        <f t="shared" si="40"/>
        <v/>
      </c>
      <c r="B274" s="240"/>
      <c r="C274" s="240"/>
      <c r="D274" s="240"/>
      <c r="E274" s="240"/>
      <c r="F274" s="240"/>
      <c r="G274" s="240"/>
      <c r="H274" s="240"/>
      <c r="I274" s="240"/>
      <c r="J274" s="240"/>
      <c r="K274" s="241"/>
      <c r="L274" s="241"/>
      <c r="M274" s="241"/>
      <c r="N274" s="240"/>
      <c r="O274" s="240"/>
      <c r="P274" s="126">
        <f t="shared" si="41"/>
        <v>0</v>
      </c>
      <c r="Q274" s="126"/>
      <c r="R274" s="127">
        <f t="shared" si="42"/>
        <v>0</v>
      </c>
      <c r="T274" s="128">
        <f t="shared" si="44"/>
        <v>0</v>
      </c>
      <c r="U274" s="129" t="str">
        <f>IFERROR(VLOOKUP($S274,References!$B$3:$C$7,2,FALSE),"")</f>
        <v/>
      </c>
      <c r="V274" s="129" t="str">
        <f t="shared" si="43"/>
        <v/>
      </c>
      <c r="W274" s="74" t="str">
        <f>IFERROR(VLOOKUP($O274,'Customer List'!$A$1:$J$488,10,FALSE),"")</f>
        <v/>
      </c>
    </row>
    <row r="275" spans="1:23">
      <c r="A275" s="125" t="str">
        <f t="shared" si="40"/>
        <v/>
      </c>
      <c r="B275" s="240"/>
      <c r="C275" s="240"/>
      <c r="D275" s="240"/>
      <c r="E275" s="240"/>
      <c r="F275" s="240"/>
      <c r="G275" s="240"/>
      <c r="H275" s="240"/>
      <c r="I275" s="240"/>
      <c r="J275" s="240"/>
      <c r="K275" s="241"/>
      <c r="L275" s="241"/>
      <c r="M275" s="241"/>
      <c r="N275" s="240"/>
      <c r="O275" s="240"/>
      <c r="P275" s="126">
        <f t="shared" si="41"/>
        <v>0</v>
      </c>
      <c r="Q275" s="126"/>
      <c r="R275" s="127">
        <f t="shared" si="42"/>
        <v>0</v>
      </c>
      <c r="T275" s="128">
        <f t="shared" si="44"/>
        <v>0</v>
      </c>
      <c r="U275" s="129" t="str">
        <f>IFERROR(VLOOKUP($S275,References!$B$3:$C$7,2,FALSE),"")</f>
        <v/>
      </c>
      <c r="V275" s="129" t="str">
        <f t="shared" si="43"/>
        <v/>
      </c>
      <c r="W275" s="74" t="str">
        <f>IFERROR(VLOOKUP($O275,'Customer List'!$A$1:$J$488,10,FALSE),"")</f>
        <v/>
      </c>
    </row>
    <row r="276" spans="1:23">
      <c r="A276" s="125" t="str">
        <f t="shared" si="40"/>
        <v/>
      </c>
      <c r="B276" s="240"/>
      <c r="C276" s="240"/>
      <c r="D276" s="240"/>
      <c r="E276" s="240"/>
      <c r="F276" s="240"/>
      <c r="G276" s="240"/>
      <c r="H276" s="240"/>
      <c r="I276" s="240"/>
      <c r="J276" s="240"/>
      <c r="K276" s="241"/>
      <c r="L276" s="241"/>
      <c r="M276" s="241"/>
      <c r="N276" s="240"/>
      <c r="O276" s="240"/>
      <c r="P276" s="126">
        <f t="shared" si="41"/>
        <v>0</v>
      </c>
      <c r="Q276" s="126"/>
      <c r="R276" s="127">
        <f t="shared" si="42"/>
        <v>0</v>
      </c>
      <c r="T276" s="128">
        <f t="shared" si="44"/>
        <v>0</v>
      </c>
      <c r="U276" s="129" t="str">
        <f>IFERROR(VLOOKUP($S276,References!$B$3:$C$7,2,FALSE),"")</f>
        <v/>
      </c>
      <c r="V276" s="129" t="str">
        <f t="shared" si="43"/>
        <v/>
      </c>
      <c r="W276" s="74" t="str">
        <f>IFERROR(VLOOKUP($O276,'Customer List'!$A$1:$J$488,10,FALSE),"")</f>
        <v/>
      </c>
    </row>
    <row r="277" spans="1:23">
      <c r="A277" s="125" t="str">
        <f t="shared" si="40"/>
        <v/>
      </c>
      <c r="B277" s="240"/>
      <c r="C277" s="240"/>
      <c r="D277" s="240"/>
      <c r="E277" s="240"/>
      <c r="F277" s="240"/>
      <c r="G277" s="240"/>
      <c r="H277" s="240"/>
      <c r="I277" s="240"/>
      <c r="J277" s="240"/>
      <c r="K277" s="241"/>
      <c r="L277" s="241"/>
      <c r="M277" s="241"/>
      <c r="N277" s="240"/>
      <c r="O277" s="240"/>
      <c r="P277" s="126">
        <f t="shared" si="41"/>
        <v>0</v>
      </c>
      <c r="Q277" s="126"/>
      <c r="R277" s="127">
        <f t="shared" si="42"/>
        <v>0</v>
      </c>
      <c r="T277" s="128">
        <f t="shared" si="44"/>
        <v>0</v>
      </c>
      <c r="U277" s="129" t="str">
        <f>IFERROR(VLOOKUP($S277,References!$B$3:$C$7,2,FALSE),"")</f>
        <v/>
      </c>
      <c r="V277" s="129" t="str">
        <f t="shared" si="43"/>
        <v/>
      </c>
      <c r="W277" s="74" t="str">
        <f>IFERROR(VLOOKUP($O277,'Customer List'!$A$1:$J$488,10,FALSE),"")</f>
        <v/>
      </c>
    </row>
    <row r="278" spans="1:23">
      <c r="A278" s="125" t="str">
        <f t="shared" si="40"/>
        <v/>
      </c>
      <c r="B278" s="240"/>
      <c r="C278" s="240"/>
      <c r="D278" s="240"/>
      <c r="E278" s="240"/>
      <c r="F278" s="240"/>
      <c r="G278" s="240"/>
      <c r="H278" s="240"/>
      <c r="I278" s="240"/>
      <c r="J278" s="240"/>
      <c r="K278" s="241"/>
      <c r="L278" s="241"/>
      <c r="M278" s="241"/>
      <c r="N278" s="240"/>
      <c r="O278" s="240"/>
      <c r="P278" s="126">
        <f t="shared" si="41"/>
        <v>0</v>
      </c>
      <c r="Q278" s="126"/>
      <c r="R278" s="127">
        <f t="shared" si="42"/>
        <v>0</v>
      </c>
      <c r="T278" s="128">
        <f t="shared" si="44"/>
        <v>0</v>
      </c>
      <c r="U278" s="129" t="str">
        <f>IFERROR(VLOOKUP($S278,References!$B$3:$C$7,2,FALSE),"")</f>
        <v/>
      </c>
      <c r="V278" s="129" t="str">
        <f t="shared" si="43"/>
        <v/>
      </c>
      <c r="W278" s="74" t="str">
        <f>IFERROR(VLOOKUP($O278,'Customer List'!$A$1:$J$488,10,FALSE),"")</f>
        <v/>
      </c>
    </row>
    <row r="279" spans="1:23">
      <c r="A279" s="125" t="str">
        <f t="shared" si="40"/>
        <v/>
      </c>
      <c r="B279" s="240"/>
      <c r="C279" s="240"/>
      <c r="D279" s="240"/>
      <c r="E279" s="240"/>
      <c r="F279" s="240"/>
      <c r="G279" s="240"/>
      <c r="H279" s="240"/>
      <c r="I279" s="240"/>
      <c r="J279" s="240"/>
      <c r="K279" s="241"/>
      <c r="L279" s="241"/>
      <c r="M279" s="241"/>
      <c r="N279" s="240"/>
      <c r="O279" s="240"/>
      <c r="P279" s="126">
        <f t="shared" si="41"/>
        <v>0</v>
      </c>
      <c r="Q279" s="126"/>
      <c r="R279" s="127">
        <f t="shared" si="42"/>
        <v>0</v>
      </c>
      <c r="T279" s="128">
        <f t="shared" si="44"/>
        <v>0</v>
      </c>
      <c r="U279" s="129" t="str">
        <f>IFERROR(VLOOKUP($S279,References!$B$3:$C$7,2,FALSE),"")</f>
        <v/>
      </c>
      <c r="V279" s="129" t="str">
        <f t="shared" si="43"/>
        <v/>
      </c>
      <c r="W279" s="74" t="str">
        <f>IFERROR(VLOOKUP($O279,'Customer List'!$A$1:$J$488,10,FALSE),"")</f>
        <v/>
      </c>
    </row>
    <row r="280" spans="1:23">
      <c r="A280" s="125" t="str">
        <f t="shared" si="40"/>
        <v/>
      </c>
      <c r="B280" s="240"/>
      <c r="C280" s="240"/>
      <c r="D280" s="240"/>
      <c r="E280" s="240"/>
      <c r="F280" s="240"/>
      <c r="G280" s="240"/>
      <c r="H280" s="240"/>
      <c r="I280" s="240"/>
      <c r="J280" s="240"/>
      <c r="K280" s="241"/>
      <c r="L280" s="241"/>
      <c r="M280" s="241"/>
      <c r="N280" s="240"/>
      <c r="O280" s="240"/>
      <c r="P280" s="126">
        <f t="shared" si="41"/>
        <v>0</v>
      </c>
      <c r="Q280" s="126"/>
      <c r="R280" s="127">
        <f t="shared" si="42"/>
        <v>0</v>
      </c>
      <c r="T280" s="128">
        <f t="shared" si="44"/>
        <v>0</v>
      </c>
      <c r="U280" s="129" t="str">
        <f>IFERROR(VLOOKUP($S280,References!$B$3:$C$7,2,FALSE),"")</f>
        <v/>
      </c>
      <c r="V280" s="129" t="str">
        <f t="shared" si="43"/>
        <v/>
      </c>
      <c r="W280" s="74" t="str">
        <f>IFERROR(VLOOKUP($O280,'Customer List'!$A$1:$J$488,10,FALSE),"")</f>
        <v/>
      </c>
    </row>
    <row r="281" spans="1:23">
      <c r="A281" s="125" t="str">
        <f t="shared" si="40"/>
        <v/>
      </c>
      <c r="B281" s="240"/>
      <c r="C281" s="240"/>
      <c r="D281" s="240"/>
      <c r="E281" s="240"/>
      <c r="F281" s="240"/>
      <c r="G281" s="240"/>
      <c r="H281" s="240"/>
      <c r="I281" s="240"/>
      <c r="J281" s="240"/>
      <c r="K281" s="241"/>
      <c r="L281" s="241"/>
      <c r="M281" s="241"/>
      <c r="N281" s="240"/>
      <c r="O281" s="240"/>
      <c r="P281" s="126">
        <f t="shared" si="41"/>
        <v>0</v>
      </c>
      <c r="Q281" s="126"/>
      <c r="R281" s="127">
        <f t="shared" si="42"/>
        <v>0</v>
      </c>
      <c r="T281" s="128">
        <f t="shared" si="44"/>
        <v>0</v>
      </c>
      <c r="U281" s="129" t="str">
        <f>IFERROR(VLOOKUP($S281,References!$B$3:$C$7,2,FALSE),"")</f>
        <v/>
      </c>
      <c r="V281" s="129" t="str">
        <f t="shared" si="43"/>
        <v/>
      </c>
      <c r="W281" s="74" t="str">
        <f>IFERROR(VLOOKUP($O281,'Customer List'!$A$1:$J$488,10,FALSE),"")</f>
        <v/>
      </c>
    </row>
    <row r="282" spans="1:23">
      <c r="A282" s="125" t="str">
        <f t="shared" si="40"/>
        <v/>
      </c>
      <c r="B282" s="240"/>
      <c r="C282" s="240"/>
      <c r="D282" s="240"/>
      <c r="E282" s="240"/>
      <c r="F282" s="240"/>
      <c r="G282" s="240"/>
      <c r="H282" s="240"/>
      <c r="I282" s="240"/>
      <c r="J282" s="240"/>
      <c r="K282" s="241"/>
      <c r="L282" s="241"/>
      <c r="M282" s="241"/>
      <c r="N282" s="240"/>
      <c r="O282" s="240"/>
      <c r="P282" s="126">
        <f t="shared" si="41"/>
        <v>0</v>
      </c>
      <c r="Q282" s="126"/>
      <c r="R282" s="127">
        <f t="shared" si="42"/>
        <v>0</v>
      </c>
      <c r="T282" s="128">
        <f t="shared" si="44"/>
        <v>0</v>
      </c>
      <c r="U282" s="129" t="str">
        <f>IFERROR(VLOOKUP($S282,References!$B$3:$C$7,2,FALSE),"")</f>
        <v/>
      </c>
      <c r="V282" s="129" t="str">
        <f t="shared" si="43"/>
        <v/>
      </c>
      <c r="W282" s="74" t="str">
        <f>IFERROR(VLOOKUP($O282,'Customer List'!$A$1:$J$488,10,FALSE),"")</f>
        <v/>
      </c>
    </row>
    <row r="283" spans="1:23">
      <c r="A283" s="125" t="str">
        <f t="shared" si="40"/>
        <v/>
      </c>
      <c r="B283" s="240"/>
      <c r="C283" s="240"/>
      <c r="D283" s="240"/>
      <c r="E283" s="240"/>
      <c r="F283" s="240"/>
      <c r="G283" s="240"/>
      <c r="H283" s="240"/>
      <c r="I283" s="240"/>
      <c r="J283" s="240"/>
      <c r="K283" s="241"/>
      <c r="L283" s="241"/>
      <c r="M283" s="241"/>
      <c r="N283" s="240"/>
      <c r="O283" s="240"/>
      <c r="P283" s="126">
        <f t="shared" si="41"/>
        <v>0</v>
      </c>
      <c r="Q283" s="126"/>
      <c r="R283" s="127">
        <f t="shared" si="42"/>
        <v>0</v>
      </c>
      <c r="T283" s="128">
        <f t="shared" si="44"/>
        <v>0</v>
      </c>
      <c r="U283" s="129" t="str">
        <f>IFERROR(VLOOKUP($S283,References!$B$3:$C$7,2,FALSE),"")</f>
        <v/>
      </c>
      <c r="V283" s="129" t="str">
        <f t="shared" si="43"/>
        <v/>
      </c>
      <c r="W283" s="74" t="str">
        <f>IFERROR(VLOOKUP($O283,'Customer List'!$A$1:$J$488,10,FALSE),"")</f>
        <v/>
      </c>
    </row>
    <row r="284" spans="1:23">
      <c r="A284" s="125" t="str">
        <f t="shared" si="40"/>
        <v/>
      </c>
      <c r="B284" s="240"/>
      <c r="C284" s="240"/>
      <c r="D284" s="240"/>
      <c r="E284" s="240"/>
      <c r="F284" s="240"/>
      <c r="G284" s="240"/>
      <c r="H284" s="240"/>
      <c r="I284" s="240"/>
      <c r="J284" s="240"/>
      <c r="K284" s="241"/>
      <c r="L284" s="241"/>
      <c r="M284" s="241"/>
      <c r="N284" s="240"/>
      <c r="O284" s="240"/>
      <c r="P284" s="126">
        <f t="shared" si="41"/>
        <v>0</v>
      </c>
      <c r="Q284" s="126"/>
      <c r="R284" s="127">
        <f t="shared" si="42"/>
        <v>0</v>
      </c>
      <c r="T284" s="128">
        <f t="shared" si="44"/>
        <v>0</v>
      </c>
      <c r="U284" s="129" t="str">
        <f>IFERROR(VLOOKUP($S284,References!$B$3:$C$7,2,FALSE),"")</f>
        <v/>
      </c>
      <c r="V284" s="129" t="str">
        <f t="shared" si="43"/>
        <v/>
      </c>
      <c r="W284" s="74" t="str">
        <f>IFERROR(VLOOKUP($O284,'Customer List'!$A$1:$J$488,10,FALSE),"")</f>
        <v/>
      </c>
    </row>
    <row r="285" spans="1:23">
      <c r="A285" s="125" t="str">
        <f t="shared" si="40"/>
        <v/>
      </c>
      <c r="B285" s="240"/>
      <c r="C285" s="240"/>
      <c r="D285" s="240"/>
      <c r="E285" s="240"/>
      <c r="F285" s="240"/>
      <c r="G285" s="240"/>
      <c r="H285" s="240"/>
      <c r="I285" s="240"/>
      <c r="J285" s="240"/>
      <c r="K285" s="241"/>
      <c r="L285" s="241"/>
      <c r="M285" s="241"/>
      <c r="N285" s="240"/>
      <c r="O285" s="240"/>
      <c r="P285" s="126">
        <f t="shared" si="41"/>
        <v>0</v>
      </c>
      <c r="Q285" s="126"/>
      <c r="R285" s="127">
        <f t="shared" si="42"/>
        <v>0</v>
      </c>
      <c r="T285" s="128">
        <f t="shared" si="44"/>
        <v>0</v>
      </c>
      <c r="U285" s="129" t="str">
        <f>IFERROR(VLOOKUP($S285,References!$B$3:$C$7,2,FALSE),"")</f>
        <v/>
      </c>
      <c r="V285" s="129" t="str">
        <f t="shared" si="43"/>
        <v/>
      </c>
      <c r="W285" s="74" t="str">
        <f>IFERROR(VLOOKUP($O285,'Customer List'!$A$1:$J$488,10,FALSE),"")</f>
        <v/>
      </c>
    </row>
    <row r="286" spans="1:23">
      <c r="A286" s="125" t="str">
        <f t="shared" si="40"/>
        <v/>
      </c>
      <c r="B286" s="240"/>
      <c r="C286" s="240"/>
      <c r="D286" s="240"/>
      <c r="E286" s="240"/>
      <c r="F286" s="240"/>
      <c r="G286" s="240"/>
      <c r="H286" s="240"/>
      <c r="I286" s="240"/>
      <c r="J286" s="240"/>
      <c r="K286" s="241"/>
      <c r="L286" s="241"/>
      <c r="M286" s="241"/>
      <c r="N286" s="240"/>
      <c r="O286" s="240"/>
      <c r="P286" s="126">
        <f t="shared" si="41"/>
        <v>0</v>
      </c>
      <c r="Q286" s="126"/>
      <c r="R286" s="127">
        <f t="shared" si="42"/>
        <v>0</v>
      </c>
      <c r="T286" s="128">
        <f t="shared" si="44"/>
        <v>0</v>
      </c>
      <c r="U286" s="129" t="str">
        <f>IFERROR(VLOOKUP($S286,References!$B$3:$C$7,2,FALSE),"")</f>
        <v/>
      </c>
      <c r="V286" s="129" t="str">
        <f t="shared" si="43"/>
        <v/>
      </c>
      <c r="W286" s="74" t="str">
        <f>IFERROR(VLOOKUP($O286,'Customer List'!$A$1:$J$488,10,FALSE),"")</f>
        <v/>
      </c>
    </row>
    <row r="287" spans="1:23">
      <c r="A287" s="125" t="str">
        <f t="shared" si="40"/>
        <v/>
      </c>
      <c r="B287" s="240"/>
      <c r="C287" s="240"/>
      <c r="D287" s="240"/>
      <c r="E287" s="240"/>
      <c r="F287" s="240"/>
      <c r="G287" s="240"/>
      <c r="H287" s="240"/>
      <c r="I287" s="240"/>
      <c r="J287" s="240"/>
      <c r="K287" s="241"/>
      <c r="L287" s="241"/>
      <c r="M287" s="241"/>
      <c r="N287" s="240"/>
      <c r="O287" s="240"/>
      <c r="P287" s="126">
        <f t="shared" si="41"/>
        <v>0</v>
      </c>
      <c r="Q287" s="126"/>
      <c r="R287" s="127">
        <f t="shared" si="42"/>
        <v>0</v>
      </c>
      <c r="T287" s="128">
        <f t="shared" si="44"/>
        <v>0</v>
      </c>
      <c r="U287" s="129" t="str">
        <f>IFERROR(VLOOKUP($S287,References!$B$3:$C$7,2,FALSE),"")</f>
        <v/>
      </c>
      <c r="V287" s="129" t="str">
        <f t="shared" si="43"/>
        <v/>
      </c>
      <c r="W287" s="74" t="str">
        <f>IFERROR(VLOOKUP($O287,'Customer List'!$A$1:$J$488,10,FALSE),"")</f>
        <v/>
      </c>
    </row>
    <row r="288" spans="1:23">
      <c r="A288" s="125" t="str">
        <f t="shared" si="40"/>
        <v/>
      </c>
      <c r="B288" s="240"/>
      <c r="C288" s="240"/>
      <c r="D288" s="240"/>
      <c r="E288" s="240"/>
      <c r="F288" s="240"/>
      <c r="G288" s="240"/>
      <c r="H288" s="240"/>
      <c r="I288" s="240"/>
      <c r="J288" s="240"/>
      <c r="K288" s="241"/>
      <c r="L288" s="241"/>
      <c r="M288" s="241"/>
      <c r="N288" s="240"/>
      <c r="O288" s="240"/>
      <c r="P288" s="126">
        <f t="shared" si="41"/>
        <v>0</v>
      </c>
      <c r="Q288" s="126"/>
      <c r="R288" s="127">
        <f t="shared" si="42"/>
        <v>0</v>
      </c>
      <c r="T288" s="128">
        <f t="shared" si="44"/>
        <v>0</v>
      </c>
      <c r="U288" s="129" t="str">
        <f>IFERROR(VLOOKUP($S288,References!$B$3:$C$7,2,FALSE),"")</f>
        <v/>
      </c>
      <c r="V288" s="129" t="str">
        <f t="shared" si="43"/>
        <v/>
      </c>
      <c r="W288" s="74" t="str">
        <f>IFERROR(VLOOKUP($O288,'Customer List'!$A$1:$J$488,10,FALSE),"")</f>
        <v/>
      </c>
    </row>
    <row r="289" spans="1:23">
      <c r="A289" s="125" t="str">
        <f t="shared" si="40"/>
        <v/>
      </c>
      <c r="B289" s="240"/>
      <c r="C289" s="240"/>
      <c r="D289" s="240"/>
      <c r="E289" s="240"/>
      <c r="F289" s="240"/>
      <c r="G289" s="240"/>
      <c r="H289" s="240"/>
      <c r="I289" s="240"/>
      <c r="J289" s="240"/>
      <c r="K289" s="241"/>
      <c r="L289" s="241"/>
      <c r="M289" s="241"/>
      <c r="N289" s="240"/>
      <c r="O289" s="240"/>
      <c r="P289" s="126">
        <f t="shared" si="41"/>
        <v>0</v>
      </c>
      <c r="Q289" s="126"/>
      <c r="R289" s="127">
        <f t="shared" si="42"/>
        <v>0</v>
      </c>
      <c r="T289" s="128">
        <f t="shared" si="44"/>
        <v>0</v>
      </c>
      <c r="U289" s="129" t="str">
        <f>IFERROR(VLOOKUP($S289,References!$B$3:$C$7,2,FALSE),"")</f>
        <v/>
      </c>
      <c r="V289" s="129" t="str">
        <f t="shared" si="43"/>
        <v/>
      </c>
      <c r="W289" s="74" t="str">
        <f>IFERROR(VLOOKUP($O289,'Customer List'!$A$1:$J$488,10,FALSE),"")</f>
        <v/>
      </c>
    </row>
    <row r="290" spans="1:23">
      <c r="A290" s="125" t="str">
        <f t="shared" si="40"/>
        <v/>
      </c>
      <c r="B290" s="240"/>
      <c r="C290" s="240"/>
      <c r="D290" s="240"/>
      <c r="E290" s="240"/>
      <c r="F290" s="240"/>
      <c r="G290" s="240"/>
      <c r="H290" s="240"/>
      <c r="I290" s="240"/>
      <c r="J290" s="240"/>
      <c r="K290" s="241"/>
      <c r="L290" s="241"/>
      <c r="M290" s="241"/>
      <c r="N290" s="240"/>
      <c r="O290" s="240"/>
      <c r="P290" s="126">
        <f t="shared" si="41"/>
        <v>0</v>
      </c>
      <c r="Q290" s="126"/>
      <c r="R290" s="127">
        <f t="shared" si="42"/>
        <v>0</v>
      </c>
      <c r="T290" s="128">
        <f t="shared" si="44"/>
        <v>0</v>
      </c>
      <c r="U290" s="129" t="str">
        <f>IFERROR(VLOOKUP($S290,References!$B$3:$C$7,2,FALSE),"")</f>
        <v/>
      </c>
      <c r="V290" s="129" t="str">
        <f t="shared" si="43"/>
        <v/>
      </c>
      <c r="W290" s="74" t="str">
        <f>IFERROR(VLOOKUP($O290,'Customer List'!$A$1:$J$488,10,FALSE),"")</f>
        <v/>
      </c>
    </row>
    <row r="291" spans="1:23">
      <c r="A291" s="125" t="str">
        <f t="shared" si="40"/>
        <v/>
      </c>
      <c r="B291" s="240"/>
      <c r="C291" s="240"/>
      <c r="D291" s="240"/>
      <c r="E291" s="240"/>
      <c r="F291" s="240"/>
      <c r="G291" s="240"/>
      <c r="H291" s="240"/>
      <c r="I291" s="240"/>
      <c r="J291" s="240"/>
      <c r="K291" s="241"/>
      <c r="L291" s="241"/>
      <c r="M291" s="241"/>
      <c r="N291" s="240"/>
      <c r="O291" s="240"/>
      <c r="P291" s="126">
        <f t="shared" si="41"/>
        <v>0</v>
      </c>
      <c r="Q291" s="126"/>
      <c r="R291" s="127">
        <f t="shared" si="42"/>
        <v>0</v>
      </c>
      <c r="T291" s="128">
        <f t="shared" si="44"/>
        <v>0</v>
      </c>
      <c r="U291" s="129" t="str">
        <f>IFERROR(VLOOKUP($S291,References!$B$3:$C$7,2,FALSE),"")</f>
        <v/>
      </c>
      <c r="V291" s="129" t="str">
        <f t="shared" si="43"/>
        <v/>
      </c>
      <c r="W291" s="74" t="str">
        <f>IFERROR(VLOOKUP($O291,'Customer List'!$A$1:$J$488,10,FALSE),"")</f>
        <v/>
      </c>
    </row>
    <row r="292" spans="1:23">
      <c r="A292" s="125" t="str">
        <f t="shared" si="40"/>
        <v/>
      </c>
      <c r="B292" s="240"/>
      <c r="C292" s="240"/>
      <c r="D292" s="240"/>
      <c r="E292" s="240"/>
      <c r="F292" s="240"/>
      <c r="G292" s="240"/>
      <c r="H292" s="240"/>
      <c r="I292" s="240"/>
      <c r="J292" s="240"/>
      <c r="K292" s="241"/>
      <c r="L292" s="241"/>
      <c r="M292" s="241"/>
      <c r="N292" s="240"/>
      <c r="O292" s="240"/>
      <c r="P292" s="126">
        <f t="shared" si="41"/>
        <v>0</v>
      </c>
      <c r="Q292" s="126"/>
      <c r="R292" s="127">
        <f t="shared" si="42"/>
        <v>0</v>
      </c>
      <c r="T292" s="128">
        <f t="shared" si="44"/>
        <v>0</v>
      </c>
      <c r="U292" s="129" t="str">
        <f>IFERROR(VLOOKUP($S292,References!$B$3:$C$7,2,FALSE),"")</f>
        <v/>
      </c>
      <c r="V292" s="129" t="str">
        <f t="shared" si="43"/>
        <v/>
      </c>
      <c r="W292" s="74" t="str">
        <f>IFERROR(VLOOKUP($O292,'Customer List'!$A$1:$J$488,10,FALSE),"")</f>
        <v/>
      </c>
    </row>
    <row r="293" spans="1:23">
      <c r="A293" s="125" t="str">
        <f t="shared" si="40"/>
        <v/>
      </c>
      <c r="B293" s="240"/>
      <c r="C293" s="240"/>
      <c r="D293" s="240"/>
      <c r="E293" s="240"/>
      <c r="F293" s="240"/>
      <c r="G293" s="240"/>
      <c r="H293" s="240"/>
      <c r="I293" s="240"/>
      <c r="J293" s="240"/>
      <c r="K293" s="241"/>
      <c r="L293" s="241"/>
      <c r="M293" s="241"/>
      <c r="N293" s="240"/>
      <c r="O293" s="240"/>
      <c r="P293" s="126">
        <f t="shared" si="41"/>
        <v>0</v>
      </c>
      <c r="Q293" s="126"/>
      <c r="R293" s="127">
        <f t="shared" si="42"/>
        <v>0</v>
      </c>
      <c r="T293" s="128">
        <f t="shared" si="44"/>
        <v>0</v>
      </c>
      <c r="U293" s="129" t="str">
        <f>IFERROR(VLOOKUP($S293,References!$B$3:$C$7,2,FALSE),"")</f>
        <v/>
      </c>
      <c r="V293" s="129" t="str">
        <f t="shared" si="43"/>
        <v/>
      </c>
      <c r="W293" s="74" t="str">
        <f>IFERROR(VLOOKUP($O293,'Customer List'!$A$1:$J$488,10,FALSE),"")</f>
        <v/>
      </c>
    </row>
    <row r="294" spans="1:23">
      <c r="A294" s="125" t="str">
        <f t="shared" si="40"/>
        <v/>
      </c>
      <c r="B294" s="240"/>
      <c r="C294" s="240"/>
      <c r="D294" s="240"/>
      <c r="E294" s="240"/>
      <c r="F294" s="240"/>
      <c r="G294" s="240"/>
      <c r="H294" s="240"/>
      <c r="I294" s="240"/>
      <c r="J294" s="240"/>
      <c r="K294" s="241"/>
      <c r="L294" s="241"/>
      <c r="M294" s="241"/>
      <c r="N294" s="240"/>
      <c r="O294" s="240"/>
      <c r="P294" s="126">
        <f t="shared" si="41"/>
        <v>0</v>
      </c>
      <c r="Q294" s="126"/>
      <c r="R294" s="127">
        <f t="shared" si="42"/>
        <v>0</v>
      </c>
      <c r="T294" s="128">
        <f t="shared" si="44"/>
        <v>0</v>
      </c>
      <c r="U294" s="129" t="str">
        <f>IFERROR(VLOOKUP($S294,References!$B$3:$C$7,2,FALSE),"")</f>
        <v/>
      </c>
      <c r="V294" s="129" t="str">
        <f t="shared" si="43"/>
        <v/>
      </c>
      <c r="W294" s="74" t="str">
        <f>IFERROR(VLOOKUP($O294,'Customer List'!$A$1:$J$488,10,FALSE),"")</f>
        <v/>
      </c>
    </row>
    <row r="295" spans="1:23">
      <c r="A295" s="125" t="str">
        <f t="shared" si="40"/>
        <v/>
      </c>
      <c r="B295" s="240"/>
      <c r="C295" s="240"/>
      <c r="D295" s="240"/>
      <c r="E295" s="240"/>
      <c r="F295" s="240"/>
      <c r="G295" s="240"/>
      <c r="H295" s="240"/>
      <c r="I295" s="240"/>
      <c r="J295" s="240"/>
      <c r="K295" s="241"/>
      <c r="L295" s="241"/>
      <c r="M295" s="241"/>
      <c r="N295" s="240"/>
      <c r="O295" s="240"/>
      <c r="P295" s="126">
        <f t="shared" si="41"/>
        <v>0</v>
      </c>
      <c r="Q295" s="126"/>
      <c r="R295" s="127">
        <f t="shared" si="42"/>
        <v>0</v>
      </c>
      <c r="T295" s="128">
        <f t="shared" si="44"/>
        <v>0</v>
      </c>
      <c r="U295" s="129" t="str">
        <f>IFERROR(VLOOKUP($S295,References!$B$3:$C$7,2,FALSE),"")</f>
        <v/>
      </c>
      <c r="V295" s="129" t="str">
        <f t="shared" si="43"/>
        <v/>
      </c>
      <c r="W295" s="74" t="str">
        <f>IFERROR(VLOOKUP($O295,'Customer List'!$A$1:$J$488,10,FALSE),"")</f>
        <v/>
      </c>
    </row>
    <row r="296" spans="1:23">
      <c r="A296" s="125" t="str">
        <f t="shared" si="40"/>
        <v/>
      </c>
      <c r="B296" s="240"/>
      <c r="C296" s="240"/>
      <c r="D296" s="240"/>
      <c r="E296" s="240"/>
      <c r="F296" s="240"/>
      <c r="G296" s="240"/>
      <c r="H296" s="240"/>
      <c r="I296" s="240"/>
      <c r="J296" s="240"/>
      <c r="K296" s="241"/>
      <c r="L296" s="241"/>
      <c r="M296" s="241"/>
      <c r="N296" s="240"/>
      <c r="O296" s="240"/>
      <c r="P296" s="126">
        <f t="shared" si="41"/>
        <v>0</v>
      </c>
      <c r="Q296" s="126"/>
      <c r="R296" s="127">
        <f t="shared" si="42"/>
        <v>0</v>
      </c>
      <c r="T296" s="128">
        <f t="shared" si="44"/>
        <v>0</v>
      </c>
      <c r="U296" s="129" t="str">
        <f>IFERROR(VLOOKUP($S296,References!$B$3:$C$7,2,FALSE),"")</f>
        <v/>
      </c>
      <c r="V296" s="129" t="str">
        <f t="shared" si="43"/>
        <v/>
      </c>
      <c r="W296" s="74" t="str">
        <f>IFERROR(VLOOKUP($O296,'Customer List'!$A$1:$J$488,10,FALSE),"")</f>
        <v/>
      </c>
    </row>
    <row r="297" spans="1:23">
      <c r="A297" s="125" t="str">
        <f t="shared" si="40"/>
        <v/>
      </c>
      <c r="B297" s="240"/>
      <c r="C297" s="240"/>
      <c r="D297" s="240"/>
      <c r="E297" s="240"/>
      <c r="F297" s="240"/>
      <c r="G297" s="240"/>
      <c r="H297" s="240"/>
      <c r="I297" s="240"/>
      <c r="J297" s="240"/>
      <c r="K297" s="241"/>
      <c r="L297" s="241"/>
      <c r="M297" s="241"/>
      <c r="N297" s="240"/>
      <c r="O297" s="240"/>
      <c r="P297" s="126">
        <f t="shared" si="41"/>
        <v>0</v>
      </c>
      <c r="Q297" s="126"/>
      <c r="R297" s="127">
        <f t="shared" si="42"/>
        <v>0</v>
      </c>
      <c r="T297" s="128">
        <f t="shared" si="44"/>
        <v>0</v>
      </c>
      <c r="U297" s="129" t="str">
        <f>IFERROR(VLOOKUP($S297,References!$B$3:$C$7,2,FALSE),"")</f>
        <v/>
      </c>
      <c r="V297" s="129" t="str">
        <f t="shared" si="43"/>
        <v/>
      </c>
      <c r="W297" s="74" t="str">
        <f>IFERROR(VLOOKUP($O297,'Customer List'!$A$1:$J$488,10,FALSE),"")</f>
        <v/>
      </c>
    </row>
    <row r="298" spans="1:23">
      <c r="A298" s="125" t="str">
        <f t="shared" si="40"/>
        <v/>
      </c>
      <c r="B298" s="240"/>
      <c r="C298" s="240"/>
      <c r="D298" s="240"/>
      <c r="E298" s="240"/>
      <c r="F298" s="240"/>
      <c r="G298" s="240"/>
      <c r="H298" s="240"/>
      <c r="I298" s="240"/>
      <c r="J298" s="240"/>
      <c r="K298" s="241"/>
      <c r="L298" s="241"/>
      <c r="M298" s="241"/>
      <c r="N298" s="240"/>
      <c r="O298" s="240"/>
      <c r="P298" s="126">
        <f t="shared" si="41"/>
        <v>0</v>
      </c>
      <c r="Q298" s="126"/>
      <c r="R298" s="127">
        <f t="shared" si="42"/>
        <v>0</v>
      </c>
      <c r="T298" s="128">
        <f t="shared" si="44"/>
        <v>0</v>
      </c>
      <c r="U298" s="129" t="str">
        <f>IFERROR(VLOOKUP($S298,References!$B$3:$C$7,2,FALSE),"")</f>
        <v/>
      </c>
      <c r="V298" s="129" t="str">
        <f t="shared" si="43"/>
        <v/>
      </c>
      <c r="W298" s="74" t="str">
        <f>IFERROR(VLOOKUP($O298,'Customer List'!$A$1:$J$488,10,FALSE),"")</f>
        <v/>
      </c>
    </row>
    <row r="299" spans="1:23">
      <c r="A299" s="125" t="str">
        <f t="shared" si="40"/>
        <v/>
      </c>
      <c r="B299" s="240"/>
      <c r="C299" s="240"/>
      <c r="D299" s="240"/>
      <c r="E299" s="240"/>
      <c r="F299" s="240"/>
      <c r="G299" s="240"/>
      <c r="H299" s="240"/>
      <c r="I299" s="240"/>
      <c r="J299" s="240"/>
      <c r="K299" s="241"/>
      <c r="L299" s="241"/>
      <c r="M299" s="241"/>
      <c r="N299" s="240"/>
      <c r="O299" s="240"/>
      <c r="P299" s="126">
        <f t="shared" si="41"/>
        <v>0</v>
      </c>
      <c r="Q299" s="126"/>
      <c r="R299" s="127">
        <f t="shared" si="42"/>
        <v>0</v>
      </c>
      <c r="T299" s="128">
        <f t="shared" si="44"/>
        <v>0</v>
      </c>
      <c r="U299" s="129" t="str">
        <f>IFERROR(VLOOKUP($S299,References!$B$3:$C$7,2,FALSE),"")</f>
        <v/>
      </c>
      <c r="V299" s="129" t="str">
        <f t="shared" si="43"/>
        <v/>
      </c>
      <c r="W299" s="74" t="str">
        <f>IFERROR(VLOOKUP($O299,'Customer List'!$A$1:$J$488,10,FALSE),"")</f>
        <v/>
      </c>
    </row>
    <row r="300" spans="1:23">
      <c r="A300" s="125" t="str">
        <f t="shared" si="40"/>
        <v/>
      </c>
      <c r="B300" s="240"/>
      <c r="C300" s="240"/>
      <c r="D300" s="240"/>
      <c r="E300" s="240"/>
      <c r="F300" s="240"/>
      <c r="G300" s="240"/>
      <c r="H300" s="240"/>
      <c r="I300" s="240"/>
      <c r="J300" s="240"/>
      <c r="K300" s="241"/>
      <c r="L300" s="241"/>
      <c r="M300" s="241"/>
      <c r="N300" s="240"/>
      <c r="O300" s="240"/>
      <c r="P300" s="126">
        <f t="shared" si="41"/>
        <v>0</v>
      </c>
      <c r="Q300" s="126"/>
      <c r="R300" s="127">
        <f t="shared" si="42"/>
        <v>0</v>
      </c>
      <c r="T300" s="128">
        <f t="shared" si="44"/>
        <v>0</v>
      </c>
      <c r="U300" s="129" t="str">
        <f>IFERROR(VLOOKUP($S300,References!$B$3:$C$7,2,FALSE),"")</f>
        <v/>
      </c>
      <c r="V300" s="129" t="str">
        <f t="shared" si="43"/>
        <v/>
      </c>
      <c r="W300" s="74" t="str">
        <f>IFERROR(VLOOKUP($O300,'Customer List'!$A$1:$J$488,10,FALSE),"")</f>
        <v/>
      </c>
    </row>
    <row r="301" spans="1:23">
      <c r="A301" s="125" t="str">
        <f t="shared" si="40"/>
        <v/>
      </c>
      <c r="B301" s="240"/>
      <c r="C301" s="240"/>
      <c r="D301" s="240"/>
      <c r="E301" s="240"/>
      <c r="F301" s="240"/>
      <c r="G301" s="240"/>
      <c r="H301" s="240"/>
      <c r="I301" s="240"/>
      <c r="J301" s="240"/>
      <c r="K301" s="241"/>
      <c r="L301" s="241"/>
      <c r="M301" s="241"/>
      <c r="N301" s="240"/>
      <c r="O301" s="240"/>
      <c r="P301" s="126">
        <f t="shared" si="41"/>
        <v>0</v>
      </c>
      <c r="Q301" s="126"/>
      <c r="R301" s="127">
        <f t="shared" si="42"/>
        <v>0</v>
      </c>
      <c r="T301" s="128">
        <f t="shared" si="44"/>
        <v>0</v>
      </c>
      <c r="U301" s="129" t="str">
        <f>IFERROR(VLOOKUP($S301,References!$B$3:$C$7,2,FALSE),"")</f>
        <v/>
      </c>
      <c r="V301" s="129" t="str">
        <f t="shared" si="43"/>
        <v/>
      </c>
      <c r="W301" s="74" t="str">
        <f>IFERROR(VLOOKUP($O301,'Customer List'!$A$1:$J$488,10,FALSE),"")</f>
        <v/>
      </c>
    </row>
    <row r="302" spans="1:23">
      <c r="A302" s="125" t="str">
        <f t="shared" si="40"/>
        <v/>
      </c>
      <c r="B302" s="240"/>
      <c r="C302" s="240"/>
      <c r="D302" s="240"/>
      <c r="E302" s="240"/>
      <c r="F302" s="240"/>
      <c r="G302" s="240"/>
      <c r="H302" s="240"/>
      <c r="I302" s="240"/>
      <c r="J302" s="240"/>
      <c r="K302" s="241"/>
      <c r="L302" s="241"/>
      <c r="M302" s="241"/>
      <c r="N302" s="240"/>
      <c r="O302" s="240"/>
      <c r="P302" s="126">
        <f t="shared" si="41"/>
        <v>0</v>
      </c>
      <c r="Q302" s="126"/>
      <c r="R302" s="127">
        <f t="shared" si="42"/>
        <v>0</v>
      </c>
      <c r="T302" s="128">
        <f t="shared" si="44"/>
        <v>0</v>
      </c>
      <c r="U302" s="129" t="str">
        <f>IFERROR(VLOOKUP($S302,References!$B$3:$C$7,2,FALSE),"")</f>
        <v/>
      </c>
      <c r="V302" s="129" t="str">
        <f t="shared" si="43"/>
        <v/>
      </c>
      <c r="W302" s="74" t="str">
        <f>IFERROR(VLOOKUP($O302,'Customer List'!$A$1:$J$488,10,FALSE),"")</f>
        <v/>
      </c>
    </row>
    <row r="303" spans="1:23" ht="24.6" customHeight="1">
      <c r="A303" s="125" t="str">
        <f t="shared" si="40"/>
        <v/>
      </c>
      <c r="B303" s="240"/>
      <c r="C303" s="240"/>
      <c r="D303" s="240"/>
      <c r="E303" s="240"/>
      <c r="F303" s="240"/>
      <c r="G303" s="240"/>
      <c r="H303" s="240"/>
      <c r="I303" s="240"/>
      <c r="J303" s="240"/>
      <c r="K303" s="241"/>
      <c r="L303" s="241"/>
      <c r="M303" s="241"/>
      <c r="N303" s="240"/>
      <c r="O303" s="240"/>
      <c r="P303" s="126">
        <f t="shared" si="41"/>
        <v>0</v>
      </c>
      <c r="Q303" s="126"/>
      <c r="R303" s="127">
        <f t="shared" si="42"/>
        <v>0</v>
      </c>
      <c r="T303" s="128">
        <f t="shared" si="44"/>
        <v>0</v>
      </c>
      <c r="U303" s="129" t="str">
        <f>IFERROR(VLOOKUP($S303,References!$B$3:$C$7,2,FALSE),"")</f>
        <v/>
      </c>
      <c r="V303" s="129" t="str">
        <f t="shared" si="43"/>
        <v/>
      </c>
      <c r="W303" s="74" t="str">
        <f>IFERROR(VLOOKUP($O303,'Customer List'!$A$1:$J$488,10,FALSE),"")</f>
        <v/>
      </c>
    </row>
    <row r="304" spans="1:23">
      <c r="A304" s="125" t="str">
        <f t="shared" si="40"/>
        <v/>
      </c>
      <c r="B304" s="240"/>
      <c r="C304" s="240"/>
      <c r="D304" s="240"/>
      <c r="E304" s="240"/>
      <c r="F304" s="240"/>
      <c r="G304" s="240"/>
      <c r="H304" s="240"/>
      <c r="I304" s="240"/>
      <c r="J304" s="240"/>
      <c r="K304" s="241"/>
      <c r="L304" s="241"/>
      <c r="M304" s="241"/>
      <c r="N304" s="240"/>
      <c r="O304" s="240"/>
      <c r="P304" s="126">
        <f t="shared" si="41"/>
        <v>0</v>
      </c>
      <c r="Q304" s="126"/>
      <c r="R304" s="127">
        <f t="shared" si="42"/>
        <v>0</v>
      </c>
      <c r="T304" s="128">
        <f t="shared" si="44"/>
        <v>0</v>
      </c>
      <c r="U304" s="129" t="str">
        <f>IFERROR(VLOOKUP($S304,References!$B$3:$C$7,2,FALSE),"")</f>
        <v/>
      </c>
      <c r="V304" s="129" t="str">
        <f t="shared" si="43"/>
        <v/>
      </c>
      <c r="W304" s="74" t="str">
        <f>IFERROR(VLOOKUP($O304,'Customer List'!$A$1:$J$488,10,FALSE),"")</f>
        <v/>
      </c>
    </row>
    <row r="305" spans="1:23">
      <c r="A305" s="125" t="str">
        <f t="shared" si="40"/>
        <v/>
      </c>
      <c r="B305" s="240"/>
      <c r="C305" s="240"/>
      <c r="D305" s="240"/>
      <c r="E305" s="240"/>
      <c r="F305" s="240"/>
      <c r="G305" s="240"/>
      <c r="H305" s="240"/>
      <c r="I305" s="240"/>
      <c r="J305" s="240"/>
      <c r="K305" s="241"/>
      <c r="L305" s="241"/>
      <c r="M305" s="241"/>
      <c r="N305" s="240"/>
      <c r="O305" s="240"/>
      <c r="P305" s="126">
        <f t="shared" si="41"/>
        <v>0</v>
      </c>
      <c r="Q305" s="126"/>
      <c r="R305" s="127">
        <f t="shared" si="42"/>
        <v>0</v>
      </c>
      <c r="T305" s="128">
        <f t="shared" si="44"/>
        <v>0</v>
      </c>
      <c r="U305" s="129" t="str">
        <f>IFERROR(VLOOKUP($S305,References!$B$3:$C$7,2,FALSE),"")</f>
        <v/>
      </c>
      <c r="V305" s="129" t="str">
        <f t="shared" si="43"/>
        <v/>
      </c>
      <c r="W305" s="74" t="str">
        <f>IFERROR(VLOOKUP($O305,'Customer List'!$A$1:$J$488,10,FALSE),"")</f>
        <v/>
      </c>
    </row>
    <row r="306" spans="1:23">
      <c r="A306" s="125" t="str">
        <f t="shared" si="40"/>
        <v/>
      </c>
      <c r="B306" s="240"/>
      <c r="C306" s="240"/>
      <c r="D306" s="240"/>
      <c r="E306" s="240"/>
      <c r="F306" s="240"/>
      <c r="G306" s="240"/>
      <c r="H306" s="240"/>
      <c r="I306" s="240"/>
      <c r="J306" s="240"/>
      <c r="K306" s="241"/>
      <c r="L306" s="241"/>
      <c r="M306" s="241"/>
      <c r="N306" s="240"/>
      <c r="O306" s="240"/>
      <c r="P306" s="126">
        <f t="shared" si="41"/>
        <v>0</v>
      </c>
      <c r="Q306" s="126"/>
      <c r="R306" s="127">
        <f t="shared" si="42"/>
        <v>0</v>
      </c>
      <c r="T306" s="128">
        <f t="shared" si="44"/>
        <v>0</v>
      </c>
      <c r="U306" s="129" t="str">
        <f>IFERROR(VLOOKUP($S306,References!$B$3:$C$7,2,FALSE),"")</f>
        <v/>
      </c>
      <c r="V306" s="129" t="str">
        <f t="shared" si="43"/>
        <v/>
      </c>
      <c r="W306" s="74" t="str">
        <f>IFERROR(VLOOKUP($O306,'Customer List'!$A$1:$J$488,10,FALSE),"")</f>
        <v/>
      </c>
    </row>
    <row r="307" spans="1:23">
      <c r="A307" s="125" t="str">
        <f t="shared" si="40"/>
        <v/>
      </c>
      <c r="B307" s="240"/>
      <c r="C307" s="240"/>
      <c r="D307" s="240"/>
      <c r="E307" s="240"/>
      <c r="F307" s="240"/>
      <c r="G307" s="240"/>
      <c r="H307" s="240"/>
      <c r="I307" s="240"/>
      <c r="J307" s="240"/>
      <c r="K307" s="241"/>
      <c r="L307" s="241"/>
      <c r="M307" s="241"/>
      <c r="N307" s="240"/>
      <c r="O307" s="240"/>
      <c r="P307" s="126">
        <f t="shared" si="41"/>
        <v>0</v>
      </c>
      <c r="Q307" s="126"/>
      <c r="R307" s="127">
        <f t="shared" si="42"/>
        <v>0</v>
      </c>
      <c r="T307" s="128">
        <f t="shared" si="44"/>
        <v>0</v>
      </c>
      <c r="U307" s="129" t="str">
        <f>IFERROR(VLOOKUP($S307,References!$B$3:$C$7,2,FALSE),"")</f>
        <v/>
      </c>
      <c r="V307" s="129" t="str">
        <f t="shared" si="43"/>
        <v/>
      </c>
      <c r="W307" s="74" t="str">
        <f>IFERROR(VLOOKUP($O307,'Customer List'!$A$1:$J$488,10,FALSE),"")</f>
        <v/>
      </c>
    </row>
    <row r="308" spans="1:23">
      <c r="A308" s="125" t="str">
        <f t="shared" si="40"/>
        <v/>
      </c>
      <c r="B308" s="240"/>
      <c r="C308" s="240"/>
      <c r="D308" s="240"/>
      <c r="E308" s="240"/>
      <c r="F308" s="240"/>
      <c r="G308" s="240"/>
      <c r="H308" s="240"/>
      <c r="I308" s="240"/>
      <c r="J308" s="240"/>
      <c r="K308" s="241"/>
      <c r="L308" s="241"/>
      <c r="M308" s="241"/>
      <c r="N308" s="240"/>
      <c r="O308" s="240"/>
      <c r="P308" s="126">
        <f t="shared" si="41"/>
        <v>0</v>
      </c>
      <c r="Q308" s="126"/>
      <c r="R308" s="127">
        <f t="shared" si="42"/>
        <v>0</v>
      </c>
      <c r="T308" s="128">
        <f t="shared" si="44"/>
        <v>0</v>
      </c>
      <c r="U308" s="129" t="str">
        <f>IFERROR(VLOOKUP($S308,References!$B$3:$C$7,2,FALSE),"")</f>
        <v/>
      </c>
      <c r="V308" s="129" t="str">
        <f t="shared" si="43"/>
        <v/>
      </c>
      <c r="W308" s="74" t="str">
        <f>IFERROR(VLOOKUP($O308,'Customer List'!$A$1:$J$488,10,FALSE),"")</f>
        <v/>
      </c>
    </row>
    <row r="309" spans="1:23">
      <c r="A309" s="125" t="str">
        <f t="shared" si="40"/>
        <v/>
      </c>
      <c r="B309" s="240"/>
      <c r="C309" s="240"/>
      <c r="D309" s="240"/>
      <c r="E309" s="240"/>
      <c r="F309" s="240"/>
      <c r="G309" s="240"/>
      <c r="H309" s="240"/>
      <c r="I309" s="240"/>
      <c r="J309" s="240"/>
      <c r="K309" s="241"/>
      <c r="L309" s="241"/>
      <c r="M309" s="241"/>
      <c r="N309" s="240"/>
      <c r="O309" s="240"/>
      <c r="P309" s="126">
        <f t="shared" si="41"/>
        <v>0</v>
      </c>
      <c r="Q309" s="126"/>
      <c r="R309" s="127">
        <f t="shared" si="42"/>
        <v>0</v>
      </c>
      <c r="T309" s="128">
        <f t="shared" si="44"/>
        <v>0</v>
      </c>
      <c r="U309" s="129" t="str">
        <f>IFERROR(VLOOKUP($S309,References!$B$3:$C$7,2,FALSE),"")</f>
        <v/>
      </c>
      <c r="V309" s="129" t="str">
        <f t="shared" si="43"/>
        <v/>
      </c>
      <c r="W309" s="74" t="str">
        <f>IFERROR(VLOOKUP($O309,'Customer List'!$A$1:$J$488,10,FALSE),"")</f>
        <v/>
      </c>
    </row>
    <row r="310" spans="1:23">
      <c r="A310" s="125" t="str">
        <f t="shared" si="40"/>
        <v/>
      </c>
      <c r="B310" s="240"/>
      <c r="C310" s="240"/>
      <c r="D310" s="240"/>
      <c r="E310" s="240"/>
      <c r="F310" s="240"/>
      <c r="G310" s="240"/>
      <c r="H310" s="240"/>
      <c r="I310" s="240"/>
      <c r="J310" s="240"/>
      <c r="K310" s="241"/>
      <c r="L310" s="241"/>
      <c r="M310" s="241"/>
      <c r="N310" s="240"/>
      <c r="O310" s="240"/>
      <c r="P310" s="126">
        <f t="shared" si="41"/>
        <v>0</v>
      </c>
      <c r="Q310" s="126"/>
      <c r="R310" s="127">
        <f t="shared" si="42"/>
        <v>0</v>
      </c>
      <c r="T310" s="128">
        <f t="shared" si="44"/>
        <v>0</v>
      </c>
      <c r="U310" s="129" t="str">
        <f>IFERROR(VLOOKUP($S310,References!$B$3:$C$7,2,FALSE),"")</f>
        <v/>
      </c>
      <c r="V310" s="129" t="str">
        <f t="shared" si="43"/>
        <v/>
      </c>
      <c r="W310" s="74" t="str">
        <f>IFERROR(VLOOKUP($O310,'Customer List'!$A$1:$J$488,10,FALSE),"")</f>
        <v/>
      </c>
    </row>
    <row r="311" spans="1:23">
      <c r="A311" s="125" t="str">
        <f t="shared" si="40"/>
        <v/>
      </c>
      <c r="B311" s="240"/>
      <c r="C311" s="240"/>
      <c r="D311" s="240"/>
      <c r="E311" s="240"/>
      <c r="F311" s="240"/>
      <c r="G311" s="240"/>
      <c r="H311" s="240"/>
      <c r="I311" s="240"/>
      <c r="J311" s="240"/>
      <c r="K311" s="241"/>
      <c r="L311" s="241"/>
      <c r="M311" s="241"/>
      <c r="N311" s="240"/>
      <c r="O311" s="240"/>
      <c r="P311" s="126">
        <f t="shared" si="41"/>
        <v>0</v>
      </c>
      <c r="Q311" s="126"/>
      <c r="R311" s="127">
        <f t="shared" si="42"/>
        <v>0</v>
      </c>
      <c r="T311" s="128">
        <f t="shared" si="44"/>
        <v>0</v>
      </c>
      <c r="U311" s="129" t="str">
        <f>IFERROR(VLOOKUP($S311,References!$B$3:$C$7,2,FALSE),"")</f>
        <v/>
      </c>
      <c r="V311" s="129" t="str">
        <f t="shared" si="43"/>
        <v/>
      </c>
      <c r="W311" s="74" t="str">
        <f>IFERROR(VLOOKUP($O311,'Customer List'!$A$1:$J$488,10,FALSE),"")</f>
        <v/>
      </c>
    </row>
    <row r="312" spans="1:23">
      <c r="A312" s="125" t="str">
        <f t="shared" si="40"/>
        <v/>
      </c>
      <c r="B312" s="240"/>
      <c r="C312" s="240"/>
      <c r="D312" s="240"/>
      <c r="E312" s="240"/>
      <c r="F312" s="240"/>
      <c r="G312" s="240"/>
      <c r="H312" s="240"/>
      <c r="I312" s="240"/>
      <c r="J312" s="240"/>
      <c r="K312" s="241"/>
      <c r="L312" s="241"/>
      <c r="M312" s="241"/>
      <c r="N312" s="240"/>
      <c r="O312" s="240"/>
      <c r="P312" s="126">
        <f t="shared" si="41"/>
        <v>0</v>
      </c>
      <c r="Q312" s="126"/>
      <c r="R312" s="127">
        <f t="shared" si="42"/>
        <v>0</v>
      </c>
      <c r="T312" s="128">
        <f t="shared" si="44"/>
        <v>0</v>
      </c>
      <c r="U312" s="129" t="str">
        <f>IFERROR(VLOOKUP($S312,References!$B$3:$C$7,2,FALSE),"")</f>
        <v/>
      </c>
      <c r="V312" s="129" t="str">
        <f t="shared" si="43"/>
        <v/>
      </c>
      <c r="W312" s="74" t="str">
        <f>IFERROR(VLOOKUP($O312,'Customer List'!$A$1:$J$488,10,FALSE),"")</f>
        <v/>
      </c>
    </row>
    <row r="313" spans="1:23">
      <c r="A313" s="125" t="str">
        <f t="shared" si="40"/>
        <v/>
      </c>
      <c r="B313" s="240"/>
      <c r="C313" s="240"/>
      <c r="D313" s="240"/>
      <c r="E313" s="240"/>
      <c r="F313" s="240"/>
      <c r="G313" s="240"/>
      <c r="H313" s="240"/>
      <c r="I313" s="240"/>
      <c r="J313" s="240"/>
      <c r="K313" s="241"/>
      <c r="L313" s="241"/>
      <c r="M313" s="241"/>
      <c r="N313" s="240"/>
      <c r="O313" s="240"/>
      <c r="P313" s="126">
        <f t="shared" si="41"/>
        <v>0</v>
      </c>
      <c r="Q313" s="126"/>
      <c r="R313" s="127">
        <f t="shared" si="42"/>
        <v>0</v>
      </c>
      <c r="T313" s="128">
        <f t="shared" si="44"/>
        <v>0</v>
      </c>
      <c r="U313" s="129" t="str">
        <f>IFERROR(VLOOKUP($S313,References!$B$3:$C$7,2,FALSE),"")</f>
        <v/>
      </c>
      <c r="V313" s="129" t="str">
        <f t="shared" si="43"/>
        <v/>
      </c>
      <c r="W313" s="74" t="str">
        <f>IFERROR(VLOOKUP($O313,'Customer List'!$A$1:$J$488,10,FALSE),"")</f>
        <v/>
      </c>
    </row>
    <row r="314" spans="1:23">
      <c r="A314" s="125" t="str">
        <f t="shared" si="40"/>
        <v/>
      </c>
      <c r="B314" s="240"/>
      <c r="C314" s="240"/>
      <c r="D314" s="240"/>
      <c r="E314" s="240"/>
      <c r="F314" s="240"/>
      <c r="G314" s="240"/>
      <c r="H314" s="240"/>
      <c r="I314" s="240"/>
      <c r="J314" s="240"/>
      <c r="K314" s="241"/>
      <c r="L314" s="241"/>
      <c r="M314" s="241"/>
      <c r="N314" s="240"/>
      <c r="O314" s="240"/>
      <c r="P314" s="126">
        <f t="shared" si="41"/>
        <v>0</v>
      </c>
      <c r="Q314" s="126"/>
      <c r="R314" s="127">
        <f t="shared" si="42"/>
        <v>0</v>
      </c>
      <c r="T314" s="128">
        <f t="shared" si="44"/>
        <v>0</v>
      </c>
      <c r="U314" s="129" t="str">
        <f>IFERROR(VLOOKUP($S314,References!$B$3:$C$7,2,FALSE),"")</f>
        <v/>
      </c>
      <c r="V314" s="129" t="str">
        <f t="shared" si="43"/>
        <v/>
      </c>
      <c r="W314" s="74" t="str">
        <f>IFERROR(VLOOKUP($O314,'Customer List'!$A$1:$J$488,10,FALSE),"")</f>
        <v/>
      </c>
    </row>
    <row r="315" spans="1:23">
      <c r="A315" s="125" t="str">
        <f t="shared" si="40"/>
        <v/>
      </c>
      <c r="B315" s="240"/>
      <c r="C315" s="240"/>
      <c r="D315" s="240"/>
      <c r="E315" s="240"/>
      <c r="F315" s="240"/>
      <c r="G315" s="240"/>
      <c r="H315" s="240"/>
      <c r="I315" s="240"/>
      <c r="J315" s="240"/>
      <c r="K315" s="241"/>
      <c r="L315" s="241"/>
      <c r="M315" s="241"/>
      <c r="N315" s="240"/>
      <c r="O315" s="240"/>
      <c r="P315" s="126">
        <f t="shared" si="41"/>
        <v>0</v>
      </c>
      <c r="Q315" s="126"/>
      <c r="R315" s="127">
        <f t="shared" si="42"/>
        <v>0</v>
      </c>
      <c r="T315" s="128">
        <f t="shared" si="44"/>
        <v>0</v>
      </c>
      <c r="U315" s="129" t="str">
        <f>IFERROR(VLOOKUP($S315,References!$B$3:$C$7,2,FALSE),"")</f>
        <v/>
      </c>
      <c r="V315" s="129" t="str">
        <f t="shared" si="43"/>
        <v/>
      </c>
      <c r="W315" s="74" t="str">
        <f>IFERROR(VLOOKUP($O315,'Customer List'!$A$1:$J$488,10,FALSE),"")</f>
        <v/>
      </c>
    </row>
    <row r="316" spans="1:23">
      <c r="A316" s="125" t="str">
        <f t="shared" si="40"/>
        <v/>
      </c>
      <c r="B316" s="240"/>
      <c r="C316" s="240"/>
      <c r="D316" s="240"/>
      <c r="E316" s="240"/>
      <c r="F316" s="240"/>
      <c r="G316" s="240"/>
      <c r="H316" s="240"/>
      <c r="I316" s="240"/>
      <c r="J316" s="240"/>
      <c r="K316" s="241"/>
      <c r="L316" s="241"/>
      <c r="M316" s="241"/>
      <c r="N316" s="240"/>
      <c r="O316" s="240"/>
      <c r="P316" s="126">
        <f t="shared" si="41"/>
        <v>0</v>
      </c>
      <c r="Q316" s="126"/>
      <c r="R316" s="127">
        <f t="shared" si="42"/>
        <v>0</v>
      </c>
      <c r="T316" s="128">
        <f t="shared" si="44"/>
        <v>0</v>
      </c>
      <c r="U316" s="129" t="str">
        <f>IFERROR(VLOOKUP($S316,References!$B$3:$C$7,2,FALSE),"")</f>
        <v/>
      </c>
      <c r="V316" s="129" t="str">
        <f t="shared" si="43"/>
        <v/>
      </c>
      <c r="W316" s="74" t="str">
        <f>IFERROR(VLOOKUP($O316,'Customer List'!$A$1:$J$488,10,FALSE),"")</f>
        <v/>
      </c>
    </row>
    <row r="317" spans="1:23">
      <c r="A317" s="125" t="str">
        <f t="shared" si="40"/>
        <v/>
      </c>
      <c r="B317" s="240"/>
      <c r="C317" s="240"/>
      <c r="D317" s="240"/>
      <c r="E317" s="240"/>
      <c r="F317" s="240"/>
      <c r="G317" s="240"/>
      <c r="H317" s="240"/>
      <c r="I317" s="240"/>
      <c r="J317" s="240"/>
      <c r="K317" s="241"/>
      <c r="L317" s="241"/>
      <c r="M317" s="241"/>
      <c r="N317" s="240"/>
      <c r="O317" s="240"/>
      <c r="P317" s="126">
        <f t="shared" si="41"/>
        <v>0</v>
      </c>
      <c r="Q317" s="126"/>
      <c r="R317" s="127">
        <f t="shared" si="42"/>
        <v>0</v>
      </c>
      <c r="T317" s="128">
        <f t="shared" si="44"/>
        <v>0</v>
      </c>
      <c r="U317" s="129" t="str">
        <f>IFERROR(VLOOKUP($S317,References!$B$3:$C$7,2,FALSE),"")</f>
        <v/>
      </c>
      <c r="V317" s="129" t="str">
        <f t="shared" si="43"/>
        <v/>
      </c>
      <c r="W317" s="74" t="str">
        <f>IFERROR(VLOOKUP($O317,'Customer List'!$A$1:$J$488,10,FALSE),"")</f>
        <v/>
      </c>
    </row>
    <row r="318" spans="1:23">
      <c r="A318" s="125" t="str">
        <f t="shared" si="40"/>
        <v/>
      </c>
      <c r="B318" s="240"/>
      <c r="C318" s="240"/>
      <c r="D318" s="240"/>
      <c r="E318" s="240"/>
      <c r="F318" s="240"/>
      <c r="G318" s="240"/>
      <c r="H318" s="240"/>
      <c r="I318" s="240"/>
      <c r="J318" s="240"/>
      <c r="K318" s="241"/>
      <c r="L318" s="241"/>
      <c r="M318" s="241"/>
      <c r="N318" s="240"/>
      <c r="O318" s="240"/>
      <c r="P318" s="126">
        <f t="shared" si="41"/>
        <v>0</v>
      </c>
      <c r="Q318" s="126"/>
      <c r="R318" s="127">
        <f t="shared" si="42"/>
        <v>0</v>
      </c>
      <c r="T318" s="128">
        <f t="shared" si="44"/>
        <v>0</v>
      </c>
      <c r="U318" s="129" t="str">
        <f>IFERROR(VLOOKUP($S318,References!$B$3:$C$7,2,FALSE),"")</f>
        <v/>
      </c>
      <c r="V318" s="129" t="str">
        <f t="shared" si="43"/>
        <v/>
      </c>
      <c r="W318" s="74" t="str">
        <f>IFERROR(VLOOKUP($O318,'Customer List'!$A$1:$J$488,10,FALSE),"")</f>
        <v/>
      </c>
    </row>
    <row r="319" spans="1:23">
      <c r="A319" s="125" t="str">
        <f t="shared" si="40"/>
        <v/>
      </c>
      <c r="B319" s="240"/>
      <c r="C319" s="240"/>
      <c r="D319" s="240"/>
      <c r="E319" s="240"/>
      <c r="F319" s="240"/>
      <c r="G319" s="240"/>
      <c r="H319" s="240"/>
      <c r="I319" s="240"/>
      <c r="J319" s="240"/>
      <c r="K319" s="241"/>
      <c r="L319" s="241"/>
      <c r="M319" s="241"/>
      <c r="N319" s="240"/>
      <c r="O319" s="240"/>
      <c r="P319" s="126">
        <f t="shared" si="41"/>
        <v>0</v>
      </c>
      <c r="Q319" s="126"/>
      <c r="R319" s="127">
        <f t="shared" si="42"/>
        <v>0</v>
      </c>
      <c r="T319" s="128">
        <f t="shared" si="44"/>
        <v>0</v>
      </c>
      <c r="U319" s="129" t="str">
        <f>IFERROR(VLOOKUP($S319,References!$B$3:$C$7,2,FALSE),"")</f>
        <v/>
      </c>
      <c r="V319" s="129" t="str">
        <f t="shared" si="43"/>
        <v/>
      </c>
      <c r="W319" s="74" t="str">
        <f>IFERROR(VLOOKUP($O319,'Customer List'!$A$1:$J$488,10,FALSE),"")</f>
        <v/>
      </c>
    </row>
    <row r="320" spans="1:23">
      <c r="A320" s="125" t="str">
        <f t="shared" si="40"/>
        <v/>
      </c>
      <c r="B320" s="240"/>
      <c r="C320" s="240"/>
      <c r="D320" s="240"/>
      <c r="E320" s="240"/>
      <c r="F320" s="240"/>
      <c r="G320" s="240"/>
      <c r="H320" s="240"/>
      <c r="I320" s="240"/>
      <c r="J320" s="240"/>
      <c r="K320" s="241"/>
      <c r="L320" s="241"/>
      <c r="M320" s="241"/>
      <c r="N320" s="240"/>
      <c r="O320" s="240"/>
      <c r="P320" s="126">
        <f t="shared" si="41"/>
        <v>0</v>
      </c>
      <c r="Q320" s="126"/>
      <c r="R320" s="127">
        <f t="shared" si="42"/>
        <v>0</v>
      </c>
      <c r="T320" s="128">
        <f t="shared" si="44"/>
        <v>0</v>
      </c>
      <c r="U320" s="129" t="str">
        <f>IFERROR(VLOOKUP($S320,References!$B$3:$C$7,2,FALSE),"")</f>
        <v/>
      </c>
      <c r="V320" s="129" t="str">
        <f t="shared" si="43"/>
        <v/>
      </c>
      <c r="W320" s="74" t="str">
        <f>IFERROR(VLOOKUP($O320,'Customer List'!$A$1:$J$488,10,FALSE),"")</f>
        <v/>
      </c>
    </row>
    <row r="321" spans="1:23">
      <c r="A321" s="125" t="str">
        <f t="shared" si="40"/>
        <v/>
      </c>
      <c r="B321" s="240"/>
      <c r="C321" s="240"/>
      <c r="D321" s="240"/>
      <c r="E321" s="240"/>
      <c r="F321" s="240"/>
      <c r="G321" s="240"/>
      <c r="H321" s="240"/>
      <c r="I321" s="240"/>
      <c r="J321" s="240"/>
      <c r="K321" s="241"/>
      <c r="L321" s="241"/>
      <c r="M321" s="241"/>
      <c r="N321" s="240"/>
      <c r="O321" s="240"/>
      <c r="P321" s="126">
        <f t="shared" si="41"/>
        <v>0</v>
      </c>
      <c r="Q321" s="126"/>
      <c r="R321" s="127">
        <f t="shared" si="42"/>
        <v>0</v>
      </c>
      <c r="T321" s="128">
        <f t="shared" si="44"/>
        <v>0</v>
      </c>
      <c r="U321" s="129" t="str">
        <f>IFERROR(VLOOKUP($S321,References!$B$3:$C$7,2,FALSE),"")</f>
        <v/>
      </c>
      <c r="V321" s="129" t="str">
        <f t="shared" si="43"/>
        <v/>
      </c>
      <c r="W321" s="74" t="str">
        <f>IFERROR(VLOOKUP($O321,'Customer List'!$A$1:$J$488,10,FALSE),"")</f>
        <v/>
      </c>
    </row>
    <row r="322" spans="1:23">
      <c r="A322" s="125" t="str">
        <f t="shared" si="40"/>
        <v/>
      </c>
      <c r="B322" s="240"/>
      <c r="C322" s="240"/>
      <c r="D322" s="240"/>
      <c r="E322" s="240"/>
      <c r="F322" s="240"/>
      <c r="G322" s="240"/>
      <c r="H322" s="240"/>
      <c r="I322" s="240"/>
      <c r="J322" s="240"/>
      <c r="K322" s="241"/>
      <c r="L322" s="241"/>
      <c r="M322" s="241"/>
      <c r="N322" s="240"/>
      <c r="O322" s="240"/>
      <c r="P322" s="126">
        <f t="shared" si="41"/>
        <v>0</v>
      </c>
      <c r="Q322" s="126"/>
      <c r="R322" s="127">
        <f t="shared" si="42"/>
        <v>0</v>
      </c>
      <c r="T322" s="128">
        <f t="shared" si="44"/>
        <v>0</v>
      </c>
      <c r="U322" s="129" t="str">
        <f>IFERROR(VLOOKUP($S322,References!$B$3:$C$7,2,FALSE),"")</f>
        <v/>
      </c>
      <c r="V322" s="129" t="str">
        <f t="shared" si="43"/>
        <v/>
      </c>
      <c r="W322" s="74" t="str">
        <f>IFERROR(VLOOKUP($O322,'Customer List'!$A$1:$J$488,10,FALSE),"")</f>
        <v/>
      </c>
    </row>
    <row r="323" spans="1:23">
      <c r="A323" s="125" t="str">
        <f t="shared" si="40"/>
        <v/>
      </c>
      <c r="B323" s="240"/>
      <c r="C323" s="240"/>
      <c r="D323" s="240"/>
      <c r="E323" s="240"/>
      <c r="F323" s="240"/>
      <c r="G323" s="240"/>
      <c r="H323" s="240"/>
      <c r="I323" s="240"/>
      <c r="J323" s="240"/>
      <c r="K323" s="241"/>
      <c r="L323" s="241"/>
      <c r="M323" s="241"/>
      <c r="N323" s="240"/>
      <c r="O323" s="240"/>
      <c r="P323" s="126">
        <f t="shared" si="41"/>
        <v>0</v>
      </c>
      <c r="Q323" s="126"/>
      <c r="R323" s="127">
        <f t="shared" si="42"/>
        <v>0</v>
      </c>
      <c r="T323" s="128">
        <f t="shared" si="44"/>
        <v>0</v>
      </c>
      <c r="U323" s="129" t="str">
        <f>IFERROR(VLOOKUP($S323,References!$B$3:$C$7,2,FALSE),"")</f>
        <v/>
      </c>
      <c r="V323" s="129" t="str">
        <f t="shared" si="43"/>
        <v/>
      </c>
      <c r="W323" s="74" t="str">
        <f>IFERROR(VLOOKUP($O323,'Customer List'!$A$1:$J$488,10,FALSE),"")</f>
        <v/>
      </c>
    </row>
    <row r="324" spans="1:23">
      <c r="A324" s="125" t="str">
        <f t="shared" si="40"/>
        <v/>
      </c>
      <c r="B324" s="240"/>
      <c r="C324" s="240"/>
      <c r="D324" s="240"/>
      <c r="E324" s="240"/>
      <c r="F324" s="240"/>
      <c r="G324" s="240"/>
      <c r="H324" s="240"/>
      <c r="I324" s="240"/>
      <c r="J324" s="240"/>
      <c r="K324" s="241"/>
      <c r="L324" s="241"/>
      <c r="M324" s="241"/>
      <c r="N324" s="240"/>
      <c r="O324" s="240"/>
      <c r="P324" s="126">
        <f t="shared" si="41"/>
        <v>0</v>
      </c>
      <c r="Q324" s="126"/>
      <c r="R324" s="127">
        <f t="shared" si="42"/>
        <v>0</v>
      </c>
      <c r="T324" s="128">
        <f t="shared" si="44"/>
        <v>0</v>
      </c>
      <c r="U324" s="129" t="str">
        <f>IFERROR(VLOOKUP($S324,References!$B$3:$C$7,2,FALSE),"")</f>
        <v/>
      </c>
      <c r="V324" s="129" t="str">
        <f t="shared" si="43"/>
        <v/>
      </c>
      <c r="W324" s="74" t="str">
        <f>IFERROR(VLOOKUP($O324,'Customer List'!$A$1:$J$488,10,FALSE),"")</f>
        <v/>
      </c>
    </row>
    <row r="325" spans="1:23">
      <c r="A325" s="125" t="str">
        <f t="shared" si="40"/>
        <v/>
      </c>
      <c r="B325" s="240"/>
      <c r="C325" s="240"/>
      <c r="D325" s="240"/>
      <c r="E325" s="240"/>
      <c r="F325" s="240"/>
      <c r="G325" s="240"/>
      <c r="H325" s="240"/>
      <c r="I325" s="240"/>
      <c r="J325" s="240"/>
      <c r="K325" s="241"/>
      <c r="L325" s="241"/>
      <c r="M325" s="241"/>
      <c r="N325" s="240"/>
      <c r="O325" s="240"/>
      <c r="P325" s="126">
        <f t="shared" si="41"/>
        <v>0</v>
      </c>
      <c r="Q325" s="126"/>
      <c r="R325" s="127">
        <f t="shared" si="42"/>
        <v>0</v>
      </c>
      <c r="T325" s="128">
        <f t="shared" si="44"/>
        <v>0</v>
      </c>
      <c r="U325" s="129" t="str">
        <f>IFERROR(VLOOKUP($S325,References!$B$3:$C$7,2,FALSE),"")</f>
        <v/>
      </c>
      <c r="V325" s="129" t="str">
        <f t="shared" si="43"/>
        <v/>
      </c>
      <c r="W325" s="74" t="str">
        <f>IFERROR(VLOOKUP($O325,'Customer List'!$A$1:$J$488,10,FALSE),"")</f>
        <v/>
      </c>
    </row>
    <row r="326" spans="1:23">
      <c r="A326" s="125" t="str">
        <f t="shared" si="40"/>
        <v/>
      </c>
      <c r="B326" s="240"/>
      <c r="C326" s="240"/>
      <c r="D326" s="240"/>
      <c r="E326" s="240"/>
      <c r="F326" s="240"/>
      <c r="G326" s="240"/>
      <c r="H326" s="240"/>
      <c r="I326" s="240"/>
      <c r="J326" s="240"/>
      <c r="K326" s="241"/>
      <c r="L326" s="241"/>
      <c r="M326" s="241"/>
      <c r="N326" s="240"/>
      <c r="O326" s="240"/>
      <c r="P326" s="126">
        <f t="shared" si="41"/>
        <v>0</v>
      </c>
      <c r="Q326" s="126"/>
      <c r="R326" s="127">
        <f t="shared" si="42"/>
        <v>0</v>
      </c>
      <c r="T326" s="128">
        <f t="shared" si="44"/>
        <v>0</v>
      </c>
      <c r="U326" s="129" t="str">
        <f>IFERROR(VLOOKUP($S326,References!$B$3:$C$7,2,FALSE),"")</f>
        <v/>
      </c>
      <c r="V326" s="129" t="str">
        <f t="shared" si="43"/>
        <v/>
      </c>
      <c r="W326" s="74" t="str">
        <f>IFERROR(VLOOKUP($O326,'Customer List'!$A$1:$J$488,10,FALSE),"")</f>
        <v/>
      </c>
    </row>
    <row r="327" spans="1:23">
      <c r="A327" s="125" t="str">
        <f t="shared" si="40"/>
        <v/>
      </c>
      <c r="B327" s="240"/>
      <c r="C327" s="240"/>
      <c r="D327" s="240"/>
      <c r="E327" s="240"/>
      <c r="F327" s="240"/>
      <c r="G327" s="240"/>
      <c r="H327" s="240"/>
      <c r="I327" s="240"/>
      <c r="J327" s="240"/>
      <c r="K327" s="241"/>
      <c r="L327" s="241"/>
      <c r="M327" s="241"/>
      <c r="N327" s="240"/>
      <c r="O327" s="240"/>
      <c r="P327" s="126">
        <f t="shared" si="41"/>
        <v>0</v>
      </c>
      <c r="Q327" s="126"/>
      <c r="R327" s="127">
        <f t="shared" si="42"/>
        <v>0</v>
      </c>
      <c r="T327" s="128">
        <f t="shared" si="44"/>
        <v>0</v>
      </c>
      <c r="U327" s="129" t="str">
        <f>IFERROR(VLOOKUP($S327,References!$B$3:$C$7,2,FALSE),"")</f>
        <v/>
      </c>
      <c r="V327" s="129" t="str">
        <f t="shared" si="43"/>
        <v/>
      </c>
      <c r="W327" s="74" t="str">
        <f>IFERROR(VLOOKUP($O327,'Customer List'!$A$1:$J$488,10,FALSE),"")</f>
        <v/>
      </c>
    </row>
    <row r="328" spans="1:23">
      <c r="A328" s="125" t="str">
        <f t="shared" si="40"/>
        <v/>
      </c>
      <c r="B328" s="240"/>
      <c r="C328" s="240"/>
      <c r="D328" s="240"/>
      <c r="E328" s="240"/>
      <c r="F328" s="240"/>
      <c r="G328" s="240"/>
      <c r="H328" s="240"/>
      <c r="I328" s="240"/>
      <c r="J328" s="240"/>
      <c r="K328" s="241"/>
      <c r="L328" s="241"/>
      <c r="M328" s="241"/>
      <c r="N328" s="240"/>
      <c r="O328" s="240"/>
      <c r="P328" s="126">
        <f t="shared" si="41"/>
        <v>0</v>
      </c>
      <c r="Q328" s="126"/>
      <c r="R328" s="127">
        <f t="shared" si="42"/>
        <v>0</v>
      </c>
      <c r="T328" s="128">
        <f t="shared" si="44"/>
        <v>0</v>
      </c>
      <c r="U328" s="129" t="str">
        <f>IFERROR(VLOOKUP($S328,References!$B$3:$C$7,2,FALSE),"")</f>
        <v/>
      </c>
      <c r="V328" s="129" t="str">
        <f t="shared" si="43"/>
        <v/>
      </c>
      <c r="W328" s="74" t="str">
        <f>IFERROR(VLOOKUP($O328,'Customer List'!$A$1:$J$488,10,FALSE),"")</f>
        <v/>
      </c>
    </row>
    <row r="329" spans="1:23">
      <c r="A329" s="125" t="str">
        <f t="shared" ref="A329:A392" si="45">O329&amp;S329</f>
        <v/>
      </c>
      <c r="B329" s="240"/>
      <c r="C329" s="240"/>
      <c r="D329" s="240"/>
      <c r="E329" s="240"/>
      <c r="F329" s="240"/>
      <c r="G329" s="240"/>
      <c r="H329" s="240"/>
      <c r="I329" s="240"/>
      <c r="J329" s="240"/>
      <c r="K329" s="241"/>
      <c r="L329" s="241"/>
      <c r="M329" s="241"/>
      <c r="N329" s="240"/>
      <c r="O329" s="240"/>
      <c r="P329" s="126">
        <f t="shared" ref="P329:P336" si="46">INT(L329)</f>
        <v>0</v>
      </c>
      <c r="Q329" s="126"/>
      <c r="R329" s="127">
        <f t="shared" ref="R329:R392" si="47">L329-K329</f>
        <v>0</v>
      </c>
      <c r="T329" s="128">
        <f t="shared" si="44"/>
        <v>0</v>
      </c>
      <c r="U329" s="129" t="str">
        <f>IFERROR(VLOOKUP($S329,References!$B$3:$C$7,2,FALSE),"")</f>
        <v/>
      </c>
      <c r="V329" s="129" t="str">
        <f t="shared" ref="V329:V346" si="48">IF(T329&gt;=8,400,(IFERROR(T329*U329,"")))</f>
        <v/>
      </c>
      <c r="W329" s="74" t="str">
        <f>IFERROR(VLOOKUP($O329,'Customer List'!$A$1:$J$488,10,FALSE),"")</f>
        <v/>
      </c>
    </row>
    <row r="330" spans="1:23">
      <c r="A330" s="125" t="str">
        <f t="shared" si="45"/>
        <v/>
      </c>
      <c r="B330" s="240"/>
      <c r="C330" s="240"/>
      <c r="D330" s="240"/>
      <c r="E330" s="240"/>
      <c r="F330" s="240"/>
      <c r="G330" s="240"/>
      <c r="H330" s="240"/>
      <c r="I330" s="240"/>
      <c r="J330" s="240"/>
      <c r="K330" s="241"/>
      <c r="L330" s="241"/>
      <c r="M330" s="241"/>
      <c r="N330" s="240"/>
      <c r="O330" s="240"/>
      <c r="P330" s="126">
        <f t="shared" si="46"/>
        <v>0</v>
      </c>
      <c r="Q330" s="126"/>
      <c r="R330" s="127">
        <f t="shared" si="47"/>
        <v>0</v>
      </c>
      <c r="T330" s="128">
        <f t="shared" ref="T330:T393" si="49">IF(S330="50 - Cleaning Fee",1,HOUR($R330)+MINUTE(R330)/60)</f>
        <v>0</v>
      </c>
      <c r="U330" s="129" t="str">
        <f>IFERROR(VLOOKUP($S330,References!$B$3:$C$7,2,FALSE),"")</f>
        <v/>
      </c>
      <c r="V330" s="129" t="str">
        <f t="shared" si="48"/>
        <v/>
      </c>
      <c r="W330" s="74" t="str">
        <f>IFERROR(VLOOKUP($O330,'Customer List'!$A$1:$J$488,10,FALSE),"")</f>
        <v/>
      </c>
    </row>
    <row r="331" spans="1:23">
      <c r="A331" s="125" t="str">
        <f t="shared" si="45"/>
        <v/>
      </c>
      <c r="B331" s="240"/>
      <c r="C331" s="240"/>
      <c r="D331" s="240"/>
      <c r="E331" s="240"/>
      <c r="F331" s="240"/>
      <c r="G331" s="240"/>
      <c r="H331" s="240"/>
      <c r="I331" s="240"/>
      <c r="J331" s="240"/>
      <c r="K331" s="241"/>
      <c r="L331" s="241"/>
      <c r="M331" s="241"/>
      <c r="N331" s="240"/>
      <c r="O331" s="240"/>
      <c r="P331" s="126">
        <f t="shared" si="46"/>
        <v>0</v>
      </c>
      <c r="Q331" s="126"/>
      <c r="R331" s="127">
        <f t="shared" si="47"/>
        <v>0</v>
      </c>
      <c r="T331" s="128">
        <f t="shared" si="49"/>
        <v>0</v>
      </c>
      <c r="U331" s="129" t="str">
        <f>IFERROR(VLOOKUP($S331,References!$B$3:$C$7,2,FALSE),"")</f>
        <v/>
      </c>
      <c r="V331" s="129" t="str">
        <f t="shared" si="48"/>
        <v/>
      </c>
      <c r="W331" s="74" t="str">
        <f>IFERROR(VLOOKUP($O331,'Customer List'!$A$1:$J$488,10,FALSE),"")</f>
        <v/>
      </c>
    </row>
    <row r="332" spans="1:23">
      <c r="A332" s="125" t="str">
        <f t="shared" si="45"/>
        <v/>
      </c>
      <c r="B332" s="240"/>
      <c r="C332" s="240"/>
      <c r="D332" s="240"/>
      <c r="E332" s="240"/>
      <c r="F332" s="240"/>
      <c r="G332" s="240"/>
      <c r="H332" s="240"/>
      <c r="I332" s="240"/>
      <c r="J332" s="240"/>
      <c r="K332" s="241"/>
      <c r="L332" s="241"/>
      <c r="M332" s="241"/>
      <c r="N332" s="240"/>
      <c r="O332" s="240"/>
      <c r="P332" s="126">
        <f t="shared" si="46"/>
        <v>0</v>
      </c>
      <c r="Q332" s="126"/>
      <c r="R332" s="127">
        <f t="shared" si="47"/>
        <v>0</v>
      </c>
      <c r="T332" s="128">
        <f t="shared" si="49"/>
        <v>0</v>
      </c>
      <c r="U332" s="129" t="str">
        <f>IFERROR(VLOOKUP($S332,References!$B$3:$C$7,2,FALSE),"")</f>
        <v/>
      </c>
      <c r="V332" s="129" t="str">
        <f t="shared" si="48"/>
        <v/>
      </c>
      <c r="W332" s="74" t="str">
        <f>IFERROR(VLOOKUP($O332,'Customer List'!$A$1:$J$488,10,FALSE),"")</f>
        <v/>
      </c>
    </row>
    <row r="333" spans="1:23">
      <c r="A333" s="125" t="str">
        <f t="shared" si="45"/>
        <v/>
      </c>
      <c r="B333" s="240"/>
      <c r="C333" s="240"/>
      <c r="D333" s="240"/>
      <c r="E333" s="240"/>
      <c r="F333" s="240"/>
      <c r="G333" s="240"/>
      <c r="H333" s="240"/>
      <c r="I333" s="240"/>
      <c r="J333" s="240"/>
      <c r="K333" s="241"/>
      <c r="L333" s="241"/>
      <c r="M333" s="241"/>
      <c r="N333" s="240"/>
      <c r="O333" s="240"/>
      <c r="P333" s="126">
        <f t="shared" si="46"/>
        <v>0</v>
      </c>
      <c r="Q333" s="126"/>
      <c r="R333" s="127">
        <f t="shared" si="47"/>
        <v>0</v>
      </c>
      <c r="T333" s="128">
        <f t="shared" si="49"/>
        <v>0</v>
      </c>
      <c r="U333" s="129" t="str">
        <f>IFERROR(VLOOKUP($S333,References!$B$3:$C$7,2,FALSE),"")</f>
        <v/>
      </c>
      <c r="V333" s="129" t="str">
        <f t="shared" si="48"/>
        <v/>
      </c>
      <c r="W333" s="74" t="str">
        <f>IFERROR(VLOOKUP($O333,'Customer List'!$A$1:$J$488,10,FALSE),"")</f>
        <v/>
      </c>
    </row>
    <row r="334" spans="1:23">
      <c r="A334" s="125" t="str">
        <f t="shared" si="45"/>
        <v/>
      </c>
      <c r="B334" s="240"/>
      <c r="C334" s="240"/>
      <c r="D334" s="240"/>
      <c r="E334" s="240"/>
      <c r="F334" s="240"/>
      <c r="G334" s="240"/>
      <c r="H334" s="240"/>
      <c r="I334" s="240"/>
      <c r="J334" s="240"/>
      <c r="K334" s="241"/>
      <c r="L334" s="241"/>
      <c r="M334" s="241"/>
      <c r="N334" s="240"/>
      <c r="O334" s="240"/>
      <c r="P334" s="126">
        <f t="shared" si="46"/>
        <v>0</v>
      </c>
      <c r="Q334" s="126"/>
      <c r="R334" s="127">
        <f t="shared" si="47"/>
        <v>0</v>
      </c>
      <c r="T334" s="128">
        <f t="shared" si="49"/>
        <v>0</v>
      </c>
      <c r="U334" s="129" t="str">
        <f>IFERROR(VLOOKUP($S334,References!$B$3:$C$7,2,FALSE),"")</f>
        <v/>
      </c>
      <c r="V334" s="129" t="str">
        <f t="shared" si="48"/>
        <v/>
      </c>
      <c r="W334" s="74" t="str">
        <f>IFERROR(VLOOKUP($O334,'Customer List'!$A$1:$J$488,10,FALSE),"")</f>
        <v/>
      </c>
    </row>
    <row r="335" spans="1:23">
      <c r="A335" s="125" t="str">
        <f t="shared" si="45"/>
        <v/>
      </c>
      <c r="B335" s="240"/>
      <c r="C335" s="240"/>
      <c r="D335" s="240"/>
      <c r="E335" s="240"/>
      <c r="F335" s="240"/>
      <c r="G335" s="240"/>
      <c r="H335" s="240"/>
      <c r="I335" s="240"/>
      <c r="J335" s="240"/>
      <c r="K335" s="241"/>
      <c r="L335" s="241"/>
      <c r="M335" s="241"/>
      <c r="N335" s="240"/>
      <c r="O335" s="240"/>
      <c r="P335" s="126">
        <f t="shared" si="46"/>
        <v>0</v>
      </c>
      <c r="Q335" s="126"/>
      <c r="R335" s="127">
        <f t="shared" si="47"/>
        <v>0</v>
      </c>
      <c r="T335" s="128">
        <f t="shared" si="49"/>
        <v>0</v>
      </c>
      <c r="U335" s="129" t="str">
        <f>IFERROR(VLOOKUP($S335,References!$B$3:$C$7,2,FALSE),"")</f>
        <v/>
      </c>
      <c r="V335" s="129" t="str">
        <f t="shared" si="48"/>
        <v/>
      </c>
      <c r="W335" s="74" t="str">
        <f>IFERROR(VLOOKUP($O335,'Customer List'!$A$1:$J$488,10,FALSE),"")</f>
        <v/>
      </c>
    </row>
    <row r="336" spans="1:23">
      <c r="A336" s="125" t="str">
        <f t="shared" si="45"/>
        <v/>
      </c>
      <c r="B336" s="240"/>
      <c r="C336" s="240"/>
      <c r="D336" s="240"/>
      <c r="E336" s="240"/>
      <c r="F336" s="240"/>
      <c r="G336" s="240"/>
      <c r="H336" s="240"/>
      <c r="I336" s="240"/>
      <c r="J336" s="240"/>
      <c r="K336" s="241"/>
      <c r="L336" s="241"/>
      <c r="M336" s="241"/>
      <c r="N336" s="240"/>
      <c r="O336" s="240"/>
      <c r="P336" s="126">
        <f t="shared" si="46"/>
        <v>0</v>
      </c>
      <c r="Q336" s="126"/>
      <c r="R336" s="127">
        <f t="shared" si="47"/>
        <v>0</v>
      </c>
      <c r="T336" s="128">
        <f t="shared" si="49"/>
        <v>0</v>
      </c>
      <c r="U336" s="129" t="str">
        <f>IFERROR(VLOOKUP($S336,References!$B$3:$C$7,2,FALSE),"")</f>
        <v/>
      </c>
      <c r="V336" s="129" t="str">
        <f t="shared" si="48"/>
        <v/>
      </c>
      <c r="W336" s="74" t="str">
        <f>IFERROR(VLOOKUP($O336,'Customer List'!$A$1:$J$488,10,FALSE),"")</f>
        <v/>
      </c>
    </row>
    <row r="337" spans="1:23">
      <c r="A337" s="125" t="str">
        <f t="shared" si="45"/>
        <v/>
      </c>
      <c r="B337" s="240"/>
      <c r="C337" s="240"/>
      <c r="D337" s="240"/>
      <c r="E337" s="240"/>
      <c r="F337" s="240"/>
      <c r="G337" s="240"/>
      <c r="H337" s="240"/>
      <c r="I337" s="240"/>
      <c r="J337" s="240"/>
      <c r="K337" s="241"/>
      <c r="L337" s="241"/>
      <c r="M337" s="241"/>
      <c r="N337" s="240"/>
      <c r="O337" s="240"/>
      <c r="P337" s="126">
        <f t="shared" ref="P337:P392" si="50">INT(L337)</f>
        <v>0</v>
      </c>
      <c r="Q337" s="126"/>
      <c r="R337" s="127">
        <f t="shared" si="47"/>
        <v>0</v>
      </c>
      <c r="T337" s="128">
        <f t="shared" si="49"/>
        <v>0</v>
      </c>
      <c r="U337" s="129" t="str">
        <f>IFERROR(VLOOKUP($S337,References!$B$3:$C$7,2,FALSE),"")</f>
        <v/>
      </c>
      <c r="V337" s="129" t="str">
        <f t="shared" si="48"/>
        <v/>
      </c>
      <c r="W337" s="74" t="str">
        <f>IFERROR(VLOOKUP($O337,'Customer List'!$A$1:$J$488,10,FALSE),"")</f>
        <v/>
      </c>
    </row>
    <row r="338" spans="1:23">
      <c r="A338" s="125" t="str">
        <f t="shared" si="45"/>
        <v/>
      </c>
      <c r="B338" s="240"/>
      <c r="C338" s="240"/>
      <c r="D338" s="240"/>
      <c r="E338" s="240"/>
      <c r="F338" s="240"/>
      <c r="G338" s="240"/>
      <c r="H338" s="240"/>
      <c r="I338" s="240"/>
      <c r="J338" s="240"/>
      <c r="K338" s="241"/>
      <c r="L338" s="241"/>
      <c r="M338" s="241"/>
      <c r="N338" s="240"/>
      <c r="O338" s="240"/>
      <c r="P338" s="126">
        <f t="shared" si="50"/>
        <v>0</v>
      </c>
      <c r="Q338" s="126"/>
      <c r="R338" s="127">
        <f t="shared" si="47"/>
        <v>0</v>
      </c>
      <c r="T338" s="128">
        <f t="shared" si="49"/>
        <v>0</v>
      </c>
      <c r="U338" s="129" t="str">
        <f>IFERROR(VLOOKUP($S338,References!$B$3:$C$7,2,FALSE),"")</f>
        <v/>
      </c>
      <c r="V338" s="129" t="str">
        <f t="shared" si="48"/>
        <v/>
      </c>
      <c r="W338" s="74" t="str">
        <f>IFERROR(VLOOKUP($O338,'Customer List'!$A$1:$J$488,10,FALSE),"")</f>
        <v/>
      </c>
    </row>
    <row r="339" spans="1:23">
      <c r="A339" s="125" t="str">
        <f t="shared" si="45"/>
        <v/>
      </c>
      <c r="B339" s="240"/>
      <c r="C339" s="240"/>
      <c r="D339" s="240"/>
      <c r="E339" s="240"/>
      <c r="F339" s="240"/>
      <c r="G339" s="240"/>
      <c r="H339" s="240"/>
      <c r="I339" s="240"/>
      <c r="J339" s="240"/>
      <c r="K339" s="241"/>
      <c r="L339" s="241"/>
      <c r="M339" s="241"/>
      <c r="N339" s="240"/>
      <c r="O339" s="240"/>
      <c r="P339" s="126">
        <f t="shared" si="50"/>
        <v>0</v>
      </c>
      <c r="Q339" s="126"/>
      <c r="R339" s="127">
        <f t="shared" si="47"/>
        <v>0</v>
      </c>
      <c r="T339" s="128">
        <f t="shared" si="49"/>
        <v>0</v>
      </c>
      <c r="U339" s="129" t="str">
        <f>IFERROR(VLOOKUP($S339,References!$B$3:$C$7,2,FALSE),"")</f>
        <v/>
      </c>
      <c r="V339" s="129" t="str">
        <f t="shared" si="48"/>
        <v/>
      </c>
      <c r="W339" s="74" t="str">
        <f>IFERROR(VLOOKUP($O339,'Customer List'!$A$1:$J$488,10,FALSE),"")</f>
        <v/>
      </c>
    </row>
    <row r="340" spans="1:23">
      <c r="A340" s="125" t="str">
        <f t="shared" si="45"/>
        <v/>
      </c>
      <c r="B340" s="240"/>
      <c r="C340" s="240"/>
      <c r="D340" s="240"/>
      <c r="E340" s="240"/>
      <c r="F340" s="240"/>
      <c r="G340" s="240"/>
      <c r="H340" s="240"/>
      <c r="I340" s="240"/>
      <c r="J340" s="240"/>
      <c r="K340" s="241"/>
      <c r="L340" s="241"/>
      <c r="M340" s="241"/>
      <c r="N340" s="240"/>
      <c r="O340" s="240"/>
      <c r="P340" s="126">
        <f t="shared" si="50"/>
        <v>0</v>
      </c>
      <c r="Q340" s="126"/>
      <c r="R340" s="127">
        <f t="shared" si="47"/>
        <v>0</v>
      </c>
      <c r="T340" s="128">
        <f t="shared" si="49"/>
        <v>0</v>
      </c>
      <c r="U340" s="129" t="str">
        <f>IFERROR(VLOOKUP($S340,References!$B$3:$C$7,2,FALSE),"")</f>
        <v/>
      </c>
      <c r="V340" s="129" t="str">
        <f t="shared" si="48"/>
        <v/>
      </c>
      <c r="W340" s="74" t="str">
        <f>IFERROR(VLOOKUP($O340,'Customer List'!$A$1:$J$488,10,FALSE),"")</f>
        <v/>
      </c>
    </row>
    <row r="341" spans="1:23">
      <c r="A341" s="125" t="str">
        <f t="shared" si="45"/>
        <v/>
      </c>
      <c r="B341" s="240"/>
      <c r="C341" s="240"/>
      <c r="D341" s="240"/>
      <c r="E341" s="240"/>
      <c r="F341" s="240"/>
      <c r="G341" s="240"/>
      <c r="H341" s="240"/>
      <c r="I341" s="240"/>
      <c r="J341" s="240"/>
      <c r="K341" s="241"/>
      <c r="L341" s="241"/>
      <c r="M341" s="241"/>
      <c r="N341" s="240"/>
      <c r="O341" s="240"/>
      <c r="P341" s="126">
        <f t="shared" si="50"/>
        <v>0</v>
      </c>
      <c r="Q341" s="126"/>
      <c r="R341" s="127">
        <f t="shared" si="47"/>
        <v>0</v>
      </c>
      <c r="T341" s="128">
        <f t="shared" si="49"/>
        <v>0</v>
      </c>
      <c r="U341" s="129" t="str">
        <f>IFERROR(VLOOKUP($S341,References!$B$3:$C$7,2,FALSE),"")</f>
        <v/>
      </c>
      <c r="V341" s="129" t="str">
        <f t="shared" si="48"/>
        <v/>
      </c>
      <c r="W341" s="74" t="str">
        <f>IFERROR(VLOOKUP($O341,'Customer List'!$A$1:$J$488,10,FALSE),"")</f>
        <v/>
      </c>
    </row>
    <row r="342" spans="1:23">
      <c r="A342" s="125" t="str">
        <f t="shared" si="45"/>
        <v/>
      </c>
      <c r="B342" s="240"/>
      <c r="C342" s="240"/>
      <c r="D342" s="240"/>
      <c r="E342" s="240"/>
      <c r="F342" s="240"/>
      <c r="G342" s="240"/>
      <c r="H342" s="240"/>
      <c r="I342" s="240"/>
      <c r="J342" s="240"/>
      <c r="K342" s="241"/>
      <c r="L342" s="241"/>
      <c r="M342" s="241"/>
      <c r="N342" s="240"/>
      <c r="O342" s="240"/>
      <c r="P342" s="126">
        <f t="shared" si="50"/>
        <v>0</v>
      </c>
      <c r="Q342" s="126"/>
      <c r="R342" s="127">
        <f t="shared" si="47"/>
        <v>0</v>
      </c>
      <c r="T342" s="128">
        <f t="shared" si="49"/>
        <v>0</v>
      </c>
      <c r="U342" s="129" t="str">
        <f>IFERROR(VLOOKUP($S342,References!$B$3:$C$7,2,FALSE),"")</f>
        <v/>
      </c>
      <c r="V342" s="129" t="str">
        <f t="shared" si="48"/>
        <v/>
      </c>
      <c r="W342" s="74" t="str">
        <f>IFERROR(VLOOKUP($O342,'Customer List'!$A$1:$J$488,10,FALSE),"")</f>
        <v/>
      </c>
    </row>
    <row r="343" spans="1:23">
      <c r="A343" s="125" t="str">
        <f t="shared" si="45"/>
        <v/>
      </c>
      <c r="B343" s="240"/>
      <c r="C343" s="240"/>
      <c r="D343" s="240"/>
      <c r="E343" s="240"/>
      <c r="F343" s="240"/>
      <c r="G343" s="240"/>
      <c r="H343" s="240"/>
      <c r="I343" s="240"/>
      <c r="J343" s="240"/>
      <c r="K343" s="241"/>
      <c r="L343" s="241"/>
      <c r="M343" s="241"/>
      <c r="N343" s="240"/>
      <c r="O343" s="240"/>
      <c r="P343" s="126">
        <f t="shared" si="50"/>
        <v>0</v>
      </c>
      <c r="Q343" s="126"/>
      <c r="R343" s="127">
        <f t="shared" si="47"/>
        <v>0</v>
      </c>
      <c r="T343" s="128">
        <f t="shared" si="49"/>
        <v>0</v>
      </c>
      <c r="U343" s="129" t="str">
        <f>IFERROR(VLOOKUP($S343,References!$B$3:$C$7,2,FALSE),"")</f>
        <v/>
      </c>
      <c r="V343" s="129" t="str">
        <f t="shared" si="48"/>
        <v/>
      </c>
      <c r="W343" s="74" t="str">
        <f>IFERROR(VLOOKUP($O343,'Customer List'!$A$1:$J$488,10,FALSE),"")</f>
        <v/>
      </c>
    </row>
    <row r="344" spans="1:23">
      <c r="A344" s="125" t="str">
        <f t="shared" si="45"/>
        <v/>
      </c>
      <c r="B344" s="240"/>
      <c r="C344" s="240"/>
      <c r="D344" s="240"/>
      <c r="E344" s="240"/>
      <c r="F344" s="240"/>
      <c r="G344" s="240"/>
      <c r="H344" s="240"/>
      <c r="I344" s="240"/>
      <c r="J344" s="240"/>
      <c r="K344" s="241"/>
      <c r="L344" s="241"/>
      <c r="M344" s="241"/>
      <c r="N344" s="240"/>
      <c r="O344" s="240"/>
      <c r="P344" s="126">
        <f t="shared" si="50"/>
        <v>0</v>
      </c>
      <c r="Q344" s="126"/>
      <c r="R344" s="127">
        <f t="shared" si="47"/>
        <v>0</v>
      </c>
      <c r="T344" s="128">
        <f t="shared" si="49"/>
        <v>0</v>
      </c>
      <c r="U344" s="129" t="str">
        <f>IFERROR(VLOOKUP($S344,References!$B$3:$C$7,2,FALSE),"")</f>
        <v/>
      </c>
      <c r="V344" s="129" t="str">
        <f t="shared" si="48"/>
        <v/>
      </c>
      <c r="W344" s="74" t="str">
        <f>IFERROR(VLOOKUP($O344,'Customer List'!$A$1:$J$488,10,FALSE),"")</f>
        <v/>
      </c>
    </row>
    <row r="345" spans="1:23">
      <c r="A345" s="125" t="str">
        <f t="shared" si="45"/>
        <v/>
      </c>
      <c r="B345" s="240"/>
      <c r="C345" s="240"/>
      <c r="D345" s="240"/>
      <c r="E345" s="240"/>
      <c r="F345" s="240"/>
      <c r="G345" s="240"/>
      <c r="H345" s="240"/>
      <c r="I345" s="240"/>
      <c r="J345" s="240"/>
      <c r="K345" s="241"/>
      <c r="L345" s="241"/>
      <c r="M345" s="241"/>
      <c r="N345" s="240"/>
      <c r="O345" s="240"/>
      <c r="P345" s="126">
        <f t="shared" si="50"/>
        <v>0</v>
      </c>
      <c r="Q345" s="126"/>
      <c r="R345" s="127">
        <f t="shared" si="47"/>
        <v>0</v>
      </c>
      <c r="T345" s="128">
        <f t="shared" si="49"/>
        <v>0</v>
      </c>
      <c r="U345" s="129" t="str">
        <f>IFERROR(VLOOKUP($S345,References!$B$3:$C$7,2,FALSE),"")</f>
        <v/>
      </c>
      <c r="V345" s="129" t="str">
        <f t="shared" si="48"/>
        <v/>
      </c>
      <c r="W345" s="74" t="str">
        <f>IFERROR(VLOOKUP($O345,'Customer List'!$A$1:$J$488,10,FALSE),"")</f>
        <v/>
      </c>
    </row>
    <row r="346" spans="1:23">
      <c r="A346" s="125" t="str">
        <f t="shared" si="45"/>
        <v/>
      </c>
      <c r="B346" s="240"/>
      <c r="C346" s="240"/>
      <c r="D346" s="240"/>
      <c r="E346" s="240"/>
      <c r="F346" s="240"/>
      <c r="G346" s="240"/>
      <c r="H346" s="240"/>
      <c r="I346" s="240"/>
      <c r="J346" s="240"/>
      <c r="K346" s="241"/>
      <c r="L346" s="241"/>
      <c r="M346" s="241"/>
      <c r="N346" s="240"/>
      <c r="O346" s="240"/>
      <c r="P346" s="126">
        <f t="shared" si="50"/>
        <v>0</v>
      </c>
      <c r="Q346" s="126"/>
      <c r="R346" s="127">
        <f t="shared" si="47"/>
        <v>0</v>
      </c>
      <c r="T346" s="128">
        <f t="shared" si="49"/>
        <v>0</v>
      </c>
      <c r="U346" s="129" t="str">
        <f>IFERROR(VLOOKUP($S346,References!$B$3:$C$7,2,FALSE),"")</f>
        <v/>
      </c>
      <c r="V346" s="129" t="str">
        <f t="shared" si="48"/>
        <v/>
      </c>
      <c r="W346" s="74" t="str">
        <f>IFERROR(VLOOKUP($O346,'Customer List'!$A$1:$J$488,10,FALSE),"")</f>
        <v/>
      </c>
    </row>
    <row r="347" spans="1:23">
      <c r="A347" s="125" t="str">
        <f t="shared" si="45"/>
        <v/>
      </c>
      <c r="B347" s="240"/>
      <c r="C347" s="240"/>
      <c r="D347" s="240"/>
      <c r="E347" s="240"/>
      <c r="F347" s="240"/>
      <c r="G347" s="240"/>
      <c r="H347" s="240"/>
      <c r="I347" s="240"/>
      <c r="J347" s="240"/>
      <c r="K347" s="241"/>
      <c r="L347" s="241"/>
      <c r="M347" s="241"/>
      <c r="N347" s="240"/>
      <c r="O347" s="240"/>
      <c r="P347" s="126">
        <f t="shared" si="50"/>
        <v>0</v>
      </c>
      <c r="Q347" s="126"/>
      <c r="R347" s="127">
        <f t="shared" si="47"/>
        <v>0</v>
      </c>
      <c r="T347" s="128">
        <f t="shared" si="49"/>
        <v>0</v>
      </c>
      <c r="U347" s="129" t="str">
        <f>IFERROR(VLOOKUP($S347,References!$B$3:$C$7,2,FALSE),"")</f>
        <v/>
      </c>
      <c r="V347" s="129" t="str">
        <f t="shared" ref="V347:V393" si="51">IF(T347&gt;=8,400,(IFERROR(T347*U347,"")))</f>
        <v/>
      </c>
      <c r="W347" s="74" t="str">
        <f>IFERROR(VLOOKUP($O347,'Customer List'!$A$1:$J$488,10,FALSE),"")</f>
        <v/>
      </c>
    </row>
    <row r="348" spans="1:23">
      <c r="A348" s="125" t="str">
        <f t="shared" si="45"/>
        <v/>
      </c>
      <c r="B348" s="240"/>
      <c r="C348" s="240"/>
      <c r="D348" s="240"/>
      <c r="E348" s="240"/>
      <c r="F348" s="240"/>
      <c r="G348" s="240"/>
      <c r="H348" s="240"/>
      <c r="I348" s="240"/>
      <c r="J348" s="240"/>
      <c r="K348" s="241"/>
      <c r="L348" s="241"/>
      <c r="M348" s="241"/>
      <c r="N348" s="240"/>
      <c r="O348" s="240"/>
      <c r="P348" s="126">
        <f t="shared" si="50"/>
        <v>0</v>
      </c>
      <c r="Q348" s="126"/>
      <c r="R348" s="127">
        <f t="shared" si="47"/>
        <v>0</v>
      </c>
      <c r="T348" s="128">
        <f t="shared" si="49"/>
        <v>0</v>
      </c>
      <c r="U348" s="129" t="str">
        <f>IFERROR(VLOOKUP($S348,References!$B$3:$C$7,2,FALSE),"")</f>
        <v/>
      </c>
      <c r="V348" s="129" t="str">
        <f t="shared" si="51"/>
        <v/>
      </c>
      <c r="W348" s="74" t="str">
        <f>IFERROR(VLOOKUP($O348,'Customer List'!$A$1:$J$488,10,FALSE),"")</f>
        <v/>
      </c>
    </row>
    <row r="349" spans="1:23">
      <c r="A349" s="125" t="str">
        <f t="shared" si="45"/>
        <v/>
      </c>
      <c r="B349" s="240"/>
      <c r="C349" s="240"/>
      <c r="D349" s="240"/>
      <c r="E349" s="240"/>
      <c r="F349" s="240"/>
      <c r="G349" s="240"/>
      <c r="H349" s="240"/>
      <c r="I349" s="240"/>
      <c r="J349" s="240"/>
      <c r="K349" s="241"/>
      <c r="L349" s="241"/>
      <c r="M349" s="241"/>
      <c r="N349" s="240"/>
      <c r="O349" s="240"/>
      <c r="P349" s="126">
        <f t="shared" si="50"/>
        <v>0</v>
      </c>
      <c r="Q349" s="126"/>
      <c r="R349" s="127">
        <f t="shared" si="47"/>
        <v>0</v>
      </c>
      <c r="T349" s="128">
        <f t="shared" si="49"/>
        <v>0</v>
      </c>
      <c r="U349" s="129" t="str">
        <f>IFERROR(VLOOKUP($S349,References!$B$3:$C$7,2,FALSE),"")</f>
        <v/>
      </c>
      <c r="V349" s="129" t="str">
        <f t="shared" si="51"/>
        <v/>
      </c>
      <c r="W349" s="74" t="str">
        <f>IFERROR(VLOOKUP($O349,'Customer List'!$A$1:$J$488,10,FALSE),"")</f>
        <v/>
      </c>
    </row>
    <row r="350" spans="1:23">
      <c r="A350" s="125" t="str">
        <f t="shared" si="45"/>
        <v/>
      </c>
      <c r="B350" s="240"/>
      <c r="C350" s="240"/>
      <c r="D350" s="240"/>
      <c r="E350" s="240"/>
      <c r="F350" s="240"/>
      <c r="G350" s="240"/>
      <c r="H350" s="240"/>
      <c r="I350" s="240"/>
      <c r="J350" s="240"/>
      <c r="K350" s="241"/>
      <c r="L350" s="241"/>
      <c r="M350" s="241"/>
      <c r="N350" s="240"/>
      <c r="O350" s="240"/>
      <c r="P350" s="126">
        <f t="shared" si="50"/>
        <v>0</v>
      </c>
      <c r="Q350" s="126"/>
      <c r="R350" s="127">
        <f t="shared" si="47"/>
        <v>0</v>
      </c>
      <c r="T350" s="128">
        <f t="shared" si="49"/>
        <v>0</v>
      </c>
      <c r="U350" s="129" t="str">
        <f>IFERROR(VLOOKUP($S350,References!$B$3:$C$7,2,FALSE),"")</f>
        <v/>
      </c>
      <c r="V350" s="129" t="str">
        <f t="shared" si="51"/>
        <v/>
      </c>
      <c r="W350" s="74" t="str">
        <f>IFERROR(VLOOKUP($O350,'Customer List'!$A$1:$J$488,10,FALSE),"")</f>
        <v/>
      </c>
    </row>
    <row r="351" spans="1:23">
      <c r="A351" s="125" t="str">
        <f t="shared" si="45"/>
        <v/>
      </c>
      <c r="B351" s="240"/>
      <c r="C351" s="240"/>
      <c r="D351" s="240"/>
      <c r="E351" s="240"/>
      <c r="F351" s="240"/>
      <c r="G351" s="240"/>
      <c r="H351" s="240"/>
      <c r="I351" s="240"/>
      <c r="J351" s="240"/>
      <c r="K351" s="241"/>
      <c r="L351" s="241"/>
      <c r="M351" s="241"/>
      <c r="N351" s="240"/>
      <c r="O351" s="240"/>
      <c r="P351" s="126">
        <f t="shared" si="50"/>
        <v>0</v>
      </c>
      <c r="Q351" s="126"/>
      <c r="R351" s="127">
        <f t="shared" si="47"/>
        <v>0</v>
      </c>
      <c r="T351" s="128">
        <f t="shared" si="49"/>
        <v>0</v>
      </c>
      <c r="U351" s="129" t="str">
        <f>IFERROR(VLOOKUP($S351,References!$B$3:$C$7,2,FALSE),"")</f>
        <v/>
      </c>
      <c r="V351" s="129" t="str">
        <f t="shared" si="51"/>
        <v/>
      </c>
      <c r="W351" s="74" t="str">
        <f>IFERROR(VLOOKUP($O351,'Customer List'!$A$1:$J$488,10,FALSE),"")</f>
        <v/>
      </c>
    </row>
    <row r="352" spans="1:23">
      <c r="A352" s="125" t="str">
        <f t="shared" si="45"/>
        <v/>
      </c>
      <c r="B352" s="240"/>
      <c r="C352" s="240"/>
      <c r="D352" s="240"/>
      <c r="E352" s="240"/>
      <c r="F352" s="240"/>
      <c r="G352" s="240"/>
      <c r="H352" s="240"/>
      <c r="I352" s="240"/>
      <c r="J352" s="240"/>
      <c r="K352" s="241"/>
      <c r="L352" s="241"/>
      <c r="M352" s="241"/>
      <c r="N352" s="240"/>
      <c r="O352" s="240"/>
      <c r="P352" s="126">
        <f t="shared" si="50"/>
        <v>0</v>
      </c>
      <c r="Q352" s="126"/>
      <c r="R352" s="127">
        <f t="shared" si="47"/>
        <v>0</v>
      </c>
      <c r="T352" s="128">
        <f t="shared" si="49"/>
        <v>0</v>
      </c>
      <c r="U352" s="129" t="str">
        <f>IFERROR(VLOOKUP($S352,References!$B$3:$C$7,2,FALSE),"")</f>
        <v/>
      </c>
      <c r="V352" s="129" t="str">
        <f t="shared" si="51"/>
        <v/>
      </c>
      <c r="W352" s="74" t="str">
        <f>IFERROR(VLOOKUP($O352,'Customer List'!$A$1:$J$488,10,FALSE),"")</f>
        <v/>
      </c>
    </row>
    <row r="353" spans="1:23">
      <c r="A353" s="125" t="str">
        <f t="shared" si="45"/>
        <v/>
      </c>
      <c r="B353" s="240"/>
      <c r="C353" s="240"/>
      <c r="D353" s="240"/>
      <c r="E353" s="240"/>
      <c r="F353" s="240"/>
      <c r="G353" s="240"/>
      <c r="H353" s="240"/>
      <c r="I353" s="240"/>
      <c r="J353" s="240"/>
      <c r="K353" s="241"/>
      <c r="L353" s="241"/>
      <c r="M353" s="241"/>
      <c r="N353" s="240"/>
      <c r="O353" s="240"/>
      <c r="P353" s="126">
        <f t="shared" si="50"/>
        <v>0</v>
      </c>
      <c r="Q353" s="126"/>
      <c r="R353" s="127">
        <f t="shared" si="47"/>
        <v>0</v>
      </c>
      <c r="T353" s="128">
        <f t="shared" si="49"/>
        <v>0</v>
      </c>
      <c r="U353" s="129" t="str">
        <f>IFERROR(VLOOKUP($S353,References!$B$3:$C$7,2,FALSE),"")</f>
        <v/>
      </c>
      <c r="V353" s="129" t="str">
        <f t="shared" si="51"/>
        <v/>
      </c>
      <c r="W353" s="74" t="str">
        <f>IFERROR(VLOOKUP($O353,'Customer List'!$A$1:$J$488,10,FALSE),"")</f>
        <v/>
      </c>
    </row>
    <row r="354" spans="1:23">
      <c r="A354" s="125" t="str">
        <f t="shared" si="45"/>
        <v/>
      </c>
      <c r="B354" s="240"/>
      <c r="C354" s="240"/>
      <c r="D354" s="240"/>
      <c r="E354" s="240"/>
      <c r="F354" s="240"/>
      <c r="G354" s="240"/>
      <c r="H354" s="240"/>
      <c r="I354" s="244"/>
      <c r="J354" s="240"/>
      <c r="K354" s="241"/>
      <c r="L354" s="241"/>
      <c r="M354" s="241"/>
      <c r="N354" s="240"/>
      <c r="O354" s="240"/>
      <c r="P354" s="126">
        <f t="shared" si="50"/>
        <v>0</v>
      </c>
      <c r="Q354" s="126"/>
      <c r="R354" s="127">
        <f t="shared" si="47"/>
        <v>0</v>
      </c>
      <c r="T354" s="128">
        <f t="shared" si="49"/>
        <v>0</v>
      </c>
      <c r="U354" s="129" t="str">
        <f>IFERROR(VLOOKUP($S354,References!$B$3:$C$7,2,FALSE),"")</f>
        <v/>
      </c>
      <c r="V354" s="129" t="str">
        <f t="shared" si="51"/>
        <v/>
      </c>
      <c r="W354" s="74" t="str">
        <f>IFERROR(VLOOKUP($O354,'Customer List'!$A$1:$J$488,10,FALSE),"")</f>
        <v/>
      </c>
    </row>
    <row r="355" spans="1:23">
      <c r="A355" s="125" t="str">
        <f t="shared" si="45"/>
        <v/>
      </c>
      <c r="B355" s="240"/>
      <c r="C355" s="240"/>
      <c r="D355" s="240"/>
      <c r="E355" s="240"/>
      <c r="F355" s="240"/>
      <c r="G355" s="240"/>
      <c r="H355" s="240"/>
      <c r="I355" s="240"/>
      <c r="J355" s="240"/>
      <c r="K355" s="241"/>
      <c r="L355" s="241"/>
      <c r="M355" s="241"/>
      <c r="N355" s="240"/>
      <c r="O355" s="240"/>
      <c r="P355" s="126">
        <f t="shared" si="50"/>
        <v>0</v>
      </c>
      <c r="Q355" s="126"/>
      <c r="R355" s="127">
        <f t="shared" si="47"/>
        <v>0</v>
      </c>
      <c r="T355" s="128">
        <f t="shared" si="49"/>
        <v>0</v>
      </c>
      <c r="U355" s="129" t="str">
        <f>IFERROR(VLOOKUP($S355,References!$B$3:$C$7,2,FALSE),"")</f>
        <v/>
      </c>
      <c r="V355" s="129" t="str">
        <f t="shared" si="51"/>
        <v/>
      </c>
      <c r="W355" s="74" t="str">
        <f>IFERROR(VLOOKUP($O355,'Customer List'!$A$1:$J$488,10,FALSE),"")</f>
        <v/>
      </c>
    </row>
    <row r="356" spans="1:23">
      <c r="A356" s="125" t="str">
        <f t="shared" si="45"/>
        <v/>
      </c>
      <c r="B356" s="240"/>
      <c r="C356" s="240"/>
      <c r="D356" s="240"/>
      <c r="E356" s="240"/>
      <c r="F356" s="240"/>
      <c r="G356" s="240"/>
      <c r="H356" s="240"/>
      <c r="I356" s="240"/>
      <c r="J356" s="240"/>
      <c r="K356" s="241"/>
      <c r="L356" s="241"/>
      <c r="M356" s="241"/>
      <c r="N356" s="240"/>
      <c r="O356" s="240"/>
      <c r="P356" s="126">
        <f t="shared" si="50"/>
        <v>0</v>
      </c>
      <c r="Q356" s="126"/>
      <c r="R356" s="127">
        <f t="shared" si="47"/>
        <v>0</v>
      </c>
      <c r="T356" s="128">
        <f t="shared" si="49"/>
        <v>0</v>
      </c>
      <c r="U356" s="129" t="str">
        <f>IFERROR(VLOOKUP($S356,References!$B$3:$C$7,2,FALSE),"")</f>
        <v/>
      </c>
      <c r="V356" s="129" t="str">
        <f t="shared" si="51"/>
        <v/>
      </c>
      <c r="W356" s="74" t="str">
        <f>IFERROR(VLOOKUP($O356,'Customer List'!$A$1:$J$488,10,FALSE),"")</f>
        <v/>
      </c>
    </row>
    <row r="357" spans="1:23">
      <c r="A357" s="125" t="str">
        <f t="shared" si="45"/>
        <v/>
      </c>
      <c r="B357" s="240"/>
      <c r="C357" s="240"/>
      <c r="D357" s="240"/>
      <c r="E357" s="240"/>
      <c r="F357" s="240"/>
      <c r="G357" s="240"/>
      <c r="H357" s="240"/>
      <c r="I357" s="240"/>
      <c r="J357" s="240"/>
      <c r="K357" s="241"/>
      <c r="L357" s="241"/>
      <c r="M357" s="241"/>
      <c r="N357" s="240"/>
      <c r="O357" s="240"/>
      <c r="P357" s="126">
        <f t="shared" si="50"/>
        <v>0</v>
      </c>
      <c r="Q357" s="126"/>
      <c r="R357" s="127">
        <f t="shared" si="47"/>
        <v>0</v>
      </c>
      <c r="T357" s="128">
        <f t="shared" si="49"/>
        <v>0</v>
      </c>
      <c r="U357" s="129" t="str">
        <f>IFERROR(VLOOKUP($S357,References!$B$3:$C$7,2,FALSE),"")</f>
        <v/>
      </c>
      <c r="V357" s="129" t="str">
        <f t="shared" si="51"/>
        <v/>
      </c>
      <c r="W357" s="74" t="str">
        <f>IFERROR(VLOOKUP($O357,'Customer List'!$A$1:$J$488,10,FALSE),"")</f>
        <v/>
      </c>
    </row>
    <row r="358" spans="1:23">
      <c r="A358" s="125" t="str">
        <f t="shared" si="45"/>
        <v/>
      </c>
      <c r="B358" s="240"/>
      <c r="C358" s="240"/>
      <c r="D358" s="240"/>
      <c r="E358" s="240"/>
      <c r="F358" s="240"/>
      <c r="G358" s="240"/>
      <c r="H358" s="240"/>
      <c r="I358" s="240"/>
      <c r="J358" s="240"/>
      <c r="K358" s="241"/>
      <c r="L358" s="241"/>
      <c r="M358" s="241"/>
      <c r="N358" s="240"/>
      <c r="O358" s="240"/>
      <c r="P358" s="126">
        <f t="shared" si="50"/>
        <v>0</v>
      </c>
      <c r="Q358" s="126"/>
      <c r="R358" s="127">
        <f t="shared" si="47"/>
        <v>0</v>
      </c>
      <c r="T358" s="128">
        <f t="shared" si="49"/>
        <v>0</v>
      </c>
      <c r="U358" s="129" t="str">
        <f>IFERROR(VLOOKUP($S358,References!$B$3:$C$7,2,FALSE),"")</f>
        <v/>
      </c>
      <c r="V358" s="129" t="str">
        <f t="shared" si="51"/>
        <v/>
      </c>
      <c r="W358" s="74" t="str">
        <f>IFERROR(VLOOKUP($O358,'Customer List'!$A$1:$J$488,10,FALSE),"")</f>
        <v/>
      </c>
    </row>
    <row r="359" spans="1:23">
      <c r="A359" s="125" t="str">
        <f t="shared" si="45"/>
        <v/>
      </c>
      <c r="B359" s="240"/>
      <c r="C359" s="240"/>
      <c r="D359" s="240"/>
      <c r="E359" s="240"/>
      <c r="F359" s="240"/>
      <c r="G359" s="240"/>
      <c r="H359" s="240"/>
      <c r="I359" s="240"/>
      <c r="J359" s="240"/>
      <c r="K359" s="241"/>
      <c r="L359" s="241"/>
      <c r="M359" s="241"/>
      <c r="N359" s="240"/>
      <c r="O359" s="240"/>
      <c r="P359" s="126">
        <f t="shared" si="50"/>
        <v>0</v>
      </c>
      <c r="Q359" s="126"/>
      <c r="R359" s="127">
        <f t="shared" si="47"/>
        <v>0</v>
      </c>
      <c r="T359" s="128">
        <f t="shared" si="49"/>
        <v>0</v>
      </c>
      <c r="U359" s="129" t="str">
        <f>IFERROR(VLOOKUP($S359,References!$B$3:$C$7,2,FALSE),"")</f>
        <v/>
      </c>
      <c r="V359" s="129" t="str">
        <f t="shared" si="51"/>
        <v/>
      </c>
      <c r="W359" s="74" t="str">
        <f>IFERROR(VLOOKUP($O359,'Customer List'!$A$1:$J$488,10,FALSE),"")</f>
        <v/>
      </c>
    </row>
    <row r="360" spans="1:23">
      <c r="A360" s="125" t="str">
        <f t="shared" si="45"/>
        <v/>
      </c>
      <c r="B360" s="240"/>
      <c r="C360" s="240"/>
      <c r="D360" s="240"/>
      <c r="E360" s="240"/>
      <c r="F360" s="240"/>
      <c r="G360" s="240"/>
      <c r="H360" s="240"/>
      <c r="I360" s="240"/>
      <c r="J360" s="240"/>
      <c r="K360" s="241"/>
      <c r="L360" s="241"/>
      <c r="M360" s="241"/>
      <c r="N360" s="240"/>
      <c r="O360" s="240"/>
      <c r="P360" s="126">
        <f t="shared" si="50"/>
        <v>0</v>
      </c>
      <c r="Q360" s="126"/>
      <c r="R360" s="127">
        <f t="shared" si="47"/>
        <v>0</v>
      </c>
      <c r="T360" s="128">
        <f t="shared" si="49"/>
        <v>0</v>
      </c>
      <c r="U360" s="129" t="str">
        <f>IFERROR(VLOOKUP($S360,References!$B$3:$C$7,2,FALSE),"")</f>
        <v/>
      </c>
      <c r="V360" s="129" t="str">
        <f t="shared" si="51"/>
        <v/>
      </c>
      <c r="W360" s="74" t="str">
        <f>IFERROR(VLOOKUP($O360,'Customer List'!$A$1:$J$488,10,FALSE),"")</f>
        <v/>
      </c>
    </row>
    <row r="361" spans="1:23">
      <c r="A361" s="125" t="str">
        <f t="shared" si="45"/>
        <v/>
      </c>
      <c r="B361" s="240"/>
      <c r="C361" s="240"/>
      <c r="D361" s="240"/>
      <c r="E361" s="240"/>
      <c r="F361" s="240"/>
      <c r="G361" s="240"/>
      <c r="H361" s="240"/>
      <c r="I361" s="240"/>
      <c r="J361" s="240"/>
      <c r="K361" s="241"/>
      <c r="L361" s="241"/>
      <c r="M361" s="241"/>
      <c r="N361" s="240"/>
      <c r="O361" s="240"/>
      <c r="P361" s="126">
        <f t="shared" si="50"/>
        <v>0</v>
      </c>
      <c r="Q361" s="126"/>
      <c r="R361" s="127">
        <f t="shared" si="47"/>
        <v>0</v>
      </c>
      <c r="T361" s="128">
        <f t="shared" si="49"/>
        <v>0</v>
      </c>
      <c r="U361" s="129" t="str">
        <f>IFERROR(VLOOKUP($S361,References!$B$3:$C$7,2,FALSE),"")</f>
        <v/>
      </c>
      <c r="V361" s="129" t="str">
        <f t="shared" si="51"/>
        <v/>
      </c>
      <c r="W361" s="74" t="str">
        <f>IFERROR(VLOOKUP($O361,'Customer List'!$A$1:$J$488,10,FALSE),"")</f>
        <v/>
      </c>
    </row>
    <row r="362" spans="1:23">
      <c r="A362" s="125" t="str">
        <f t="shared" si="45"/>
        <v/>
      </c>
      <c r="B362" s="240"/>
      <c r="C362" s="240"/>
      <c r="D362" s="240"/>
      <c r="E362" s="240"/>
      <c r="F362" s="240"/>
      <c r="G362" s="240"/>
      <c r="H362" s="240"/>
      <c r="I362" s="240"/>
      <c r="J362" s="240"/>
      <c r="K362" s="241"/>
      <c r="L362" s="241"/>
      <c r="M362" s="241"/>
      <c r="N362" s="240"/>
      <c r="O362" s="240"/>
      <c r="P362" s="126">
        <f t="shared" si="50"/>
        <v>0</v>
      </c>
      <c r="Q362" s="126"/>
      <c r="R362" s="127">
        <f t="shared" si="47"/>
        <v>0</v>
      </c>
      <c r="T362" s="128">
        <f t="shared" si="49"/>
        <v>0</v>
      </c>
      <c r="U362" s="129" t="str">
        <f>IFERROR(VLOOKUP($S362,References!$B$3:$C$7,2,FALSE),"")</f>
        <v/>
      </c>
      <c r="V362" s="129" t="str">
        <f t="shared" si="51"/>
        <v/>
      </c>
      <c r="W362" s="74" t="str">
        <f>IFERROR(VLOOKUP($O362,'Customer List'!$A$1:$J$488,10,FALSE),"")</f>
        <v/>
      </c>
    </row>
    <row r="363" spans="1:23">
      <c r="A363" s="125" t="str">
        <f t="shared" si="45"/>
        <v/>
      </c>
      <c r="B363" s="240"/>
      <c r="C363" s="240"/>
      <c r="D363" s="240"/>
      <c r="E363" s="240"/>
      <c r="F363" s="240"/>
      <c r="G363" s="240"/>
      <c r="H363" s="240"/>
      <c r="I363" s="240"/>
      <c r="J363" s="240"/>
      <c r="K363" s="241"/>
      <c r="L363" s="241"/>
      <c r="M363" s="241"/>
      <c r="N363" s="240"/>
      <c r="O363" s="240"/>
      <c r="P363" s="126">
        <f t="shared" si="50"/>
        <v>0</v>
      </c>
      <c r="Q363" s="126"/>
      <c r="R363" s="127">
        <f t="shared" si="47"/>
        <v>0</v>
      </c>
      <c r="T363" s="128">
        <f t="shared" si="49"/>
        <v>0</v>
      </c>
      <c r="U363" s="129" t="str">
        <f>IFERROR(VLOOKUP($S363,References!$B$3:$C$7,2,FALSE),"")</f>
        <v/>
      </c>
      <c r="V363" s="129" t="str">
        <f t="shared" si="51"/>
        <v/>
      </c>
      <c r="W363" s="74" t="str">
        <f>IFERROR(VLOOKUP($O363,'Customer List'!$A$1:$J$488,10,FALSE),"")</f>
        <v/>
      </c>
    </row>
    <row r="364" spans="1:23">
      <c r="A364" s="125" t="str">
        <f t="shared" si="45"/>
        <v/>
      </c>
      <c r="B364" s="240"/>
      <c r="C364" s="240"/>
      <c r="D364" s="240"/>
      <c r="E364" s="240"/>
      <c r="F364" s="240"/>
      <c r="G364" s="240"/>
      <c r="H364" s="240"/>
      <c r="I364" s="240"/>
      <c r="J364" s="240"/>
      <c r="K364" s="241"/>
      <c r="L364" s="241"/>
      <c r="M364" s="241"/>
      <c r="N364" s="240"/>
      <c r="O364" s="240"/>
      <c r="P364" s="126">
        <f t="shared" si="50"/>
        <v>0</v>
      </c>
      <c r="Q364" s="126"/>
      <c r="R364" s="127">
        <f t="shared" si="47"/>
        <v>0</v>
      </c>
      <c r="T364" s="128">
        <f t="shared" si="49"/>
        <v>0</v>
      </c>
      <c r="U364" s="129" t="str">
        <f>IFERROR(VLOOKUP($S364,References!$B$3:$C$7,2,FALSE),"")</f>
        <v/>
      </c>
      <c r="V364" s="129" t="str">
        <f t="shared" si="51"/>
        <v/>
      </c>
      <c r="W364" s="74" t="str">
        <f>IFERROR(VLOOKUP($O364,'Customer List'!$A$1:$J$488,10,FALSE),"")</f>
        <v/>
      </c>
    </row>
    <row r="365" spans="1:23">
      <c r="A365" s="125" t="str">
        <f t="shared" si="45"/>
        <v/>
      </c>
      <c r="B365" s="240"/>
      <c r="C365" s="240"/>
      <c r="D365" s="240"/>
      <c r="E365" s="240"/>
      <c r="F365" s="240"/>
      <c r="G365" s="240"/>
      <c r="H365" s="240"/>
      <c r="I365" s="240"/>
      <c r="J365" s="240"/>
      <c r="K365" s="241"/>
      <c r="L365" s="241"/>
      <c r="M365" s="241"/>
      <c r="N365" s="240"/>
      <c r="O365" s="240"/>
      <c r="P365" s="126">
        <f t="shared" si="50"/>
        <v>0</v>
      </c>
      <c r="Q365" s="126"/>
      <c r="R365" s="127">
        <f t="shared" si="47"/>
        <v>0</v>
      </c>
      <c r="T365" s="128">
        <f t="shared" si="49"/>
        <v>0</v>
      </c>
      <c r="U365" s="129" t="str">
        <f>IFERROR(VLOOKUP($S365,References!$B$3:$C$7,2,FALSE),"")</f>
        <v/>
      </c>
      <c r="V365" s="129" t="str">
        <f t="shared" si="51"/>
        <v/>
      </c>
      <c r="W365" s="74" t="str">
        <f>IFERROR(VLOOKUP($O365,'Customer List'!$A$1:$J$488,10,FALSE),"")</f>
        <v/>
      </c>
    </row>
    <row r="366" spans="1:23">
      <c r="A366" s="125" t="str">
        <f t="shared" si="45"/>
        <v/>
      </c>
      <c r="B366" s="240"/>
      <c r="C366" s="240"/>
      <c r="D366" s="240"/>
      <c r="E366" s="240"/>
      <c r="F366" s="240"/>
      <c r="G366" s="240"/>
      <c r="H366" s="240"/>
      <c r="I366" s="240"/>
      <c r="J366" s="240"/>
      <c r="K366" s="241"/>
      <c r="L366" s="241"/>
      <c r="M366" s="241"/>
      <c r="N366" s="240"/>
      <c r="O366" s="240"/>
      <c r="P366" s="126">
        <f t="shared" si="50"/>
        <v>0</v>
      </c>
      <c r="Q366" s="126"/>
      <c r="R366" s="127">
        <f t="shared" si="47"/>
        <v>0</v>
      </c>
      <c r="T366" s="128">
        <f t="shared" si="49"/>
        <v>0</v>
      </c>
      <c r="U366" s="129" t="str">
        <f>IFERROR(VLOOKUP($S366,References!$B$3:$C$7,2,FALSE),"")</f>
        <v/>
      </c>
      <c r="V366" s="129" t="str">
        <f t="shared" si="51"/>
        <v/>
      </c>
      <c r="W366" s="74" t="str">
        <f>IFERROR(VLOOKUP($O366,'Customer List'!$A$1:$J$488,10,FALSE),"")</f>
        <v/>
      </c>
    </row>
    <row r="367" spans="1:23">
      <c r="A367" s="125" t="str">
        <f t="shared" si="45"/>
        <v/>
      </c>
      <c r="B367" s="240"/>
      <c r="C367" s="240"/>
      <c r="D367" s="240"/>
      <c r="E367" s="240"/>
      <c r="F367" s="240"/>
      <c r="G367" s="240"/>
      <c r="H367" s="240"/>
      <c r="I367" s="240"/>
      <c r="J367" s="240"/>
      <c r="K367" s="241"/>
      <c r="L367" s="241"/>
      <c r="M367" s="241"/>
      <c r="N367" s="240"/>
      <c r="O367" s="240"/>
      <c r="P367" s="126">
        <f t="shared" si="50"/>
        <v>0</v>
      </c>
      <c r="Q367" s="126"/>
      <c r="R367" s="127">
        <f t="shared" si="47"/>
        <v>0</v>
      </c>
      <c r="T367" s="128">
        <f t="shared" si="49"/>
        <v>0</v>
      </c>
      <c r="U367" s="129" t="str">
        <f>IFERROR(VLOOKUP($S367,References!$B$3:$C$7,2,FALSE),"")</f>
        <v/>
      </c>
      <c r="V367" s="129" t="str">
        <f t="shared" si="51"/>
        <v/>
      </c>
      <c r="W367" s="74" t="str">
        <f>IFERROR(VLOOKUP($O367,'Customer List'!$A$1:$J$488,10,FALSE),"")</f>
        <v/>
      </c>
    </row>
    <row r="368" spans="1:23">
      <c r="A368" s="125" t="str">
        <f t="shared" si="45"/>
        <v/>
      </c>
      <c r="B368" s="240"/>
      <c r="C368" s="240"/>
      <c r="D368" s="240"/>
      <c r="E368" s="240"/>
      <c r="F368" s="240"/>
      <c r="G368" s="240"/>
      <c r="H368" s="240"/>
      <c r="I368" s="240"/>
      <c r="J368" s="240"/>
      <c r="K368" s="241"/>
      <c r="L368" s="241"/>
      <c r="M368" s="241"/>
      <c r="N368" s="240"/>
      <c r="O368" s="240"/>
      <c r="P368" s="126">
        <f t="shared" si="50"/>
        <v>0</v>
      </c>
      <c r="Q368" s="126"/>
      <c r="R368" s="127">
        <f t="shared" si="47"/>
        <v>0</v>
      </c>
      <c r="T368" s="128">
        <f t="shared" si="49"/>
        <v>0</v>
      </c>
      <c r="U368" s="129" t="str">
        <f>IFERROR(VLOOKUP($S368,References!$B$3:$C$7,2,FALSE),"")</f>
        <v/>
      </c>
      <c r="V368" s="129" t="str">
        <f t="shared" si="51"/>
        <v/>
      </c>
      <c r="W368" s="74" t="str">
        <f>IFERROR(VLOOKUP($O368,'Customer List'!$A$1:$J$488,10,FALSE),"")</f>
        <v/>
      </c>
    </row>
    <row r="369" spans="1:23">
      <c r="A369" s="125" t="str">
        <f t="shared" si="45"/>
        <v/>
      </c>
      <c r="B369" s="240"/>
      <c r="C369" s="240"/>
      <c r="D369" s="240"/>
      <c r="E369" s="240"/>
      <c r="F369" s="240"/>
      <c r="G369" s="240"/>
      <c r="H369" s="240"/>
      <c r="I369" s="240"/>
      <c r="J369" s="240"/>
      <c r="K369" s="241"/>
      <c r="L369" s="241"/>
      <c r="M369" s="241"/>
      <c r="N369" s="240"/>
      <c r="O369" s="240"/>
      <c r="P369" s="126">
        <f t="shared" si="50"/>
        <v>0</v>
      </c>
      <c r="Q369" s="126"/>
      <c r="R369" s="127">
        <f t="shared" si="47"/>
        <v>0</v>
      </c>
      <c r="T369" s="128">
        <f t="shared" si="49"/>
        <v>0</v>
      </c>
      <c r="U369" s="129" t="str">
        <f>IFERROR(VLOOKUP($S369,References!$B$3:$C$7,2,FALSE),"")</f>
        <v/>
      </c>
      <c r="V369" s="129" t="str">
        <f t="shared" si="51"/>
        <v/>
      </c>
      <c r="W369" s="74" t="str">
        <f>IFERROR(VLOOKUP($O369,'Customer List'!$A$1:$J$488,10,FALSE),"")</f>
        <v/>
      </c>
    </row>
    <row r="370" spans="1:23">
      <c r="A370" s="125" t="str">
        <f t="shared" si="45"/>
        <v/>
      </c>
      <c r="B370" s="240"/>
      <c r="C370" s="240"/>
      <c r="D370" s="240"/>
      <c r="E370" s="240"/>
      <c r="F370" s="240"/>
      <c r="G370" s="240"/>
      <c r="H370" s="240"/>
      <c r="I370" s="240"/>
      <c r="J370" s="240"/>
      <c r="K370" s="241"/>
      <c r="L370" s="241"/>
      <c r="M370" s="241"/>
      <c r="N370" s="240"/>
      <c r="O370" s="240"/>
      <c r="P370" s="126">
        <f t="shared" si="50"/>
        <v>0</v>
      </c>
      <c r="Q370" s="126"/>
      <c r="R370" s="127">
        <f t="shared" si="47"/>
        <v>0</v>
      </c>
      <c r="T370" s="128">
        <f t="shared" si="49"/>
        <v>0</v>
      </c>
      <c r="U370" s="129" t="str">
        <f>IFERROR(VLOOKUP($S370,References!$B$3:$C$7,2,FALSE),"")</f>
        <v/>
      </c>
      <c r="V370" s="129" t="str">
        <f t="shared" si="51"/>
        <v/>
      </c>
      <c r="W370" s="74" t="str">
        <f>IFERROR(VLOOKUP($O370,'Customer List'!$A$1:$J$488,10,FALSE),"")</f>
        <v/>
      </c>
    </row>
    <row r="371" spans="1:23">
      <c r="A371" s="125" t="str">
        <f t="shared" si="45"/>
        <v/>
      </c>
      <c r="B371" s="240"/>
      <c r="C371" s="240"/>
      <c r="D371" s="240"/>
      <c r="E371" s="240"/>
      <c r="F371" s="240"/>
      <c r="G371" s="240"/>
      <c r="H371" s="240"/>
      <c r="I371" s="240"/>
      <c r="J371" s="240"/>
      <c r="K371" s="241"/>
      <c r="L371" s="241"/>
      <c r="M371" s="241"/>
      <c r="N371" s="240"/>
      <c r="O371" s="240"/>
      <c r="P371" s="126">
        <f t="shared" si="50"/>
        <v>0</v>
      </c>
      <c r="Q371" s="126"/>
      <c r="R371" s="127">
        <f t="shared" si="47"/>
        <v>0</v>
      </c>
      <c r="T371" s="128">
        <f t="shared" si="49"/>
        <v>0</v>
      </c>
      <c r="U371" s="129" t="str">
        <f>IFERROR(VLOOKUP($S371,References!$B$3:$C$7,2,FALSE),"")</f>
        <v/>
      </c>
      <c r="V371" s="129" t="str">
        <f t="shared" si="51"/>
        <v/>
      </c>
      <c r="W371" s="74" t="str">
        <f>IFERROR(VLOOKUP($O371,'Customer List'!$A$1:$J$488,10,FALSE),"")</f>
        <v/>
      </c>
    </row>
    <row r="372" spans="1:23">
      <c r="A372" s="125" t="str">
        <f t="shared" si="45"/>
        <v/>
      </c>
      <c r="B372" s="240"/>
      <c r="C372" s="240"/>
      <c r="D372" s="240"/>
      <c r="E372" s="240"/>
      <c r="F372" s="240"/>
      <c r="G372" s="240"/>
      <c r="H372" s="240"/>
      <c r="I372" s="240"/>
      <c r="J372" s="240"/>
      <c r="K372" s="241"/>
      <c r="L372" s="241"/>
      <c r="M372" s="241"/>
      <c r="N372" s="240"/>
      <c r="O372" s="240"/>
      <c r="P372" s="126">
        <f t="shared" si="50"/>
        <v>0</v>
      </c>
      <c r="Q372" s="126"/>
      <c r="R372" s="127">
        <f t="shared" si="47"/>
        <v>0</v>
      </c>
      <c r="T372" s="128">
        <f t="shared" si="49"/>
        <v>0</v>
      </c>
      <c r="U372" s="129" t="str">
        <f>IFERROR(VLOOKUP($S372,References!$B$3:$C$7,2,FALSE),"")</f>
        <v/>
      </c>
      <c r="V372" s="129" t="str">
        <f t="shared" si="51"/>
        <v/>
      </c>
      <c r="W372" s="74" t="str">
        <f>IFERROR(VLOOKUP($O372,'Customer List'!$A$1:$J$488,10,FALSE),"")</f>
        <v/>
      </c>
    </row>
    <row r="373" spans="1:23">
      <c r="A373" s="125" t="str">
        <f t="shared" si="45"/>
        <v/>
      </c>
      <c r="B373" s="240"/>
      <c r="C373" s="240"/>
      <c r="D373" s="240"/>
      <c r="E373" s="240"/>
      <c r="F373" s="240"/>
      <c r="G373" s="240"/>
      <c r="H373" s="240"/>
      <c r="I373" s="240"/>
      <c r="J373" s="240"/>
      <c r="K373" s="241"/>
      <c r="L373" s="241"/>
      <c r="M373" s="241"/>
      <c r="N373" s="240"/>
      <c r="O373" s="240"/>
      <c r="P373" s="126">
        <f t="shared" si="50"/>
        <v>0</v>
      </c>
      <c r="Q373" s="133"/>
      <c r="R373" s="127">
        <f t="shared" si="47"/>
        <v>0</v>
      </c>
      <c r="T373" s="128">
        <f t="shared" si="49"/>
        <v>0</v>
      </c>
      <c r="U373" s="129" t="str">
        <f>IFERROR(VLOOKUP($S373,References!$B$3:$C$7,2,FALSE),"")</f>
        <v/>
      </c>
      <c r="V373" s="129" t="str">
        <f t="shared" si="51"/>
        <v/>
      </c>
      <c r="W373" s="74" t="str">
        <f>IFERROR(VLOOKUP($O373,'Customer List'!$A$1:$J$488,10,FALSE),"")</f>
        <v/>
      </c>
    </row>
    <row r="374" spans="1:23">
      <c r="A374" s="125" t="str">
        <f t="shared" si="45"/>
        <v/>
      </c>
      <c r="B374" s="240"/>
      <c r="C374" s="240"/>
      <c r="D374" s="240"/>
      <c r="E374" s="240"/>
      <c r="F374" s="240"/>
      <c r="G374" s="240"/>
      <c r="H374" s="240"/>
      <c r="I374" s="240"/>
      <c r="J374" s="240"/>
      <c r="K374" s="241"/>
      <c r="L374" s="241"/>
      <c r="M374" s="241"/>
      <c r="N374" s="240"/>
      <c r="O374" s="240"/>
      <c r="P374" s="126">
        <f t="shared" si="50"/>
        <v>0</v>
      </c>
      <c r="Q374" s="133"/>
      <c r="R374" s="127">
        <f t="shared" si="47"/>
        <v>0</v>
      </c>
      <c r="T374" s="128">
        <f t="shared" si="49"/>
        <v>0</v>
      </c>
      <c r="U374" s="129" t="str">
        <f>IFERROR(VLOOKUP($S374,References!$B$3:$C$7,2,FALSE),"")</f>
        <v/>
      </c>
      <c r="V374" s="129" t="str">
        <f t="shared" si="51"/>
        <v/>
      </c>
      <c r="W374" s="74" t="str">
        <f>IFERROR(VLOOKUP($O374,'Customer List'!$A$1:$J$488,10,FALSE),"")</f>
        <v/>
      </c>
    </row>
    <row r="375" spans="1:23">
      <c r="A375" s="125" t="str">
        <f t="shared" si="45"/>
        <v/>
      </c>
      <c r="B375" s="240"/>
      <c r="C375" s="240"/>
      <c r="D375" s="240"/>
      <c r="E375" s="240"/>
      <c r="F375" s="240"/>
      <c r="G375" s="240"/>
      <c r="H375" s="240"/>
      <c r="I375" s="240"/>
      <c r="J375" s="240"/>
      <c r="K375" s="241"/>
      <c r="L375" s="241"/>
      <c r="M375" s="241"/>
      <c r="N375" s="240"/>
      <c r="O375" s="240"/>
      <c r="P375" s="126">
        <f t="shared" si="50"/>
        <v>0</v>
      </c>
      <c r="Q375" s="126"/>
      <c r="R375" s="127">
        <f t="shared" si="47"/>
        <v>0</v>
      </c>
      <c r="T375" s="128">
        <f t="shared" si="49"/>
        <v>0</v>
      </c>
      <c r="U375" s="129" t="str">
        <f>IFERROR(VLOOKUP($S375,References!$B$3:$C$7,2,FALSE),"")</f>
        <v/>
      </c>
      <c r="V375" s="129" t="str">
        <f t="shared" si="51"/>
        <v/>
      </c>
      <c r="W375" s="74" t="str">
        <f>IFERROR(VLOOKUP($O375,'Customer List'!$A$1:$J$488,10,FALSE),"")</f>
        <v/>
      </c>
    </row>
    <row r="376" spans="1:23">
      <c r="A376" s="125" t="str">
        <f t="shared" si="45"/>
        <v/>
      </c>
      <c r="B376" s="240"/>
      <c r="C376" s="240"/>
      <c r="D376" s="240"/>
      <c r="E376" s="240"/>
      <c r="F376" s="240"/>
      <c r="G376" s="240"/>
      <c r="H376" s="240"/>
      <c r="I376" s="240"/>
      <c r="J376" s="240"/>
      <c r="K376" s="241"/>
      <c r="L376" s="241"/>
      <c r="M376" s="241"/>
      <c r="N376" s="240"/>
      <c r="O376" s="240"/>
      <c r="P376" s="126">
        <f t="shared" si="50"/>
        <v>0</v>
      </c>
      <c r="Q376" s="126"/>
      <c r="R376" s="127">
        <f t="shared" si="47"/>
        <v>0</v>
      </c>
      <c r="T376" s="128">
        <f t="shared" si="49"/>
        <v>0</v>
      </c>
      <c r="U376" s="129" t="str">
        <f>IFERROR(VLOOKUP($S376,References!$B$3:$C$7,2,FALSE),"")</f>
        <v/>
      </c>
      <c r="V376" s="129" t="str">
        <f t="shared" si="51"/>
        <v/>
      </c>
      <c r="W376" s="74" t="str">
        <f>IFERROR(VLOOKUP($O376,'Customer List'!$A$1:$J$488,10,FALSE),"")</f>
        <v/>
      </c>
    </row>
    <row r="377" spans="1:23">
      <c r="A377" s="125" t="str">
        <f t="shared" si="45"/>
        <v/>
      </c>
      <c r="B377" s="240"/>
      <c r="C377" s="240"/>
      <c r="D377" s="240"/>
      <c r="E377" s="240"/>
      <c r="F377" s="240"/>
      <c r="G377" s="240"/>
      <c r="H377" s="240"/>
      <c r="I377" s="240"/>
      <c r="J377" s="240"/>
      <c r="K377" s="241"/>
      <c r="L377" s="241"/>
      <c r="M377" s="241"/>
      <c r="N377" s="240"/>
      <c r="O377" s="240"/>
      <c r="P377" s="126">
        <f t="shared" si="50"/>
        <v>0</v>
      </c>
      <c r="Q377" s="126"/>
      <c r="R377" s="127">
        <f t="shared" si="47"/>
        <v>0</v>
      </c>
      <c r="T377" s="128">
        <f t="shared" si="49"/>
        <v>0</v>
      </c>
      <c r="U377" s="129" t="str">
        <f>IFERROR(VLOOKUP($S377,References!$B$3:$C$7,2,FALSE),"")</f>
        <v/>
      </c>
      <c r="V377" s="129" t="str">
        <f t="shared" si="51"/>
        <v/>
      </c>
      <c r="W377" s="74" t="str">
        <f>IFERROR(VLOOKUP($O377,'Customer List'!$A$1:$J$488,10,FALSE),"")</f>
        <v/>
      </c>
    </row>
    <row r="378" spans="1:23">
      <c r="A378" s="125" t="str">
        <f t="shared" si="45"/>
        <v/>
      </c>
      <c r="B378" s="240"/>
      <c r="C378" s="240"/>
      <c r="D378" s="240"/>
      <c r="E378" s="240"/>
      <c r="F378" s="240"/>
      <c r="G378" s="240"/>
      <c r="H378" s="240"/>
      <c r="I378" s="240"/>
      <c r="J378" s="240"/>
      <c r="K378" s="241"/>
      <c r="L378" s="241"/>
      <c r="M378" s="241"/>
      <c r="N378" s="240"/>
      <c r="O378" s="240"/>
      <c r="P378" s="126">
        <f t="shared" si="50"/>
        <v>0</v>
      </c>
      <c r="Q378" s="126"/>
      <c r="R378" s="127">
        <f t="shared" si="47"/>
        <v>0</v>
      </c>
      <c r="T378" s="128">
        <f t="shared" si="49"/>
        <v>0</v>
      </c>
      <c r="U378" s="129" t="str">
        <f>IFERROR(VLOOKUP($S378,References!$B$3:$C$7,2,FALSE),"")</f>
        <v/>
      </c>
      <c r="V378" s="129" t="str">
        <f t="shared" si="51"/>
        <v/>
      </c>
      <c r="W378" s="74" t="str">
        <f>IFERROR(VLOOKUP($O378,'Customer List'!$A$1:$J$488,10,FALSE),"")</f>
        <v/>
      </c>
    </row>
    <row r="379" spans="1:23">
      <c r="A379" s="125" t="str">
        <f t="shared" si="45"/>
        <v/>
      </c>
      <c r="B379" s="240"/>
      <c r="C379" s="240"/>
      <c r="D379" s="240"/>
      <c r="E379" s="240"/>
      <c r="F379" s="240"/>
      <c r="G379" s="240"/>
      <c r="H379" s="240"/>
      <c r="I379" s="240"/>
      <c r="J379" s="240"/>
      <c r="K379" s="241"/>
      <c r="L379" s="241"/>
      <c r="M379" s="241"/>
      <c r="N379" s="240"/>
      <c r="O379" s="240"/>
      <c r="P379" s="126">
        <f t="shared" si="50"/>
        <v>0</v>
      </c>
      <c r="Q379" s="126"/>
      <c r="R379" s="127">
        <f t="shared" si="47"/>
        <v>0</v>
      </c>
      <c r="T379" s="128">
        <f t="shared" si="49"/>
        <v>0</v>
      </c>
      <c r="U379" s="129" t="str">
        <f>IFERROR(VLOOKUP($S379,References!$B$3:$C$7,2,FALSE),"")</f>
        <v/>
      </c>
      <c r="V379" s="129" t="str">
        <f t="shared" si="51"/>
        <v/>
      </c>
      <c r="W379" s="74" t="str">
        <f>IFERROR(VLOOKUP($O379,'Customer List'!$A$1:$J$488,10,FALSE),"")</f>
        <v/>
      </c>
    </row>
    <row r="380" spans="1:23">
      <c r="A380" s="125" t="str">
        <f t="shared" si="45"/>
        <v/>
      </c>
      <c r="B380" s="240"/>
      <c r="C380" s="240"/>
      <c r="D380" s="240"/>
      <c r="E380" s="240"/>
      <c r="F380" s="240"/>
      <c r="G380" s="240"/>
      <c r="H380" s="240"/>
      <c r="I380" s="240"/>
      <c r="J380" s="240"/>
      <c r="K380" s="241"/>
      <c r="L380" s="241"/>
      <c r="M380" s="241"/>
      <c r="N380" s="240"/>
      <c r="O380" s="240"/>
      <c r="P380" s="126">
        <f t="shared" si="50"/>
        <v>0</v>
      </c>
      <c r="Q380" s="126"/>
      <c r="R380" s="127">
        <f t="shared" si="47"/>
        <v>0</v>
      </c>
      <c r="T380" s="128">
        <f t="shared" si="49"/>
        <v>0</v>
      </c>
      <c r="U380" s="129" t="str">
        <f>IFERROR(VLOOKUP($S380,References!$B$3:$C$7,2,FALSE),"")</f>
        <v/>
      </c>
      <c r="V380" s="129" t="str">
        <f t="shared" si="51"/>
        <v/>
      </c>
      <c r="W380" s="74" t="str">
        <f>IFERROR(VLOOKUP($O380,'Customer List'!$A$1:$J$488,10,FALSE),"")</f>
        <v/>
      </c>
    </row>
    <row r="381" spans="1:23">
      <c r="A381" s="125" t="str">
        <f t="shared" si="45"/>
        <v/>
      </c>
      <c r="B381" s="240"/>
      <c r="C381" s="240"/>
      <c r="D381" s="240"/>
      <c r="E381" s="240"/>
      <c r="F381" s="240"/>
      <c r="G381" s="240"/>
      <c r="H381" s="240"/>
      <c r="I381" s="240"/>
      <c r="J381" s="240"/>
      <c r="K381" s="241"/>
      <c r="L381" s="241"/>
      <c r="M381" s="241"/>
      <c r="N381" s="240"/>
      <c r="O381" s="240"/>
      <c r="P381" s="126">
        <f t="shared" si="50"/>
        <v>0</v>
      </c>
      <c r="Q381" s="126"/>
      <c r="R381" s="127">
        <f t="shared" si="47"/>
        <v>0</v>
      </c>
      <c r="T381" s="128">
        <f t="shared" si="49"/>
        <v>0</v>
      </c>
      <c r="U381" s="129" t="str">
        <f>IFERROR(VLOOKUP($S381,References!$B$3:$C$7,2,FALSE),"")</f>
        <v/>
      </c>
      <c r="V381" s="129" t="str">
        <f t="shared" si="51"/>
        <v/>
      </c>
      <c r="W381" s="74" t="str">
        <f>IFERROR(VLOOKUP($O381,'Customer List'!$A$1:$J$488,10,FALSE),"")</f>
        <v/>
      </c>
    </row>
    <row r="382" spans="1:23">
      <c r="A382" s="125" t="str">
        <f t="shared" si="45"/>
        <v/>
      </c>
      <c r="B382" s="240"/>
      <c r="C382" s="240"/>
      <c r="D382" s="240"/>
      <c r="E382" s="240"/>
      <c r="F382" s="240"/>
      <c r="G382" s="240"/>
      <c r="H382" s="240"/>
      <c r="I382" s="240"/>
      <c r="J382" s="240"/>
      <c r="K382" s="241"/>
      <c r="L382" s="241"/>
      <c r="M382" s="241"/>
      <c r="N382" s="240"/>
      <c r="O382" s="240"/>
      <c r="P382" s="126">
        <f t="shared" si="50"/>
        <v>0</v>
      </c>
      <c r="Q382" s="126"/>
      <c r="R382" s="127">
        <f t="shared" si="47"/>
        <v>0</v>
      </c>
      <c r="T382" s="128">
        <f t="shared" si="49"/>
        <v>0</v>
      </c>
      <c r="U382" s="129" t="str">
        <f>IFERROR(VLOOKUP($S382,References!$B$3:$C$7,2,FALSE),"")</f>
        <v/>
      </c>
      <c r="V382" s="129" t="str">
        <f t="shared" si="51"/>
        <v/>
      </c>
      <c r="W382" s="74" t="str">
        <f>IFERROR(VLOOKUP($O382,'Customer List'!$A$1:$J$488,10,FALSE),"")</f>
        <v/>
      </c>
    </row>
    <row r="383" spans="1:23">
      <c r="A383" s="125" t="str">
        <f t="shared" si="45"/>
        <v/>
      </c>
      <c r="B383" s="240"/>
      <c r="C383" s="240"/>
      <c r="D383" s="240"/>
      <c r="E383" s="240"/>
      <c r="F383" s="240"/>
      <c r="G383" s="240"/>
      <c r="H383" s="240"/>
      <c r="I383" s="240"/>
      <c r="J383" s="240"/>
      <c r="K383" s="241"/>
      <c r="L383" s="241"/>
      <c r="M383" s="241"/>
      <c r="N383" s="240"/>
      <c r="O383" s="240"/>
      <c r="P383" s="126">
        <f t="shared" si="50"/>
        <v>0</v>
      </c>
      <c r="Q383" s="126"/>
      <c r="R383" s="127">
        <f t="shared" si="47"/>
        <v>0</v>
      </c>
      <c r="T383" s="128">
        <f t="shared" si="49"/>
        <v>0</v>
      </c>
      <c r="U383" s="129" t="str">
        <f>IFERROR(VLOOKUP($S383,References!$B$3:$C$7,2,FALSE),"")</f>
        <v/>
      </c>
      <c r="V383" s="129" t="str">
        <f t="shared" si="51"/>
        <v/>
      </c>
      <c r="W383" s="74" t="str">
        <f>IFERROR(VLOOKUP($O383,'Customer List'!$A$1:$J$488,10,FALSE),"")</f>
        <v/>
      </c>
    </row>
    <row r="384" spans="1:23">
      <c r="A384" s="125" t="str">
        <f t="shared" si="45"/>
        <v/>
      </c>
      <c r="B384" s="240"/>
      <c r="C384" s="240"/>
      <c r="D384" s="240"/>
      <c r="E384" s="240"/>
      <c r="F384" s="240"/>
      <c r="G384" s="240"/>
      <c r="H384" s="240"/>
      <c r="I384" s="240"/>
      <c r="J384" s="240"/>
      <c r="K384" s="241"/>
      <c r="L384" s="241"/>
      <c r="M384" s="241"/>
      <c r="N384" s="240"/>
      <c r="O384" s="240"/>
      <c r="P384" s="126">
        <f t="shared" si="50"/>
        <v>0</v>
      </c>
      <c r="Q384" s="126"/>
      <c r="R384" s="127">
        <f t="shared" si="47"/>
        <v>0</v>
      </c>
      <c r="T384" s="128">
        <f t="shared" si="49"/>
        <v>0</v>
      </c>
      <c r="U384" s="129" t="str">
        <f>IFERROR(VLOOKUP($S384,References!$B$3:$C$7,2,FALSE),"")</f>
        <v/>
      </c>
      <c r="V384" s="129" t="str">
        <f t="shared" si="51"/>
        <v/>
      </c>
      <c r="W384" s="74" t="str">
        <f>IFERROR(VLOOKUP($O384,'Customer List'!$A$1:$J$488,10,FALSE),"")</f>
        <v/>
      </c>
    </row>
    <row r="385" spans="1:23">
      <c r="A385" s="125" t="str">
        <f t="shared" si="45"/>
        <v/>
      </c>
      <c r="B385" s="240"/>
      <c r="C385" s="240"/>
      <c r="D385" s="240"/>
      <c r="E385" s="240"/>
      <c r="F385" s="240"/>
      <c r="G385" s="240"/>
      <c r="H385" s="240"/>
      <c r="I385" s="240"/>
      <c r="J385" s="240"/>
      <c r="K385" s="241"/>
      <c r="L385" s="241"/>
      <c r="M385" s="241"/>
      <c r="N385" s="240"/>
      <c r="O385" s="240"/>
      <c r="P385" s="126">
        <f t="shared" si="50"/>
        <v>0</v>
      </c>
      <c r="Q385" s="126"/>
      <c r="R385" s="127">
        <f t="shared" si="47"/>
        <v>0</v>
      </c>
      <c r="T385" s="128">
        <f t="shared" si="49"/>
        <v>0</v>
      </c>
      <c r="U385" s="129" t="str">
        <f>IFERROR(VLOOKUP($S385,References!$B$3:$C$7,2,FALSE),"")</f>
        <v/>
      </c>
      <c r="V385" s="129" t="str">
        <f t="shared" si="51"/>
        <v/>
      </c>
      <c r="W385" s="74" t="str">
        <f>IFERROR(VLOOKUP($O385,'Customer List'!$A$1:$J$488,10,FALSE),"")</f>
        <v/>
      </c>
    </row>
    <row r="386" spans="1:23">
      <c r="A386" s="125" t="str">
        <f t="shared" si="45"/>
        <v/>
      </c>
      <c r="B386" s="240"/>
      <c r="C386" s="240"/>
      <c r="D386" s="240"/>
      <c r="E386" s="240"/>
      <c r="F386" s="240"/>
      <c r="G386" s="240"/>
      <c r="H386" s="240"/>
      <c r="I386" s="240"/>
      <c r="J386" s="240"/>
      <c r="K386" s="241"/>
      <c r="L386" s="241"/>
      <c r="M386" s="241"/>
      <c r="N386" s="240"/>
      <c r="O386" s="240"/>
      <c r="P386" s="126">
        <f t="shared" si="50"/>
        <v>0</v>
      </c>
      <c r="Q386" s="126"/>
      <c r="R386" s="127">
        <f t="shared" si="47"/>
        <v>0</v>
      </c>
      <c r="T386" s="128">
        <f t="shared" si="49"/>
        <v>0</v>
      </c>
      <c r="U386" s="129" t="str">
        <f>IFERROR(VLOOKUP($S386,References!$B$3:$C$7,2,FALSE),"")</f>
        <v/>
      </c>
      <c r="V386" s="129" t="str">
        <f t="shared" si="51"/>
        <v/>
      </c>
      <c r="W386" s="74" t="str">
        <f>IFERROR(VLOOKUP($O386,'Customer List'!$A$1:$J$488,10,FALSE),"")</f>
        <v/>
      </c>
    </row>
    <row r="387" spans="1:23">
      <c r="A387" s="125" t="str">
        <f t="shared" si="45"/>
        <v/>
      </c>
      <c r="B387" s="240"/>
      <c r="C387" s="240"/>
      <c r="D387" s="240"/>
      <c r="E387" s="240"/>
      <c r="F387" s="240"/>
      <c r="G387" s="240"/>
      <c r="H387" s="240"/>
      <c r="I387" s="240"/>
      <c r="J387" s="240"/>
      <c r="K387" s="241"/>
      <c r="L387" s="241"/>
      <c r="M387" s="241"/>
      <c r="N387" s="240"/>
      <c r="O387" s="240"/>
      <c r="P387" s="126">
        <f t="shared" si="50"/>
        <v>0</v>
      </c>
      <c r="Q387" s="126"/>
      <c r="R387" s="127">
        <f t="shared" si="47"/>
        <v>0</v>
      </c>
      <c r="T387" s="128">
        <f t="shared" si="49"/>
        <v>0</v>
      </c>
      <c r="U387" s="129" t="str">
        <f>IFERROR(VLOOKUP($S387,References!$B$3:$C$7,2,FALSE),"")</f>
        <v/>
      </c>
      <c r="V387" s="129" t="str">
        <f t="shared" si="51"/>
        <v/>
      </c>
      <c r="W387" s="74" t="str">
        <f>IFERROR(VLOOKUP($O387,'Customer List'!$A$1:$J$488,10,FALSE),"")</f>
        <v/>
      </c>
    </row>
    <row r="388" spans="1:23">
      <c r="A388" s="125" t="str">
        <f t="shared" si="45"/>
        <v/>
      </c>
      <c r="B388" s="240"/>
      <c r="C388" s="240"/>
      <c r="D388" s="240"/>
      <c r="E388" s="240"/>
      <c r="F388" s="240"/>
      <c r="G388" s="240"/>
      <c r="H388" s="240"/>
      <c r="I388" s="240"/>
      <c r="J388" s="240"/>
      <c r="K388" s="241"/>
      <c r="L388" s="241"/>
      <c r="M388" s="241"/>
      <c r="N388" s="240"/>
      <c r="O388" s="240"/>
      <c r="P388" s="126">
        <f t="shared" si="50"/>
        <v>0</v>
      </c>
      <c r="Q388" s="133"/>
      <c r="R388" s="127">
        <f t="shared" si="47"/>
        <v>0</v>
      </c>
      <c r="T388" s="128">
        <f t="shared" si="49"/>
        <v>0</v>
      </c>
      <c r="U388" s="129" t="str">
        <f>IFERROR(VLOOKUP($S388,References!$B$3:$C$7,2,FALSE),"")</f>
        <v/>
      </c>
      <c r="V388" s="129" t="str">
        <f t="shared" si="51"/>
        <v/>
      </c>
      <c r="W388" s="74" t="str">
        <f>IFERROR(VLOOKUP($O388,'Customer List'!$A$1:$J$488,10,FALSE),"")</f>
        <v/>
      </c>
    </row>
    <row r="389" spans="1:23">
      <c r="A389" s="125" t="str">
        <f t="shared" si="45"/>
        <v/>
      </c>
      <c r="B389" s="240"/>
      <c r="C389" s="240"/>
      <c r="D389" s="240"/>
      <c r="E389" s="240"/>
      <c r="F389" s="240"/>
      <c r="G389" s="240"/>
      <c r="H389" s="240"/>
      <c r="I389" s="240"/>
      <c r="J389" s="240"/>
      <c r="K389" s="241"/>
      <c r="L389" s="241"/>
      <c r="M389" s="241"/>
      <c r="N389" s="240"/>
      <c r="O389" s="240"/>
      <c r="P389" s="126">
        <f t="shared" si="50"/>
        <v>0</v>
      </c>
      <c r="Q389" s="126"/>
      <c r="R389" s="127">
        <f t="shared" si="47"/>
        <v>0</v>
      </c>
      <c r="T389" s="128">
        <f t="shared" si="49"/>
        <v>0</v>
      </c>
      <c r="U389" s="129" t="str">
        <f>IFERROR(VLOOKUP($S389,References!$B$3:$C$7,2,FALSE),"")</f>
        <v/>
      </c>
      <c r="V389" s="129" t="str">
        <f t="shared" si="51"/>
        <v/>
      </c>
      <c r="W389" s="74" t="str">
        <f>IFERROR(VLOOKUP($O389,'Customer List'!$A$1:$J$488,10,FALSE),"")</f>
        <v/>
      </c>
    </row>
    <row r="390" spans="1:23">
      <c r="A390" s="125" t="str">
        <f t="shared" si="45"/>
        <v/>
      </c>
      <c r="B390" s="240"/>
      <c r="C390" s="240"/>
      <c r="D390" s="240"/>
      <c r="E390" s="240"/>
      <c r="F390" s="240"/>
      <c r="G390" s="240"/>
      <c r="H390" s="240"/>
      <c r="I390" s="240"/>
      <c r="J390" s="240"/>
      <c r="K390" s="241"/>
      <c r="L390" s="241"/>
      <c r="M390" s="241"/>
      <c r="N390" s="240"/>
      <c r="O390" s="240"/>
      <c r="P390" s="126">
        <f t="shared" si="50"/>
        <v>0</v>
      </c>
      <c r="Q390" s="126"/>
      <c r="R390" s="127">
        <f t="shared" si="47"/>
        <v>0</v>
      </c>
      <c r="T390" s="128">
        <f t="shared" si="49"/>
        <v>0</v>
      </c>
      <c r="U390" s="129" t="str">
        <f>IFERROR(VLOOKUP($S390,References!$B$3:$C$7,2,FALSE),"")</f>
        <v/>
      </c>
      <c r="V390" s="129" t="str">
        <f t="shared" si="51"/>
        <v/>
      </c>
      <c r="W390" s="74" t="str">
        <f>IFERROR(VLOOKUP($O390,'Customer List'!$A$1:$J$488,10,FALSE),"")</f>
        <v/>
      </c>
    </row>
    <row r="391" spans="1:23">
      <c r="A391" s="125" t="str">
        <f t="shared" si="45"/>
        <v/>
      </c>
      <c r="B391" s="240"/>
      <c r="C391" s="240"/>
      <c r="D391" s="240"/>
      <c r="E391" s="240"/>
      <c r="F391" s="240"/>
      <c r="G391" s="240"/>
      <c r="H391" s="240"/>
      <c r="I391" s="240"/>
      <c r="J391" s="240"/>
      <c r="K391" s="241"/>
      <c r="L391" s="241"/>
      <c r="M391" s="241"/>
      <c r="N391" s="240"/>
      <c r="O391" s="240"/>
      <c r="P391" s="126">
        <f t="shared" si="50"/>
        <v>0</v>
      </c>
      <c r="Q391" s="126"/>
      <c r="R391" s="127">
        <f t="shared" si="47"/>
        <v>0</v>
      </c>
      <c r="T391" s="128">
        <f t="shared" si="49"/>
        <v>0</v>
      </c>
      <c r="U391" s="129" t="str">
        <f>IFERROR(VLOOKUP($S391,References!$B$3:$C$7,2,FALSE),"")</f>
        <v/>
      </c>
      <c r="V391" s="129" t="str">
        <f t="shared" si="51"/>
        <v/>
      </c>
      <c r="W391" s="74" t="str">
        <f>IFERROR(VLOOKUP($O391,'Customer List'!$A$1:$J$488,10,FALSE),"")</f>
        <v/>
      </c>
    </row>
    <row r="392" spans="1:23">
      <c r="A392" s="125" t="str">
        <f t="shared" si="45"/>
        <v/>
      </c>
      <c r="B392" s="240"/>
      <c r="C392" s="240"/>
      <c r="D392" s="240"/>
      <c r="E392" s="240"/>
      <c r="F392" s="240"/>
      <c r="G392" s="240"/>
      <c r="H392" s="240"/>
      <c r="I392" s="240"/>
      <c r="J392" s="240"/>
      <c r="K392" s="241"/>
      <c r="L392" s="241"/>
      <c r="M392" s="241"/>
      <c r="N392" s="240"/>
      <c r="O392" s="240"/>
      <c r="P392" s="126">
        <f t="shared" si="50"/>
        <v>0</v>
      </c>
      <c r="Q392" s="126"/>
      <c r="R392" s="127">
        <f t="shared" si="47"/>
        <v>0</v>
      </c>
      <c r="T392" s="128">
        <f t="shared" si="49"/>
        <v>0</v>
      </c>
      <c r="U392" s="129" t="str">
        <f>IFERROR(VLOOKUP($S392,References!$B$3:$C$7,2,FALSE),"")</f>
        <v/>
      </c>
      <c r="V392" s="129" t="str">
        <f t="shared" si="51"/>
        <v/>
      </c>
      <c r="W392" s="74" t="str">
        <f>IFERROR(VLOOKUP($O392,'Customer List'!$A$1:$J$488,10,FALSE),"")</f>
        <v/>
      </c>
    </row>
    <row r="393" spans="1:23">
      <c r="A393" s="125" t="str">
        <f t="shared" ref="A393:A456" si="52">O393&amp;S393</f>
        <v/>
      </c>
      <c r="B393" s="240"/>
      <c r="C393" s="240"/>
      <c r="D393" s="240"/>
      <c r="E393" s="240"/>
      <c r="F393" s="240"/>
      <c r="G393" s="240"/>
      <c r="H393" s="240"/>
      <c r="I393" s="240"/>
      <c r="J393" s="240"/>
      <c r="K393" s="241"/>
      <c r="L393" s="241"/>
      <c r="M393" s="241"/>
      <c r="N393" s="240"/>
      <c r="O393" s="240"/>
      <c r="P393" s="126">
        <f t="shared" ref="P393:P456" si="53">INT(L393)</f>
        <v>0</v>
      </c>
      <c r="Q393" s="126"/>
      <c r="R393" s="127">
        <f t="shared" ref="R393:R435" si="54">L393-K393</f>
        <v>0</v>
      </c>
      <c r="T393" s="128">
        <f t="shared" si="49"/>
        <v>0</v>
      </c>
      <c r="U393" s="129" t="str">
        <f>IFERROR(VLOOKUP($S393,References!$B$3:$C$7,2,FALSE),"")</f>
        <v/>
      </c>
      <c r="V393" s="129" t="str">
        <f t="shared" si="51"/>
        <v/>
      </c>
      <c r="W393" s="74" t="str">
        <f>IFERROR(VLOOKUP($O393,'Customer List'!$A$1:$J$488,10,FALSE),"")</f>
        <v/>
      </c>
    </row>
    <row r="394" spans="1:23">
      <c r="A394" s="125" t="str">
        <f t="shared" si="52"/>
        <v/>
      </c>
      <c r="B394" s="240"/>
      <c r="C394" s="240"/>
      <c r="D394" s="240"/>
      <c r="E394" s="240"/>
      <c r="F394" s="240"/>
      <c r="G394" s="240"/>
      <c r="H394" s="240"/>
      <c r="I394" s="240"/>
      <c r="J394" s="240"/>
      <c r="K394" s="241"/>
      <c r="L394" s="241"/>
      <c r="M394" s="241"/>
      <c r="N394" s="240"/>
      <c r="O394" s="240"/>
      <c r="P394" s="126">
        <f t="shared" si="53"/>
        <v>0</v>
      </c>
      <c r="Q394" s="126"/>
      <c r="R394" s="127">
        <f t="shared" si="54"/>
        <v>0</v>
      </c>
      <c r="T394" s="128">
        <f t="shared" ref="T394:T457" si="55">IF(S394="50 - Cleaning Fee",1,HOUR($R394)+MINUTE(R394)/60)</f>
        <v>0</v>
      </c>
      <c r="U394" s="129" t="str">
        <f>IFERROR(VLOOKUP($S394,References!$B$3:$C$7,2,FALSE),"")</f>
        <v/>
      </c>
      <c r="V394" s="129" t="str">
        <f t="shared" ref="V394:V457" si="56">IF(T394&gt;=8,400,(IFERROR(T394*U394,"")))</f>
        <v/>
      </c>
      <c r="W394" s="74" t="str">
        <f>IFERROR(VLOOKUP($O394,'Customer List'!$A$1:$J$488,10,FALSE),"")</f>
        <v/>
      </c>
    </row>
    <row r="395" spans="1:23">
      <c r="A395" s="125" t="str">
        <f t="shared" si="52"/>
        <v/>
      </c>
      <c r="B395" s="240"/>
      <c r="C395" s="240"/>
      <c r="D395" s="240"/>
      <c r="E395" s="240"/>
      <c r="F395" s="240"/>
      <c r="G395" s="240"/>
      <c r="H395" s="240"/>
      <c r="I395" s="240"/>
      <c r="J395" s="240"/>
      <c r="K395" s="241"/>
      <c r="L395" s="241"/>
      <c r="M395" s="241"/>
      <c r="N395" s="240"/>
      <c r="O395" s="240"/>
      <c r="P395" s="126">
        <f t="shared" si="53"/>
        <v>0</v>
      </c>
      <c r="Q395" s="126"/>
      <c r="R395" s="127">
        <f t="shared" si="54"/>
        <v>0</v>
      </c>
      <c r="T395" s="128">
        <f t="shared" si="55"/>
        <v>0</v>
      </c>
      <c r="U395" s="129" t="str">
        <f>IFERROR(VLOOKUP($S395,References!$B$3:$C$7,2,FALSE),"")</f>
        <v/>
      </c>
      <c r="V395" s="129" t="str">
        <f t="shared" si="56"/>
        <v/>
      </c>
      <c r="W395" s="74" t="str">
        <f>IFERROR(VLOOKUP($O395,'Customer List'!$A$1:$J$488,10,FALSE),"")</f>
        <v/>
      </c>
    </row>
    <row r="396" spans="1:23">
      <c r="A396" s="125" t="str">
        <f t="shared" si="52"/>
        <v/>
      </c>
      <c r="B396" s="240"/>
      <c r="C396" s="240"/>
      <c r="D396" s="240"/>
      <c r="E396" s="240"/>
      <c r="F396" s="240"/>
      <c r="G396" s="240"/>
      <c r="H396" s="240"/>
      <c r="I396" s="240"/>
      <c r="J396" s="240"/>
      <c r="K396" s="241"/>
      <c r="L396" s="241"/>
      <c r="M396" s="241"/>
      <c r="N396" s="240"/>
      <c r="O396" s="240"/>
      <c r="P396" s="126">
        <f t="shared" si="53"/>
        <v>0</v>
      </c>
      <c r="Q396" s="126"/>
      <c r="R396" s="127">
        <f t="shared" si="54"/>
        <v>0</v>
      </c>
      <c r="T396" s="128">
        <f t="shared" si="55"/>
        <v>0</v>
      </c>
      <c r="U396" s="129" t="str">
        <f>IFERROR(VLOOKUP($S396,References!$B$3:$C$7,2,FALSE),"")</f>
        <v/>
      </c>
      <c r="V396" s="129" t="str">
        <f t="shared" si="56"/>
        <v/>
      </c>
      <c r="W396" s="74" t="str">
        <f>IFERROR(VLOOKUP($O396,'Customer List'!$A$1:$J$488,10,FALSE),"")</f>
        <v/>
      </c>
    </row>
    <row r="397" spans="1:23">
      <c r="A397" s="125" t="str">
        <f t="shared" si="52"/>
        <v/>
      </c>
      <c r="B397" s="240"/>
      <c r="C397" s="240"/>
      <c r="D397" s="240"/>
      <c r="E397" s="240"/>
      <c r="F397" s="240"/>
      <c r="G397" s="240"/>
      <c r="H397" s="240"/>
      <c r="I397" s="240"/>
      <c r="J397" s="240"/>
      <c r="K397" s="241"/>
      <c r="L397" s="241"/>
      <c r="M397" s="241"/>
      <c r="N397" s="240"/>
      <c r="O397" s="240"/>
      <c r="P397" s="126">
        <f t="shared" si="53"/>
        <v>0</v>
      </c>
      <c r="Q397" s="126"/>
      <c r="R397" s="127">
        <f t="shared" si="54"/>
        <v>0</v>
      </c>
      <c r="T397" s="128">
        <f t="shared" si="55"/>
        <v>0</v>
      </c>
      <c r="U397" s="129" t="str">
        <f>IFERROR(VLOOKUP($S397,References!$B$3:$C$7,2,FALSE),"")</f>
        <v/>
      </c>
      <c r="V397" s="129" t="str">
        <f t="shared" si="56"/>
        <v/>
      </c>
      <c r="W397" s="74" t="str">
        <f>IFERROR(VLOOKUP($O397,'Customer List'!$A$1:$J$488,10,FALSE),"")</f>
        <v/>
      </c>
    </row>
    <row r="398" spans="1:23">
      <c r="A398" s="125" t="str">
        <f t="shared" si="52"/>
        <v/>
      </c>
      <c r="B398" s="240"/>
      <c r="C398" s="240"/>
      <c r="D398" s="240"/>
      <c r="E398" s="240"/>
      <c r="F398" s="240"/>
      <c r="G398" s="240"/>
      <c r="H398" s="240"/>
      <c r="I398" s="240"/>
      <c r="J398" s="240"/>
      <c r="K398" s="241"/>
      <c r="L398" s="241"/>
      <c r="M398" s="241"/>
      <c r="N398" s="240"/>
      <c r="O398" s="240"/>
      <c r="P398" s="126">
        <f t="shared" si="53"/>
        <v>0</v>
      </c>
      <c r="Q398" s="126"/>
      <c r="R398" s="127">
        <f t="shared" si="54"/>
        <v>0</v>
      </c>
      <c r="T398" s="128">
        <f t="shared" si="55"/>
        <v>0</v>
      </c>
      <c r="U398" s="129" t="str">
        <f>IFERROR(VLOOKUP($S398,References!$B$3:$C$7,2,FALSE),"")</f>
        <v/>
      </c>
      <c r="V398" s="129" t="str">
        <f t="shared" si="56"/>
        <v/>
      </c>
      <c r="W398" s="74" t="str">
        <f>IFERROR(VLOOKUP($O398,'Customer List'!$A$1:$J$488,10,FALSE),"")</f>
        <v/>
      </c>
    </row>
    <row r="399" spans="1:23">
      <c r="A399" s="125" t="str">
        <f t="shared" si="52"/>
        <v/>
      </c>
      <c r="B399" s="240"/>
      <c r="C399" s="240"/>
      <c r="D399" s="240"/>
      <c r="E399" s="240"/>
      <c r="F399" s="240"/>
      <c r="G399" s="240"/>
      <c r="H399" s="240"/>
      <c r="I399" s="240"/>
      <c r="J399" s="240"/>
      <c r="K399" s="241"/>
      <c r="L399" s="241"/>
      <c r="M399" s="241"/>
      <c r="N399" s="240"/>
      <c r="O399" s="240"/>
      <c r="P399" s="126">
        <f t="shared" si="53"/>
        <v>0</v>
      </c>
      <c r="Q399" s="126"/>
      <c r="R399" s="127">
        <f t="shared" si="54"/>
        <v>0</v>
      </c>
      <c r="T399" s="128">
        <f t="shared" si="55"/>
        <v>0</v>
      </c>
      <c r="U399" s="129" t="str">
        <f>IFERROR(VLOOKUP($S399,References!$B$3:$C$7,2,FALSE),"")</f>
        <v/>
      </c>
      <c r="V399" s="129" t="str">
        <f t="shared" si="56"/>
        <v/>
      </c>
      <c r="W399" s="74" t="str">
        <f>IFERROR(VLOOKUP($O399,'Customer List'!$A$1:$J$488,10,FALSE),"")</f>
        <v/>
      </c>
    </row>
    <row r="400" spans="1:23">
      <c r="A400" s="125" t="str">
        <f t="shared" si="52"/>
        <v/>
      </c>
      <c r="B400" s="240"/>
      <c r="C400" s="240"/>
      <c r="D400" s="240"/>
      <c r="E400" s="240"/>
      <c r="F400" s="240"/>
      <c r="G400" s="240"/>
      <c r="H400" s="240"/>
      <c r="I400" s="240"/>
      <c r="J400" s="240"/>
      <c r="K400" s="241"/>
      <c r="L400" s="241"/>
      <c r="M400" s="241"/>
      <c r="N400" s="240"/>
      <c r="O400" s="240"/>
      <c r="P400" s="126">
        <f t="shared" si="53"/>
        <v>0</v>
      </c>
      <c r="Q400" s="126"/>
      <c r="R400" s="127">
        <f t="shared" si="54"/>
        <v>0</v>
      </c>
      <c r="T400" s="128">
        <f t="shared" si="55"/>
        <v>0</v>
      </c>
      <c r="U400" s="129" t="str">
        <f>IFERROR(VLOOKUP($S400,References!$B$3:$C$7,2,FALSE),"")</f>
        <v/>
      </c>
      <c r="V400" s="129" t="str">
        <f t="shared" si="56"/>
        <v/>
      </c>
      <c r="W400" s="74" t="str">
        <f>IFERROR(VLOOKUP($O400,'Customer List'!$A$1:$J$488,10,FALSE),"")</f>
        <v/>
      </c>
    </row>
    <row r="401" spans="1:23">
      <c r="A401" s="125" t="str">
        <f t="shared" si="52"/>
        <v/>
      </c>
      <c r="B401" s="240"/>
      <c r="C401" s="240"/>
      <c r="D401" s="240"/>
      <c r="E401" s="240"/>
      <c r="F401" s="240"/>
      <c r="G401" s="240"/>
      <c r="H401" s="240"/>
      <c r="I401" s="240"/>
      <c r="J401" s="240"/>
      <c r="K401" s="241"/>
      <c r="L401" s="241"/>
      <c r="M401" s="241"/>
      <c r="N401" s="240"/>
      <c r="O401" s="240"/>
      <c r="P401" s="126">
        <f t="shared" si="53"/>
        <v>0</v>
      </c>
      <c r="Q401" s="126"/>
      <c r="R401" s="127">
        <f t="shared" si="54"/>
        <v>0</v>
      </c>
      <c r="T401" s="128">
        <f t="shared" si="55"/>
        <v>0</v>
      </c>
      <c r="U401" s="129" t="str">
        <f>IFERROR(VLOOKUP($S401,References!$B$3:$C$7,2,FALSE),"")</f>
        <v/>
      </c>
      <c r="V401" s="129" t="str">
        <f t="shared" si="56"/>
        <v/>
      </c>
      <c r="W401" s="74" t="str">
        <f>IFERROR(VLOOKUP($O401,'Customer List'!$A$1:$J$488,10,FALSE),"")</f>
        <v/>
      </c>
    </row>
    <row r="402" spans="1:23">
      <c r="A402" s="125" t="str">
        <f t="shared" si="52"/>
        <v/>
      </c>
      <c r="B402" s="240"/>
      <c r="C402" s="240"/>
      <c r="D402" s="240"/>
      <c r="E402" s="240"/>
      <c r="F402" s="240"/>
      <c r="G402" s="240"/>
      <c r="H402" s="240"/>
      <c r="I402" s="240"/>
      <c r="J402" s="240"/>
      <c r="K402" s="241"/>
      <c r="L402" s="241"/>
      <c r="M402" s="241"/>
      <c r="N402" s="240"/>
      <c r="O402" s="240"/>
      <c r="P402" s="126">
        <f t="shared" si="53"/>
        <v>0</v>
      </c>
      <c r="Q402" s="126"/>
      <c r="R402" s="127">
        <f t="shared" si="54"/>
        <v>0</v>
      </c>
      <c r="T402" s="128">
        <f t="shared" si="55"/>
        <v>0</v>
      </c>
      <c r="U402" s="129" t="str">
        <f>IFERROR(VLOOKUP($S402,References!$B$3:$C$7,2,FALSE),"")</f>
        <v/>
      </c>
      <c r="V402" s="129" t="str">
        <f t="shared" si="56"/>
        <v/>
      </c>
      <c r="W402" s="74" t="str">
        <f>IFERROR(VLOOKUP($O402,'Customer List'!$A$1:$J$488,10,FALSE),"")</f>
        <v/>
      </c>
    </row>
    <row r="403" spans="1:23">
      <c r="A403" s="125" t="str">
        <f t="shared" si="52"/>
        <v/>
      </c>
      <c r="B403" s="240"/>
      <c r="C403" s="240"/>
      <c r="D403" s="240"/>
      <c r="E403" s="240"/>
      <c r="F403" s="240"/>
      <c r="G403" s="240"/>
      <c r="H403" s="240"/>
      <c r="I403" s="240"/>
      <c r="J403" s="240"/>
      <c r="K403" s="241"/>
      <c r="L403" s="241"/>
      <c r="M403" s="241"/>
      <c r="N403" s="240"/>
      <c r="O403" s="240"/>
      <c r="P403" s="126">
        <f t="shared" si="53"/>
        <v>0</v>
      </c>
      <c r="Q403" s="126"/>
      <c r="R403" s="127">
        <f t="shared" si="54"/>
        <v>0</v>
      </c>
      <c r="T403" s="128">
        <f t="shared" si="55"/>
        <v>0</v>
      </c>
      <c r="U403" s="129" t="str">
        <f>IFERROR(VLOOKUP($S403,References!$B$3:$C$7,2,FALSE),"")</f>
        <v/>
      </c>
      <c r="V403" s="129" t="str">
        <f t="shared" si="56"/>
        <v/>
      </c>
      <c r="W403" s="74" t="str">
        <f>IFERROR(VLOOKUP($O403,'Customer List'!$A$1:$J$488,10,FALSE),"")</f>
        <v/>
      </c>
    </row>
    <row r="404" spans="1:23">
      <c r="A404" s="125" t="str">
        <f t="shared" si="52"/>
        <v/>
      </c>
      <c r="B404" s="240"/>
      <c r="C404" s="240"/>
      <c r="D404" s="240"/>
      <c r="E404" s="240"/>
      <c r="F404" s="240"/>
      <c r="G404" s="240"/>
      <c r="H404" s="240"/>
      <c r="I404" s="240"/>
      <c r="J404" s="240"/>
      <c r="K404" s="241"/>
      <c r="L404" s="241"/>
      <c r="M404" s="241"/>
      <c r="N404" s="240"/>
      <c r="O404" s="240"/>
      <c r="P404" s="126">
        <f t="shared" si="53"/>
        <v>0</v>
      </c>
      <c r="Q404" s="126"/>
      <c r="R404" s="127">
        <f t="shared" si="54"/>
        <v>0</v>
      </c>
      <c r="T404" s="128">
        <f t="shared" si="55"/>
        <v>0</v>
      </c>
      <c r="U404" s="129" t="str">
        <f>IFERROR(VLOOKUP($S404,References!$B$3:$C$7,2,FALSE),"")</f>
        <v/>
      </c>
      <c r="V404" s="129" t="str">
        <f t="shared" si="56"/>
        <v/>
      </c>
      <c r="W404" s="74" t="str">
        <f>IFERROR(VLOOKUP($O404,'Customer List'!$A$1:$J$488,10,FALSE),"")</f>
        <v/>
      </c>
    </row>
    <row r="405" spans="1:23">
      <c r="A405" s="125" t="str">
        <f t="shared" si="52"/>
        <v/>
      </c>
      <c r="B405" s="240"/>
      <c r="C405" s="240"/>
      <c r="D405" s="240"/>
      <c r="E405" s="240"/>
      <c r="F405" s="240"/>
      <c r="G405" s="240"/>
      <c r="H405" s="240"/>
      <c r="I405" s="240"/>
      <c r="J405" s="240"/>
      <c r="K405" s="241"/>
      <c r="L405" s="241"/>
      <c r="M405" s="240"/>
      <c r="N405" s="240"/>
      <c r="O405" s="240"/>
      <c r="P405" s="126">
        <f t="shared" si="53"/>
        <v>0</v>
      </c>
      <c r="Q405" s="126"/>
      <c r="R405" s="127">
        <f t="shared" si="54"/>
        <v>0</v>
      </c>
      <c r="T405" s="128">
        <f t="shared" si="55"/>
        <v>0</v>
      </c>
      <c r="U405" s="129" t="str">
        <f>IFERROR(VLOOKUP($S405,References!$B$3:$C$7,2,FALSE),"")</f>
        <v/>
      </c>
      <c r="V405" s="129" t="str">
        <f t="shared" si="56"/>
        <v/>
      </c>
      <c r="W405" s="74" t="str">
        <f>IFERROR(VLOOKUP($O405,'Customer List'!$A$1:$J$488,10,FALSE),"")</f>
        <v/>
      </c>
    </row>
    <row r="406" spans="1:23">
      <c r="A406" s="125" t="str">
        <f t="shared" si="52"/>
        <v/>
      </c>
      <c r="B406" s="240"/>
      <c r="C406" s="240"/>
      <c r="D406" s="240"/>
      <c r="E406" s="240"/>
      <c r="F406" s="240"/>
      <c r="G406" s="240"/>
      <c r="H406" s="240"/>
      <c r="I406" s="240"/>
      <c r="J406" s="240"/>
      <c r="K406" s="241"/>
      <c r="L406" s="241"/>
      <c r="M406" s="241"/>
      <c r="N406" s="240"/>
      <c r="O406" s="240"/>
      <c r="P406" s="126">
        <f t="shared" si="53"/>
        <v>0</v>
      </c>
      <c r="Q406" s="126"/>
      <c r="R406" s="127">
        <f t="shared" si="54"/>
        <v>0</v>
      </c>
      <c r="T406" s="128">
        <f t="shared" si="55"/>
        <v>0</v>
      </c>
      <c r="U406" s="129" t="str">
        <f>IFERROR(VLOOKUP($S406,References!$B$3:$C$7,2,FALSE),"")</f>
        <v/>
      </c>
      <c r="V406" s="129" t="str">
        <f t="shared" si="56"/>
        <v/>
      </c>
      <c r="W406" s="74" t="str">
        <f>IFERROR(VLOOKUP($O406,'Customer List'!$A$1:$J$488,10,FALSE),"")</f>
        <v/>
      </c>
    </row>
    <row r="407" spans="1:23">
      <c r="A407" s="125" t="str">
        <f t="shared" si="52"/>
        <v/>
      </c>
      <c r="B407" s="240"/>
      <c r="C407" s="240"/>
      <c r="D407" s="240"/>
      <c r="E407" s="240"/>
      <c r="F407" s="240"/>
      <c r="G407" s="240"/>
      <c r="H407" s="240"/>
      <c r="I407" s="240"/>
      <c r="J407" s="240"/>
      <c r="K407" s="241"/>
      <c r="L407" s="241"/>
      <c r="M407" s="241"/>
      <c r="N407" s="240"/>
      <c r="O407" s="240"/>
      <c r="P407" s="126">
        <f t="shared" si="53"/>
        <v>0</v>
      </c>
      <c r="Q407" s="126"/>
      <c r="R407" s="127">
        <f t="shared" si="54"/>
        <v>0</v>
      </c>
      <c r="T407" s="128">
        <f t="shared" si="55"/>
        <v>0</v>
      </c>
      <c r="U407" s="129" t="str">
        <f>IFERROR(VLOOKUP($S407,References!$B$3:$C$7,2,FALSE),"")</f>
        <v/>
      </c>
      <c r="V407" s="129" t="str">
        <f t="shared" si="56"/>
        <v/>
      </c>
      <c r="W407" s="74" t="str">
        <f>IFERROR(VLOOKUP($O407,'Customer List'!$A$1:$J$488,10,FALSE),"")</f>
        <v/>
      </c>
    </row>
    <row r="408" spans="1:23">
      <c r="A408" s="125" t="str">
        <f t="shared" si="52"/>
        <v/>
      </c>
      <c r="B408" s="240"/>
      <c r="C408" s="240"/>
      <c r="D408" s="240"/>
      <c r="E408" s="240"/>
      <c r="F408" s="240"/>
      <c r="G408" s="240"/>
      <c r="H408" s="240"/>
      <c r="I408" s="240"/>
      <c r="J408" s="240"/>
      <c r="K408" s="241"/>
      <c r="L408" s="241"/>
      <c r="M408" s="241"/>
      <c r="N408" s="240"/>
      <c r="O408" s="240"/>
      <c r="P408" s="126">
        <f t="shared" si="53"/>
        <v>0</v>
      </c>
      <c r="Q408" s="133"/>
      <c r="R408" s="127">
        <f t="shared" si="54"/>
        <v>0</v>
      </c>
      <c r="T408" s="128">
        <f t="shared" si="55"/>
        <v>0</v>
      </c>
      <c r="U408" s="129" t="str">
        <f>IFERROR(VLOOKUP($S408,References!$B$3:$C$7,2,FALSE),"")</f>
        <v/>
      </c>
      <c r="V408" s="129" t="str">
        <f t="shared" si="56"/>
        <v/>
      </c>
      <c r="W408" s="74" t="str">
        <f>IFERROR(VLOOKUP($O408,'Customer List'!$A$1:$J$488,10,FALSE),"")</f>
        <v/>
      </c>
    </row>
    <row r="409" spans="1:23">
      <c r="A409" s="125" t="str">
        <f t="shared" si="52"/>
        <v/>
      </c>
      <c r="B409" s="240"/>
      <c r="C409" s="240"/>
      <c r="D409" s="240"/>
      <c r="E409" s="240"/>
      <c r="F409" s="240"/>
      <c r="G409" s="240"/>
      <c r="H409" s="240"/>
      <c r="I409" s="240"/>
      <c r="J409" s="240"/>
      <c r="K409" s="241"/>
      <c r="L409" s="241"/>
      <c r="M409" s="241"/>
      <c r="N409" s="240"/>
      <c r="O409" s="240"/>
      <c r="P409" s="126">
        <f t="shared" si="53"/>
        <v>0</v>
      </c>
      <c r="Q409" s="133"/>
      <c r="R409" s="127">
        <f t="shared" si="54"/>
        <v>0</v>
      </c>
      <c r="T409" s="128">
        <f t="shared" si="55"/>
        <v>0</v>
      </c>
      <c r="U409" s="129" t="str">
        <f>IFERROR(VLOOKUP($S409,References!$B$3:$C$7,2,FALSE),"")</f>
        <v/>
      </c>
      <c r="V409" s="129" t="str">
        <f t="shared" si="56"/>
        <v/>
      </c>
      <c r="W409" s="74" t="str">
        <f>IFERROR(VLOOKUP($O409,'Customer List'!$A$1:$J$488,10,FALSE),"")</f>
        <v/>
      </c>
    </row>
    <row r="410" spans="1:23">
      <c r="A410" s="125" t="str">
        <f t="shared" si="52"/>
        <v/>
      </c>
      <c r="B410" s="240"/>
      <c r="C410" s="240"/>
      <c r="D410" s="240"/>
      <c r="E410" s="240"/>
      <c r="F410" s="240"/>
      <c r="G410" s="240"/>
      <c r="H410" s="240"/>
      <c r="I410" s="240"/>
      <c r="J410" s="240"/>
      <c r="K410" s="241"/>
      <c r="L410" s="241"/>
      <c r="M410" s="241"/>
      <c r="N410" s="240"/>
      <c r="O410" s="240"/>
      <c r="P410" s="126">
        <f t="shared" si="53"/>
        <v>0</v>
      </c>
      <c r="Q410" s="133"/>
      <c r="R410" s="127">
        <f t="shared" si="54"/>
        <v>0</v>
      </c>
      <c r="T410" s="128">
        <f t="shared" si="55"/>
        <v>0</v>
      </c>
      <c r="U410" s="129" t="str">
        <f>IFERROR(VLOOKUP($S410,References!$B$3:$C$7,2,FALSE),"")</f>
        <v/>
      </c>
      <c r="V410" s="129" t="str">
        <f t="shared" si="56"/>
        <v/>
      </c>
      <c r="W410" s="74" t="str">
        <f>IFERROR(VLOOKUP($O410,'Customer List'!$A$1:$J$488,10,FALSE),"")</f>
        <v/>
      </c>
    </row>
    <row r="411" spans="1:23">
      <c r="A411" s="125" t="str">
        <f t="shared" si="52"/>
        <v/>
      </c>
      <c r="B411" s="240"/>
      <c r="C411" s="240"/>
      <c r="D411" s="240"/>
      <c r="E411" s="240"/>
      <c r="F411" s="240"/>
      <c r="G411" s="240"/>
      <c r="H411" s="240"/>
      <c r="I411" s="240"/>
      <c r="J411" s="240"/>
      <c r="K411" s="241"/>
      <c r="L411" s="241"/>
      <c r="M411" s="241"/>
      <c r="N411" s="240"/>
      <c r="O411" s="240"/>
      <c r="P411" s="126">
        <f t="shared" si="53"/>
        <v>0</v>
      </c>
      <c r="Q411" s="126"/>
      <c r="R411" s="127">
        <f t="shared" si="54"/>
        <v>0</v>
      </c>
      <c r="T411" s="128">
        <f t="shared" si="55"/>
        <v>0</v>
      </c>
      <c r="U411" s="129" t="str">
        <f>IFERROR(VLOOKUP($S411,References!$B$3:$C$7,2,FALSE),"")</f>
        <v/>
      </c>
      <c r="V411" s="129" t="str">
        <f t="shared" si="56"/>
        <v/>
      </c>
      <c r="W411" s="74" t="str">
        <f>IFERROR(VLOOKUP($O411,'Customer List'!$A$1:$J$488,10,FALSE),"")</f>
        <v/>
      </c>
    </row>
    <row r="412" spans="1:23">
      <c r="A412" s="125" t="str">
        <f t="shared" si="52"/>
        <v/>
      </c>
      <c r="B412" s="240"/>
      <c r="C412" s="240"/>
      <c r="D412" s="240"/>
      <c r="E412" s="240"/>
      <c r="F412" s="240"/>
      <c r="G412" s="240"/>
      <c r="H412" s="240"/>
      <c r="I412" s="240"/>
      <c r="J412" s="240"/>
      <c r="K412" s="241"/>
      <c r="L412" s="241"/>
      <c r="M412" s="240"/>
      <c r="N412" s="240"/>
      <c r="O412" s="240"/>
      <c r="P412" s="126">
        <f t="shared" si="53"/>
        <v>0</v>
      </c>
      <c r="Q412" s="126"/>
      <c r="R412" s="127">
        <f t="shared" si="54"/>
        <v>0</v>
      </c>
      <c r="T412" s="128">
        <f t="shared" si="55"/>
        <v>0</v>
      </c>
      <c r="U412" s="129" t="str">
        <f>IFERROR(VLOOKUP($S412,References!$B$3:$C$7,2,FALSE),"")</f>
        <v/>
      </c>
      <c r="V412" s="129" t="str">
        <f t="shared" si="56"/>
        <v/>
      </c>
      <c r="W412" s="74" t="str">
        <f>IFERROR(VLOOKUP($O412,'Customer List'!$A$1:$J$488,10,FALSE),"")</f>
        <v/>
      </c>
    </row>
    <row r="413" spans="1:23">
      <c r="A413" s="125" t="str">
        <f t="shared" si="52"/>
        <v/>
      </c>
      <c r="B413" s="240"/>
      <c r="C413" s="240"/>
      <c r="D413" s="240"/>
      <c r="E413" s="240"/>
      <c r="F413" s="240"/>
      <c r="G413" s="240"/>
      <c r="H413" s="240"/>
      <c r="I413" s="240"/>
      <c r="J413" s="240"/>
      <c r="K413" s="241"/>
      <c r="L413" s="241"/>
      <c r="M413" s="241"/>
      <c r="N413" s="240"/>
      <c r="O413" s="240"/>
      <c r="P413" s="126">
        <f t="shared" si="53"/>
        <v>0</v>
      </c>
      <c r="Q413" s="126"/>
      <c r="R413" s="127">
        <f t="shared" si="54"/>
        <v>0</v>
      </c>
      <c r="T413" s="128">
        <f t="shared" si="55"/>
        <v>0</v>
      </c>
      <c r="U413" s="129" t="str">
        <f>IFERROR(VLOOKUP($S413,References!$B$3:$C$7,2,FALSE),"")</f>
        <v/>
      </c>
      <c r="V413" s="129" t="str">
        <f t="shared" si="56"/>
        <v/>
      </c>
      <c r="W413" s="74" t="str">
        <f>IFERROR(VLOOKUP($O413,'Customer List'!$A$1:$J$488,10,FALSE),"")</f>
        <v/>
      </c>
    </row>
    <row r="414" spans="1:23">
      <c r="A414" s="125" t="str">
        <f t="shared" si="52"/>
        <v/>
      </c>
      <c r="B414" s="240"/>
      <c r="C414" s="240"/>
      <c r="D414" s="240"/>
      <c r="E414" s="240"/>
      <c r="F414" s="240"/>
      <c r="G414" s="240"/>
      <c r="H414" s="240"/>
      <c r="I414" s="240"/>
      <c r="J414" s="240"/>
      <c r="K414" s="241"/>
      <c r="L414" s="241"/>
      <c r="M414" s="241"/>
      <c r="N414" s="240"/>
      <c r="O414" s="240"/>
      <c r="P414" s="126">
        <f t="shared" si="53"/>
        <v>0</v>
      </c>
      <c r="Q414" s="133"/>
      <c r="R414" s="127">
        <f t="shared" si="54"/>
        <v>0</v>
      </c>
      <c r="T414" s="128">
        <f t="shared" si="55"/>
        <v>0</v>
      </c>
      <c r="U414" s="129" t="str">
        <f>IFERROR(VLOOKUP($S414,References!$B$3:$C$7,2,FALSE),"")</f>
        <v/>
      </c>
      <c r="V414" s="129" t="str">
        <f t="shared" si="56"/>
        <v/>
      </c>
      <c r="W414" s="74" t="str">
        <f>IFERROR(VLOOKUP($O414,'Customer List'!$A$1:$J$488,10,FALSE),"")</f>
        <v/>
      </c>
    </row>
    <row r="415" spans="1:23">
      <c r="A415" s="125" t="str">
        <f t="shared" si="52"/>
        <v/>
      </c>
      <c r="B415" s="227"/>
      <c r="C415" s="227"/>
      <c r="D415" s="227"/>
      <c r="E415" s="227"/>
      <c r="F415" s="227"/>
      <c r="G415" s="227"/>
      <c r="H415" s="227"/>
      <c r="I415" s="227"/>
      <c r="J415" s="227"/>
      <c r="K415" s="228"/>
      <c r="L415" s="228"/>
      <c r="M415" s="228"/>
      <c r="N415" s="227"/>
      <c r="O415" s="240"/>
      <c r="P415" s="126">
        <f t="shared" si="53"/>
        <v>0</v>
      </c>
      <c r="Q415" s="133"/>
      <c r="R415" s="127">
        <f t="shared" si="54"/>
        <v>0</v>
      </c>
      <c r="T415" s="128">
        <f t="shared" si="55"/>
        <v>0</v>
      </c>
      <c r="U415" s="129" t="str">
        <f>IFERROR(VLOOKUP($S415,References!$B$3:$C$7,2,FALSE),"")</f>
        <v/>
      </c>
      <c r="V415" s="129" t="str">
        <f t="shared" si="56"/>
        <v/>
      </c>
      <c r="W415" s="74" t="str">
        <f>IFERROR(VLOOKUP($O415,'Customer List'!$A$1:$J$488,10,FALSE),"")</f>
        <v/>
      </c>
    </row>
    <row r="416" spans="1:23">
      <c r="A416" s="125" t="str">
        <f t="shared" si="52"/>
        <v/>
      </c>
      <c r="B416" s="227"/>
      <c r="C416" s="227"/>
      <c r="D416" s="227"/>
      <c r="E416" s="227"/>
      <c r="F416" s="227"/>
      <c r="G416" s="227"/>
      <c r="H416" s="227"/>
      <c r="I416" s="227"/>
      <c r="J416" s="227"/>
      <c r="K416" s="228"/>
      <c r="L416" s="228"/>
      <c r="M416" s="228"/>
      <c r="N416" s="227"/>
      <c r="O416" s="240"/>
      <c r="P416" s="126">
        <f t="shared" si="53"/>
        <v>0</v>
      </c>
      <c r="Q416" s="133"/>
      <c r="R416" s="127">
        <f t="shared" si="54"/>
        <v>0</v>
      </c>
      <c r="T416" s="128">
        <f t="shared" si="55"/>
        <v>0</v>
      </c>
      <c r="U416" s="129" t="str">
        <f>IFERROR(VLOOKUP($S416,References!$B$3:$C$7,2,FALSE),"")</f>
        <v/>
      </c>
      <c r="V416" s="129" t="str">
        <f t="shared" si="56"/>
        <v/>
      </c>
      <c r="W416" s="74" t="str">
        <f>IFERROR(VLOOKUP($O416,'Customer List'!$A$1:$J$488,10,FALSE),"")</f>
        <v/>
      </c>
    </row>
    <row r="417" spans="1:23">
      <c r="A417" s="125" t="str">
        <f t="shared" si="52"/>
        <v/>
      </c>
      <c r="B417" s="227"/>
      <c r="C417" s="227"/>
      <c r="D417" s="227"/>
      <c r="E417" s="227"/>
      <c r="F417" s="227"/>
      <c r="G417" s="227"/>
      <c r="H417" s="227"/>
      <c r="I417" s="227"/>
      <c r="J417" s="227"/>
      <c r="K417" s="228"/>
      <c r="L417" s="228"/>
      <c r="M417" s="228"/>
      <c r="N417" s="227"/>
      <c r="O417" s="240"/>
      <c r="P417" s="126">
        <f t="shared" si="53"/>
        <v>0</v>
      </c>
      <c r="Q417" s="133"/>
      <c r="R417" s="127">
        <f t="shared" si="54"/>
        <v>0</v>
      </c>
      <c r="T417" s="128">
        <f t="shared" si="55"/>
        <v>0</v>
      </c>
      <c r="U417" s="129" t="str">
        <f>IFERROR(VLOOKUP($S417,References!$B$3:$C$7,2,FALSE),"")</f>
        <v/>
      </c>
      <c r="V417" s="129" t="str">
        <f t="shared" si="56"/>
        <v/>
      </c>
      <c r="W417" s="74" t="str">
        <f>IFERROR(VLOOKUP($O417,'Customer List'!$A$1:$J$488,10,FALSE),"")</f>
        <v/>
      </c>
    </row>
    <row r="418" spans="1:23">
      <c r="A418" s="125" t="str">
        <f t="shared" si="52"/>
        <v/>
      </c>
      <c r="B418" s="227"/>
      <c r="C418" s="227"/>
      <c r="D418" s="227"/>
      <c r="E418" s="227"/>
      <c r="F418" s="227"/>
      <c r="G418" s="240"/>
      <c r="H418" s="240"/>
      <c r="I418" s="240"/>
      <c r="K418" s="228"/>
      <c r="L418" s="228"/>
      <c r="M418" s="228"/>
      <c r="N418" s="227"/>
      <c r="O418" s="240"/>
      <c r="P418" s="126">
        <f t="shared" si="53"/>
        <v>0</v>
      </c>
      <c r="Q418" s="133"/>
      <c r="R418" s="127">
        <f t="shared" si="54"/>
        <v>0</v>
      </c>
      <c r="T418" s="128">
        <f t="shared" si="55"/>
        <v>0</v>
      </c>
      <c r="U418" s="129" t="str">
        <f>IFERROR(VLOOKUP($S418,References!$B$3:$C$7,2,FALSE),"")</f>
        <v/>
      </c>
      <c r="V418" s="129" t="str">
        <f t="shared" si="56"/>
        <v/>
      </c>
      <c r="W418" s="74" t="str">
        <f>IFERROR(VLOOKUP($O418,'Customer List'!$A$1:$J$488,10,FALSE),"")</f>
        <v/>
      </c>
    </row>
    <row r="419" spans="1:23">
      <c r="A419" s="125" t="str">
        <f t="shared" si="52"/>
        <v/>
      </c>
      <c r="B419" s="227"/>
      <c r="C419" s="240"/>
      <c r="D419" s="240"/>
      <c r="E419" s="240"/>
      <c r="F419" s="227"/>
      <c r="G419" s="240"/>
      <c r="H419" s="240"/>
      <c r="I419" s="240"/>
      <c r="K419" s="228"/>
      <c r="L419" s="228"/>
      <c r="M419" s="228"/>
      <c r="N419" s="240"/>
      <c r="O419" s="240"/>
      <c r="P419" s="126">
        <f t="shared" si="53"/>
        <v>0</v>
      </c>
      <c r="Q419" s="242"/>
      <c r="R419" s="127">
        <f t="shared" si="54"/>
        <v>0</v>
      </c>
      <c r="T419" s="128">
        <f t="shared" si="55"/>
        <v>0</v>
      </c>
      <c r="U419" s="129" t="str">
        <f>IFERROR(VLOOKUP($S419,References!$B$3:$C$7,2,FALSE),"")</f>
        <v/>
      </c>
      <c r="V419" s="129" t="str">
        <f t="shared" si="56"/>
        <v/>
      </c>
      <c r="W419" s="74" t="str">
        <f>IFERROR(VLOOKUP($O419,'Customer List'!$A$1:$J$488,10,FALSE),"")</f>
        <v/>
      </c>
    </row>
    <row r="420" spans="1:23">
      <c r="A420" s="125" t="str">
        <f t="shared" si="52"/>
        <v/>
      </c>
      <c r="B420" s="227"/>
      <c r="C420" s="240"/>
      <c r="D420" s="240"/>
      <c r="E420" s="240"/>
      <c r="F420" s="227"/>
      <c r="G420" s="240"/>
      <c r="H420" s="240"/>
      <c r="I420" s="240"/>
      <c r="K420" s="228"/>
      <c r="L420" s="228"/>
      <c r="M420" s="228"/>
      <c r="N420" s="240"/>
      <c r="O420" s="240"/>
      <c r="P420" s="126">
        <f t="shared" si="53"/>
        <v>0</v>
      </c>
      <c r="Q420" s="242"/>
      <c r="R420" s="127">
        <f t="shared" si="54"/>
        <v>0</v>
      </c>
      <c r="T420" s="128">
        <f t="shared" si="55"/>
        <v>0</v>
      </c>
      <c r="U420" s="129" t="str">
        <f>IFERROR(VLOOKUP($S420,References!$B$3:$C$7,2,FALSE),"")</f>
        <v/>
      </c>
      <c r="V420" s="129" t="str">
        <f t="shared" si="56"/>
        <v/>
      </c>
      <c r="W420" s="74" t="str">
        <f>IFERROR(VLOOKUP($O420,'Customer List'!$A$1:$J$488,10,FALSE),"")</f>
        <v/>
      </c>
    </row>
    <row r="421" spans="1:23">
      <c r="A421" s="125" t="str">
        <f t="shared" si="52"/>
        <v/>
      </c>
      <c r="B421" s="227"/>
      <c r="C421" s="240"/>
      <c r="D421" s="240"/>
      <c r="E421" s="240"/>
      <c r="F421" s="227"/>
      <c r="G421" s="240"/>
      <c r="H421" s="240"/>
      <c r="I421" s="240"/>
      <c r="K421" s="228"/>
      <c r="L421" s="228"/>
      <c r="M421" s="228"/>
      <c r="N421" s="240"/>
      <c r="O421" s="240"/>
      <c r="P421" s="126">
        <f t="shared" si="53"/>
        <v>0</v>
      </c>
      <c r="Q421" s="242"/>
      <c r="R421" s="127">
        <f t="shared" si="54"/>
        <v>0</v>
      </c>
      <c r="T421" s="128">
        <f t="shared" si="55"/>
        <v>0</v>
      </c>
      <c r="U421" s="129" t="str">
        <f>IFERROR(VLOOKUP($S421,References!$B$3:$C$7,2,FALSE),"")</f>
        <v/>
      </c>
      <c r="V421" s="129" t="str">
        <f t="shared" si="56"/>
        <v/>
      </c>
      <c r="W421" s="74" t="str">
        <f>IFERROR(VLOOKUP($O421,'Customer List'!$A$1:$J$488,10,FALSE),"")</f>
        <v/>
      </c>
    </row>
    <row r="422" spans="1:23">
      <c r="A422" s="125" t="str">
        <f t="shared" si="52"/>
        <v/>
      </c>
      <c r="B422" s="227"/>
      <c r="C422" s="240"/>
      <c r="D422" s="240"/>
      <c r="E422" s="240"/>
      <c r="F422" s="227"/>
      <c r="G422" s="240"/>
      <c r="H422" s="240"/>
      <c r="I422" s="240"/>
      <c r="K422" s="228"/>
      <c r="L422" s="228"/>
      <c r="M422" s="228"/>
      <c r="N422" s="240"/>
      <c r="O422" s="240"/>
      <c r="P422" s="126">
        <f t="shared" si="53"/>
        <v>0</v>
      </c>
      <c r="Q422" s="242"/>
      <c r="R422" s="127">
        <f t="shared" si="54"/>
        <v>0</v>
      </c>
      <c r="T422" s="128">
        <f t="shared" si="55"/>
        <v>0</v>
      </c>
      <c r="U422" s="129" t="str">
        <f>IFERROR(VLOOKUP($S422,References!$B$3:$C$7,2,FALSE),"")</f>
        <v/>
      </c>
      <c r="V422" s="129" t="str">
        <f t="shared" si="56"/>
        <v/>
      </c>
      <c r="W422" s="74" t="str">
        <f>IFERROR(VLOOKUP($O422,'Customer List'!$A$1:$J$488,10,FALSE),"")</f>
        <v/>
      </c>
    </row>
    <row r="423" spans="1:23">
      <c r="A423" s="125" t="str">
        <f t="shared" si="52"/>
        <v/>
      </c>
      <c r="B423" s="227"/>
      <c r="C423" s="240"/>
      <c r="D423" s="240"/>
      <c r="E423" s="240"/>
      <c r="F423" s="227"/>
      <c r="G423" s="240"/>
      <c r="H423" s="240"/>
      <c r="I423" s="240"/>
      <c r="K423" s="228"/>
      <c r="L423" s="228"/>
      <c r="M423" s="228"/>
      <c r="N423" s="240"/>
      <c r="O423" s="240"/>
      <c r="P423" s="126">
        <f t="shared" si="53"/>
        <v>0</v>
      </c>
      <c r="Q423" s="242"/>
      <c r="R423" s="127">
        <f t="shared" si="54"/>
        <v>0</v>
      </c>
      <c r="T423" s="128">
        <f t="shared" si="55"/>
        <v>0</v>
      </c>
      <c r="U423" s="129" t="str">
        <f>IFERROR(VLOOKUP($S423,References!$B$3:$C$7,2,FALSE),"")</f>
        <v/>
      </c>
      <c r="V423" s="129" t="str">
        <f t="shared" si="56"/>
        <v/>
      </c>
      <c r="W423" s="74" t="str">
        <f>IFERROR(VLOOKUP($O423,'Customer List'!$A$1:$J$488,10,FALSE),"")</f>
        <v/>
      </c>
    </row>
    <row r="424" spans="1:23">
      <c r="A424" s="125" t="str">
        <f t="shared" si="52"/>
        <v/>
      </c>
      <c r="B424" s="227"/>
      <c r="C424" s="240"/>
      <c r="D424" s="240"/>
      <c r="E424" s="240"/>
      <c r="F424" s="227"/>
      <c r="G424" s="240"/>
      <c r="H424" s="240"/>
      <c r="I424" s="240"/>
      <c r="K424" s="228"/>
      <c r="L424" s="228"/>
      <c r="M424" s="228"/>
      <c r="N424" s="240"/>
      <c r="O424" s="240"/>
      <c r="P424" s="126">
        <f t="shared" si="53"/>
        <v>0</v>
      </c>
      <c r="Q424" s="242"/>
      <c r="R424" s="127">
        <f t="shared" si="54"/>
        <v>0</v>
      </c>
      <c r="T424" s="128">
        <f t="shared" si="55"/>
        <v>0</v>
      </c>
      <c r="U424" s="129" t="str">
        <f>IFERROR(VLOOKUP($S424,References!$B$3:$C$7,2,FALSE),"")</f>
        <v/>
      </c>
      <c r="V424" s="129" t="str">
        <f t="shared" si="56"/>
        <v/>
      </c>
      <c r="W424" s="74" t="str">
        <f>IFERROR(VLOOKUP($O424,'Customer List'!$A$1:$J$488,10,FALSE),"")</f>
        <v/>
      </c>
    </row>
    <row r="425" spans="1:23">
      <c r="A425" s="125" t="str">
        <f t="shared" si="52"/>
        <v/>
      </c>
      <c r="B425" s="227"/>
      <c r="C425" s="240"/>
      <c r="D425" s="240"/>
      <c r="E425" s="240"/>
      <c r="F425" s="227"/>
      <c r="G425" s="240"/>
      <c r="H425" s="240"/>
      <c r="I425" s="240"/>
      <c r="K425" s="228"/>
      <c r="L425" s="228"/>
      <c r="M425" s="228"/>
      <c r="N425" s="240"/>
      <c r="O425" s="240"/>
      <c r="P425" s="126">
        <f t="shared" si="53"/>
        <v>0</v>
      </c>
      <c r="Q425" s="242"/>
      <c r="R425" s="127">
        <f t="shared" si="54"/>
        <v>0</v>
      </c>
      <c r="T425" s="128">
        <f t="shared" si="55"/>
        <v>0</v>
      </c>
      <c r="U425" s="129" t="str">
        <f>IFERROR(VLOOKUP($S425,References!$B$3:$C$7,2,FALSE),"")</f>
        <v/>
      </c>
      <c r="V425" s="129" t="str">
        <f t="shared" si="56"/>
        <v/>
      </c>
      <c r="W425" s="74" t="str">
        <f>IFERROR(VLOOKUP($O425,'Customer List'!$A$1:$J$488,10,FALSE),"")</f>
        <v/>
      </c>
    </row>
    <row r="426" spans="1:23">
      <c r="A426" s="125" t="str">
        <f t="shared" si="52"/>
        <v/>
      </c>
      <c r="B426" s="227"/>
      <c r="C426" s="240"/>
      <c r="D426" s="240"/>
      <c r="E426" s="240"/>
      <c r="F426" s="227"/>
      <c r="G426" s="240"/>
      <c r="H426" s="240"/>
      <c r="I426" s="240"/>
      <c r="K426" s="228"/>
      <c r="L426" s="228"/>
      <c r="M426" s="228"/>
      <c r="N426" s="240"/>
      <c r="O426" s="240"/>
      <c r="P426" s="126">
        <f t="shared" si="53"/>
        <v>0</v>
      </c>
      <c r="Q426" s="242"/>
      <c r="R426" s="127">
        <f t="shared" si="54"/>
        <v>0</v>
      </c>
      <c r="T426" s="128">
        <f t="shared" si="55"/>
        <v>0</v>
      </c>
      <c r="U426" s="129" t="str">
        <f>IFERROR(VLOOKUP($S426,References!$B$3:$C$7,2,FALSE),"")</f>
        <v/>
      </c>
      <c r="V426" s="129" t="str">
        <f t="shared" si="56"/>
        <v/>
      </c>
      <c r="W426" s="74" t="str">
        <f>IFERROR(VLOOKUP($O426,'Customer List'!$A$1:$J$488,10,FALSE),"")</f>
        <v/>
      </c>
    </row>
    <row r="427" spans="1:23">
      <c r="A427" s="125" t="str">
        <f t="shared" si="52"/>
        <v/>
      </c>
      <c r="B427" s="227"/>
      <c r="C427" s="227"/>
      <c r="D427" s="227"/>
      <c r="E427" s="227"/>
      <c r="F427" s="227"/>
      <c r="G427" s="227"/>
      <c r="H427" s="227"/>
      <c r="I427" s="227"/>
      <c r="J427" s="227"/>
      <c r="K427" s="228"/>
      <c r="L427" s="228"/>
      <c r="M427" s="228"/>
      <c r="N427" s="227"/>
      <c r="O427" s="240"/>
      <c r="P427" s="126">
        <f t="shared" si="53"/>
        <v>0</v>
      </c>
      <c r="Q427" s="126"/>
      <c r="R427" s="127">
        <f t="shared" si="54"/>
        <v>0</v>
      </c>
      <c r="T427" s="128">
        <f t="shared" si="55"/>
        <v>0</v>
      </c>
      <c r="U427" s="129" t="str">
        <f>IFERROR(VLOOKUP($S427,References!$B$3:$C$7,2,FALSE),"")</f>
        <v/>
      </c>
      <c r="V427" s="129" t="str">
        <f t="shared" si="56"/>
        <v/>
      </c>
      <c r="W427" s="74" t="str">
        <f>IFERROR(VLOOKUP($O427,'Customer List'!$A$1:$J$488,10,FALSE),"")</f>
        <v/>
      </c>
    </row>
    <row r="428" spans="1:23">
      <c r="A428" s="125" t="str">
        <f t="shared" si="52"/>
        <v/>
      </c>
      <c r="B428" s="227"/>
      <c r="C428" s="227"/>
      <c r="D428" s="227"/>
      <c r="E428" s="227"/>
      <c r="F428" s="227"/>
      <c r="G428" s="227"/>
      <c r="H428" s="227"/>
      <c r="I428" s="227"/>
      <c r="J428" s="227"/>
      <c r="K428" s="228"/>
      <c r="L428" s="228"/>
      <c r="M428" s="228"/>
      <c r="N428" s="227"/>
      <c r="O428" s="240"/>
      <c r="P428" s="126">
        <f t="shared" si="53"/>
        <v>0</v>
      </c>
      <c r="Q428" s="126"/>
      <c r="R428" s="127">
        <f t="shared" si="54"/>
        <v>0</v>
      </c>
      <c r="T428" s="128">
        <f t="shared" si="55"/>
        <v>0</v>
      </c>
      <c r="U428" s="129" t="str">
        <f>IFERROR(VLOOKUP($S428,References!$B$3:$C$7,2,FALSE),"")</f>
        <v/>
      </c>
      <c r="V428" s="129" t="str">
        <f t="shared" si="56"/>
        <v/>
      </c>
      <c r="W428" s="74" t="str">
        <f>IFERROR(VLOOKUP($O428,'Customer List'!$A$1:$J$488,10,FALSE),"")</f>
        <v/>
      </c>
    </row>
    <row r="429" spans="1:23">
      <c r="A429" s="125" t="str">
        <f t="shared" si="52"/>
        <v/>
      </c>
      <c r="B429" s="227"/>
      <c r="C429" s="227"/>
      <c r="D429" s="227"/>
      <c r="E429" s="227"/>
      <c r="F429" s="227"/>
      <c r="G429" s="227"/>
      <c r="H429" s="227"/>
      <c r="I429" s="227"/>
      <c r="J429" s="227"/>
      <c r="K429" s="228"/>
      <c r="L429" s="228"/>
      <c r="M429" s="228"/>
      <c r="N429" s="227"/>
      <c r="O429" s="240"/>
      <c r="P429" s="126">
        <f t="shared" si="53"/>
        <v>0</v>
      </c>
      <c r="Q429" s="126"/>
      <c r="R429" s="127">
        <f t="shared" si="54"/>
        <v>0</v>
      </c>
      <c r="T429" s="128">
        <f t="shared" si="55"/>
        <v>0</v>
      </c>
      <c r="U429" s="129" t="str">
        <f>IFERROR(VLOOKUP($S429,References!$B$3:$C$7,2,FALSE),"")</f>
        <v/>
      </c>
      <c r="V429" s="129" t="str">
        <f t="shared" si="56"/>
        <v/>
      </c>
      <c r="W429" s="74" t="str">
        <f>IFERROR(VLOOKUP($O429,'Customer List'!$A$1:$J$488,10,FALSE),"")</f>
        <v/>
      </c>
    </row>
    <row r="430" spans="1:23">
      <c r="A430" s="125" t="str">
        <f t="shared" si="52"/>
        <v/>
      </c>
      <c r="B430" s="227"/>
      <c r="C430" s="227"/>
      <c r="D430" s="227"/>
      <c r="E430" s="227"/>
      <c r="F430" s="227"/>
      <c r="G430" s="227"/>
      <c r="H430" s="227"/>
      <c r="I430" s="227"/>
      <c r="J430" s="227"/>
      <c r="K430" s="228"/>
      <c r="L430" s="228"/>
      <c r="M430" s="228"/>
      <c r="N430" s="227"/>
      <c r="O430" s="240"/>
      <c r="P430" s="126">
        <f t="shared" si="53"/>
        <v>0</v>
      </c>
      <c r="Q430" s="126"/>
      <c r="R430" s="127">
        <f t="shared" si="54"/>
        <v>0</v>
      </c>
      <c r="T430" s="128">
        <f t="shared" si="55"/>
        <v>0</v>
      </c>
      <c r="U430" s="129" t="str">
        <f>IFERROR(VLOOKUP($S430,References!$B$3:$C$7,2,FALSE),"")</f>
        <v/>
      </c>
      <c r="V430" s="129" t="str">
        <f t="shared" si="56"/>
        <v/>
      </c>
      <c r="W430" s="74" t="str">
        <f>IFERROR(VLOOKUP($O430,'Customer List'!$A$1:$J$488,10,FALSE),"")</f>
        <v/>
      </c>
    </row>
    <row r="431" spans="1:23">
      <c r="A431" s="125" t="str">
        <f t="shared" si="52"/>
        <v/>
      </c>
      <c r="B431" s="227"/>
      <c r="C431" s="227"/>
      <c r="D431" s="227"/>
      <c r="E431" s="227"/>
      <c r="F431" s="227"/>
      <c r="G431" s="227"/>
      <c r="H431" s="227"/>
      <c r="I431" s="227"/>
      <c r="J431" s="227"/>
      <c r="K431" s="228"/>
      <c r="L431" s="228"/>
      <c r="M431" s="228"/>
      <c r="N431" s="227"/>
      <c r="O431" s="240"/>
      <c r="P431" s="126">
        <f t="shared" si="53"/>
        <v>0</v>
      </c>
      <c r="Q431" s="133"/>
      <c r="R431" s="127">
        <f t="shared" si="54"/>
        <v>0</v>
      </c>
      <c r="T431" s="128">
        <f t="shared" si="55"/>
        <v>0</v>
      </c>
      <c r="U431" s="129" t="str">
        <f>IFERROR(VLOOKUP($S431,References!$B$3:$C$7,2,FALSE),"")</f>
        <v/>
      </c>
      <c r="V431" s="129" t="str">
        <f t="shared" si="56"/>
        <v/>
      </c>
      <c r="W431" s="74" t="str">
        <f>IFERROR(VLOOKUP($O431,'Customer List'!$A$1:$J$488,10,FALSE),"")</f>
        <v/>
      </c>
    </row>
    <row r="432" spans="1:23">
      <c r="A432" s="125" t="str">
        <f t="shared" si="52"/>
        <v/>
      </c>
      <c r="B432" s="227"/>
      <c r="C432" s="227"/>
      <c r="D432" s="227"/>
      <c r="E432" s="227"/>
      <c r="F432" s="227"/>
      <c r="G432" s="227"/>
      <c r="H432" s="227"/>
      <c r="I432" s="227"/>
      <c r="J432" s="227"/>
      <c r="K432" s="228"/>
      <c r="L432" s="228"/>
      <c r="M432" s="228"/>
      <c r="N432" s="227"/>
      <c r="O432" s="240"/>
      <c r="P432" s="126">
        <f t="shared" si="53"/>
        <v>0</v>
      </c>
      <c r="Q432" s="126"/>
      <c r="R432" s="127">
        <f t="shared" si="54"/>
        <v>0</v>
      </c>
      <c r="T432" s="128">
        <f t="shared" si="55"/>
        <v>0</v>
      </c>
      <c r="U432" s="129" t="str">
        <f>IFERROR(VLOOKUP($S432,References!$B$3:$C$7,2,FALSE),"")</f>
        <v/>
      </c>
      <c r="V432" s="129" t="str">
        <f t="shared" si="56"/>
        <v/>
      </c>
      <c r="W432" s="74" t="str">
        <f>IFERROR(VLOOKUP($O432,'Customer List'!$A$1:$J$488,10,FALSE),"")</f>
        <v/>
      </c>
    </row>
    <row r="433" spans="1:23">
      <c r="A433" s="125" t="str">
        <f t="shared" si="52"/>
        <v/>
      </c>
      <c r="B433" s="227"/>
      <c r="C433" s="227"/>
      <c r="D433" s="227"/>
      <c r="E433" s="227"/>
      <c r="F433" s="227"/>
      <c r="G433" s="227"/>
      <c r="H433" s="227"/>
      <c r="I433" s="227"/>
      <c r="J433" s="227"/>
      <c r="K433" s="228"/>
      <c r="L433" s="228"/>
      <c r="M433" s="228"/>
      <c r="N433" s="227"/>
      <c r="O433" s="240"/>
      <c r="P433" s="126">
        <f t="shared" si="53"/>
        <v>0</v>
      </c>
      <c r="Q433" s="126"/>
      <c r="R433" s="127">
        <f t="shared" si="54"/>
        <v>0</v>
      </c>
      <c r="T433" s="128">
        <f t="shared" si="55"/>
        <v>0</v>
      </c>
      <c r="U433" s="129" t="str">
        <f>IFERROR(VLOOKUP($S433,References!$B$3:$C$7,2,FALSE),"")</f>
        <v/>
      </c>
      <c r="V433" s="129" t="str">
        <f t="shared" si="56"/>
        <v/>
      </c>
      <c r="W433" s="74" t="str">
        <f>IFERROR(VLOOKUP($O433,'Customer List'!$A$1:$J$488,10,FALSE),"")</f>
        <v/>
      </c>
    </row>
    <row r="434" spans="1:23">
      <c r="A434" s="125" t="str">
        <f t="shared" si="52"/>
        <v/>
      </c>
      <c r="B434" s="227"/>
      <c r="C434" s="227"/>
      <c r="D434" s="227"/>
      <c r="E434" s="227"/>
      <c r="F434" s="227"/>
      <c r="G434" s="227"/>
      <c r="H434" s="227"/>
      <c r="I434" s="227"/>
      <c r="J434" s="227"/>
      <c r="K434" s="228"/>
      <c r="L434" s="228"/>
      <c r="M434" s="228"/>
      <c r="N434" s="227"/>
      <c r="O434" s="240"/>
      <c r="P434" s="126">
        <f t="shared" si="53"/>
        <v>0</v>
      </c>
      <c r="Q434" s="126"/>
      <c r="R434" s="127">
        <f t="shared" si="54"/>
        <v>0</v>
      </c>
      <c r="T434" s="128">
        <f t="shared" si="55"/>
        <v>0</v>
      </c>
      <c r="U434" s="129" t="str">
        <f>IFERROR(VLOOKUP($S434,References!$B$3:$C$7,2,FALSE),"")</f>
        <v/>
      </c>
      <c r="V434" s="129" t="str">
        <f t="shared" si="56"/>
        <v/>
      </c>
      <c r="W434" s="74" t="str">
        <f>IFERROR(VLOOKUP($O434,'Customer List'!$A$1:$J$488,10,FALSE),"")</f>
        <v/>
      </c>
    </row>
    <row r="435" spans="1:23">
      <c r="A435" s="125" t="str">
        <f t="shared" si="52"/>
        <v/>
      </c>
      <c r="B435" s="227"/>
      <c r="C435" s="227"/>
      <c r="D435" s="227"/>
      <c r="E435" s="227"/>
      <c r="F435" s="227"/>
      <c r="G435" s="227"/>
      <c r="H435" s="227"/>
      <c r="I435" s="227"/>
      <c r="J435" s="227"/>
      <c r="K435" s="228"/>
      <c r="L435" s="228"/>
      <c r="M435" s="228"/>
      <c r="N435" s="227"/>
      <c r="O435" s="240"/>
      <c r="P435" s="126">
        <f t="shared" si="53"/>
        <v>0</v>
      </c>
      <c r="Q435" s="133"/>
      <c r="R435" s="127">
        <f t="shared" si="54"/>
        <v>0</v>
      </c>
      <c r="T435" s="128">
        <f t="shared" si="55"/>
        <v>0</v>
      </c>
      <c r="U435" s="129" t="str">
        <f>IFERROR(VLOOKUP($S435,References!$B$3:$C$7,2,FALSE),"")</f>
        <v/>
      </c>
      <c r="V435" s="129" t="str">
        <f t="shared" si="56"/>
        <v/>
      </c>
      <c r="W435" s="74" t="str">
        <f>IFERROR(VLOOKUP($O435,'Customer List'!$A$1:$J$488,10,FALSE),"")</f>
        <v/>
      </c>
    </row>
    <row r="436" spans="1:23">
      <c r="A436" s="125" t="str">
        <f t="shared" si="52"/>
        <v/>
      </c>
      <c r="B436" s="227"/>
      <c r="C436" s="227"/>
      <c r="D436" s="227"/>
      <c r="E436" s="227"/>
      <c r="F436" s="227"/>
      <c r="G436" s="227"/>
      <c r="H436" s="227"/>
      <c r="I436" s="229"/>
      <c r="J436" s="227"/>
      <c r="K436" s="228"/>
      <c r="L436" s="228"/>
      <c r="M436" s="228"/>
      <c r="N436" s="227"/>
      <c r="O436" s="240"/>
      <c r="P436" s="126">
        <f t="shared" si="53"/>
        <v>0</v>
      </c>
      <c r="Q436" s="133"/>
      <c r="R436" s="127">
        <f t="shared" ref="R436:R456" si="57">L436-K436</f>
        <v>0</v>
      </c>
      <c r="T436" s="128">
        <f t="shared" si="55"/>
        <v>0</v>
      </c>
      <c r="U436" s="129" t="str">
        <f>IFERROR(VLOOKUP($S436,References!$B$3:$C$7,2,FALSE),"")</f>
        <v/>
      </c>
      <c r="V436" s="129" t="str">
        <f t="shared" si="56"/>
        <v/>
      </c>
      <c r="W436" s="74" t="str">
        <f>IFERROR(VLOOKUP($O436,'Customer List'!$A$1:$J$488,10,FALSE),"")</f>
        <v/>
      </c>
    </row>
    <row r="437" spans="1:23">
      <c r="A437" s="125" t="str">
        <f t="shared" si="52"/>
        <v/>
      </c>
      <c r="B437" s="227"/>
      <c r="C437" s="227"/>
      <c r="D437" s="227"/>
      <c r="E437" s="227"/>
      <c r="F437" s="227"/>
      <c r="G437" s="227"/>
      <c r="H437" s="227"/>
      <c r="I437" s="227"/>
      <c r="J437" s="227"/>
      <c r="K437" s="228"/>
      <c r="L437" s="228"/>
      <c r="M437" s="228"/>
      <c r="N437" s="227"/>
      <c r="O437" s="240"/>
      <c r="P437" s="126">
        <f t="shared" si="53"/>
        <v>0</v>
      </c>
      <c r="Q437" s="126"/>
      <c r="R437" s="127">
        <f t="shared" si="57"/>
        <v>0</v>
      </c>
      <c r="T437" s="128">
        <f t="shared" si="55"/>
        <v>0</v>
      </c>
      <c r="U437" s="129" t="str">
        <f>IFERROR(VLOOKUP($S437,References!$B$3:$C$7,2,FALSE),"")</f>
        <v/>
      </c>
      <c r="V437" s="129" t="str">
        <f t="shared" si="56"/>
        <v/>
      </c>
      <c r="W437" s="74" t="str">
        <f>IFERROR(VLOOKUP($O437,'Customer List'!$A$1:$J$488,10,FALSE),"")</f>
        <v/>
      </c>
    </row>
    <row r="438" spans="1:23">
      <c r="A438" s="125" t="str">
        <f t="shared" si="52"/>
        <v/>
      </c>
      <c r="B438" s="227"/>
      <c r="C438" s="227"/>
      <c r="D438" s="227"/>
      <c r="E438" s="227"/>
      <c r="F438" s="227"/>
      <c r="G438" s="227"/>
      <c r="H438" s="227"/>
      <c r="I438" s="227"/>
      <c r="J438" s="227"/>
      <c r="K438" s="228"/>
      <c r="L438" s="228"/>
      <c r="M438" s="228"/>
      <c r="N438" s="227"/>
      <c r="O438" s="240"/>
      <c r="P438" s="126">
        <f t="shared" si="53"/>
        <v>0</v>
      </c>
      <c r="Q438" s="126"/>
      <c r="R438" s="127">
        <f t="shared" si="57"/>
        <v>0</v>
      </c>
      <c r="T438" s="128">
        <f t="shared" si="55"/>
        <v>0</v>
      </c>
      <c r="U438" s="129" t="str">
        <f>IFERROR(VLOOKUP($S438,References!$B$3:$C$7,2,FALSE),"")</f>
        <v/>
      </c>
      <c r="V438" s="129" t="str">
        <f t="shared" si="56"/>
        <v/>
      </c>
      <c r="W438" s="74" t="str">
        <f>IFERROR(VLOOKUP($O438,'Customer List'!$A$1:$J$488,10,FALSE),"")</f>
        <v/>
      </c>
    </row>
    <row r="439" spans="1:23">
      <c r="A439" s="125" t="str">
        <f t="shared" si="52"/>
        <v/>
      </c>
      <c r="B439" s="227"/>
      <c r="C439" s="227"/>
      <c r="D439" s="227"/>
      <c r="E439" s="227"/>
      <c r="F439" s="227"/>
      <c r="G439" s="227"/>
      <c r="H439" s="227"/>
      <c r="I439" s="227"/>
      <c r="J439" s="227"/>
      <c r="K439" s="228"/>
      <c r="L439" s="228"/>
      <c r="M439" s="228"/>
      <c r="N439" s="227"/>
      <c r="O439" s="240"/>
      <c r="P439" s="126">
        <f t="shared" si="53"/>
        <v>0</v>
      </c>
      <c r="Q439" s="126"/>
      <c r="R439" s="127">
        <f t="shared" si="57"/>
        <v>0</v>
      </c>
      <c r="T439" s="128">
        <f t="shared" si="55"/>
        <v>0</v>
      </c>
      <c r="U439" s="129" t="str">
        <f>IFERROR(VLOOKUP($S439,References!$B$3:$C$7,2,FALSE),"")</f>
        <v/>
      </c>
      <c r="V439" s="129" t="str">
        <f t="shared" si="56"/>
        <v/>
      </c>
      <c r="W439" s="74" t="str">
        <f>IFERROR(VLOOKUP($O439,'Customer List'!$A$1:$J$488,10,FALSE),"")</f>
        <v/>
      </c>
    </row>
    <row r="440" spans="1:23">
      <c r="A440" s="125" t="str">
        <f t="shared" si="52"/>
        <v/>
      </c>
      <c r="B440" s="227"/>
      <c r="C440" s="227"/>
      <c r="D440" s="227"/>
      <c r="E440" s="227"/>
      <c r="F440" s="227"/>
      <c r="G440" s="227"/>
      <c r="H440" s="227"/>
      <c r="I440" s="227"/>
      <c r="J440" s="227"/>
      <c r="K440" s="228"/>
      <c r="L440" s="228"/>
      <c r="M440" s="228"/>
      <c r="N440" s="227"/>
      <c r="O440" s="240"/>
      <c r="P440" s="126">
        <f t="shared" si="53"/>
        <v>0</v>
      </c>
      <c r="Q440" s="126"/>
      <c r="R440" s="127">
        <f t="shared" si="57"/>
        <v>0</v>
      </c>
      <c r="T440" s="128">
        <f t="shared" si="55"/>
        <v>0</v>
      </c>
      <c r="U440" s="129" t="str">
        <f>IFERROR(VLOOKUP($S440,References!$B$3:$C$7,2,FALSE),"")</f>
        <v/>
      </c>
      <c r="V440" s="129" t="str">
        <f t="shared" si="56"/>
        <v/>
      </c>
      <c r="W440" s="74" t="str">
        <f>IFERROR(VLOOKUP($O440,'Customer List'!$A$1:$J$488,10,FALSE),"")</f>
        <v/>
      </c>
    </row>
    <row r="441" spans="1:23">
      <c r="A441" s="125" t="str">
        <f t="shared" si="52"/>
        <v/>
      </c>
      <c r="B441" s="227"/>
      <c r="C441" s="227"/>
      <c r="D441" s="227"/>
      <c r="E441" s="227"/>
      <c r="F441" s="227"/>
      <c r="G441" s="227"/>
      <c r="H441" s="227"/>
      <c r="I441" s="227"/>
      <c r="J441" s="227"/>
      <c r="K441" s="228"/>
      <c r="L441" s="228"/>
      <c r="M441" s="228"/>
      <c r="N441" s="227"/>
      <c r="O441" s="240"/>
      <c r="P441" s="126">
        <f t="shared" si="53"/>
        <v>0</v>
      </c>
      <c r="Q441" s="126"/>
      <c r="R441" s="127">
        <f t="shared" si="57"/>
        <v>0</v>
      </c>
      <c r="T441" s="128">
        <f t="shared" si="55"/>
        <v>0</v>
      </c>
      <c r="U441" s="129" t="str">
        <f>IFERROR(VLOOKUP($S441,References!$B$3:$C$7,2,FALSE),"")</f>
        <v/>
      </c>
      <c r="V441" s="129" t="str">
        <f t="shared" si="56"/>
        <v/>
      </c>
      <c r="W441" s="74" t="str">
        <f>IFERROR(VLOOKUP($O441,'Customer List'!$A$1:$J$488,10,FALSE),"")</f>
        <v/>
      </c>
    </row>
    <row r="442" spans="1:23">
      <c r="A442" s="125" t="str">
        <f t="shared" si="52"/>
        <v/>
      </c>
      <c r="B442" s="227"/>
      <c r="C442" s="227"/>
      <c r="D442" s="227"/>
      <c r="E442" s="227"/>
      <c r="F442" s="227"/>
      <c r="G442" s="227"/>
      <c r="H442" s="227"/>
      <c r="I442" s="227"/>
      <c r="J442" s="227"/>
      <c r="K442" s="228"/>
      <c r="L442" s="228"/>
      <c r="M442" s="228"/>
      <c r="N442" s="227"/>
      <c r="O442" s="240"/>
      <c r="P442" s="126">
        <f t="shared" si="53"/>
        <v>0</v>
      </c>
      <c r="Q442" s="126"/>
      <c r="R442" s="127">
        <f t="shared" si="57"/>
        <v>0</v>
      </c>
      <c r="T442" s="128">
        <f t="shared" si="55"/>
        <v>0</v>
      </c>
      <c r="U442" s="129" t="str">
        <f>IFERROR(VLOOKUP($S442,References!$B$3:$C$7,2,FALSE),"")</f>
        <v/>
      </c>
      <c r="V442" s="129" t="str">
        <f t="shared" si="56"/>
        <v/>
      </c>
      <c r="W442" s="74" t="str">
        <f>IFERROR(VLOOKUP($O442,'Customer List'!$A$1:$J$488,10,FALSE),"")</f>
        <v/>
      </c>
    </row>
    <row r="443" spans="1:23">
      <c r="A443" s="125" t="str">
        <f t="shared" si="52"/>
        <v/>
      </c>
      <c r="B443" s="227"/>
      <c r="C443" s="227"/>
      <c r="D443" s="227"/>
      <c r="E443" s="227"/>
      <c r="F443" s="227"/>
      <c r="G443" s="227"/>
      <c r="H443" s="227"/>
      <c r="I443" s="227"/>
      <c r="J443" s="227"/>
      <c r="K443" s="228"/>
      <c r="L443" s="228"/>
      <c r="M443" s="228"/>
      <c r="N443" s="227"/>
      <c r="O443" s="240"/>
      <c r="P443" s="126">
        <f t="shared" si="53"/>
        <v>0</v>
      </c>
      <c r="Q443" s="133"/>
      <c r="R443" s="127">
        <f t="shared" si="57"/>
        <v>0</v>
      </c>
      <c r="T443" s="128">
        <f t="shared" si="55"/>
        <v>0</v>
      </c>
      <c r="U443" s="129" t="str">
        <f>IFERROR(VLOOKUP($S443,References!$B$3:$C$7,2,FALSE),"")</f>
        <v/>
      </c>
      <c r="V443" s="129" t="str">
        <f t="shared" si="56"/>
        <v/>
      </c>
      <c r="W443" s="74" t="str">
        <f>IFERROR(VLOOKUP($O443,'Customer List'!$A$1:$J$488,10,FALSE),"")</f>
        <v/>
      </c>
    </row>
    <row r="444" spans="1:23">
      <c r="A444" s="125" t="str">
        <f t="shared" si="52"/>
        <v/>
      </c>
      <c r="B444" s="227"/>
      <c r="C444" s="227"/>
      <c r="D444" s="227"/>
      <c r="E444" s="227"/>
      <c r="F444" s="227"/>
      <c r="G444" s="227"/>
      <c r="H444" s="227"/>
      <c r="I444" s="227"/>
      <c r="J444" s="227"/>
      <c r="K444" s="228"/>
      <c r="L444" s="228"/>
      <c r="M444" s="228"/>
      <c r="N444" s="227"/>
      <c r="O444" s="240"/>
      <c r="P444" s="126">
        <f t="shared" si="53"/>
        <v>0</v>
      </c>
      <c r="Q444" s="126"/>
      <c r="R444" s="127">
        <f t="shared" si="57"/>
        <v>0</v>
      </c>
      <c r="T444" s="128">
        <f t="shared" si="55"/>
        <v>0</v>
      </c>
      <c r="U444" s="129" t="str">
        <f>IFERROR(VLOOKUP($S444,References!$B$3:$C$7,2,FALSE),"")</f>
        <v/>
      </c>
      <c r="V444" s="129" t="str">
        <f t="shared" si="56"/>
        <v/>
      </c>
      <c r="W444" s="74" t="str">
        <f>IFERROR(VLOOKUP($O444,'Customer List'!$A$1:$J$488,10,FALSE),"")</f>
        <v/>
      </c>
    </row>
    <row r="445" spans="1:23">
      <c r="A445" s="125" t="str">
        <f t="shared" si="52"/>
        <v/>
      </c>
      <c r="B445" s="227"/>
      <c r="C445" s="227"/>
      <c r="D445" s="227"/>
      <c r="E445" s="227"/>
      <c r="F445" s="227"/>
      <c r="G445" s="227"/>
      <c r="H445" s="227"/>
      <c r="I445" s="227"/>
      <c r="J445" s="227"/>
      <c r="K445" s="228"/>
      <c r="L445" s="228"/>
      <c r="M445" s="228"/>
      <c r="N445" s="227"/>
      <c r="O445" s="240"/>
      <c r="P445" s="126">
        <f t="shared" si="53"/>
        <v>0</v>
      </c>
      <c r="Q445" s="126"/>
      <c r="R445" s="127">
        <f t="shared" si="57"/>
        <v>0</v>
      </c>
      <c r="T445" s="128">
        <f t="shared" si="55"/>
        <v>0</v>
      </c>
      <c r="U445" s="129" t="str">
        <f>IFERROR(VLOOKUP($S445,References!$B$3:$C$7,2,FALSE),"")</f>
        <v/>
      </c>
      <c r="V445" s="129" t="str">
        <f t="shared" si="56"/>
        <v/>
      </c>
      <c r="W445" s="74" t="str">
        <f>IFERROR(VLOOKUP($O445,'Customer List'!$A$1:$J$488,10,FALSE),"")</f>
        <v/>
      </c>
    </row>
    <row r="446" spans="1:23">
      <c r="A446" s="125" t="str">
        <f t="shared" si="52"/>
        <v/>
      </c>
      <c r="B446" s="144"/>
      <c r="C446" s="144"/>
      <c r="D446" s="144"/>
      <c r="E446" s="144"/>
      <c r="F446" s="144"/>
      <c r="G446" s="144"/>
      <c r="H446" s="144"/>
      <c r="I446" s="144"/>
      <c r="J446" s="144"/>
      <c r="K446" s="145"/>
      <c r="L446" s="145"/>
      <c r="M446" s="145"/>
      <c r="N446" s="144"/>
      <c r="O446" s="240"/>
      <c r="P446" s="126">
        <f t="shared" si="53"/>
        <v>0</v>
      </c>
      <c r="Q446" s="126"/>
      <c r="R446" s="127">
        <f t="shared" si="57"/>
        <v>0</v>
      </c>
      <c r="T446" s="128">
        <f t="shared" si="55"/>
        <v>0</v>
      </c>
      <c r="U446" s="129" t="str">
        <f>IFERROR(VLOOKUP($S446,References!$B$3:$C$7,2,FALSE),"")</f>
        <v/>
      </c>
      <c r="V446" s="129" t="str">
        <f t="shared" si="56"/>
        <v/>
      </c>
      <c r="W446" s="74" t="str">
        <f>IFERROR(VLOOKUP($O446,'Customer List'!$A$1:$J$488,10,FALSE),"")</f>
        <v/>
      </c>
    </row>
    <row r="447" spans="1:23">
      <c r="A447" s="125" t="str">
        <f t="shared" si="52"/>
        <v/>
      </c>
      <c r="B447" s="144"/>
      <c r="C447" s="144"/>
      <c r="D447" s="144"/>
      <c r="E447" s="144"/>
      <c r="F447" s="144"/>
      <c r="G447" s="227"/>
      <c r="H447" s="227"/>
      <c r="I447" s="227"/>
      <c r="J447" s="144"/>
      <c r="K447" s="145"/>
      <c r="L447" s="145"/>
      <c r="M447" s="145"/>
      <c r="N447" s="144"/>
      <c r="O447" s="240"/>
      <c r="P447" s="126">
        <f t="shared" si="53"/>
        <v>0</v>
      </c>
      <c r="Q447" s="126"/>
      <c r="R447" s="127">
        <f t="shared" si="57"/>
        <v>0</v>
      </c>
      <c r="T447" s="128">
        <f t="shared" si="55"/>
        <v>0</v>
      </c>
      <c r="U447" s="129" t="str">
        <f>IFERROR(VLOOKUP($S447,References!$B$3:$C$7,2,FALSE),"")</f>
        <v/>
      </c>
      <c r="V447" s="129" t="str">
        <f t="shared" si="56"/>
        <v/>
      </c>
      <c r="W447" s="74" t="str">
        <f>IFERROR(VLOOKUP($O447,'Customer List'!$A$1:$J$488,10,FALSE),"")</f>
        <v/>
      </c>
    </row>
    <row r="448" spans="1:23">
      <c r="A448" s="125" t="str">
        <f t="shared" si="52"/>
        <v/>
      </c>
      <c r="B448" s="144"/>
      <c r="C448" s="227"/>
      <c r="D448" s="227"/>
      <c r="E448" s="227"/>
      <c r="F448" s="144"/>
      <c r="G448" s="227"/>
      <c r="H448" s="227"/>
      <c r="I448" s="227"/>
      <c r="J448" s="144"/>
      <c r="K448" s="145"/>
      <c r="L448" s="145"/>
      <c r="M448" s="145"/>
      <c r="N448" s="227"/>
      <c r="O448" s="240"/>
      <c r="P448" s="126">
        <f t="shared" si="53"/>
        <v>0</v>
      </c>
      <c r="Q448" s="126"/>
      <c r="R448" s="127">
        <f t="shared" si="57"/>
        <v>0</v>
      </c>
      <c r="T448" s="128">
        <f t="shared" si="55"/>
        <v>0</v>
      </c>
      <c r="U448" s="129" t="str">
        <f>IFERROR(VLOOKUP($S448,References!$B$3:$C$7,2,FALSE),"")</f>
        <v/>
      </c>
      <c r="V448" s="129" t="str">
        <f t="shared" si="56"/>
        <v/>
      </c>
      <c r="W448" s="74" t="str">
        <f>IFERROR(VLOOKUP($O448,'Customer List'!$A$1:$J$488,10,FALSE),"")</f>
        <v/>
      </c>
    </row>
    <row r="449" spans="1:23">
      <c r="A449" s="125" t="str">
        <f t="shared" si="52"/>
        <v/>
      </c>
      <c r="B449" s="144"/>
      <c r="C449" s="227"/>
      <c r="D449" s="227"/>
      <c r="E449" s="227"/>
      <c r="F449" s="144"/>
      <c r="G449" s="227"/>
      <c r="H449" s="227"/>
      <c r="I449" s="227"/>
      <c r="J449" s="144"/>
      <c r="K449" s="145"/>
      <c r="L449" s="145"/>
      <c r="M449" s="145"/>
      <c r="N449" s="227"/>
      <c r="O449" s="240"/>
      <c r="P449" s="126">
        <f t="shared" si="53"/>
        <v>0</v>
      </c>
      <c r="Q449" s="126"/>
      <c r="R449" s="127">
        <f t="shared" si="57"/>
        <v>0</v>
      </c>
      <c r="T449" s="128">
        <f t="shared" si="55"/>
        <v>0</v>
      </c>
      <c r="U449" s="129" t="str">
        <f>IFERROR(VLOOKUP($S449,References!$B$3:$C$7,2,FALSE),"")</f>
        <v/>
      </c>
      <c r="V449" s="129" t="str">
        <f t="shared" si="56"/>
        <v/>
      </c>
      <c r="W449" s="74" t="str">
        <f>IFERROR(VLOOKUP($O449,'Customer List'!$A$1:$J$488,10,FALSE),"")</f>
        <v/>
      </c>
    </row>
    <row r="450" spans="1:23">
      <c r="A450" s="125" t="str">
        <f t="shared" si="52"/>
        <v/>
      </c>
      <c r="B450" s="144"/>
      <c r="C450" s="227"/>
      <c r="D450" s="227"/>
      <c r="E450" s="227"/>
      <c r="F450" s="144"/>
      <c r="G450" s="227"/>
      <c r="H450" s="227"/>
      <c r="I450" s="227"/>
      <c r="J450" s="144"/>
      <c r="K450" s="145"/>
      <c r="L450" s="145"/>
      <c r="M450" s="145"/>
      <c r="N450" s="227"/>
      <c r="O450" s="240"/>
      <c r="P450" s="126">
        <f t="shared" si="53"/>
        <v>0</v>
      </c>
      <c r="Q450" s="126"/>
      <c r="R450" s="127">
        <f t="shared" si="57"/>
        <v>0</v>
      </c>
      <c r="T450" s="128">
        <f t="shared" si="55"/>
        <v>0</v>
      </c>
      <c r="U450" s="129" t="str">
        <f>IFERROR(VLOOKUP($S450,References!$B$3:$C$7,2,FALSE),"")</f>
        <v/>
      </c>
      <c r="V450" s="129" t="str">
        <f t="shared" si="56"/>
        <v/>
      </c>
      <c r="W450" s="74" t="str">
        <f>IFERROR(VLOOKUP($O450,'Customer List'!$A$1:$J$488,10,FALSE),"")</f>
        <v/>
      </c>
    </row>
    <row r="451" spans="1:23">
      <c r="A451" s="125" t="str">
        <f t="shared" si="52"/>
        <v/>
      </c>
      <c r="B451" s="144"/>
      <c r="C451" s="227"/>
      <c r="D451" s="227"/>
      <c r="E451" s="227"/>
      <c r="F451" s="144"/>
      <c r="G451" s="227"/>
      <c r="H451" s="227"/>
      <c r="I451" s="227"/>
      <c r="J451" s="144"/>
      <c r="K451" s="145"/>
      <c r="L451" s="145"/>
      <c r="M451" s="145"/>
      <c r="N451" s="227"/>
      <c r="O451" s="240"/>
      <c r="P451" s="126">
        <f t="shared" si="53"/>
        <v>0</v>
      </c>
      <c r="Q451" s="126"/>
      <c r="R451" s="127">
        <f t="shared" si="57"/>
        <v>0</v>
      </c>
      <c r="T451" s="128">
        <f t="shared" si="55"/>
        <v>0</v>
      </c>
      <c r="U451" s="129" t="str">
        <f>IFERROR(VLOOKUP($S451,References!$B$3:$C$7,2,FALSE),"")</f>
        <v/>
      </c>
      <c r="V451" s="129" t="str">
        <f t="shared" si="56"/>
        <v/>
      </c>
      <c r="W451" s="74" t="str">
        <f>IFERROR(VLOOKUP($O451,'Customer List'!$A$1:$J$488,10,FALSE),"")</f>
        <v/>
      </c>
    </row>
    <row r="452" spans="1:23">
      <c r="A452" s="125" t="str">
        <f t="shared" si="52"/>
        <v/>
      </c>
      <c r="B452" s="144"/>
      <c r="C452" s="227"/>
      <c r="D452" s="227"/>
      <c r="E452" s="227"/>
      <c r="F452" s="144"/>
      <c r="G452" s="227"/>
      <c r="H452" s="227"/>
      <c r="I452" s="227"/>
      <c r="J452" s="144"/>
      <c r="K452" s="145"/>
      <c r="L452" s="145"/>
      <c r="M452" s="145"/>
      <c r="N452" s="227"/>
      <c r="O452" s="240"/>
      <c r="P452" s="126">
        <f t="shared" si="53"/>
        <v>0</v>
      </c>
      <c r="Q452" s="126"/>
      <c r="R452" s="127">
        <f t="shared" si="57"/>
        <v>0</v>
      </c>
      <c r="T452" s="128">
        <f t="shared" si="55"/>
        <v>0</v>
      </c>
      <c r="U452" s="129" t="str">
        <f>IFERROR(VLOOKUP($S452,References!$B$3:$C$7,2,FALSE),"")</f>
        <v/>
      </c>
      <c r="V452" s="129" t="str">
        <f t="shared" si="56"/>
        <v/>
      </c>
      <c r="W452" s="74" t="str">
        <f>IFERROR(VLOOKUP($O452,'Customer List'!$A$1:$J$488,10,FALSE),"")</f>
        <v/>
      </c>
    </row>
    <row r="453" spans="1:23">
      <c r="A453" s="125" t="str">
        <f t="shared" si="52"/>
        <v/>
      </c>
      <c r="B453" s="144"/>
      <c r="C453" s="227"/>
      <c r="D453" s="227"/>
      <c r="E453" s="227"/>
      <c r="F453" s="144"/>
      <c r="G453" s="227"/>
      <c r="H453" s="227"/>
      <c r="I453" s="227"/>
      <c r="J453" s="144"/>
      <c r="K453" s="145"/>
      <c r="L453" s="145"/>
      <c r="M453" s="145"/>
      <c r="N453" s="227"/>
      <c r="O453" s="240"/>
      <c r="P453" s="126">
        <f t="shared" si="53"/>
        <v>0</v>
      </c>
      <c r="Q453" s="126"/>
      <c r="R453" s="127">
        <f t="shared" si="57"/>
        <v>0</v>
      </c>
      <c r="T453" s="128">
        <f t="shared" si="55"/>
        <v>0</v>
      </c>
      <c r="U453" s="129" t="str">
        <f>IFERROR(VLOOKUP($S453,References!$B$3:$C$7,2,FALSE),"")</f>
        <v/>
      </c>
      <c r="V453" s="129" t="str">
        <f t="shared" si="56"/>
        <v/>
      </c>
      <c r="W453" s="74" t="str">
        <f>IFERROR(VLOOKUP($O453,'Customer List'!$A$1:$J$488,10,FALSE),"")</f>
        <v/>
      </c>
    </row>
    <row r="454" spans="1:23">
      <c r="A454" s="125" t="str">
        <f t="shared" si="52"/>
        <v/>
      </c>
      <c r="B454" s="144"/>
      <c r="C454" s="227"/>
      <c r="D454" s="227"/>
      <c r="E454" s="227"/>
      <c r="F454" s="144"/>
      <c r="G454" s="227"/>
      <c r="H454" s="227"/>
      <c r="I454" s="227"/>
      <c r="J454" s="144"/>
      <c r="K454" s="145"/>
      <c r="L454" s="145"/>
      <c r="M454" s="145"/>
      <c r="N454" s="227"/>
      <c r="O454" s="240"/>
      <c r="P454" s="126">
        <f t="shared" si="53"/>
        <v>0</v>
      </c>
      <c r="Q454" s="126"/>
      <c r="R454" s="127">
        <f t="shared" si="57"/>
        <v>0</v>
      </c>
      <c r="T454" s="128">
        <f t="shared" si="55"/>
        <v>0</v>
      </c>
      <c r="U454" s="129" t="str">
        <f>IFERROR(VLOOKUP($S454,References!$B$3:$C$7,2,FALSE),"")</f>
        <v/>
      </c>
      <c r="V454" s="129" t="str">
        <f t="shared" si="56"/>
        <v/>
      </c>
      <c r="W454" s="74" t="str">
        <f>IFERROR(VLOOKUP($O454,'Customer List'!$A$1:$J$488,10,FALSE),"")</f>
        <v/>
      </c>
    </row>
    <row r="455" spans="1:23">
      <c r="A455" s="125" t="str">
        <f t="shared" si="52"/>
        <v/>
      </c>
      <c r="B455" s="144"/>
      <c r="C455" s="227"/>
      <c r="D455" s="227"/>
      <c r="E455" s="227"/>
      <c r="F455" s="144"/>
      <c r="G455" s="227"/>
      <c r="H455" s="227"/>
      <c r="I455" s="227"/>
      <c r="J455" s="144"/>
      <c r="K455" s="145"/>
      <c r="L455" s="145"/>
      <c r="M455" s="145"/>
      <c r="N455" s="227"/>
      <c r="O455" s="240"/>
      <c r="P455" s="126">
        <f t="shared" si="53"/>
        <v>0</v>
      </c>
      <c r="Q455" s="126"/>
      <c r="R455" s="127">
        <f t="shared" si="57"/>
        <v>0</v>
      </c>
      <c r="T455" s="128">
        <f t="shared" si="55"/>
        <v>0</v>
      </c>
      <c r="U455" s="129" t="str">
        <f>IFERROR(VLOOKUP($S455,References!$B$3:$C$7,2,FALSE),"")</f>
        <v/>
      </c>
      <c r="V455" s="129" t="str">
        <f t="shared" si="56"/>
        <v/>
      </c>
      <c r="W455" s="74" t="str">
        <f>IFERROR(VLOOKUP($O455,'Customer List'!$A$1:$J$488,10,FALSE),"")</f>
        <v/>
      </c>
    </row>
    <row r="456" spans="1:23">
      <c r="A456" s="125" t="str">
        <f t="shared" si="52"/>
        <v/>
      </c>
      <c r="B456" s="144"/>
      <c r="C456" s="227"/>
      <c r="D456" s="227"/>
      <c r="E456" s="227"/>
      <c r="F456" s="144"/>
      <c r="G456" s="227"/>
      <c r="H456" s="227"/>
      <c r="I456" s="227"/>
      <c r="J456" s="144"/>
      <c r="K456" s="145"/>
      <c r="L456" s="145"/>
      <c r="M456" s="145"/>
      <c r="N456" s="227"/>
      <c r="O456" s="240"/>
      <c r="P456" s="126">
        <f t="shared" si="53"/>
        <v>0</v>
      </c>
      <c r="Q456" s="126"/>
      <c r="R456" s="127">
        <f t="shared" si="57"/>
        <v>0</v>
      </c>
      <c r="T456" s="128">
        <f t="shared" si="55"/>
        <v>0</v>
      </c>
      <c r="U456" s="129" t="str">
        <f>IFERROR(VLOOKUP($S456,References!$B$3:$C$7,2,FALSE),"")</f>
        <v/>
      </c>
      <c r="V456" s="129" t="str">
        <f t="shared" si="56"/>
        <v/>
      </c>
      <c r="W456" s="74" t="str">
        <f>IFERROR(VLOOKUP($O456,'Customer List'!$A$1:$J$488,10,FALSE),"")</f>
        <v/>
      </c>
    </row>
    <row r="457" spans="1:23">
      <c r="A457" s="125" t="str">
        <f t="shared" ref="A457:A520" si="58">O457&amp;S457</f>
        <v/>
      </c>
      <c r="B457" s="144"/>
      <c r="C457" s="227"/>
      <c r="D457" s="227"/>
      <c r="E457" s="227"/>
      <c r="F457" s="144"/>
      <c r="G457" s="227"/>
      <c r="H457" s="227"/>
      <c r="I457" s="227"/>
      <c r="J457" s="144"/>
      <c r="K457" s="145"/>
      <c r="L457" s="145"/>
      <c r="M457" s="145"/>
      <c r="N457" s="227"/>
      <c r="O457" s="240"/>
      <c r="P457" s="126">
        <f t="shared" ref="P457:P520" si="59">INT(L457)</f>
        <v>0</v>
      </c>
      <c r="Q457" s="126"/>
      <c r="R457" s="127">
        <f t="shared" ref="R457:R520" si="60">L457-K457</f>
        <v>0</v>
      </c>
      <c r="T457" s="128">
        <f t="shared" si="55"/>
        <v>0</v>
      </c>
      <c r="U457" s="129" t="str">
        <f>IFERROR(VLOOKUP($S457,References!$B$3:$C$7,2,FALSE),"")</f>
        <v/>
      </c>
      <c r="V457" s="129" t="str">
        <f t="shared" si="56"/>
        <v/>
      </c>
      <c r="W457" s="74" t="str">
        <f>IFERROR(VLOOKUP($O457,'Customer List'!$A$1:$J$488,10,FALSE),"")</f>
        <v/>
      </c>
    </row>
    <row r="458" spans="1:23">
      <c r="A458" s="125" t="str">
        <f t="shared" si="58"/>
        <v/>
      </c>
      <c r="B458" s="144"/>
      <c r="C458" s="144"/>
      <c r="D458" s="144"/>
      <c r="E458" s="144"/>
      <c r="F458" s="144"/>
      <c r="G458" s="144"/>
      <c r="H458" s="144"/>
      <c r="I458" s="144"/>
      <c r="J458" s="144"/>
      <c r="K458" s="145"/>
      <c r="L458" s="145"/>
      <c r="M458" s="145"/>
      <c r="N458" s="144"/>
      <c r="O458" s="240"/>
      <c r="P458" s="126">
        <f t="shared" si="59"/>
        <v>0</v>
      </c>
      <c r="Q458" s="126"/>
      <c r="R458" s="127">
        <f t="shared" si="60"/>
        <v>0</v>
      </c>
      <c r="T458" s="128">
        <f t="shared" ref="T458:T521" si="61">IF(S458="50 - Cleaning Fee",1,HOUR($R458)+MINUTE(R458)/60)</f>
        <v>0</v>
      </c>
      <c r="U458" s="129" t="str">
        <f>IFERROR(VLOOKUP($S458,References!$B$3:$C$7,2,FALSE),"")</f>
        <v/>
      </c>
      <c r="V458" s="129" t="str">
        <f t="shared" ref="V458:V521" si="62">IF(T458&gt;=8,400,(IFERROR(T458*U458,"")))</f>
        <v/>
      </c>
      <c r="W458" s="74" t="str">
        <f>IFERROR(VLOOKUP($O458,'Customer List'!$A$1:$J$488,10,FALSE),"")</f>
        <v/>
      </c>
    </row>
    <row r="459" spans="1:23">
      <c r="A459" s="125" t="str">
        <f t="shared" si="58"/>
        <v/>
      </c>
      <c r="B459" s="144"/>
      <c r="C459" s="144"/>
      <c r="D459" s="144"/>
      <c r="E459" s="144"/>
      <c r="F459" s="144"/>
      <c r="G459" s="144"/>
      <c r="H459" s="144"/>
      <c r="I459" s="144"/>
      <c r="J459" s="144"/>
      <c r="K459" s="145"/>
      <c r="L459" s="145"/>
      <c r="M459" s="145"/>
      <c r="N459" s="144"/>
      <c r="O459" s="240"/>
      <c r="P459" s="126">
        <f t="shared" si="59"/>
        <v>0</v>
      </c>
      <c r="Q459" s="126"/>
      <c r="R459" s="127">
        <f t="shared" si="60"/>
        <v>0</v>
      </c>
      <c r="T459" s="128">
        <f t="shared" si="61"/>
        <v>0</v>
      </c>
      <c r="U459" s="129" t="str">
        <f>IFERROR(VLOOKUP($S459,References!$B$3:$C$7,2,FALSE),"")</f>
        <v/>
      </c>
      <c r="V459" s="129" t="str">
        <f t="shared" si="62"/>
        <v/>
      </c>
      <c r="W459" s="74" t="str">
        <f>IFERROR(VLOOKUP($O459,'Customer List'!$A$1:$J$488,10,FALSE),"")</f>
        <v/>
      </c>
    </row>
    <row r="460" spans="1:23">
      <c r="A460" s="125" t="str">
        <f t="shared" si="58"/>
        <v/>
      </c>
      <c r="B460" s="144"/>
      <c r="C460" s="144"/>
      <c r="D460" s="144"/>
      <c r="E460" s="144"/>
      <c r="F460" s="144"/>
      <c r="G460" s="144"/>
      <c r="H460" s="144"/>
      <c r="I460" s="144"/>
      <c r="J460" s="144"/>
      <c r="K460" s="145"/>
      <c r="L460" s="145"/>
      <c r="M460" s="145"/>
      <c r="N460" s="144"/>
      <c r="O460" s="240"/>
      <c r="P460" s="126">
        <f t="shared" si="59"/>
        <v>0</v>
      </c>
      <c r="Q460" s="126"/>
      <c r="R460" s="127">
        <f t="shared" si="60"/>
        <v>0</v>
      </c>
      <c r="T460" s="128">
        <f t="shared" si="61"/>
        <v>0</v>
      </c>
      <c r="U460" s="129" t="str">
        <f>IFERROR(VLOOKUP($S460,References!$B$3:$C$7,2,FALSE),"")</f>
        <v/>
      </c>
      <c r="V460" s="129" t="str">
        <f t="shared" si="62"/>
        <v/>
      </c>
      <c r="W460" s="74" t="str">
        <f>IFERROR(VLOOKUP($O460,'Customer List'!$A$1:$J$488,10,FALSE),"")</f>
        <v/>
      </c>
    </row>
    <row r="461" spans="1:23">
      <c r="A461" s="125" t="str">
        <f t="shared" si="58"/>
        <v/>
      </c>
      <c r="B461" s="144"/>
      <c r="C461" s="144"/>
      <c r="D461" s="144"/>
      <c r="E461" s="144"/>
      <c r="F461" s="144"/>
      <c r="G461" s="144"/>
      <c r="H461" s="144"/>
      <c r="I461" s="144"/>
      <c r="J461" s="144"/>
      <c r="K461" s="145"/>
      <c r="L461" s="145"/>
      <c r="M461" s="145"/>
      <c r="N461" s="144"/>
      <c r="O461" s="240"/>
      <c r="P461" s="126">
        <f t="shared" si="59"/>
        <v>0</v>
      </c>
      <c r="Q461" s="126"/>
      <c r="R461" s="127">
        <f t="shared" si="60"/>
        <v>0</v>
      </c>
      <c r="T461" s="128">
        <f t="shared" si="61"/>
        <v>0</v>
      </c>
      <c r="U461" s="129" t="str">
        <f>IFERROR(VLOOKUP($S461,References!$B$3:$C$7,2,FALSE),"")</f>
        <v/>
      </c>
      <c r="V461" s="129" t="str">
        <f t="shared" si="62"/>
        <v/>
      </c>
      <c r="W461" s="74" t="str">
        <f>IFERROR(VLOOKUP($O461,'Customer List'!$A$1:$J$488,10,FALSE),"")</f>
        <v/>
      </c>
    </row>
    <row r="462" spans="1:23">
      <c r="A462" s="125" t="str">
        <f t="shared" si="58"/>
        <v/>
      </c>
      <c r="B462" s="144"/>
      <c r="C462" s="144"/>
      <c r="D462" s="144"/>
      <c r="E462" s="144"/>
      <c r="F462" s="144"/>
      <c r="G462" s="144"/>
      <c r="H462" s="144"/>
      <c r="I462" s="144"/>
      <c r="J462" s="144"/>
      <c r="K462" s="145"/>
      <c r="L462" s="145"/>
      <c r="M462" s="145"/>
      <c r="N462" s="144"/>
      <c r="O462" s="240"/>
      <c r="P462" s="126">
        <f t="shared" si="59"/>
        <v>0</v>
      </c>
      <c r="Q462" s="126"/>
      <c r="R462" s="127">
        <f t="shared" si="60"/>
        <v>0</v>
      </c>
      <c r="T462" s="128">
        <f t="shared" si="61"/>
        <v>0</v>
      </c>
      <c r="U462" s="129" t="str">
        <f>IFERROR(VLOOKUP($S462,References!$B$3:$C$7,2,FALSE),"")</f>
        <v/>
      </c>
      <c r="V462" s="129" t="str">
        <f t="shared" si="62"/>
        <v/>
      </c>
      <c r="W462" s="74" t="str">
        <f>IFERROR(VLOOKUP($O462,'Customer List'!$A$1:$J$488,10,FALSE),"")</f>
        <v/>
      </c>
    </row>
    <row r="463" spans="1:23">
      <c r="A463" s="125" t="str">
        <f t="shared" si="58"/>
        <v/>
      </c>
      <c r="B463" s="144"/>
      <c r="C463" s="144"/>
      <c r="D463" s="144"/>
      <c r="E463" s="144"/>
      <c r="F463" s="144"/>
      <c r="G463" s="144"/>
      <c r="H463" s="144"/>
      <c r="I463" s="144"/>
      <c r="J463" s="144"/>
      <c r="K463" s="145"/>
      <c r="L463" s="145"/>
      <c r="M463" s="145"/>
      <c r="N463" s="144"/>
      <c r="O463" s="240"/>
      <c r="P463" s="126">
        <f t="shared" si="59"/>
        <v>0</v>
      </c>
      <c r="Q463" s="126"/>
      <c r="R463" s="127">
        <f t="shared" si="60"/>
        <v>0</v>
      </c>
      <c r="T463" s="128">
        <f t="shared" si="61"/>
        <v>0</v>
      </c>
      <c r="U463" s="129" t="str">
        <f>IFERROR(VLOOKUP($S463,References!$B$3:$C$7,2,FALSE),"")</f>
        <v/>
      </c>
      <c r="V463" s="129" t="str">
        <f t="shared" si="62"/>
        <v/>
      </c>
      <c r="W463" s="74" t="str">
        <f>IFERROR(VLOOKUP($O463,'Customer List'!$A$1:$J$488,10,FALSE),"")</f>
        <v/>
      </c>
    </row>
    <row r="464" spans="1:23">
      <c r="A464" s="125" t="str">
        <f t="shared" si="58"/>
        <v/>
      </c>
      <c r="B464" s="146"/>
      <c r="C464" s="146"/>
      <c r="D464" s="146"/>
      <c r="E464" s="146"/>
      <c r="F464" s="146"/>
      <c r="G464" s="146"/>
      <c r="H464" s="146"/>
      <c r="I464" s="146"/>
      <c r="J464" s="146"/>
      <c r="K464" s="147"/>
      <c r="L464" s="147"/>
      <c r="M464" s="147"/>
      <c r="N464" s="146"/>
      <c r="O464" s="240"/>
      <c r="P464" s="126">
        <f t="shared" si="59"/>
        <v>0</v>
      </c>
      <c r="Q464" s="126"/>
      <c r="R464" s="127">
        <f t="shared" si="60"/>
        <v>0</v>
      </c>
      <c r="T464" s="128">
        <f t="shared" si="61"/>
        <v>0</v>
      </c>
      <c r="U464" s="129" t="str">
        <f>IFERROR(VLOOKUP($S464,References!$B$3:$C$7,2,FALSE),"")</f>
        <v/>
      </c>
      <c r="V464" s="129" t="str">
        <f t="shared" si="62"/>
        <v/>
      </c>
      <c r="W464" s="74" t="str">
        <f>IFERROR(VLOOKUP($O464,'Customer List'!$A$1:$J$488,10,FALSE),"")</f>
        <v/>
      </c>
    </row>
    <row r="465" spans="1:23">
      <c r="A465" s="125" t="str">
        <f t="shared" si="58"/>
        <v/>
      </c>
      <c r="B465" s="146"/>
      <c r="C465" s="146"/>
      <c r="D465" s="146"/>
      <c r="E465" s="146"/>
      <c r="F465" s="146"/>
      <c r="G465" s="146"/>
      <c r="H465" s="146"/>
      <c r="I465" s="146"/>
      <c r="J465" s="146"/>
      <c r="K465" s="147"/>
      <c r="L465" s="147"/>
      <c r="M465" s="147"/>
      <c r="N465" s="146"/>
      <c r="O465" s="240"/>
      <c r="P465" s="126">
        <f t="shared" si="59"/>
        <v>0</v>
      </c>
      <c r="Q465" s="126"/>
      <c r="R465" s="127">
        <f t="shared" si="60"/>
        <v>0</v>
      </c>
      <c r="T465" s="128">
        <f t="shared" si="61"/>
        <v>0</v>
      </c>
      <c r="U465" s="129" t="str">
        <f>IFERROR(VLOOKUP($S465,References!$B$3:$C$7,2,FALSE),"")</f>
        <v/>
      </c>
      <c r="V465" s="129" t="str">
        <f t="shared" si="62"/>
        <v/>
      </c>
      <c r="W465" s="74" t="str">
        <f>IFERROR(VLOOKUP($O465,'Customer List'!$A$1:$J$488,10,FALSE),"")</f>
        <v/>
      </c>
    </row>
    <row r="466" spans="1:23">
      <c r="A466" s="125" t="str">
        <f t="shared" si="58"/>
        <v/>
      </c>
      <c r="B466" s="146"/>
      <c r="C466" s="146"/>
      <c r="D466" s="146"/>
      <c r="E466" s="146"/>
      <c r="F466" s="146"/>
      <c r="G466" s="144"/>
      <c r="H466" s="144"/>
      <c r="I466" s="144"/>
      <c r="J466" s="146"/>
      <c r="K466" s="147"/>
      <c r="L466" s="147"/>
      <c r="M466" s="147"/>
      <c r="N466" s="146"/>
      <c r="O466" s="240"/>
      <c r="P466" s="126">
        <f t="shared" si="59"/>
        <v>0</v>
      </c>
      <c r="Q466" s="126"/>
      <c r="R466" s="127">
        <f t="shared" si="60"/>
        <v>0</v>
      </c>
      <c r="T466" s="128">
        <f t="shared" si="61"/>
        <v>0</v>
      </c>
      <c r="U466" s="129" t="str">
        <f>IFERROR(VLOOKUP($S466,References!$B$3:$C$7,2,FALSE),"")</f>
        <v/>
      </c>
      <c r="V466" s="129" t="str">
        <f t="shared" si="62"/>
        <v/>
      </c>
      <c r="W466" s="74" t="str">
        <f>IFERROR(VLOOKUP($O466,'Customer List'!$A$1:$J$488,10,FALSE),"")</f>
        <v/>
      </c>
    </row>
    <row r="467" spans="1:23">
      <c r="A467" s="125" t="str">
        <f t="shared" si="58"/>
        <v/>
      </c>
      <c r="C467" s="144"/>
      <c r="D467" s="144"/>
      <c r="E467" s="144"/>
      <c r="F467" s="146"/>
      <c r="G467" s="144"/>
      <c r="H467" s="144"/>
      <c r="I467" s="144"/>
      <c r="J467" s="146"/>
      <c r="K467" s="147"/>
      <c r="L467" s="147"/>
      <c r="M467" s="147"/>
      <c r="N467" s="144"/>
      <c r="O467" s="240"/>
      <c r="P467" s="126">
        <f t="shared" si="59"/>
        <v>0</v>
      </c>
      <c r="Q467" s="126"/>
      <c r="R467" s="127">
        <f t="shared" si="60"/>
        <v>0</v>
      </c>
      <c r="T467" s="128">
        <f t="shared" si="61"/>
        <v>0</v>
      </c>
      <c r="U467" s="129" t="str">
        <f>IFERROR(VLOOKUP($S467,References!$B$3:$C$7,2,FALSE),"")</f>
        <v/>
      </c>
      <c r="V467" s="129" t="str">
        <f t="shared" si="62"/>
        <v/>
      </c>
      <c r="W467" s="74" t="str">
        <f>IFERROR(VLOOKUP($O467,'Customer List'!$A$1:$J$488,10,FALSE),"")</f>
        <v/>
      </c>
    </row>
    <row r="468" spans="1:23">
      <c r="A468" s="125" t="str">
        <f t="shared" si="58"/>
        <v/>
      </c>
      <c r="C468" s="144"/>
      <c r="D468" s="144"/>
      <c r="E468" s="144"/>
      <c r="F468" s="146"/>
      <c r="G468" s="144"/>
      <c r="H468" s="144"/>
      <c r="I468" s="144"/>
      <c r="J468" s="146"/>
      <c r="K468" s="147"/>
      <c r="L468" s="147"/>
      <c r="M468" s="147"/>
      <c r="N468" s="144"/>
      <c r="O468" s="240"/>
      <c r="P468" s="126">
        <f t="shared" si="59"/>
        <v>0</v>
      </c>
      <c r="Q468" s="126"/>
      <c r="R468" s="127">
        <f t="shared" si="60"/>
        <v>0</v>
      </c>
      <c r="T468" s="128">
        <f t="shared" si="61"/>
        <v>0</v>
      </c>
      <c r="U468" s="129" t="str">
        <f>IFERROR(VLOOKUP($S468,References!$B$3:$C$7,2,FALSE),"")</f>
        <v/>
      </c>
      <c r="V468" s="129" t="str">
        <f t="shared" si="62"/>
        <v/>
      </c>
      <c r="W468" s="74" t="str">
        <f>IFERROR(VLOOKUP($O468,'Customer List'!$A$1:$J$488,10,FALSE),"")</f>
        <v/>
      </c>
    </row>
    <row r="469" spans="1:23">
      <c r="A469" s="125" t="str">
        <f t="shared" si="58"/>
        <v/>
      </c>
      <c r="C469" s="144"/>
      <c r="D469" s="144"/>
      <c r="E469" s="144"/>
      <c r="F469" s="146"/>
      <c r="G469" s="144"/>
      <c r="H469" s="144"/>
      <c r="I469" s="144"/>
      <c r="J469" s="146"/>
      <c r="K469" s="147"/>
      <c r="L469" s="147"/>
      <c r="M469" s="147"/>
      <c r="N469" s="144"/>
      <c r="O469" s="240"/>
      <c r="P469" s="126">
        <f t="shared" si="59"/>
        <v>0</v>
      </c>
      <c r="Q469" s="126"/>
      <c r="R469" s="127">
        <f t="shared" si="60"/>
        <v>0</v>
      </c>
      <c r="T469" s="128">
        <f t="shared" si="61"/>
        <v>0</v>
      </c>
      <c r="U469" s="129" t="str">
        <f>IFERROR(VLOOKUP($S469,References!$B$3:$C$7,2,FALSE),"")</f>
        <v/>
      </c>
      <c r="V469" s="129" t="str">
        <f t="shared" si="62"/>
        <v/>
      </c>
      <c r="W469" s="74" t="str">
        <f>IFERROR(VLOOKUP($O469,'Customer List'!$A$1:$J$488,10,FALSE),"")</f>
        <v/>
      </c>
    </row>
    <row r="470" spans="1:23">
      <c r="A470" s="125" t="str">
        <f t="shared" si="58"/>
        <v/>
      </c>
      <c r="C470" s="144"/>
      <c r="D470" s="144"/>
      <c r="E470" s="144"/>
      <c r="F470" s="146"/>
      <c r="G470" s="144"/>
      <c r="H470" s="144"/>
      <c r="I470" s="144"/>
      <c r="J470" s="146"/>
      <c r="K470" s="147"/>
      <c r="L470" s="147"/>
      <c r="M470" s="147"/>
      <c r="N470" s="144"/>
      <c r="O470" s="240"/>
      <c r="P470" s="126">
        <f t="shared" si="59"/>
        <v>0</v>
      </c>
      <c r="Q470" s="126"/>
      <c r="R470" s="127">
        <f t="shared" si="60"/>
        <v>0</v>
      </c>
      <c r="T470" s="128">
        <f t="shared" si="61"/>
        <v>0</v>
      </c>
      <c r="U470" s="129" t="str">
        <f>IFERROR(VLOOKUP($S470,References!$B$3:$C$7,2,FALSE),"")</f>
        <v/>
      </c>
      <c r="V470" s="129" t="str">
        <f t="shared" si="62"/>
        <v/>
      </c>
      <c r="W470" s="74" t="str">
        <f>IFERROR(VLOOKUP($O470,'Customer List'!$A$1:$J$488,10,FALSE),"")</f>
        <v/>
      </c>
    </row>
    <row r="471" spans="1:23">
      <c r="A471" s="125" t="str">
        <f t="shared" si="58"/>
        <v/>
      </c>
      <c r="C471" s="144"/>
      <c r="D471" s="144"/>
      <c r="E471" s="144"/>
      <c r="F471" s="146"/>
      <c r="G471" s="144"/>
      <c r="H471" s="144"/>
      <c r="I471" s="144"/>
      <c r="J471" s="146"/>
      <c r="K471" s="147"/>
      <c r="L471" s="147"/>
      <c r="M471" s="147"/>
      <c r="N471" s="144"/>
      <c r="O471" s="240"/>
      <c r="P471" s="126">
        <f t="shared" si="59"/>
        <v>0</v>
      </c>
      <c r="Q471" s="126"/>
      <c r="R471" s="127">
        <f t="shared" si="60"/>
        <v>0</v>
      </c>
      <c r="T471" s="128">
        <f t="shared" si="61"/>
        <v>0</v>
      </c>
      <c r="U471" s="129" t="str">
        <f>IFERROR(VLOOKUP($S471,References!$B$3:$C$7,2,FALSE),"")</f>
        <v/>
      </c>
      <c r="V471" s="129" t="str">
        <f t="shared" si="62"/>
        <v/>
      </c>
      <c r="W471" s="74" t="str">
        <f>IFERROR(VLOOKUP($O471,'Customer List'!$A$1:$J$488,10,FALSE),"")</f>
        <v/>
      </c>
    </row>
    <row r="472" spans="1:23">
      <c r="A472" s="125" t="str">
        <f t="shared" si="58"/>
        <v/>
      </c>
      <c r="C472" s="144"/>
      <c r="D472" s="144"/>
      <c r="E472" s="144"/>
      <c r="F472" s="146"/>
      <c r="G472" s="144"/>
      <c r="H472" s="144"/>
      <c r="I472" s="144"/>
      <c r="J472" s="146"/>
      <c r="K472" s="147"/>
      <c r="L472" s="147"/>
      <c r="M472" s="147"/>
      <c r="N472" s="144"/>
      <c r="O472" s="240"/>
      <c r="P472" s="126">
        <f t="shared" si="59"/>
        <v>0</v>
      </c>
      <c r="Q472" s="126"/>
      <c r="R472" s="127">
        <f t="shared" si="60"/>
        <v>0</v>
      </c>
      <c r="T472" s="128">
        <f t="shared" si="61"/>
        <v>0</v>
      </c>
      <c r="U472" s="129" t="str">
        <f>IFERROR(VLOOKUP($S472,References!$B$3:$C$7,2,FALSE),"")</f>
        <v/>
      </c>
      <c r="V472" s="129" t="str">
        <f t="shared" si="62"/>
        <v/>
      </c>
      <c r="W472" s="74" t="str">
        <f>IFERROR(VLOOKUP($O472,'Customer List'!$A$1:$J$488,10,FALSE),"")</f>
        <v/>
      </c>
    </row>
    <row r="473" spans="1:23">
      <c r="A473" s="125" t="str">
        <f t="shared" si="58"/>
        <v/>
      </c>
      <c r="C473" s="144"/>
      <c r="D473" s="144"/>
      <c r="E473" s="144"/>
      <c r="F473" s="146"/>
      <c r="G473" s="144"/>
      <c r="H473" s="144"/>
      <c r="I473" s="144"/>
      <c r="J473" s="146"/>
      <c r="K473" s="147"/>
      <c r="L473" s="147"/>
      <c r="M473" s="147"/>
      <c r="N473" s="144"/>
      <c r="O473" s="240"/>
      <c r="P473" s="126">
        <f t="shared" si="59"/>
        <v>0</v>
      </c>
      <c r="Q473" s="126"/>
      <c r="R473" s="127">
        <f t="shared" si="60"/>
        <v>0</v>
      </c>
      <c r="T473" s="128">
        <f t="shared" si="61"/>
        <v>0</v>
      </c>
      <c r="U473" s="129" t="str">
        <f>IFERROR(VLOOKUP($S473,References!$B$3:$C$7,2,FALSE),"")</f>
        <v/>
      </c>
      <c r="V473" s="129" t="str">
        <f t="shared" si="62"/>
        <v/>
      </c>
      <c r="W473" s="74" t="str">
        <f>IFERROR(VLOOKUP($O473,'Customer List'!$A$1:$J$488,10,FALSE),"")</f>
        <v/>
      </c>
    </row>
    <row r="474" spans="1:23">
      <c r="A474" s="125" t="str">
        <f t="shared" si="58"/>
        <v/>
      </c>
      <c r="C474" s="144"/>
      <c r="D474" s="144"/>
      <c r="E474" s="144"/>
      <c r="F474" s="146"/>
      <c r="G474" s="144"/>
      <c r="H474" s="144"/>
      <c r="I474" s="144"/>
      <c r="J474" s="146"/>
      <c r="K474" s="147"/>
      <c r="L474" s="147"/>
      <c r="M474" s="147"/>
      <c r="N474" s="144"/>
      <c r="O474" s="240"/>
      <c r="P474" s="126">
        <f t="shared" si="59"/>
        <v>0</v>
      </c>
      <c r="Q474" s="126"/>
      <c r="R474" s="127">
        <f t="shared" si="60"/>
        <v>0</v>
      </c>
      <c r="T474" s="128">
        <f t="shared" si="61"/>
        <v>0</v>
      </c>
      <c r="U474" s="129" t="str">
        <f>IFERROR(VLOOKUP($S474,References!$B$3:$C$7,2,FALSE),"")</f>
        <v/>
      </c>
      <c r="V474" s="129" t="str">
        <f t="shared" si="62"/>
        <v/>
      </c>
      <c r="W474" s="74" t="str">
        <f>IFERROR(VLOOKUP($O474,'Customer List'!$A$1:$J$488,10,FALSE),"")</f>
        <v/>
      </c>
    </row>
    <row r="475" spans="1:23">
      <c r="A475" s="125" t="str">
        <f t="shared" si="58"/>
        <v/>
      </c>
      <c r="B475" s="146"/>
      <c r="C475" s="146"/>
      <c r="D475" s="146"/>
      <c r="E475" s="146"/>
      <c r="F475" s="146"/>
      <c r="G475" s="146"/>
      <c r="H475" s="146"/>
      <c r="I475" s="146"/>
      <c r="J475" s="146"/>
      <c r="K475" s="147"/>
      <c r="L475" s="147"/>
      <c r="M475" s="147"/>
      <c r="N475" s="146"/>
      <c r="O475" s="240"/>
      <c r="P475" s="126">
        <f t="shared" si="59"/>
        <v>0</v>
      </c>
      <c r="Q475" s="126"/>
      <c r="R475" s="127">
        <f t="shared" si="60"/>
        <v>0</v>
      </c>
      <c r="T475" s="128">
        <f t="shared" si="61"/>
        <v>0</v>
      </c>
      <c r="U475" s="129" t="str">
        <f>IFERROR(VLOOKUP($S475,References!$B$3:$C$7,2,FALSE),"")</f>
        <v/>
      </c>
      <c r="V475" s="129" t="str">
        <f t="shared" si="62"/>
        <v/>
      </c>
      <c r="W475" s="74" t="str">
        <f>IFERROR(VLOOKUP($O475,'Customer List'!$A$1:$J$488,10,FALSE),"")</f>
        <v/>
      </c>
    </row>
    <row r="476" spans="1:23">
      <c r="A476" s="125" t="str">
        <f t="shared" si="58"/>
        <v/>
      </c>
      <c r="B476" s="146"/>
      <c r="C476" s="146"/>
      <c r="D476" s="146"/>
      <c r="E476" s="146"/>
      <c r="F476" s="146"/>
      <c r="G476" s="146"/>
      <c r="H476" s="146"/>
      <c r="I476" s="146"/>
      <c r="J476" s="146"/>
      <c r="K476" s="147"/>
      <c r="L476" s="147"/>
      <c r="M476" s="147"/>
      <c r="N476" s="146"/>
      <c r="O476" s="240"/>
      <c r="P476" s="126">
        <f t="shared" si="59"/>
        <v>0</v>
      </c>
      <c r="Q476" s="126"/>
      <c r="R476" s="127">
        <f t="shared" si="60"/>
        <v>0</v>
      </c>
      <c r="T476" s="128">
        <f t="shared" si="61"/>
        <v>0</v>
      </c>
      <c r="U476" s="129" t="str">
        <f>IFERROR(VLOOKUP($S476,References!$B$3:$C$7,2,FALSE),"")</f>
        <v/>
      </c>
      <c r="V476" s="129" t="str">
        <f t="shared" si="62"/>
        <v/>
      </c>
      <c r="W476" s="74" t="str">
        <f>IFERROR(VLOOKUP($O476,'Customer List'!$A$1:$J$488,10,FALSE),"")</f>
        <v/>
      </c>
    </row>
    <row r="477" spans="1:23">
      <c r="A477" s="125" t="str">
        <f t="shared" si="58"/>
        <v/>
      </c>
      <c r="B477" s="146"/>
      <c r="C477" s="146"/>
      <c r="D477" s="146"/>
      <c r="E477" s="146"/>
      <c r="F477" s="146"/>
      <c r="G477" s="146"/>
      <c r="H477" s="146"/>
      <c r="I477" s="146"/>
      <c r="J477" s="146"/>
      <c r="K477" s="147"/>
      <c r="L477" s="147"/>
      <c r="M477" s="147"/>
      <c r="N477" s="146"/>
      <c r="O477" s="240"/>
      <c r="P477" s="126">
        <f t="shared" si="59"/>
        <v>0</v>
      </c>
      <c r="Q477" s="126"/>
      <c r="R477" s="127">
        <f t="shared" si="60"/>
        <v>0</v>
      </c>
      <c r="T477" s="128">
        <f t="shared" si="61"/>
        <v>0</v>
      </c>
      <c r="U477" s="129" t="str">
        <f>IFERROR(VLOOKUP($S477,References!$B$3:$C$7,2,FALSE),"")</f>
        <v/>
      </c>
      <c r="V477" s="129" t="str">
        <f t="shared" si="62"/>
        <v/>
      </c>
      <c r="W477" s="74" t="str">
        <f>IFERROR(VLOOKUP($O477,'Customer List'!$A$1:$J$488,10,FALSE),"")</f>
        <v/>
      </c>
    </row>
    <row r="478" spans="1:23">
      <c r="A478" s="125" t="str">
        <f t="shared" si="58"/>
        <v/>
      </c>
      <c r="B478" s="146"/>
      <c r="C478" s="146"/>
      <c r="D478" s="146"/>
      <c r="E478" s="146"/>
      <c r="F478" s="146"/>
      <c r="G478" s="146"/>
      <c r="H478" s="146"/>
      <c r="I478" s="146"/>
      <c r="J478" s="146"/>
      <c r="K478" s="147"/>
      <c r="L478" s="147"/>
      <c r="M478" s="147"/>
      <c r="N478" s="146"/>
      <c r="O478" s="240"/>
      <c r="P478" s="126">
        <f t="shared" si="59"/>
        <v>0</v>
      </c>
      <c r="Q478" s="126"/>
      <c r="R478" s="127">
        <f t="shared" si="60"/>
        <v>0</v>
      </c>
      <c r="T478" s="128">
        <f t="shared" si="61"/>
        <v>0</v>
      </c>
      <c r="U478" s="129" t="str">
        <f>IFERROR(VLOOKUP($S478,References!$B$3:$C$7,2,FALSE),"")</f>
        <v/>
      </c>
      <c r="V478" s="129" t="str">
        <f t="shared" si="62"/>
        <v/>
      </c>
      <c r="W478" s="74" t="str">
        <f>IFERROR(VLOOKUP($O478,'Customer List'!$A$1:$J$488,10,FALSE),"")</f>
        <v/>
      </c>
    </row>
    <row r="479" spans="1:23">
      <c r="A479" s="125" t="str">
        <f t="shared" si="58"/>
        <v/>
      </c>
      <c r="B479" s="146"/>
      <c r="C479" s="146"/>
      <c r="D479" s="146"/>
      <c r="E479" s="146"/>
      <c r="F479" s="146"/>
      <c r="G479" s="146"/>
      <c r="H479" s="146"/>
      <c r="I479" s="146"/>
      <c r="J479" s="146"/>
      <c r="K479" s="147"/>
      <c r="L479" s="147"/>
      <c r="M479" s="147"/>
      <c r="N479" s="146"/>
      <c r="O479" s="240"/>
      <c r="P479" s="126">
        <f t="shared" si="59"/>
        <v>0</v>
      </c>
      <c r="Q479" s="133"/>
      <c r="R479" s="127">
        <f t="shared" si="60"/>
        <v>0</v>
      </c>
      <c r="T479" s="128">
        <f t="shared" si="61"/>
        <v>0</v>
      </c>
      <c r="U479" s="129" t="str">
        <f>IFERROR(VLOOKUP($S479,References!$B$3:$C$7,2,FALSE),"")</f>
        <v/>
      </c>
      <c r="V479" s="129" t="str">
        <f t="shared" si="62"/>
        <v/>
      </c>
      <c r="W479" s="74" t="str">
        <f>IFERROR(VLOOKUP($O479,'Customer List'!$A$1:$J$488,10,FALSE),"")</f>
        <v/>
      </c>
    </row>
    <row r="480" spans="1:23">
      <c r="A480" s="125" t="str">
        <f t="shared" si="58"/>
        <v/>
      </c>
      <c r="B480" s="146"/>
      <c r="C480" s="146"/>
      <c r="D480" s="146"/>
      <c r="E480" s="146"/>
      <c r="F480" s="146"/>
      <c r="G480" s="146"/>
      <c r="H480" s="146"/>
      <c r="I480" s="146"/>
      <c r="J480" s="146"/>
      <c r="K480" s="147"/>
      <c r="L480" s="147"/>
      <c r="M480" s="147"/>
      <c r="N480" s="146"/>
      <c r="O480" s="240"/>
      <c r="P480" s="126">
        <f t="shared" si="59"/>
        <v>0</v>
      </c>
      <c r="Q480" s="126"/>
      <c r="R480" s="127">
        <f t="shared" si="60"/>
        <v>0</v>
      </c>
      <c r="T480" s="128">
        <f t="shared" si="61"/>
        <v>0</v>
      </c>
      <c r="U480" s="129" t="str">
        <f>IFERROR(VLOOKUP($S480,References!$B$3:$C$7,2,FALSE),"")</f>
        <v/>
      </c>
      <c r="V480" s="129" t="str">
        <f t="shared" si="62"/>
        <v/>
      </c>
      <c r="W480" s="74" t="str">
        <f>IFERROR(VLOOKUP($O480,'Customer List'!$A$1:$J$488,10,FALSE),"")</f>
        <v/>
      </c>
    </row>
    <row r="481" spans="1:23">
      <c r="A481" s="125" t="str">
        <f t="shared" si="58"/>
        <v/>
      </c>
      <c r="B481" s="146"/>
      <c r="C481" s="146"/>
      <c r="D481" s="146"/>
      <c r="E481" s="146"/>
      <c r="F481" s="146"/>
      <c r="G481" s="146"/>
      <c r="H481" s="146"/>
      <c r="I481" s="146"/>
      <c r="J481" s="146"/>
      <c r="K481" s="147"/>
      <c r="L481" s="147"/>
      <c r="M481" s="147"/>
      <c r="N481" s="146"/>
      <c r="O481" s="240"/>
      <c r="P481" s="126">
        <f t="shared" si="59"/>
        <v>0</v>
      </c>
      <c r="Q481" s="126"/>
      <c r="R481" s="127">
        <f t="shared" si="60"/>
        <v>0</v>
      </c>
      <c r="T481" s="128">
        <f t="shared" si="61"/>
        <v>0</v>
      </c>
      <c r="U481" s="129" t="str">
        <f>IFERROR(VLOOKUP($S481,References!$B$3:$C$7,2,FALSE),"")</f>
        <v/>
      </c>
      <c r="V481" s="129" t="str">
        <f t="shared" si="62"/>
        <v/>
      </c>
      <c r="W481" s="74" t="str">
        <f>IFERROR(VLOOKUP($O481,'Customer List'!$A$1:$J$488,10,FALSE),"")</f>
        <v/>
      </c>
    </row>
    <row r="482" spans="1:23">
      <c r="A482" s="125" t="str">
        <f t="shared" si="58"/>
        <v/>
      </c>
      <c r="B482" s="146"/>
      <c r="C482" s="146"/>
      <c r="D482" s="146"/>
      <c r="E482" s="146"/>
      <c r="F482" s="146"/>
      <c r="G482" s="146"/>
      <c r="H482" s="146"/>
      <c r="I482" s="146"/>
      <c r="J482" s="146"/>
      <c r="K482" s="147"/>
      <c r="L482" s="147"/>
      <c r="M482" s="147"/>
      <c r="N482" s="146"/>
      <c r="O482" s="240"/>
      <c r="P482" s="126">
        <f t="shared" si="59"/>
        <v>0</v>
      </c>
      <c r="Q482" s="126"/>
      <c r="R482" s="127">
        <f t="shared" si="60"/>
        <v>0</v>
      </c>
      <c r="T482" s="128">
        <f t="shared" si="61"/>
        <v>0</v>
      </c>
      <c r="U482" s="129" t="str">
        <f>IFERROR(VLOOKUP($S482,References!$B$3:$C$7,2,FALSE),"")</f>
        <v/>
      </c>
      <c r="V482" s="129" t="str">
        <f t="shared" si="62"/>
        <v/>
      </c>
      <c r="W482" s="74" t="str">
        <f>IFERROR(VLOOKUP($O482,'Customer List'!$A$1:$J$488,10,FALSE),"")</f>
        <v/>
      </c>
    </row>
    <row r="483" spans="1:23">
      <c r="A483" s="125" t="str">
        <f t="shared" si="58"/>
        <v/>
      </c>
      <c r="B483" s="146"/>
      <c r="C483" s="146"/>
      <c r="D483" s="146"/>
      <c r="E483" s="146"/>
      <c r="F483" s="146"/>
      <c r="G483" s="146"/>
      <c r="H483" s="146"/>
      <c r="I483" s="146"/>
      <c r="J483" s="146"/>
      <c r="K483" s="147"/>
      <c r="L483" s="147"/>
      <c r="M483" s="147"/>
      <c r="N483" s="146"/>
      <c r="O483" s="240"/>
      <c r="P483" s="126">
        <f t="shared" si="59"/>
        <v>0</v>
      </c>
      <c r="Q483" s="126"/>
      <c r="R483" s="127">
        <f t="shared" si="60"/>
        <v>0</v>
      </c>
      <c r="T483" s="128">
        <f t="shared" si="61"/>
        <v>0</v>
      </c>
      <c r="U483" s="129" t="str">
        <f>IFERROR(VLOOKUP($S483,References!$B$3:$C$7,2,FALSE),"")</f>
        <v/>
      </c>
      <c r="V483" s="129" t="str">
        <f t="shared" si="62"/>
        <v/>
      </c>
      <c r="W483" s="74" t="str">
        <f>IFERROR(VLOOKUP($O483,'Customer List'!$A$1:$J$488,10,FALSE),"")</f>
        <v/>
      </c>
    </row>
    <row r="484" spans="1:23">
      <c r="A484" s="125" t="str">
        <f t="shared" si="58"/>
        <v/>
      </c>
      <c r="B484" s="146"/>
      <c r="C484" s="146"/>
      <c r="D484" s="146"/>
      <c r="E484" s="146"/>
      <c r="F484" s="146"/>
      <c r="G484" s="146"/>
      <c r="H484" s="146"/>
      <c r="I484" s="146"/>
      <c r="J484" s="146"/>
      <c r="K484" s="147"/>
      <c r="L484" s="147"/>
      <c r="M484" s="147"/>
      <c r="N484" s="146"/>
      <c r="O484" s="240"/>
      <c r="P484" s="126">
        <f t="shared" si="59"/>
        <v>0</v>
      </c>
      <c r="Q484" s="126"/>
      <c r="R484" s="127">
        <f t="shared" si="60"/>
        <v>0</v>
      </c>
      <c r="T484" s="128">
        <f t="shared" si="61"/>
        <v>0</v>
      </c>
      <c r="U484" s="129" t="str">
        <f>IFERROR(VLOOKUP($S484,References!$B$3:$C$7,2,FALSE),"")</f>
        <v/>
      </c>
      <c r="V484" s="129" t="str">
        <f t="shared" si="62"/>
        <v/>
      </c>
      <c r="W484" s="74" t="str">
        <f>IFERROR(VLOOKUP($O484,'Customer List'!$A$1:$J$488,10,FALSE),"")</f>
        <v/>
      </c>
    </row>
    <row r="485" spans="1:23">
      <c r="A485" s="125" t="str">
        <f t="shared" si="58"/>
        <v/>
      </c>
      <c r="B485" s="146"/>
      <c r="C485" s="146"/>
      <c r="D485" s="146"/>
      <c r="E485" s="146"/>
      <c r="F485" s="146"/>
      <c r="G485" s="146"/>
      <c r="H485" s="146"/>
      <c r="I485" s="146"/>
      <c r="J485" s="146"/>
      <c r="K485" s="147"/>
      <c r="L485" s="147"/>
      <c r="M485" s="147"/>
      <c r="N485" s="146"/>
      <c r="O485" s="240"/>
      <c r="P485" s="126">
        <f t="shared" si="59"/>
        <v>0</v>
      </c>
      <c r="Q485" s="126"/>
      <c r="R485" s="127">
        <f t="shared" si="60"/>
        <v>0</v>
      </c>
      <c r="T485" s="128">
        <f t="shared" si="61"/>
        <v>0</v>
      </c>
      <c r="U485" s="129" t="str">
        <f>IFERROR(VLOOKUP($S485,References!$B$3:$C$7,2,FALSE),"")</f>
        <v/>
      </c>
      <c r="V485" s="129" t="str">
        <f t="shared" si="62"/>
        <v/>
      </c>
      <c r="W485" s="74" t="str">
        <f>IFERROR(VLOOKUP($O485,'Customer List'!$A$1:$J$488,10,FALSE),"")</f>
        <v/>
      </c>
    </row>
    <row r="486" spans="1:23">
      <c r="A486" s="125" t="str">
        <f t="shared" si="58"/>
        <v/>
      </c>
      <c r="B486" s="146"/>
      <c r="C486" s="146"/>
      <c r="D486" s="146"/>
      <c r="E486" s="146"/>
      <c r="F486" s="146"/>
      <c r="G486" s="146"/>
      <c r="H486" s="146"/>
      <c r="I486" s="146"/>
      <c r="J486" s="146"/>
      <c r="K486" s="147"/>
      <c r="L486" s="147"/>
      <c r="M486" s="147"/>
      <c r="N486" s="146"/>
      <c r="O486" s="240"/>
      <c r="P486" s="126">
        <f t="shared" si="59"/>
        <v>0</v>
      </c>
      <c r="Q486" s="126"/>
      <c r="R486" s="127">
        <f t="shared" si="60"/>
        <v>0</v>
      </c>
      <c r="T486" s="128">
        <f t="shared" si="61"/>
        <v>0</v>
      </c>
      <c r="U486" s="129" t="str">
        <f>IFERROR(VLOOKUP($S486,References!$B$3:$C$7,2,FALSE),"")</f>
        <v/>
      </c>
      <c r="V486" s="129" t="str">
        <f t="shared" si="62"/>
        <v/>
      </c>
      <c r="W486" s="74" t="str">
        <f>IFERROR(VLOOKUP($O486,'Customer List'!$A$1:$J$488,10,FALSE),"")</f>
        <v/>
      </c>
    </row>
    <row r="487" spans="1:23">
      <c r="A487" s="125" t="str">
        <f t="shared" si="58"/>
        <v/>
      </c>
      <c r="B487" s="146"/>
      <c r="C487" s="146"/>
      <c r="D487" s="146"/>
      <c r="E487" s="146"/>
      <c r="F487" s="146"/>
      <c r="G487" s="146"/>
      <c r="H487" s="146"/>
      <c r="I487" s="146"/>
      <c r="J487" s="146"/>
      <c r="K487" s="147"/>
      <c r="L487" s="147"/>
      <c r="M487" s="147"/>
      <c r="N487" s="146"/>
      <c r="O487" s="240"/>
      <c r="P487" s="126">
        <f t="shared" si="59"/>
        <v>0</v>
      </c>
      <c r="Q487" s="126"/>
      <c r="R487" s="127">
        <f t="shared" si="60"/>
        <v>0</v>
      </c>
      <c r="T487" s="128">
        <f t="shared" si="61"/>
        <v>0</v>
      </c>
      <c r="U487" s="129" t="str">
        <f>IFERROR(VLOOKUP($S487,References!$B$3:$C$7,2,FALSE),"")</f>
        <v/>
      </c>
      <c r="V487" s="129" t="str">
        <f t="shared" si="62"/>
        <v/>
      </c>
      <c r="W487" s="74" t="str">
        <f>IFERROR(VLOOKUP($O487,'Customer List'!$A$1:$J$488,10,FALSE),"")</f>
        <v/>
      </c>
    </row>
    <row r="488" spans="1:23">
      <c r="A488" s="125" t="str">
        <f t="shared" si="58"/>
        <v/>
      </c>
      <c r="B488" s="146"/>
      <c r="C488" s="146"/>
      <c r="D488" s="146"/>
      <c r="E488" s="146"/>
      <c r="F488" s="146"/>
      <c r="G488" s="146"/>
      <c r="H488" s="146"/>
      <c r="I488" s="146"/>
      <c r="J488" s="146"/>
      <c r="K488" s="147"/>
      <c r="L488" s="147"/>
      <c r="M488" s="147"/>
      <c r="N488" s="146"/>
      <c r="O488" s="240"/>
      <c r="P488" s="126">
        <f t="shared" si="59"/>
        <v>0</v>
      </c>
      <c r="Q488" s="133"/>
      <c r="R488" s="127">
        <f t="shared" si="60"/>
        <v>0</v>
      </c>
      <c r="T488" s="128">
        <f t="shared" si="61"/>
        <v>0</v>
      </c>
      <c r="U488" s="129" t="str">
        <f>IFERROR(VLOOKUP($S488,References!$B$3:$C$7,2,FALSE),"")</f>
        <v/>
      </c>
      <c r="V488" s="129" t="str">
        <f t="shared" si="62"/>
        <v/>
      </c>
      <c r="W488" s="74" t="str">
        <f>IFERROR(VLOOKUP($O488,'Customer List'!$A$1:$J$488,10,FALSE),"")</f>
        <v/>
      </c>
    </row>
    <row r="489" spans="1:23">
      <c r="A489" s="125" t="str">
        <f t="shared" si="58"/>
        <v/>
      </c>
      <c r="B489" s="146"/>
      <c r="C489" s="146"/>
      <c r="D489" s="146"/>
      <c r="E489" s="146"/>
      <c r="F489" s="146"/>
      <c r="G489" s="146"/>
      <c r="H489" s="146"/>
      <c r="I489" s="146"/>
      <c r="J489" s="146"/>
      <c r="K489" s="147"/>
      <c r="L489" s="147"/>
      <c r="M489" s="147"/>
      <c r="N489" s="146"/>
      <c r="O489" s="240"/>
      <c r="P489" s="126">
        <f t="shared" si="59"/>
        <v>0</v>
      </c>
      <c r="Q489" s="126"/>
      <c r="R489" s="127">
        <f t="shared" si="60"/>
        <v>0</v>
      </c>
      <c r="T489" s="128">
        <f t="shared" si="61"/>
        <v>0</v>
      </c>
      <c r="U489" s="129" t="str">
        <f>IFERROR(VLOOKUP($S489,References!$B$3:$C$7,2,FALSE),"")</f>
        <v/>
      </c>
      <c r="V489" s="129" t="str">
        <f t="shared" si="62"/>
        <v/>
      </c>
      <c r="W489" s="74" t="str">
        <f>IFERROR(VLOOKUP($O489,'Customer List'!$A$1:$J$488,10,FALSE),"")</f>
        <v/>
      </c>
    </row>
    <row r="490" spans="1:23">
      <c r="A490" s="125" t="str">
        <f t="shared" si="58"/>
        <v/>
      </c>
      <c r="B490" s="146"/>
      <c r="C490" s="146"/>
      <c r="D490" s="146"/>
      <c r="E490" s="146"/>
      <c r="F490" s="146"/>
      <c r="G490" s="146"/>
      <c r="H490" s="146"/>
      <c r="I490" s="146"/>
      <c r="J490" s="146"/>
      <c r="K490" s="147"/>
      <c r="L490" s="147"/>
      <c r="M490" s="147"/>
      <c r="N490" s="146"/>
      <c r="O490" s="240"/>
      <c r="P490" s="126">
        <f t="shared" si="59"/>
        <v>0</v>
      </c>
      <c r="Q490" s="126"/>
      <c r="R490" s="127">
        <f t="shared" si="60"/>
        <v>0</v>
      </c>
      <c r="T490" s="128">
        <f t="shared" si="61"/>
        <v>0</v>
      </c>
      <c r="U490" s="129" t="str">
        <f>IFERROR(VLOOKUP($S490,References!$B$3:$C$7,2,FALSE),"")</f>
        <v/>
      </c>
      <c r="V490" s="129" t="str">
        <f t="shared" si="62"/>
        <v/>
      </c>
      <c r="W490" s="74" t="str">
        <f>IFERROR(VLOOKUP($O490,'Customer List'!$A$1:$J$488,10,FALSE),"")</f>
        <v/>
      </c>
    </row>
    <row r="491" spans="1:23">
      <c r="A491" s="125" t="str">
        <f t="shared" si="58"/>
        <v/>
      </c>
      <c r="B491" s="148"/>
      <c r="C491" s="148"/>
      <c r="D491" s="148"/>
      <c r="E491" s="148"/>
      <c r="F491" s="148"/>
      <c r="G491" s="148"/>
      <c r="H491" s="148"/>
      <c r="I491" s="148"/>
      <c r="J491" s="148"/>
      <c r="K491" s="149"/>
      <c r="L491" s="149"/>
      <c r="M491" s="149"/>
      <c r="N491" s="148"/>
      <c r="O491" s="240"/>
      <c r="P491" s="126">
        <f t="shared" si="59"/>
        <v>0</v>
      </c>
      <c r="Q491" s="126"/>
      <c r="R491" s="127">
        <f t="shared" si="60"/>
        <v>0</v>
      </c>
      <c r="T491" s="128">
        <f t="shared" si="61"/>
        <v>0</v>
      </c>
      <c r="U491" s="129" t="str">
        <f>IFERROR(VLOOKUP($S491,References!$B$3:$C$7,2,FALSE),"")</f>
        <v/>
      </c>
      <c r="V491" s="129" t="str">
        <f t="shared" si="62"/>
        <v/>
      </c>
      <c r="W491" s="74" t="str">
        <f>IFERROR(VLOOKUP($O491,'Customer List'!$A$1:$J$488,10,FALSE),"")</f>
        <v/>
      </c>
    </row>
    <row r="492" spans="1:23">
      <c r="A492" s="125" t="str">
        <f t="shared" si="58"/>
        <v/>
      </c>
      <c r="B492" s="148"/>
      <c r="C492" s="148"/>
      <c r="D492" s="148"/>
      <c r="E492" s="148"/>
      <c r="F492" s="148"/>
      <c r="G492" s="146"/>
      <c r="H492" s="146"/>
      <c r="I492" s="146"/>
      <c r="J492" s="148"/>
      <c r="K492" s="149"/>
      <c r="L492" s="149"/>
      <c r="M492" s="149"/>
      <c r="N492" s="148"/>
      <c r="O492" s="240"/>
      <c r="P492" s="126">
        <f t="shared" si="59"/>
        <v>0</v>
      </c>
      <c r="Q492" s="126"/>
      <c r="R492" s="127">
        <f t="shared" si="60"/>
        <v>0</v>
      </c>
      <c r="T492" s="128">
        <f t="shared" si="61"/>
        <v>0</v>
      </c>
      <c r="U492" s="129" t="str">
        <f>IFERROR(VLOOKUP($S492,References!$B$3:$C$7,2,FALSE),"")</f>
        <v/>
      </c>
      <c r="V492" s="129" t="str">
        <f t="shared" si="62"/>
        <v/>
      </c>
      <c r="W492" s="74" t="str">
        <f>IFERROR(VLOOKUP($O492,'Customer List'!$A$1:$J$488,10,FALSE),"")</f>
        <v/>
      </c>
    </row>
    <row r="493" spans="1:23">
      <c r="A493" s="125" t="str">
        <f t="shared" si="58"/>
        <v/>
      </c>
      <c r="B493" s="148"/>
      <c r="C493" s="146"/>
      <c r="D493" s="146"/>
      <c r="E493" s="146"/>
      <c r="F493" s="148"/>
      <c r="G493" s="146"/>
      <c r="H493" s="146"/>
      <c r="I493" s="146"/>
      <c r="J493" s="148"/>
      <c r="K493" s="149"/>
      <c r="L493" s="149"/>
      <c r="M493" s="149"/>
      <c r="N493" s="146"/>
      <c r="O493" s="240"/>
      <c r="P493" s="126">
        <f t="shared" si="59"/>
        <v>0</v>
      </c>
      <c r="Q493" s="126"/>
      <c r="R493" s="127">
        <f t="shared" si="60"/>
        <v>0</v>
      </c>
      <c r="T493" s="128">
        <f t="shared" si="61"/>
        <v>0</v>
      </c>
      <c r="U493" s="129" t="str">
        <f>IFERROR(VLOOKUP($S493,References!$B$3:$C$7,2,FALSE),"")</f>
        <v/>
      </c>
      <c r="V493" s="129" t="str">
        <f t="shared" si="62"/>
        <v/>
      </c>
      <c r="W493" s="74" t="str">
        <f>IFERROR(VLOOKUP($O493,'Customer List'!$A$1:$J$488,10,FALSE),"")</f>
        <v/>
      </c>
    </row>
    <row r="494" spans="1:23">
      <c r="A494" s="125" t="str">
        <f t="shared" si="58"/>
        <v/>
      </c>
      <c r="B494" s="148"/>
      <c r="C494" s="146"/>
      <c r="D494" s="146"/>
      <c r="E494" s="146"/>
      <c r="F494" s="148"/>
      <c r="G494" s="146"/>
      <c r="H494" s="146"/>
      <c r="I494" s="146"/>
      <c r="J494" s="148"/>
      <c r="K494" s="149"/>
      <c r="L494" s="149"/>
      <c r="M494" s="149"/>
      <c r="N494" s="146"/>
      <c r="O494" s="240"/>
      <c r="P494" s="126">
        <f t="shared" si="59"/>
        <v>0</v>
      </c>
      <c r="Q494" s="126"/>
      <c r="R494" s="127">
        <f t="shared" si="60"/>
        <v>0</v>
      </c>
      <c r="T494" s="128">
        <f t="shared" si="61"/>
        <v>0</v>
      </c>
      <c r="U494" s="129" t="str">
        <f>IFERROR(VLOOKUP($S494,References!$B$3:$C$7,2,FALSE),"")</f>
        <v/>
      </c>
      <c r="V494" s="129" t="str">
        <f t="shared" si="62"/>
        <v/>
      </c>
      <c r="W494" s="74" t="str">
        <f>IFERROR(VLOOKUP($O494,'Customer List'!$A$1:$J$488,10,FALSE),"")</f>
        <v/>
      </c>
    </row>
    <row r="495" spans="1:23">
      <c r="A495" s="125" t="str">
        <f t="shared" si="58"/>
        <v/>
      </c>
      <c r="B495" s="148"/>
      <c r="C495" s="146"/>
      <c r="D495" s="146"/>
      <c r="E495" s="146"/>
      <c r="F495" s="148"/>
      <c r="G495" s="146"/>
      <c r="H495" s="146"/>
      <c r="I495" s="146"/>
      <c r="J495" s="148"/>
      <c r="K495" s="149"/>
      <c r="L495" s="149"/>
      <c r="M495" s="149"/>
      <c r="N495" s="146"/>
      <c r="O495" s="240"/>
      <c r="P495" s="126">
        <f t="shared" si="59"/>
        <v>0</v>
      </c>
      <c r="Q495" s="126"/>
      <c r="R495" s="127">
        <f t="shared" si="60"/>
        <v>0</v>
      </c>
      <c r="T495" s="128">
        <f t="shared" si="61"/>
        <v>0</v>
      </c>
      <c r="U495" s="129" t="str">
        <f>IFERROR(VLOOKUP($S495,References!$B$3:$C$7,2,FALSE),"")</f>
        <v/>
      </c>
      <c r="V495" s="129" t="str">
        <f t="shared" si="62"/>
        <v/>
      </c>
      <c r="W495" s="74" t="str">
        <f>IFERROR(VLOOKUP($O495,'Customer List'!$A$1:$J$488,10,FALSE),"")</f>
        <v/>
      </c>
    </row>
    <row r="496" spans="1:23">
      <c r="A496" s="125" t="str">
        <f t="shared" si="58"/>
        <v/>
      </c>
      <c r="B496" s="148"/>
      <c r="C496" s="146"/>
      <c r="D496" s="146"/>
      <c r="E496" s="146"/>
      <c r="F496" s="148"/>
      <c r="G496" s="146"/>
      <c r="H496" s="146"/>
      <c r="I496" s="146"/>
      <c r="J496" s="148"/>
      <c r="K496" s="149"/>
      <c r="L496" s="149"/>
      <c r="M496" s="149"/>
      <c r="N496" s="146"/>
      <c r="O496" s="240"/>
      <c r="P496" s="126">
        <f t="shared" si="59"/>
        <v>0</v>
      </c>
      <c r="Q496" s="126"/>
      <c r="R496" s="127">
        <f t="shared" si="60"/>
        <v>0</v>
      </c>
      <c r="T496" s="128">
        <f t="shared" si="61"/>
        <v>0</v>
      </c>
      <c r="U496" s="129" t="str">
        <f>IFERROR(VLOOKUP($S496,References!$B$3:$C$7,2,FALSE),"")</f>
        <v/>
      </c>
      <c r="V496" s="129" t="str">
        <f t="shared" si="62"/>
        <v/>
      </c>
      <c r="W496" s="74" t="str">
        <f>IFERROR(VLOOKUP($O496,'Customer List'!$A$1:$J$488,10,FALSE),"")</f>
        <v/>
      </c>
    </row>
    <row r="497" spans="1:23">
      <c r="A497" s="125" t="str">
        <f t="shared" si="58"/>
        <v/>
      </c>
      <c r="B497" s="148"/>
      <c r="C497" s="146"/>
      <c r="D497" s="146"/>
      <c r="E497" s="146"/>
      <c r="F497" s="148"/>
      <c r="G497" s="146"/>
      <c r="H497" s="146"/>
      <c r="I497" s="146"/>
      <c r="J497" s="148"/>
      <c r="K497" s="149"/>
      <c r="L497" s="149"/>
      <c r="M497" s="149"/>
      <c r="N497" s="146"/>
      <c r="O497" s="240"/>
      <c r="P497" s="126">
        <f t="shared" si="59"/>
        <v>0</v>
      </c>
      <c r="Q497" s="126"/>
      <c r="R497" s="127">
        <f t="shared" si="60"/>
        <v>0</v>
      </c>
      <c r="T497" s="128">
        <f t="shared" si="61"/>
        <v>0</v>
      </c>
      <c r="U497" s="129" t="str">
        <f>IFERROR(VLOOKUP($S497,References!$B$3:$C$7,2,FALSE),"")</f>
        <v/>
      </c>
      <c r="V497" s="129" t="str">
        <f t="shared" si="62"/>
        <v/>
      </c>
      <c r="W497" s="74" t="str">
        <f>IFERROR(VLOOKUP($O497,'Customer List'!$A$1:$J$488,10,FALSE),"")</f>
        <v/>
      </c>
    </row>
    <row r="498" spans="1:23">
      <c r="A498" s="125" t="str">
        <f t="shared" si="58"/>
        <v/>
      </c>
      <c r="B498" s="148"/>
      <c r="C498" s="146"/>
      <c r="D498" s="146"/>
      <c r="E498" s="146"/>
      <c r="F498" s="148"/>
      <c r="G498" s="146"/>
      <c r="H498" s="146"/>
      <c r="I498" s="146"/>
      <c r="J498" s="148"/>
      <c r="K498" s="149"/>
      <c r="L498" s="149"/>
      <c r="M498" s="149"/>
      <c r="N498" s="146"/>
      <c r="O498" s="240"/>
      <c r="P498" s="126">
        <f t="shared" si="59"/>
        <v>0</v>
      </c>
      <c r="Q498" s="126"/>
      <c r="R498" s="127">
        <f t="shared" si="60"/>
        <v>0</v>
      </c>
      <c r="T498" s="128">
        <f t="shared" si="61"/>
        <v>0</v>
      </c>
      <c r="U498" s="129" t="str">
        <f>IFERROR(VLOOKUP($S498,References!$B$3:$C$7,2,FALSE),"")</f>
        <v/>
      </c>
      <c r="V498" s="129" t="str">
        <f t="shared" si="62"/>
        <v/>
      </c>
      <c r="W498" s="74" t="str">
        <f>IFERROR(VLOOKUP($O498,'Customer List'!$A$1:$J$488,10,FALSE),"")</f>
        <v/>
      </c>
    </row>
    <row r="499" spans="1:23">
      <c r="A499" s="125" t="str">
        <f t="shared" si="58"/>
        <v/>
      </c>
      <c r="B499" s="148"/>
      <c r="C499" s="146"/>
      <c r="D499" s="146"/>
      <c r="E499" s="146"/>
      <c r="F499" s="148"/>
      <c r="G499" s="146"/>
      <c r="H499" s="146"/>
      <c r="I499" s="146"/>
      <c r="J499" s="148"/>
      <c r="K499" s="149"/>
      <c r="L499" s="149"/>
      <c r="M499" s="149"/>
      <c r="N499" s="146"/>
      <c r="O499" s="240"/>
      <c r="P499" s="126">
        <f t="shared" si="59"/>
        <v>0</v>
      </c>
      <c r="Q499" s="126"/>
      <c r="R499" s="127">
        <f t="shared" si="60"/>
        <v>0</v>
      </c>
      <c r="T499" s="128">
        <f t="shared" si="61"/>
        <v>0</v>
      </c>
      <c r="U499" s="129" t="str">
        <f>IFERROR(VLOOKUP($S499,References!$B$3:$C$7,2,FALSE),"")</f>
        <v/>
      </c>
      <c r="V499" s="129" t="str">
        <f t="shared" si="62"/>
        <v/>
      </c>
      <c r="W499" s="74" t="str">
        <f>IFERROR(VLOOKUP($O499,'Customer List'!$A$1:$J$488,10,FALSE),"")</f>
        <v/>
      </c>
    </row>
    <row r="500" spans="1:23">
      <c r="A500" s="125" t="str">
        <f t="shared" si="58"/>
        <v/>
      </c>
      <c r="B500" s="148"/>
      <c r="C500" s="146"/>
      <c r="D500" s="146"/>
      <c r="E500" s="146"/>
      <c r="F500" s="148"/>
      <c r="G500" s="146"/>
      <c r="H500" s="146"/>
      <c r="I500" s="146"/>
      <c r="J500" s="148"/>
      <c r="K500" s="149"/>
      <c r="L500" s="149"/>
      <c r="M500" s="149"/>
      <c r="N500" s="146"/>
      <c r="O500" s="240"/>
      <c r="P500" s="126">
        <f t="shared" si="59"/>
        <v>0</v>
      </c>
      <c r="Q500" s="126"/>
      <c r="R500" s="127">
        <f t="shared" si="60"/>
        <v>0</v>
      </c>
      <c r="T500" s="128">
        <f t="shared" si="61"/>
        <v>0</v>
      </c>
      <c r="U500" s="129" t="str">
        <f>IFERROR(VLOOKUP($S500,References!$B$3:$C$7,2,FALSE),"")</f>
        <v/>
      </c>
      <c r="V500" s="129" t="str">
        <f t="shared" si="62"/>
        <v/>
      </c>
      <c r="W500" s="74" t="str">
        <f>IFERROR(VLOOKUP($O500,'Customer List'!$A$1:$J$488,10,FALSE),"")</f>
        <v/>
      </c>
    </row>
    <row r="501" spans="1:23">
      <c r="A501" s="125" t="str">
        <f t="shared" si="58"/>
        <v/>
      </c>
      <c r="B501" s="148"/>
      <c r="C501" s="148"/>
      <c r="D501" s="148"/>
      <c r="E501" s="148"/>
      <c r="F501" s="148"/>
      <c r="G501" s="148"/>
      <c r="H501" s="148"/>
      <c r="I501" s="148"/>
      <c r="J501" s="148"/>
      <c r="K501" s="149"/>
      <c r="L501" s="149"/>
      <c r="M501" s="149"/>
      <c r="N501" s="148"/>
      <c r="O501" s="240"/>
      <c r="P501" s="126">
        <f t="shared" si="59"/>
        <v>0</v>
      </c>
      <c r="Q501" s="126"/>
      <c r="R501" s="127">
        <f t="shared" si="60"/>
        <v>0</v>
      </c>
      <c r="T501" s="128">
        <f t="shared" si="61"/>
        <v>0</v>
      </c>
      <c r="U501" s="129" t="str">
        <f>IFERROR(VLOOKUP($S501,References!$B$3:$C$7,2,FALSE),"")</f>
        <v/>
      </c>
      <c r="V501" s="129" t="str">
        <f t="shared" si="62"/>
        <v/>
      </c>
      <c r="W501" s="74" t="str">
        <f>IFERROR(VLOOKUP($O501,'Customer List'!$A$1:$J$488,10,FALSE),"")</f>
        <v/>
      </c>
    </row>
    <row r="502" spans="1:23">
      <c r="A502" s="125" t="str">
        <f t="shared" si="58"/>
        <v/>
      </c>
      <c r="B502" s="148"/>
      <c r="C502" s="148"/>
      <c r="D502" s="148"/>
      <c r="E502" s="148"/>
      <c r="F502" s="148"/>
      <c r="G502" s="148"/>
      <c r="H502" s="148"/>
      <c r="I502" s="148"/>
      <c r="J502" s="148"/>
      <c r="K502" s="149"/>
      <c r="L502" s="149"/>
      <c r="M502" s="149"/>
      <c r="N502" s="148"/>
      <c r="O502" s="240"/>
      <c r="P502" s="126">
        <f t="shared" si="59"/>
        <v>0</v>
      </c>
      <c r="Q502" s="126"/>
      <c r="R502" s="127">
        <f t="shared" si="60"/>
        <v>0</v>
      </c>
      <c r="T502" s="128">
        <f t="shared" si="61"/>
        <v>0</v>
      </c>
      <c r="U502" s="129" t="str">
        <f>IFERROR(VLOOKUP($S502,References!$B$3:$C$7,2,FALSE),"")</f>
        <v/>
      </c>
      <c r="V502" s="129" t="str">
        <f t="shared" si="62"/>
        <v/>
      </c>
      <c r="W502" s="74" t="str">
        <f>IFERROR(VLOOKUP($O502,'Customer List'!$A$1:$J$488,10,FALSE),"")</f>
        <v/>
      </c>
    </row>
    <row r="503" spans="1:23">
      <c r="A503" s="125" t="str">
        <f t="shared" si="58"/>
        <v/>
      </c>
      <c r="B503" s="148"/>
      <c r="C503" s="148"/>
      <c r="D503" s="148"/>
      <c r="E503" s="148"/>
      <c r="F503" s="148"/>
      <c r="G503" s="148"/>
      <c r="H503" s="148"/>
      <c r="I503" s="148"/>
      <c r="J503" s="148"/>
      <c r="K503" s="149"/>
      <c r="L503" s="149"/>
      <c r="M503" s="149"/>
      <c r="N503" s="148"/>
      <c r="O503" s="240"/>
      <c r="P503" s="126">
        <f t="shared" si="59"/>
        <v>0</v>
      </c>
      <c r="Q503" s="126"/>
      <c r="R503" s="127">
        <f t="shared" si="60"/>
        <v>0</v>
      </c>
      <c r="T503" s="128">
        <f t="shared" si="61"/>
        <v>0</v>
      </c>
      <c r="U503" s="129" t="str">
        <f>IFERROR(VLOOKUP($S503,References!$B$3:$C$7,2,FALSE),"")</f>
        <v/>
      </c>
      <c r="V503" s="129" t="str">
        <f t="shared" si="62"/>
        <v/>
      </c>
      <c r="W503" s="74" t="str">
        <f>IFERROR(VLOOKUP($O503,'Customer List'!$A$1:$J$488,10,FALSE),"")</f>
        <v/>
      </c>
    </row>
    <row r="504" spans="1:23">
      <c r="A504" s="125" t="str">
        <f t="shared" si="58"/>
        <v/>
      </c>
      <c r="B504" s="148"/>
      <c r="C504" s="148"/>
      <c r="D504" s="148"/>
      <c r="E504" s="148"/>
      <c r="F504" s="148"/>
      <c r="G504" s="148"/>
      <c r="H504" s="148"/>
      <c r="I504" s="148"/>
      <c r="J504" s="148"/>
      <c r="K504" s="149"/>
      <c r="L504" s="149"/>
      <c r="M504" s="149"/>
      <c r="N504" s="148"/>
      <c r="O504" s="240"/>
      <c r="P504" s="126">
        <f t="shared" si="59"/>
        <v>0</v>
      </c>
      <c r="Q504" s="126"/>
      <c r="R504" s="127">
        <f t="shared" si="60"/>
        <v>0</v>
      </c>
      <c r="T504" s="128">
        <f t="shared" si="61"/>
        <v>0</v>
      </c>
      <c r="U504" s="129" t="str">
        <f>IFERROR(VLOOKUP($S504,References!$B$3:$C$7,2,FALSE),"")</f>
        <v/>
      </c>
      <c r="V504" s="129" t="str">
        <f t="shared" si="62"/>
        <v/>
      </c>
      <c r="W504" s="74" t="str">
        <f>IFERROR(VLOOKUP($O504,'Customer List'!$A$1:$J$488,10,FALSE),"")</f>
        <v/>
      </c>
    </row>
    <row r="505" spans="1:23">
      <c r="A505" s="125" t="str">
        <f t="shared" si="58"/>
        <v/>
      </c>
      <c r="B505" s="148"/>
      <c r="C505" s="148"/>
      <c r="D505" s="148"/>
      <c r="E505" s="148"/>
      <c r="F505" s="148"/>
      <c r="G505" s="148"/>
      <c r="H505" s="148"/>
      <c r="I505" s="148"/>
      <c r="J505" s="148"/>
      <c r="K505" s="149"/>
      <c r="L505" s="149"/>
      <c r="M505" s="149"/>
      <c r="N505" s="148"/>
      <c r="O505" s="240"/>
      <c r="P505" s="126">
        <f t="shared" si="59"/>
        <v>0</v>
      </c>
      <c r="Q505" s="126"/>
      <c r="R505" s="127">
        <f t="shared" si="60"/>
        <v>0</v>
      </c>
      <c r="T505" s="128">
        <f t="shared" si="61"/>
        <v>0</v>
      </c>
      <c r="U505" s="129" t="str">
        <f>IFERROR(VLOOKUP($S505,References!$B$3:$C$7,2,FALSE),"")</f>
        <v/>
      </c>
      <c r="V505" s="129" t="str">
        <f t="shared" si="62"/>
        <v/>
      </c>
      <c r="W505" s="74" t="str">
        <f>IFERROR(VLOOKUP($O505,'Customer List'!$A$1:$J$488,10,FALSE),"")</f>
        <v/>
      </c>
    </row>
    <row r="506" spans="1:23">
      <c r="A506" s="125" t="str">
        <f t="shared" si="58"/>
        <v/>
      </c>
      <c r="B506" s="148"/>
      <c r="C506" s="148"/>
      <c r="D506" s="148"/>
      <c r="E506" s="148"/>
      <c r="F506" s="148"/>
      <c r="G506" s="148"/>
      <c r="H506" s="148"/>
      <c r="I506" s="148"/>
      <c r="J506" s="148"/>
      <c r="K506" s="149"/>
      <c r="L506" s="149"/>
      <c r="M506" s="149"/>
      <c r="N506" s="148"/>
      <c r="O506" s="240"/>
      <c r="P506" s="126">
        <f t="shared" si="59"/>
        <v>0</v>
      </c>
      <c r="Q506" s="126"/>
      <c r="R506" s="127">
        <f t="shared" si="60"/>
        <v>0</v>
      </c>
      <c r="T506" s="128">
        <f t="shared" si="61"/>
        <v>0</v>
      </c>
      <c r="U506" s="129" t="str">
        <f>IFERROR(VLOOKUP($S506,References!$B$3:$C$7,2,FALSE),"")</f>
        <v/>
      </c>
      <c r="V506" s="129" t="str">
        <f t="shared" si="62"/>
        <v/>
      </c>
      <c r="W506" s="74" t="str">
        <f>IFERROR(VLOOKUP($O506,'Customer List'!$A$1:$J$488,10,FALSE),"")</f>
        <v/>
      </c>
    </row>
    <row r="507" spans="1:23">
      <c r="A507" s="125" t="str">
        <f t="shared" si="58"/>
        <v/>
      </c>
      <c r="B507" s="148"/>
      <c r="C507" s="148"/>
      <c r="D507" s="148"/>
      <c r="E507" s="148"/>
      <c r="F507" s="148"/>
      <c r="G507" s="148"/>
      <c r="H507" s="148"/>
      <c r="I507" s="148"/>
      <c r="J507" s="148"/>
      <c r="K507" s="149"/>
      <c r="L507" s="149"/>
      <c r="M507" s="149"/>
      <c r="N507" s="148"/>
      <c r="O507" s="240"/>
      <c r="P507" s="126">
        <f t="shared" si="59"/>
        <v>0</v>
      </c>
      <c r="Q507" s="126"/>
      <c r="R507" s="127">
        <f t="shared" si="60"/>
        <v>0</v>
      </c>
      <c r="T507" s="128">
        <f t="shared" si="61"/>
        <v>0</v>
      </c>
      <c r="U507" s="129" t="str">
        <f>IFERROR(VLOOKUP($S507,References!$B$3:$C$7,2,FALSE),"")</f>
        <v/>
      </c>
      <c r="V507" s="129" t="str">
        <f t="shared" si="62"/>
        <v/>
      </c>
      <c r="W507" s="74" t="str">
        <f>IFERROR(VLOOKUP($O507,'Customer List'!$A$1:$J$488,10,FALSE),"")</f>
        <v/>
      </c>
    </row>
    <row r="508" spans="1:23">
      <c r="A508" s="125" t="str">
        <f t="shared" si="58"/>
        <v/>
      </c>
      <c r="B508" s="148"/>
      <c r="C508" s="148"/>
      <c r="D508" s="148"/>
      <c r="E508" s="148"/>
      <c r="F508" s="148"/>
      <c r="G508" s="148"/>
      <c r="H508" s="148"/>
      <c r="I508" s="148"/>
      <c r="J508" s="148"/>
      <c r="K508" s="149"/>
      <c r="L508" s="149"/>
      <c r="M508" s="149"/>
      <c r="N508" s="148"/>
      <c r="O508" s="240"/>
      <c r="P508" s="126">
        <f t="shared" si="59"/>
        <v>0</v>
      </c>
      <c r="Q508" s="126"/>
      <c r="R508" s="127">
        <f t="shared" si="60"/>
        <v>0</v>
      </c>
      <c r="T508" s="128">
        <f t="shared" si="61"/>
        <v>0</v>
      </c>
      <c r="U508" s="129" t="str">
        <f>IFERROR(VLOOKUP($S508,References!$B$3:$C$7,2,FALSE),"")</f>
        <v/>
      </c>
      <c r="V508" s="129" t="str">
        <f t="shared" si="62"/>
        <v/>
      </c>
      <c r="W508" s="74" t="str">
        <f>IFERROR(VLOOKUP($O508,'Customer List'!$A$1:$J$488,10,FALSE),"")</f>
        <v/>
      </c>
    </row>
    <row r="509" spans="1:23">
      <c r="A509" s="125" t="str">
        <f t="shared" si="58"/>
        <v/>
      </c>
      <c r="B509" s="148"/>
      <c r="C509" s="148"/>
      <c r="D509" s="148"/>
      <c r="E509" s="148"/>
      <c r="F509" s="148"/>
      <c r="G509" s="148"/>
      <c r="H509" s="148"/>
      <c r="I509" s="148"/>
      <c r="J509" s="148"/>
      <c r="K509" s="149"/>
      <c r="L509" s="149"/>
      <c r="M509" s="149"/>
      <c r="N509" s="148"/>
      <c r="O509" s="240"/>
      <c r="P509" s="126">
        <f t="shared" si="59"/>
        <v>0</v>
      </c>
      <c r="Q509" s="126"/>
      <c r="R509" s="127">
        <f t="shared" si="60"/>
        <v>0</v>
      </c>
      <c r="T509" s="128">
        <f t="shared" si="61"/>
        <v>0</v>
      </c>
      <c r="U509" s="129" t="str">
        <f>IFERROR(VLOOKUP($S509,References!$B$3:$C$7,2,FALSE),"")</f>
        <v/>
      </c>
      <c r="V509" s="129" t="str">
        <f t="shared" si="62"/>
        <v/>
      </c>
      <c r="W509" s="74" t="str">
        <f>IFERROR(VLOOKUP($O509,'Customer List'!$A$1:$J$488,10,FALSE),"")</f>
        <v/>
      </c>
    </row>
    <row r="510" spans="1:23">
      <c r="A510" s="125" t="str">
        <f t="shared" si="58"/>
        <v/>
      </c>
      <c r="B510" s="148"/>
      <c r="C510" s="148"/>
      <c r="D510" s="148"/>
      <c r="E510" s="148"/>
      <c r="F510" s="148"/>
      <c r="G510" s="148"/>
      <c r="H510" s="148"/>
      <c r="I510" s="148"/>
      <c r="J510" s="148"/>
      <c r="K510" s="149"/>
      <c r="L510" s="149"/>
      <c r="M510" s="149"/>
      <c r="N510" s="148"/>
      <c r="O510" s="240"/>
      <c r="P510" s="126">
        <f t="shared" si="59"/>
        <v>0</v>
      </c>
      <c r="Q510" s="126"/>
      <c r="R510" s="127">
        <f t="shared" si="60"/>
        <v>0</v>
      </c>
      <c r="T510" s="128">
        <f t="shared" si="61"/>
        <v>0</v>
      </c>
      <c r="U510" s="129" t="str">
        <f>IFERROR(VLOOKUP($S510,References!$B$3:$C$7,2,FALSE),"")</f>
        <v/>
      </c>
      <c r="V510" s="129" t="str">
        <f t="shared" si="62"/>
        <v/>
      </c>
      <c r="W510" s="74" t="str">
        <f>IFERROR(VLOOKUP($O510,'Customer List'!$A$1:$J$488,10,FALSE),"")</f>
        <v/>
      </c>
    </row>
    <row r="511" spans="1:23">
      <c r="A511" s="125" t="str">
        <f t="shared" si="58"/>
        <v/>
      </c>
      <c r="B511" s="148"/>
      <c r="C511" s="148"/>
      <c r="D511" s="148"/>
      <c r="E511" s="148"/>
      <c r="F511" s="148"/>
      <c r="G511" s="148"/>
      <c r="H511" s="148"/>
      <c r="I511" s="148"/>
      <c r="J511" s="148"/>
      <c r="K511" s="149"/>
      <c r="L511" s="149"/>
      <c r="M511" s="149"/>
      <c r="N511" s="148"/>
      <c r="O511" s="240"/>
      <c r="P511" s="126">
        <f t="shared" si="59"/>
        <v>0</v>
      </c>
      <c r="Q511" s="126"/>
      <c r="R511" s="127">
        <f t="shared" si="60"/>
        <v>0</v>
      </c>
      <c r="T511" s="128">
        <f t="shared" si="61"/>
        <v>0</v>
      </c>
      <c r="U511" s="129" t="str">
        <f>IFERROR(VLOOKUP($S511,References!$B$3:$C$7,2,FALSE),"")</f>
        <v/>
      </c>
      <c r="V511" s="129" t="str">
        <f t="shared" si="62"/>
        <v/>
      </c>
      <c r="W511" s="74" t="str">
        <f>IFERROR(VLOOKUP($O511,'Customer List'!$A$1:$J$488,10,FALSE),"")</f>
        <v/>
      </c>
    </row>
    <row r="512" spans="1:23">
      <c r="A512" s="125" t="str">
        <f t="shared" si="58"/>
        <v/>
      </c>
      <c r="B512" s="148"/>
      <c r="C512" s="148"/>
      <c r="D512" s="148"/>
      <c r="E512" s="148"/>
      <c r="F512" s="148"/>
      <c r="G512" s="148"/>
      <c r="H512" s="148"/>
      <c r="I512" s="148"/>
      <c r="J512" s="148"/>
      <c r="K512" s="149"/>
      <c r="L512" s="149"/>
      <c r="M512" s="149"/>
      <c r="N512" s="148"/>
      <c r="O512" s="240"/>
      <c r="P512" s="126">
        <f t="shared" si="59"/>
        <v>0</v>
      </c>
      <c r="Q512" s="126"/>
      <c r="R512" s="127">
        <f t="shared" si="60"/>
        <v>0</v>
      </c>
      <c r="T512" s="128">
        <f t="shared" si="61"/>
        <v>0</v>
      </c>
      <c r="U512" s="129" t="str">
        <f>IFERROR(VLOOKUP($S512,References!$B$3:$C$7,2,FALSE),"")</f>
        <v/>
      </c>
      <c r="V512" s="129" t="str">
        <f t="shared" si="62"/>
        <v/>
      </c>
      <c r="W512" s="74" t="str">
        <f>IFERROR(VLOOKUP($O512,'Customer List'!$A$1:$J$488,10,FALSE),"")</f>
        <v/>
      </c>
    </row>
    <row r="513" spans="1:23">
      <c r="A513" s="125" t="str">
        <f t="shared" si="58"/>
        <v/>
      </c>
      <c r="B513" s="148"/>
      <c r="C513" s="148"/>
      <c r="D513" s="148"/>
      <c r="E513" s="148"/>
      <c r="F513" s="148"/>
      <c r="G513" s="148"/>
      <c r="H513" s="148"/>
      <c r="I513" s="148"/>
      <c r="J513" s="148"/>
      <c r="K513" s="149"/>
      <c r="L513" s="149"/>
      <c r="M513" s="149"/>
      <c r="N513" s="148"/>
      <c r="O513" s="240"/>
      <c r="P513" s="126">
        <f t="shared" si="59"/>
        <v>0</v>
      </c>
      <c r="Q513" s="126"/>
      <c r="R513" s="127">
        <f t="shared" si="60"/>
        <v>0</v>
      </c>
      <c r="T513" s="128">
        <f t="shared" si="61"/>
        <v>0</v>
      </c>
      <c r="U513" s="129" t="str">
        <f>IFERROR(VLOOKUP($S513,References!$B$3:$C$7,2,FALSE),"")</f>
        <v/>
      </c>
      <c r="V513" s="129" t="str">
        <f t="shared" si="62"/>
        <v/>
      </c>
      <c r="W513" s="74" t="str">
        <f>IFERROR(VLOOKUP($O513,'Customer List'!$A$1:$J$488,10,FALSE),"")</f>
        <v/>
      </c>
    </row>
    <row r="514" spans="1:23">
      <c r="A514" s="125" t="str">
        <f t="shared" si="58"/>
        <v/>
      </c>
      <c r="B514" s="148"/>
      <c r="C514" s="148"/>
      <c r="D514" s="148"/>
      <c r="E514" s="148"/>
      <c r="F514" s="148"/>
      <c r="G514" s="148"/>
      <c r="H514" s="148"/>
      <c r="I514" s="148"/>
      <c r="J514" s="148"/>
      <c r="K514" s="149"/>
      <c r="L514" s="149"/>
      <c r="M514" s="149"/>
      <c r="N514" s="148"/>
      <c r="O514" s="240"/>
      <c r="P514" s="126">
        <f t="shared" si="59"/>
        <v>0</v>
      </c>
      <c r="Q514" s="126"/>
      <c r="R514" s="127">
        <f t="shared" si="60"/>
        <v>0</v>
      </c>
      <c r="T514" s="128">
        <f t="shared" si="61"/>
        <v>0</v>
      </c>
      <c r="U514" s="129" t="str">
        <f>IFERROR(VLOOKUP($S514,References!$B$3:$C$7,2,FALSE),"")</f>
        <v/>
      </c>
      <c r="V514" s="129" t="str">
        <f t="shared" si="62"/>
        <v/>
      </c>
      <c r="W514" s="74" t="str">
        <f>IFERROR(VLOOKUP($O514,'Customer List'!$A$1:$J$488,10,FALSE),"")</f>
        <v/>
      </c>
    </row>
    <row r="515" spans="1:23">
      <c r="A515" s="125" t="str">
        <f t="shared" si="58"/>
        <v/>
      </c>
      <c r="B515" s="148"/>
      <c r="C515" s="148"/>
      <c r="D515" s="148"/>
      <c r="E515" s="148"/>
      <c r="F515" s="148"/>
      <c r="G515" s="148"/>
      <c r="H515" s="148"/>
      <c r="I515" s="148"/>
      <c r="J515" s="148"/>
      <c r="K515" s="149"/>
      <c r="L515" s="149"/>
      <c r="M515" s="149"/>
      <c r="N515" s="148"/>
      <c r="O515" s="240"/>
      <c r="P515" s="126">
        <f t="shared" si="59"/>
        <v>0</v>
      </c>
      <c r="Q515" s="126"/>
      <c r="R515" s="127">
        <f t="shared" si="60"/>
        <v>0</v>
      </c>
      <c r="T515" s="128">
        <f t="shared" si="61"/>
        <v>0</v>
      </c>
      <c r="U515" s="129" t="str">
        <f>IFERROR(VLOOKUP($S515,References!$B$3:$C$7,2,FALSE),"")</f>
        <v/>
      </c>
      <c r="V515" s="129" t="str">
        <f t="shared" si="62"/>
        <v/>
      </c>
      <c r="W515" s="74" t="str">
        <f>IFERROR(VLOOKUP($O515,'Customer List'!$A$1:$J$488,10,FALSE),"")</f>
        <v/>
      </c>
    </row>
    <row r="516" spans="1:23">
      <c r="A516" s="125" t="str">
        <f t="shared" si="58"/>
        <v/>
      </c>
      <c r="B516" s="148"/>
      <c r="C516" s="148"/>
      <c r="D516" s="148"/>
      <c r="E516" s="148"/>
      <c r="F516" s="148"/>
      <c r="G516" s="148"/>
      <c r="H516" s="148"/>
      <c r="I516" s="148"/>
      <c r="J516" s="148"/>
      <c r="K516" s="149"/>
      <c r="L516" s="149"/>
      <c r="M516" s="149"/>
      <c r="N516" s="148"/>
      <c r="O516" s="240"/>
      <c r="P516" s="126">
        <f t="shared" si="59"/>
        <v>0</v>
      </c>
      <c r="Q516" s="126"/>
      <c r="R516" s="127">
        <f t="shared" si="60"/>
        <v>0</v>
      </c>
      <c r="T516" s="128">
        <f t="shared" si="61"/>
        <v>0</v>
      </c>
      <c r="U516" s="129" t="str">
        <f>IFERROR(VLOOKUP($S516,References!$B$3:$C$7,2,FALSE),"")</f>
        <v/>
      </c>
      <c r="V516" s="129" t="str">
        <f t="shared" si="62"/>
        <v/>
      </c>
      <c r="W516" s="74" t="str">
        <f>IFERROR(VLOOKUP($O516,'Customer List'!$A$1:$J$488,10,FALSE),"")</f>
        <v/>
      </c>
    </row>
    <row r="517" spans="1:23">
      <c r="A517" s="125" t="str">
        <f t="shared" si="58"/>
        <v/>
      </c>
      <c r="B517" s="148"/>
      <c r="C517" s="148"/>
      <c r="D517" s="148"/>
      <c r="E517" s="148"/>
      <c r="F517" s="148"/>
      <c r="G517" s="148"/>
      <c r="H517" s="148"/>
      <c r="I517" s="148"/>
      <c r="J517" s="148"/>
      <c r="K517" s="149"/>
      <c r="L517" s="149"/>
      <c r="M517" s="149"/>
      <c r="N517" s="148"/>
      <c r="O517" s="240"/>
      <c r="P517" s="126">
        <f t="shared" si="59"/>
        <v>0</v>
      </c>
      <c r="Q517" s="126"/>
      <c r="R517" s="127">
        <f t="shared" si="60"/>
        <v>0</v>
      </c>
      <c r="T517" s="128">
        <f t="shared" si="61"/>
        <v>0</v>
      </c>
      <c r="U517" s="129" t="str">
        <f>IFERROR(VLOOKUP($S517,References!$B$3:$C$7,2,FALSE),"")</f>
        <v/>
      </c>
      <c r="V517" s="129" t="str">
        <f t="shared" si="62"/>
        <v/>
      </c>
      <c r="W517" s="74" t="str">
        <f>IFERROR(VLOOKUP($O517,'Customer List'!$A$1:$J$488,10,FALSE),"")</f>
        <v/>
      </c>
    </row>
    <row r="518" spans="1:23">
      <c r="A518" s="125" t="str">
        <f t="shared" si="58"/>
        <v/>
      </c>
      <c r="B518" s="148"/>
      <c r="C518" s="148"/>
      <c r="D518" s="148"/>
      <c r="E518" s="148"/>
      <c r="F518" s="148"/>
      <c r="G518" s="148"/>
      <c r="H518" s="148"/>
      <c r="I518" s="148"/>
      <c r="J518" s="148"/>
      <c r="K518" s="149"/>
      <c r="L518" s="149"/>
      <c r="M518" s="149"/>
      <c r="N518" s="148"/>
      <c r="O518" s="240"/>
      <c r="P518" s="126">
        <f t="shared" si="59"/>
        <v>0</v>
      </c>
      <c r="Q518" s="126"/>
      <c r="R518" s="127">
        <f t="shared" si="60"/>
        <v>0</v>
      </c>
      <c r="T518" s="128">
        <f t="shared" si="61"/>
        <v>0</v>
      </c>
      <c r="U518" s="129" t="str">
        <f>IFERROR(VLOOKUP($S518,References!$B$3:$C$7,2,FALSE),"")</f>
        <v/>
      </c>
      <c r="V518" s="129" t="str">
        <f t="shared" si="62"/>
        <v/>
      </c>
      <c r="W518" s="74" t="str">
        <f>IFERROR(VLOOKUP($O518,'Customer List'!$A$1:$J$488,10,FALSE),"")</f>
        <v/>
      </c>
    </row>
    <row r="519" spans="1:23">
      <c r="A519" s="125" t="str">
        <f t="shared" si="58"/>
        <v/>
      </c>
      <c r="B519" s="148"/>
      <c r="C519" s="148"/>
      <c r="D519" s="148"/>
      <c r="E519" s="148"/>
      <c r="F519" s="148"/>
      <c r="G519" s="148"/>
      <c r="H519" s="148"/>
      <c r="I519" s="148"/>
      <c r="J519" s="148"/>
      <c r="K519" s="149"/>
      <c r="L519" s="149"/>
      <c r="M519" s="149"/>
      <c r="N519" s="148"/>
      <c r="O519" s="240"/>
      <c r="P519" s="126">
        <f t="shared" si="59"/>
        <v>0</v>
      </c>
      <c r="Q519" s="126"/>
      <c r="R519" s="127">
        <f t="shared" si="60"/>
        <v>0</v>
      </c>
      <c r="T519" s="128">
        <f t="shared" si="61"/>
        <v>0</v>
      </c>
      <c r="U519" s="129" t="str">
        <f>IFERROR(VLOOKUP($S519,References!$B$3:$C$7,2,FALSE),"")</f>
        <v/>
      </c>
      <c r="V519" s="129" t="str">
        <f t="shared" si="62"/>
        <v/>
      </c>
      <c r="W519" s="74" t="str">
        <f>IFERROR(VLOOKUP($O519,'Customer List'!$A$1:$J$488,10,FALSE),"")</f>
        <v/>
      </c>
    </row>
    <row r="520" spans="1:23">
      <c r="A520" s="125" t="str">
        <f t="shared" si="58"/>
        <v/>
      </c>
      <c r="B520" s="148"/>
      <c r="C520" s="148"/>
      <c r="D520" s="148"/>
      <c r="E520" s="148"/>
      <c r="F520" s="148"/>
      <c r="G520" s="148"/>
      <c r="H520" s="148"/>
      <c r="I520" s="148"/>
      <c r="J520" s="148"/>
      <c r="K520" s="149"/>
      <c r="L520" s="149"/>
      <c r="M520" s="149"/>
      <c r="N520" s="148"/>
      <c r="O520" s="240"/>
      <c r="P520" s="126">
        <f t="shared" si="59"/>
        <v>0</v>
      </c>
      <c r="R520" s="127">
        <f t="shared" si="60"/>
        <v>0</v>
      </c>
      <c r="T520" s="128">
        <f t="shared" si="61"/>
        <v>0</v>
      </c>
      <c r="U520" s="129" t="str">
        <f>IFERROR(VLOOKUP($S520,References!$B$3:$C$7,2,FALSE),"")</f>
        <v/>
      </c>
      <c r="V520" s="129" t="str">
        <f t="shared" si="62"/>
        <v/>
      </c>
      <c r="W520" s="74" t="str">
        <f>IFERROR(VLOOKUP($O520,'Customer List'!$A$1:$J$488,10,FALSE),"")</f>
        <v/>
      </c>
    </row>
    <row r="521" spans="1:23">
      <c r="A521" s="125" t="str">
        <f t="shared" ref="A521:A559" si="63">O521&amp;S521</f>
        <v/>
      </c>
      <c r="B521" s="148"/>
      <c r="C521" s="148"/>
      <c r="D521" s="148"/>
      <c r="E521" s="148"/>
      <c r="F521" s="148"/>
      <c r="G521" s="148"/>
      <c r="H521" s="148"/>
      <c r="I521" s="148"/>
      <c r="J521" s="148"/>
      <c r="K521" s="149"/>
      <c r="L521" s="149"/>
      <c r="M521" s="149"/>
      <c r="N521" s="148"/>
      <c r="O521" s="240"/>
      <c r="P521" s="126">
        <f t="shared" ref="P521:P584" si="64">INT(L521)</f>
        <v>0</v>
      </c>
      <c r="R521" s="127">
        <f t="shared" ref="R521:R552" si="65">L521-K521</f>
        <v>0</v>
      </c>
      <c r="T521" s="128">
        <f t="shared" si="61"/>
        <v>0</v>
      </c>
      <c r="U521" s="129" t="str">
        <f>IFERROR(VLOOKUP($S521,References!$B$3:$C$7,2,FALSE),"")</f>
        <v/>
      </c>
      <c r="V521" s="129" t="str">
        <f t="shared" si="62"/>
        <v/>
      </c>
      <c r="W521" s="74" t="str">
        <f>IFERROR(VLOOKUP($O521,'Customer List'!$A$1:$J$488,10,FALSE),"")</f>
        <v/>
      </c>
    </row>
    <row r="522" spans="1:23">
      <c r="A522" s="125" t="str">
        <f t="shared" si="63"/>
        <v/>
      </c>
      <c r="B522" s="148"/>
      <c r="C522" s="148"/>
      <c r="D522" s="148"/>
      <c r="E522" s="148"/>
      <c r="F522" s="148"/>
      <c r="G522" s="148"/>
      <c r="H522" s="148"/>
      <c r="I522" s="148"/>
      <c r="J522" s="148"/>
      <c r="K522" s="149"/>
      <c r="L522" s="149"/>
      <c r="M522" s="149"/>
      <c r="N522" s="148"/>
      <c r="O522" s="240"/>
      <c r="P522" s="126">
        <f t="shared" si="64"/>
        <v>0</v>
      </c>
      <c r="R522" s="127">
        <f t="shared" si="65"/>
        <v>0</v>
      </c>
      <c r="T522" s="128">
        <f t="shared" ref="T522:T585" si="66">IF(S522="50 - Cleaning Fee",1,HOUR($R522)+MINUTE(R522)/60)</f>
        <v>0</v>
      </c>
      <c r="U522" s="129" t="str">
        <f>IFERROR(VLOOKUP($S522,References!$B$3:$C$7,2,FALSE),"")</f>
        <v/>
      </c>
      <c r="V522" s="129" t="str">
        <f t="shared" ref="V522:V585" si="67">IF(T522&gt;=8,400,(IFERROR(T522*U522,"")))</f>
        <v/>
      </c>
      <c r="W522" s="74" t="str">
        <f>IFERROR(VLOOKUP($O522,'Customer List'!$A$1:$J$488,10,FALSE),"")</f>
        <v/>
      </c>
    </row>
    <row r="523" spans="1:23">
      <c r="A523" s="125" t="str">
        <f t="shared" si="63"/>
        <v/>
      </c>
      <c r="B523" s="148"/>
      <c r="C523" s="148"/>
      <c r="D523" s="148"/>
      <c r="E523" s="148"/>
      <c r="F523" s="148"/>
      <c r="G523" s="148"/>
      <c r="H523" s="148"/>
      <c r="I523" s="148"/>
      <c r="J523" s="148"/>
      <c r="K523" s="149"/>
      <c r="L523" s="149"/>
      <c r="M523" s="149"/>
      <c r="N523" s="148"/>
      <c r="O523" s="240"/>
      <c r="P523" s="126">
        <f t="shared" si="64"/>
        <v>0</v>
      </c>
      <c r="R523" s="127">
        <f t="shared" si="65"/>
        <v>0</v>
      </c>
      <c r="T523" s="128">
        <f t="shared" si="66"/>
        <v>0</v>
      </c>
      <c r="U523" s="129" t="str">
        <f>IFERROR(VLOOKUP($S523,References!$B$3:$C$7,2,FALSE),"")</f>
        <v/>
      </c>
      <c r="V523" s="129" t="str">
        <f t="shared" si="67"/>
        <v/>
      </c>
      <c r="W523" s="74" t="str">
        <f>IFERROR(VLOOKUP($O523,'Customer List'!$A$1:$J$488,10,FALSE),"")</f>
        <v/>
      </c>
    </row>
    <row r="524" spans="1:23">
      <c r="A524" s="125" t="str">
        <f t="shared" si="63"/>
        <v/>
      </c>
      <c r="B524" s="148"/>
      <c r="C524" s="148"/>
      <c r="D524" s="148"/>
      <c r="E524" s="148"/>
      <c r="F524" s="148"/>
      <c r="G524" s="148"/>
      <c r="H524" s="148"/>
      <c r="I524" s="148"/>
      <c r="J524" s="148"/>
      <c r="K524" s="149"/>
      <c r="L524" s="149"/>
      <c r="M524" s="149"/>
      <c r="N524" s="148"/>
      <c r="O524" s="240"/>
      <c r="P524" s="126">
        <f t="shared" si="64"/>
        <v>0</v>
      </c>
      <c r="R524" s="127">
        <f t="shared" si="65"/>
        <v>0</v>
      </c>
      <c r="T524" s="128">
        <f t="shared" si="66"/>
        <v>0</v>
      </c>
      <c r="U524" s="129" t="str">
        <f>IFERROR(VLOOKUP($S524,References!$B$3:$C$7,2,FALSE),"")</f>
        <v/>
      </c>
      <c r="V524" s="129" t="str">
        <f t="shared" si="67"/>
        <v/>
      </c>
      <c r="W524" s="74" t="str">
        <f>IFERROR(VLOOKUP($O524,'Customer List'!$A$1:$J$488,10,FALSE),"")</f>
        <v/>
      </c>
    </row>
    <row r="525" spans="1:23">
      <c r="A525" s="125" t="str">
        <f t="shared" si="63"/>
        <v/>
      </c>
      <c r="B525" s="148"/>
      <c r="C525" s="148"/>
      <c r="D525" s="148"/>
      <c r="E525" s="148"/>
      <c r="F525" s="148"/>
      <c r="G525" s="148"/>
      <c r="H525" s="148"/>
      <c r="I525" s="148"/>
      <c r="J525" s="148"/>
      <c r="K525" s="149"/>
      <c r="L525" s="149"/>
      <c r="M525" s="149"/>
      <c r="N525" s="148"/>
      <c r="O525" s="240"/>
      <c r="P525" s="126">
        <f t="shared" si="64"/>
        <v>0</v>
      </c>
      <c r="R525" s="127">
        <f t="shared" si="65"/>
        <v>0</v>
      </c>
      <c r="T525" s="128">
        <f t="shared" si="66"/>
        <v>0</v>
      </c>
      <c r="U525" s="129" t="str">
        <f>IFERROR(VLOOKUP($S525,References!$B$3:$C$7,2,FALSE),"")</f>
        <v/>
      </c>
      <c r="V525" s="129" t="str">
        <f t="shared" si="67"/>
        <v/>
      </c>
      <c r="W525" s="74" t="str">
        <f>IFERROR(VLOOKUP($O525,'Customer List'!$A$1:$J$488,10,FALSE),"")</f>
        <v/>
      </c>
    </row>
    <row r="526" spans="1:23">
      <c r="A526" s="125" t="str">
        <f t="shared" si="63"/>
        <v/>
      </c>
      <c r="B526" s="148"/>
      <c r="C526" s="148"/>
      <c r="D526" s="148"/>
      <c r="E526" s="148"/>
      <c r="F526" s="148"/>
      <c r="G526" s="148"/>
      <c r="H526" s="148"/>
      <c r="I526" s="148"/>
      <c r="J526" s="148"/>
      <c r="K526" s="149"/>
      <c r="L526" s="149"/>
      <c r="M526" s="149"/>
      <c r="N526" s="148"/>
      <c r="O526" s="234"/>
      <c r="P526" s="126">
        <f t="shared" si="64"/>
        <v>0</v>
      </c>
      <c r="R526" s="127">
        <f t="shared" si="65"/>
        <v>0</v>
      </c>
      <c r="T526" s="128">
        <f t="shared" si="66"/>
        <v>0</v>
      </c>
      <c r="U526" s="129" t="str">
        <f>IFERROR(VLOOKUP($S526,References!$B$3:$C$7,2,FALSE),"")</f>
        <v/>
      </c>
      <c r="V526" s="129" t="str">
        <f t="shared" si="67"/>
        <v/>
      </c>
      <c r="W526" s="74" t="str">
        <f>IFERROR(VLOOKUP($O526,'Customer List'!$A$1:$J$488,10,FALSE),"")</f>
        <v/>
      </c>
    </row>
    <row r="527" spans="1:23">
      <c r="A527" s="125" t="str">
        <f t="shared" si="63"/>
        <v/>
      </c>
      <c r="B527" s="148"/>
      <c r="C527" s="148"/>
      <c r="D527" s="148"/>
      <c r="E527" s="148"/>
      <c r="F527" s="148"/>
      <c r="G527" s="148"/>
      <c r="H527" s="148"/>
      <c r="I527" s="148"/>
      <c r="J527" s="148"/>
      <c r="K527" s="149"/>
      <c r="L527" s="149"/>
      <c r="M527" s="149"/>
      <c r="N527" s="148"/>
      <c r="O527" s="234"/>
      <c r="P527" s="126">
        <f t="shared" si="64"/>
        <v>0</v>
      </c>
      <c r="R527" s="127">
        <f t="shared" si="65"/>
        <v>0</v>
      </c>
      <c r="T527" s="128">
        <f t="shared" si="66"/>
        <v>0</v>
      </c>
      <c r="U527" s="129" t="str">
        <f>IFERROR(VLOOKUP($S527,References!$B$3:$C$7,2,FALSE),"")</f>
        <v/>
      </c>
      <c r="V527" s="129" t="str">
        <f t="shared" si="67"/>
        <v/>
      </c>
      <c r="W527" s="74" t="str">
        <f>IFERROR(VLOOKUP($O527,'Customer List'!$A$1:$J$488,10,FALSE),"")</f>
        <v/>
      </c>
    </row>
    <row r="528" spans="1:23">
      <c r="A528" s="125" t="str">
        <f t="shared" si="63"/>
        <v/>
      </c>
      <c r="B528" s="148"/>
      <c r="C528" s="148"/>
      <c r="D528" s="148"/>
      <c r="E528" s="148"/>
      <c r="F528" s="148"/>
      <c r="G528" s="148"/>
      <c r="H528" s="148"/>
      <c r="I528" s="148"/>
      <c r="J528" s="148"/>
      <c r="K528" s="149"/>
      <c r="L528" s="149"/>
      <c r="M528" s="149"/>
      <c r="N528" s="148"/>
      <c r="O528" s="234"/>
      <c r="P528" s="126">
        <f t="shared" si="64"/>
        <v>0</v>
      </c>
      <c r="R528" s="127">
        <f t="shared" si="65"/>
        <v>0</v>
      </c>
      <c r="T528" s="128">
        <f t="shared" si="66"/>
        <v>0</v>
      </c>
      <c r="U528" s="129" t="str">
        <f>IFERROR(VLOOKUP($S528,References!$B$3:$C$7,2,FALSE),"")</f>
        <v/>
      </c>
      <c r="V528" s="129" t="str">
        <f t="shared" si="67"/>
        <v/>
      </c>
      <c r="W528" s="74" t="str">
        <f>IFERROR(VLOOKUP($O528,'Customer List'!$A$1:$J$488,10,FALSE),"")</f>
        <v/>
      </c>
    </row>
    <row r="529" spans="1:23">
      <c r="A529" s="125" t="str">
        <f t="shared" si="63"/>
        <v/>
      </c>
      <c r="B529" s="148"/>
      <c r="C529" s="148"/>
      <c r="D529" s="148"/>
      <c r="E529" s="148"/>
      <c r="F529" s="148"/>
      <c r="G529" s="148"/>
      <c r="H529" s="148"/>
      <c r="I529" s="148"/>
      <c r="J529" s="148"/>
      <c r="K529" s="149"/>
      <c r="L529" s="149"/>
      <c r="M529" s="149"/>
      <c r="N529" s="148"/>
      <c r="O529" s="234"/>
      <c r="P529" s="126">
        <f t="shared" si="64"/>
        <v>0</v>
      </c>
      <c r="R529" s="127">
        <f t="shared" si="65"/>
        <v>0</v>
      </c>
      <c r="T529" s="128">
        <f t="shared" si="66"/>
        <v>0</v>
      </c>
      <c r="U529" s="129" t="str">
        <f>IFERROR(VLOOKUP($S529,References!$B$3:$C$7,2,FALSE),"")</f>
        <v/>
      </c>
      <c r="V529" s="129" t="str">
        <f t="shared" si="67"/>
        <v/>
      </c>
      <c r="W529" s="74" t="str">
        <f>IFERROR(VLOOKUP($O529,'Customer List'!$A$1:$J$488,10,FALSE),"")</f>
        <v/>
      </c>
    </row>
    <row r="530" spans="1:23">
      <c r="A530" s="125" t="str">
        <f t="shared" si="63"/>
        <v/>
      </c>
      <c r="B530" s="148"/>
      <c r="C530" s="148"/>
      <c r="D530" s="148"/>
      <c r="E530" s="148"/>
      <c r="F530" s="148"/>
      <c r="G530" s="148"/>
      <c r="H530" s="148"/>
      <c r="I530" s="148"/>
      <c r="J530" s="148"/>
      <c r="K530" s="149"/>
      <c r="L530" s="149"/>
      <c r="M530" s="149"/>
      <c r="N530" s="148"/>
      <c r="O530" s="234"/>
      <c r="P530" s="126">
        <f t="shared" si="64"/>
        <v>0</v>
      </c>
      <c r="R530" s="127">
        <f t="shared" si="65"/>
        <v>0</v>
      </c>
      <c r="T530" s="128">
        <f t="shared" si="66"/>
        <v>0</v>
      </c>
      <c r="U530" s="129" t="str">
        <f>IFERROR(VLOOKUP($S530,References!$B$3:$C$7,2,FALSE),"")</f>
        <v/>
      </c>
      <c r="V530" s="129" t="str">
        <f t="shared" si="67"/>
        <v/>
      </c>
      <c r="W530" s="74" t="str">
        <f>IFERROR(VLOOKUP($O530,'Customer List'!$A$1:$J$488,10,FALSE),"")</f>
        <v/>
      </c>
    </row>
    <row r="531" spans="1:23">
      <c r="A531" s="125" t="str">
        <f t="shared" si="63"/>
        <v/>
      </c>
      <c r="B531" s="148"/>
      <c r="C531" s="148"/>
      <c r="D531" s="148"/>
      <c r="E531" s="148"/>
      <c r="F531" s="148"/>
      <c r="G531" s="148"/>
      <c r="H531" s="148"/>
      <c r="I531" s="148"/>
      <c r="J531" s="148"/>
      <c r="K531" s="149"/>
      <c r="L531" s="149"/>
      <c r="M531" s="149"/>
      <c r="N531" s="148"/>
      <c r="O531" s="234"/>
      <c r="P531" s="126">
        <f t="shared" si="64"/>
        <v>0</v>
      </c>
      <c r="R531" s="127">
        <f t="shared" si="65"/>
        <v>0</v>
      </c>
      <c r="T531" s="128">
        <f t="shared" si="66"/>
        <v>0</v>
      </c>
      <c r="U531" s="129" t="str">
        <f>IFERROR(VLOOKUP($S531,References!$B$3:$C$7,2,FALSE),"")</f>
        <v/>
      </c>
      <c r="V531" s="129" t="str">
        <f t="shared" si="67"/>
        <v/>
      </c>
      <c r="W531" s="74" t="str">
        <f>IFERROR(VLOOKUP($O531,'Customer List'!$A$1:$J$488,10,FALSE),"")</f>
        <v/>
      </c>
    </row>
    <row r="532" spans="1:23">
      <c r="A532" s="125" t="str">
        <f t="shared" si="63"/>
        <v/>
      </c>
      <c r="B532" s="148"/>
      <c r="C532" s="148"/>
      <c r="D532" s="148"/>
      <c r="E532" s="148"/>
      <c r="F532" s="148"/>
      <c r="G532" s="148"/>
      <c r="H532" s="148"/>
      <c r="I532" s="148"/>
      <c r="J532" s="148"/>
      <c r="K532" s="149"/>
      <c r="L532" s="149"/>
      <c r="M532" s="149"/>
      <c r="N532" s="148"/>
      <c r="O532" s="234"/>
      <c r="P532" s="126">
        <f t="shared" si="64"/>
        <v>0</v>
      </c>
      <c r="R532" s="127">
        <f t="shared" si="65"/>
        <v>0</v>
      </c>
      <c r="T532" s="128">
        <f t="shared" si="66"/>
        <v>0</v>
      </c>
      <c r="U532" s="129" t="str">
        <f>IFERROR(VLOOKUP($S532,References!$B$3:$C$7,2,FALSE),"")</f>
        <v/>
      </c>
      <c r="V532" s="129" t="str">
        <f t="shared" si="67"/>
        <v/>
      </c>
      <c r="W532" s="74" t="str">
        <f>IFERROR(VLOOKUP($O532,'Customer List'!$A$1:$J$488,10,FALSE),"")</f>
        <v/>
      </c>
    </row>
    <row r="533" spans="1:23">
      <c r="A533" s="125" t="str">
        <f t="shared" si="63"/>
        <v/>
      </c>
      <c r="B533" s="148"/>
      <c r="C533" s="148"/>
      <c r="D533" s="148"/>
      <c r="E533" s="148"/>
      <c r="F533" s="148"/>
      <c r="G533" s="148"/>
      <c r="H533" s="148"/>
      <c r="I533" s="148"/>
      <c r="J533" s="148"/>
      <c r="K533" s="149"/>
      <c r="L533" s="149"/>
      <c r="M533" s="149"/>
      <c r="N533" s="148"/>
      <c r="O533" s="234"/>
      <c r="P533" s="126">
        <f t="shared" si="64"/>
        <v>0</v>
      </c>
      <c r="R533" s="127">
        <f t="shared" si="65"/>
        <v>0</v>
      </c>
      <c r="T533" s="128">
        <f t="shared" si="66"/>
        <v>0</v>
      </c>
      <c r="U533" s="129" t="str">
        <f>IFERROR(VLOOKUP($S533,References!$B$3:$C$7,2,FALSE),"")</f>
        <v/>
      </c>
      <c r="V533" s="129" t="str">
        <f t="shared" si="67"/>
        <v/>
      </c>
      <c r="W533" s="74" t="str">
        <f>IFERROR(VLOOKUP($O533,'Customer List'!$A$1:$J$488,10,FALSE),"")</f>
        <v/>
      </c>
    </row>
    <row r="534" spans="1:23">
      <c r="A534" s="125" t="str">
        <f t="shared" si="63"/>
        <v/>
      </c>
      <c r="B534" s="148"/>
      <c r="C534" s="148"/>
      <c r="D534" s="148"/>
      <c r="E534" s="148"/>
      <c r="F534" s="148"/>
      <c r="G534" s="148"/>
      <c r="H534" s="148"/>
      <c r="I534" s="148"/>
      <c r="J534" s="148"/>
      <c r="K534" s="149"/>
      <c r="L534" s="149"/>
      <c r="M534" s="149"/>
      <c r="N534" s="148"/>
      <c r="O534" s="234"/>
      <c r="P534" s="126">
        <f t="shared" si="64"/>
        <v>0</v>
      </c>
      <c r="R534" s="127">
        <f t="shared" si="65"/>
        <v>0</v>
      </c>
      <c r="T534" s="128">
        <f t="shared" si="66"/>
        <v>0</v>
      </c>
      <c r="U534" s="129" t="str">
        <f>IFERROR(VLOOKUP($S534,References!$B$3:$C$7,2,FALSE),"")</f>
        <v/>
      </c>
      <c r="V534" s="129" t="str">
        <f t="shared" si="67"/>
        <v/>
      </c>
      <c r="W534" s="74" t="str">
        <f>IFERROR(VLOOKUP($O534,'Customer List'!$A$1:$J$488,10,FALSE),"")</f>
        <v/>
      </c>
    </row>
    <row r="535" spans="1:23">
      <c r="A535" s="125" t="str">
        <f t="shared" si="63"/>
        <v/>
      </c>
      <c r="B535" s="148"/>
      <c r="C535" s="148"/>
      <c r="D535" s="148"/>
      <c r="E535" s="148"/>
      <c r="F535" s="148"/>
      <c r="G535" s="148"/>
      <c r="H535" s="148"/>
      <c r="I535" s="148"/>
      <c r="J535" s="148"/>
      <c r="K535" s="149"/>
      <c r="L535" s="149"/>
      <c r="M535" s="149"/>
      <c r="N535" s="148"/>
      <c r="O535" s="234"/>
      <c r="P535" s="126">
        <f t="shared" si="64"/>
        <v>0</v>
      </c>
      <c r="R535" s="127">
        <f t="shared" si="65"/>
        <v>0</v>
      </c>
      <c r="T535" s="128">
        <f t="shared" si="66"/>
        <v>0</v>
      </c>
      <c r="U535" s="129" t="str">
        <f>IFERROR(VLOOKUP($S535,References!$B$3:$C$7,2,FALSE),"")</f>
        <v/>
      </c>
      <c r="V535" s="129" t="str">
        <f t="shared" si="67"/>
        <v/>
      </c>
      <c r="W535" s="74" t="str">
        <f>IFERROR(VLOOKUP($O535,'Customer List'!$A$1:$J$488,10,FALSE),"")</f>
        <v/>
      </c>
    </row>
    <row r="536" spans="1:23">
      <c r="A536" s="125" t="str">
        <f t="shared" si="63"/>
        <v/>
      </c>
      <c r="B536" s="148"/>
      <c r="C536" s="148"/>
      <c r="D536" s="148"/>
      <c r="E536" s="148"/>
      <c r="F536" s="148"/>
      <c r="G536" s="148"/>
      <c r="H536" s="148"/>
      <c r="I536" s="148"/>
      <c r="J536" s="148"/>
      <c r="K536" s="149"/>
      <c r="L536" s="149"/>
      <c r="M536" s="149"/>
      <c r="N536" s="148"/>
      <c r="O536" s="234"/>
      <c r="P536" s="126">
        <f t="shared" si="64"/>
        <v>0</v>
      </c>
      <c r="R536" s="127">
        <f t="shared" si="65"/>
        <v>0</v>
      </c>
      <c r="T536" s="128">
        <f t="shared" si="66"/>
        <v>0</v>
      </c>
      <c r="U536" s="129" t="str">
        <f>IFERROR(VLOOKUP($S536,References!$B$3:$C$7,2,FALSE),"")</f>
        <v/>
      </c>
      <c r="V536" s="129" t="str">
        <f t="shared" si="67"/>
        <v/>
      </c>
      <c r="W536" s="74" t="str">
        <f>IFERROR(VLOOKUP($O536,'Customer List'!$A$1:$J$488,10,FALSE),"")</f>
        <v/>
      </c>
    </row>
    <row r="537" spans="1:23">
      <c r="A537" s="125" t="str">
        <f t="shared" si="63"/>
        <v/>
      </c>
      <c r="B537" s="148"/>
      <c r="C537" s="148"/>
      <c r="D537" s="148"/>
      <c r="E537" s="148"/>
      <c r="F537" s="148"/>
      <c r="G537" s="148"/>
      <c r="H537" s="148"/>
      <c r="I537" s="148"/>
      <c r="J537" s="148"/>
      <c r="K537" s="149"/>
      <c r="L537" s="149"/>
      <c r="M537" s="149"/>
      <c r="N537" s="148"/>
      <c r="O537" s="234"/>
      <c r="P537" s="126">
        <f t="shared" si="64"/>
        <v>0</v>
      </c>
      <c r="R537" s="127">
        <f t="shared" si="65"/>
        <v>0</v>
      </c>
      <c r="T537" s="128">
        <f t="shared" si="66"/>
        <v>0</v>
      </c>
      <c r="U537" s="129" t="str">
        <f>IFERROR(VLOOKUP($S537,References!$B$3:$C$7,2,FALSE),"")</f>
        <v/>
      </c>
      <c r="V537" s="129" t="str">
        <f t="shared" si="67"/>
        <v/>
      </c>
      <c r="W537" s="74" t="str">
        <f>IFERROR(VLOOKUP($O537,'Customer List'!$A$1:$J$488,10,FALSE),"")</f>
        <v/>
      </c>
    </row>
    <row r="538" spans="1:23">
      <c r="A538" s="125" t="str">
        <f t="shared" si="63"/>
        <v/>
      </c>
      <c r="B538" s="148"/>
      <c r="C538" s="148"/>
      <c r="D538" s="148"/>
      <c r="E538" s="148"/>
      <c r="F538" s="148"/>
      <c r="G538" s="148"/>
      <c r="H538" s="148"/>
      <c r="I538" s="148"/>
      <c r="J538" s="148"/>
      <c r="K538" s="149"/>
      <c r="L538" s="149"/>
      <c r="M538" s="149"/>
      <c r="N538" s="148"/>
      <c r="O538" s="234"/>
      <c r="P538" s="126">
        <f t="shared" si="64"/>
        <v>0</v>
      </c>
      <c r="R538" s="127">
        <f t="shared" si="65"/>
        <v>0</v>
      </c>
      <c r="T538" s="128">
        <f t="shared" si="66"/>
        <v>0</v>
      </c>
      <c r="U538" s="129" t="str">
        <f>IFERROR(VLOOKUP($S538,References!$B$3:$C$7,2,FALSE),"")</f>
        <v/>
      </c>
      <c r="V538" s="129" t="str">
        <f t="shared" si="67"/>
        <v/>
      </c>
      <c r="W538" s="74" t="str">
        <f>IFERROR(VLOOKUP($O538,'Customer List'!$A$1:$J$488,10,FALSE),"")</f>
        <v/>
      </c>
    </row>
    <row r="539" spans="1:23">
      <c r="A539" s="125" t="str">
        <f t="shared" si="63"/>
        <v/>
      </c>
      <c r="B539" s="148"/>
      <c r="C539" s="148"/>
      <c r="D539" s="148"/>
      <c r="E539" s="148"/>
      <c r="F539" s="148"/>
      <c r="G539" s="148"/>
      <c r="H539" s="148"/>
      <c r="I539" s="148"/>
      <c r="J539" s="148"/>
      <c r="K539" s="149"/>
      <c r="L539" s="149"/>
      <c r="M539" s="149"/>
      <c r="N539" s="148"/>
      <c r="O539" s="234"/>
      <c r="P539" s="126">
        <f t="shared" si="64"/>
        <v>0</v>
      </c>
      <c r="R539" s="127">
        <f t="shared" si="65"/>
        <v>0</v>
      </c>
      <c r="T539" s="128">
        <f t="shared" si="66"/>
        <v>0</v>
      </c>
      <c r="U539" s="129" t="str">
        <f>IFERROR(VLOOKUP($S539,References!$B$3:$C$7,2,FALSE),"")</f>
        <v/>
      </c>
      <c r="V539" s="129" t="str">
        <f t="shared" si="67"/>
        <v/>
      </c>
      <c r="W539" s="74" t="str">
        <f>IFERROR(VLOOKUP($O539,'Customer List'!$A$1:$J$488,10,FALSE),"")</f>
        <v/>
      </c>
    </row>
    <row r="540" spans="1:23">
      <c r="A540" s="125" t="str">
        <f t="shared" si="63"/>
        <v/>
      </c>
      <c r="B540" s="148"/>
      <c r="C540" s="148"/>
      <c r="D540" s="148"/>
      <c r="E540" s="148"/>
      <c r="F540" s="148"/>
      <c r="G540" s="148"/>
      <c r="H540" s="148"/>
      <c r="I540" s="148"/>
      <c r="J540" s="148"/>
      <c r="K540" s="149"/>
      <c r="L540" s="149"/>
      <c r="M540" s="149"/>
      <c r="N540" s="148"/>
      <c r="O540" s="234"/>
      <c r="P540" s="126">
        <f t="shared" si="64"/>
        <v>0</v>
      </c>
      <c r="R540" s="127">
        <f t="shared" si="65"/>
        <v>0</v>
      </c>
      <c r="T540" s="128">
        <f t="shared" si="66"/>
        <v>0</v>
      </c>
      <c r="U540" s="129" t="str">
        <f>IFERROR(VLOOKUP($S540,References!$B$3:$C$7,2,FALSE),"")</f>
        <v/>
      </c>
      <c r="V540" s="129" t="str">
        <f t="shared" si="67"/>
        <v/>
      </c>
      <c r="W540" s="74" t="str">
        <f>IFERROR(VLOOKUP($O540,'Customer List'!$A$1:$J$488,10,FALSE),"")</f>
        <v/>
      </c>
    </row>
    <row r="541" spans="1:23">
      <c r="A541" s="125" t="str">
        <f t="shared" si="63"/>
        <v/>
      </c>
      <c r="B541" s="148"/>
      <c r="C541" s="148"/>
      <c r="D541" s="148"/>
      <c r="E541" s="148"/>
      <c r="F541" s="148"/>
      <c r="G541" s="148"/>
      <c r="H541" s="148"/>
      <c r="I541" s="148"/>
      <c r="J541" s="148"/>
      <c r="K541" s="149"/>
      <c r="L541" s="149"/>
      <c r="M541" s="149"/>
      <c r="N541" s="148"/>
      <c r="O541" s="234"/>
      <c r="P541" s="126">
        <f t="shared" si="64"/>
        <v>0</v>
      </c>
      <c r="R541" s="127">
        <f t="shared" si="65"/>
        <v>0</v>
      </c>
      <c r="T541" s="128">
        <f t="shared" si="66"/>
        <v>0</v>
      </c>
      <c r="U541" s="129" t="str">
        <f>IFERROR(VLOOKUP($S541,References!$B$3:$C$7,2,FALSE),"")</f>
        <v/>
      </c>
      <c r="V541" s="129" t="str">
        <f t="shared" si="67"/>
        <v/>
      </c>
      <c r="W541" s="74" t="str">
        <f>IFERROR(VLOOKUP($O541,'Customer List'!$A$1:$J$488,10,FALSE),"")</f>
        <v/>
      </c>
    </row>
    <row r="542" spans="1:23">
      <c r="A542" s="125" t="str">
        <f t="shared" si="63"/>
        <v/>
      </c>
      <c r="B542" s="148"/>
      <c r="C542" s="148"/>
      <c r="D542" s="148"/>
      <c r="E542" s="148"/>
      <c r="F542" s="148"/>
      <c r="G542" s="148"/>
      <c r="H542" s="148"/>
      <c r="I542" s="148"/>
      <c r="J542" s="148"/>
      <c r="K542" s="149"/>
      <c r="L542" s="149"/>
      <c r="M542" s="149"/>
      <c r="N542" s="148"/>
      <c r="O542" s="234"/>
      <c r="P542" s="126">
        <f t="shared" si="64"/>
        <v>0</v>
      </c>
      <c r="R542" s="127">
        <f t="shared" si="65"/>
        <v>0</v>
      </c>
      <c r="T542" s="128">
        <f t="shared" si="66"/>
        <v>0</v>
      </c>
      <c r="U542" s="129" t="str">
        <f>IFERROR(VLOOKUP($S542,References!$B$3:$C$7,2,FALSE),"")</f>
        <v/>
      </c>
      <c r="V542" s="129" t="str">
        <f t="shared" si="67"/>
        <v/>
      </c>
      <c r="W542" s="74" t="str">
        <f>IFERROR(VLOOKUP($O542,'Customer List'!$A$1:$J$488,10,FALSE),"")</f>
        <v/>
      </c>
    </row>
    <row r="543" spans="1:23">
      <c r="A543" s="125" t="str">
        <f t="shared" si="63"/>
        <v/>
      </c>
      <c r="B543" s="148"/>
      <c r="C543" s="148"/>
      <c r="D543" s="148"/>
      <c r="E543" s="148"/>
      <c r="F543" s="148"/>
      <c r="G543" s="148"/>
      <c r="H543" s="148"/>
      <c r="I543" s="148"/>
      <c r="J543" s="148"/>
      <c r="K543" s="149"/>
      <c r="L543" s="149"/>
      <c r="M543" s="149"/>
      <c r="N543" s="148"/>
      <c r="O543" s="234"/>
      <c r="P543" s="126">
        <f t="shared" si="64"/>
        <v>0</v>
      </c>
      <c r="R543" s="127">
        <f t="shared" si="65"/>
        <v>0</v>
      </c>
      <c r="T543" s="128">
        <f t="shared" si="66"/>
        <v>0</v>
      </c>
      <c r="U543" s="129" t="str">
        <f>IFERROR(VLOOKUP($S543,References!$B$3:$C$7,2,FALSE),"")</f>
        <v/>
      </c>
      <c r="V543" s="129" t="str">
        <f t="shared" si="67"/>
        <v/>
      </c>
      <c r="W543" s="74" t="str">
        <f>IFERROR(VLOOKUP($O543,'Customer List'!$A$1:$J$488,10,FALSE),"")</f>
        <v/>
      </c>
    </row>
    <row r="544" spans="1:23">
      <c r="A544" s="125" t="str">
        <f t="shared" si="63"/>
        <v/>
      </c>
      <c r="B544" s="148"/>
      <c r="C544" s="148"/>
      <c r="D544" s="148"/>
      <c r="E544" s="148"/>
      <c r="F544" s="148"/>
      <c r="G544" s="148"/>
      <c r="H544" s="148"/>
      <c r="I544" s="148"/>
      <c r="J544" s="148"/>
      <c r="K544" s="149"/>
      <c r="L544" s="149"/>
      <c r="M544" s="149"/>
      <c r="N544" s="148"/>
      <c r="O544" s="234"/>
      <c r="P544" s="126">
        <f t="shared" si="64"/>
        <v>0</v>
      </c>
      <c r="R544" s="127">
        <f t="shared" si="65"/>
        <v>0</v>
      </c>
      <c r="T544" s="128">
        <f t="shared" si="66"/>
        <v>0</v>
      </c>
      <c r="U544" s="129" t="str">
        <f>IFERROR(VLOOKUP($S544,References!$B$3:$C$7,2,FALSE),"")</f>
        <v/>
      </c>
      <c r="V544" s="129" t="str">
        <f t="shared" si="67"/>
        <v/>
      </c>
      <c r="W544" s="74" t="str">
        <f>IFERROR(VLOOKUP($O544,'Customer List'!$A$1:$J$488,10,FALSE),"")</f>
        <v/>
      </c>
    </row>
    <row r="545" spans="1:23">
      <c r="A545" s="125" t="str">
        <f t="shared" si="63"/>
        <v/>
      </c>
      <c r="B545" s="148"/>
      <c r="C545" s="148"/>
      <c r="D545" s="148"/>
      <c r="E545" s="148"/>
      <c r="F545" s="148"/>
      <c r="G545" s="148"/>
      <c r="H545" s="148"/>
      <c r="I545" s="148"/>
      <c r="J545" s="148"/>
      <c r="K545" s="149"/>
      <c r="L545" s="149"/>
      <c r="M545" s="149"/>
      <c r="N545" s="148"/>
      <c r="O545" s="234"/>
      <c r="P545" s="126">
        <f t="shared" si="64"/>
        <v>0</v>
      </c>
      <c r="R545" s="127">
        <f t="shared" si="65"/>
        <v>0</v>
      </c>
      <c r="T545" s="128">
        <f t="shared" si="66"/>
        <v>0</v>
      </c>
      <c r="U545" s="129" t="str">
        <f>IFERROR(VLOOKUP($S545,References!$B$3:$C$7,2,FALSE),"")</f>
        <v/>
      </c>
      <c r="V545" s="129" t="str">
        <f t="shared" si="67"/>
        <v/>
      </c>
      <c r="W545" s="74" t="str">
        <f>IFERROR(VLOOKUP($O545,'Customer List'!$A$1:$J$488,10,FALSE),"")</f>
        <v/>
      </c>
    </row>
    <row r="546" spans="1:23">
      <c r="A546" s="125" t="str">
        <f t="shared" si="63"/>
        <v/>
      </c>
      <c r="B546" s="148"/>
      <c r="C546" s="148"/>
      <c r="D546" s="148"/>
      <c r="E546" s="148"/>
      <c r="F546" s="148"/>
      <c r="G546" s="148"/>
      <c r="H546" s="148"/>
      <c r="I546" s="148"/>
      <c r="J546" s="148"/>
      <c r="K546" s="149"/>
      <c r="L546" s="149"/>
      <c r="M546" s="149"/>
      <c r="N546" s="148"/>
      <c r="O546" s="234"/>
      <c r="P546" s="126">
        <f t="shared" si="64"/>
        <v>0</v>
      </c>
      <c r="R546" s="127">
        <f t="shared" si="65"/>
        <v>0</v>
      </c>
      <c r="T546" s="128">
        <f t="shared" si="66"/>
        <v>0</v>
      </c>
      <c r="U546" s="129" t="str">
        <f>IFERROR(VLOOKUP($S546,References!$B$3:$C$7,2,FALSE),"")</f>
        <v/>
      </c>
      <c r="V546" s="129" t="str">
        <f t="shared" si="67"/>
        <v/>
      </c>
      <c r="W546" s="74" t="str">
        <f>IFERROR(VLOOKUP($O546,'Customer List'!$A$1:$J$488,10,FALSE),"")</f>
        <v/>
      </c>
    </row>
    <row r="547" spans="1:23">
      <c r="A547" s="125" t="str">
        <f t="shared" si="63"/>
        <v/>
      </c>
      <c r="B547" s="148"/>
      <c r="C547" s="148"/>
      <c r="D547" s="148"/>
      <c r="E547" s="148"/>
      <c r="F547" s="148"/>
      <c r="G547" s="148"/>
      <c r="H547" s="148"/>
      <c r="I547" s="148"/>
      <c r="J547" s="148"/>
      <c r="K547" s="149"/>
      <c r="L547" s="149"/>
      <c r="M547" s="149"/>
      <c r="N547" s="148"/>
      <c r="O547" s="234"/>
      <c r="P547" s="126">
        <f t="shared" si="64"/>
        <v>0</v>
      </c>
      <c r="R547" s="127">
        <f t="shared" si="65"/>
        <v>0</v>
      </c>
      <c r="T547" s="128">
        <f t="shared" si="66"/>
        <v>0</v>
      </c>
      <c r="U547" s="129" t="str">
        <f>IFERROR(VLOOKUP($S547,References!$B$3:$C$7,2,FALSE),"")</f>
        <v/>
      </c>
      <c r="V547" s="129" t="str">
        <f t="shared" si="67"/>
        <v/>
      </c>
      <c r="W547" s="74" t="str">
        <f>IFERROR(VLOOKUP($O547,'Customer List'!$A$1:$J$488,10,FALSE),"")</f>
        <v/>
      </c>
    </row>
    <row r="548" spans="1:23">
      <c r="A548" s="125" t="str">
        <f t="shared" si="63"/>
        <v/>
      </c>
      <c r="B548" s="148"/>
      <c r="C548" s="148"/>
      <c r="D548" s="148"/>
      <c r="E548" s="148"/>
      <c r="F548" s="148"/>
      <c r="G548" s="148"/>
      <c r="H548" s="148"/>
      <c r="I548" s="148"/>
      <c r="J548" s="148"/>
      <c r="K548" s="149"/>
      <c r="L548" s="149"/>
      <c r="M548" s="149"/>
      <c r="N548" s="148"/>
      <c r="O548" s="234"/>
      <c r="P548" s="126">
        <f t="shared" si="64"/>
        <v>0</v>
      </c>
      <c r="R548" s="127">
        <f t="shared" si="65"/>
        <v>0</v>
      </c>
      <c r="T548" s="128">
        <f t="shared" si="66"/>
        <v>0</v>
      </c>
      <c r="U548" s="129" t="str">
        <f>IFERROR(VLOOKUP($S548,References!$B$3:$C$7,2,FALSE),"")</f>
        <v/>
      </c>
      <c r="V548" s="129" t="str">
        <f t="shared" si="67"/>
        <v/>
      </c>
      <c r="W548" s="74" t="str">
        <f>IFERROR(VLOOKUP($O548,'Customer List'!$A$1:$J$488,10,FALSE),"")</f>
        <v/>
      </c>
    </row>
    <row r="549" spans="1:23">
      <c r="A549" s="125" t="str">
        <f t="shared" si="63"/>
        <v/>
      </c>
      <c r="B549" s="148"/>
      <c r="C549" s="148"/>
      <c r="D549" s="148"/>
      <c r="E549" s="148"/>
      <c r="F549" s="148"/>
      <c r="G549" s="148"/>
      <c r="H549" s="148"/>
      <c r="I549" s="148"/>
      <c r="J549" s="148"/>
      <c r="K549" s="149"/>
      <c r="L549" s="149"/>
      <c r="M549" s="149"/>
      <c r="N549" s="148"/>
      <c r="O549" s="234"/>
      <c r="P549" s="126">
        <f t="shared" si="64"/>
        <v>0</v>
      </c>
      <c r="R549" s="127">
        <f t="shared" si="65"/>
        <v>0</v>
      </c>
      <c r="T549" s="128">
        <f t="shared" si="66"/>
        <v>0</v>
      </c>
      <c r="U549" s="129" t="str">
        <f>IFERROR(VLOOKUP($S549,References!$B$3:$C$7,2,FALSE),"")</f>
        <v/>
      </c>
      <c r="V549" s="129" t="str">
        <f t="shared" si="67"/>
        <v/>
      </c>
      <c r="W549" s="74" t="str">
        <f>IFERROR(VLOOKUP($O549,'Customer List'!$A$1:$J$488,10,FALSE),"")</f>
        <v/>
      </c>
    </row>
    <row r="550" spans="1:23">
      <c r="A550" s="125" t="str">
        <f t="shared" si="63"/>
        <v/>
      </c>
      <c r="B550" s="148"/>
      <c r="C550" s="148"/>
      <c r="D550" s="148"/>
      <c r="E550" s="148"/>
      <c r="F550" s="148"/>
      <c r="G550" s="148"/>
      <c r="H550" s="148"/>
      <c r="I550" s="148"/>
      <c r="J550" s="148"/>
      <c r="K550" s="149"/>
      <c r="L550" s="149"/>
      <c r="M550" s="149"/>
      <c r="N550" s="148"/>
      <c r="O550" s="234"/>
      <c r="P550" s="126">
        <f t="shared" si="64"/>
        <v>0</v>
      </c>
      <c r="R550" s="127">
        <f t="shared" si="65"/>
        <v>0</v>
      </c>
      <c r="T550" s="128">
        <f t="shared" si="66"/>
        <v>0</v>
      </c>
      <c r="U550" s="129" t="str">
        <f>IFERROR(VLOOKUP($S550,References!$B$3:$C$7,2,FALSE),"")</f>
        <v/>
      </c>
      <c r="V550" s="129" t="str">
        <f t="shared" si="67"/>
        <v/>
      </c>
      <c r="W550" s="74" t="str">
        <f>IFERROR(VLOOKUP($O550,'Customer List'!$A$1:$J$488,10,FALSE),"")</f>
        <v/>
      </c>
    </row>
    <row r="551" spans="1:23">
      <c r="A551" s="125" t="str">
        <f t="shared" si="63"/>
        <v/>
      </c>
      <c r="B551" s="148"/>
      <c r="C551" s="148"/>
      <c r="D551" s="148"/>
      <c r="E551" s="148"/>
      <c r="F551" s="148"/>
      <c r="G551" s="148"/>
      <c r="H551" s="148"/>
      <c r="I551" s="148"/>
      <c r="J551" s="148"/>
      <c r="K551" s="149"/>
      <c r="L551" s="149"/>
      <c r="M551" s="149"/>
      <c r="N551" s="148"/>
      <c r="O551" s="234"/>
      <c r="P551" s="126">
        <f t="shared" si="64"/>
        <v>0</v>
      </c>
      <c r="R551" s="127">
        <f t="shared" si="65"/>
        <v>0</v>
      </c>
      <c r="T551" s="128">
        <f t="shared" si="66"/>
        <v>0</v>
      </c>
      <c r="U551" s="129" t="str">
        <f>IFERROR(VLOOKUP($S551,References!$B$3:$C$7,2,FALSE),"")</f>
        <v/>
      </c>
      <c r="V551" s="129" t="str">
        <f t="shared" si="67"/>
        <v/>
      </c>
      <c r="W551" s="74" t="str">
        <f>IFERROR(VLOOKUP($O551,'Customer List'!$A$1:$J$488,10,FALSE),"")</f>
        <v/>
      </c>
    </row>
    <row r="552" spans="1:23">
      <c r="A552" s="125" t="str">
        <f t="shared" si="63"/>
        <v/>
      </c>
      <c r="B552" s="148"/>
      <c r="C552" s="148"/>
      <c r="D552" s="148"/>
      <c r="E552" s="148"/>
      <c r="F552" s="148"/>
      <c r="G552" s="148"/>
      <c r="H552" s="148"/>
      <c r="I552" s="148"/>
      <c r="J552" s="148"/>
      <c r="K552" s="149"/>
      <c r="L552" s="149"/>
      <c r="M552" s="149"/>
      <c r="N552" s="148"/>
      <c r="O552" s="234"/>
      <c r="P552" s="126">
        <f t="shared" si="64"/>
        <v>0</v>
      </c>
      <c r="R552" s="127">
        <f t="shared" si="65"/>
        <v>0</v>
      </c>
      <c r="T552" s="128">
        <f t="shared" si="66"/>
        <v>0</v>
      </c>
      <c r="U552" s="129" t="str">
        <f>IFERROR(VLOOKUP($S552,References!$B$3:$C$7,2,FALSE),"")</f>
        <v/>
      </c>
      <c r="V552" s="129" t="str">
        <f t="shared" si="67"/>
        <v/>
      </c>
      <c r="W552" s="74" t="str">
        <f>IFERROR(VLOOKUP($O552,'Customer List'!$A$1:$J$488,10,FALSE),"")</f>
        <v/>
      </c>
    </row>
    <row r="553" spans="1:23">
      <c r="A553" s="125" t="str">
        <f t="shared" si="63"/>
        <v/>
      </c>
      <c r="B553" s="148"/>
      <c r="C553" s="148"/>
      <c r="D553" s="148"/>
      <c r="E553" s="148"/>
      <c r="F553" s="148"/>
      <c r="G553" s="148"/>
      <c r="H553" s="148"/>
      <c r="I553" s="148"/>
      <c r="J553" s="148"/>
      <c r="K553" s="149"/>
      <c r="L553" s="149"/>
      <c r="M553" s="149"/>
      <c r="N553" s="148"/>
      <c r="O553" s="234"/>
      <c r="P553" s="126">
        <f t="shared" si="64"/>
        <v>0</v>
      </c>
      <c r="R553" s="127"/>
      <c r="T553" s="128">
        <f t="shared" si="66"/>
        <v>0</v>
      </c>
      <c r="U553" s="129" t="str">
        <f>IFERROR(VLOOKUP($S553,References!$B$3:$C$7,2,FALSE),"")</f>
        <v/>
      </c>
      <c r="V553" s="129" t="str">
        <f t="shared" si="67"/>
        <v/>
      </c>
      <c r="W553" s="74" t="str">
        <f>IFERROR(VLOOKUP($O553,'Customer List'!$A$1:$J$488,10,FALSE),"")</f>
        <v/>
      </c>
    </row>
    <row r="554" spans="1:23">
      <c r="A554" s="125" t="str">
        <f t="shared" si="63"/>
        <v/>
      </c>
      <c r="B554" s="148"/>
      <c r="C554" s="148"/>
      <c r="D554" s="148"/>
      <c r="E554" s="148"/>
      <c r="F554" s="148"/>
      <c r="G554" s="148"/>
      <c r="H554" s="148"/>
      <c r="I554" s="148"/>
      <c r="J554" s="148"/>
      <c r="K554" s="149"/>
      <c r="L554" s="149"/>
      <c r="M554" s="149"/>
      <c r="N554" s="148"/>
      <c r="O554" s="234"/>
      <c r="P554" s="126">
        <f t="shared" si="64"/>
        <v>0</v>
      </c>
      <c r="R554" s="127"/>
      <c r="T554" s="128">
        <f t="shared" si="66"/>
        <v>0</v>
      </c>
      <c r="U554" s="129" t="str">
        <f>IFERROR(VLOOKUP($S554,References!$B$3:$C$7,2,FALSE),"")</f>
        <v/>
      </c>
      <c r="V554" s="129" t="str">
        <f t="shared" si="67"/>
        <v/>
      </c>
      <c r="W554" s="74" t="str">
        <f>IFERROR(VLOOKUP($O554,'Customer List'!$A$1:$J$488,10,FALSE),"")</f>
        <v/>
      </c>
    </row>
    <row r="555" spans="1:23">
      <c r="A555" s="125" t="str">
        <f t="shared" si="63"/>
        <v/>
      </c>
      <c r="B555" s="148"/>
      <c r="C555" s="148"/>
      <c r="D555" s="148"/>
      <c r="E555" s="148"/>
      <c r="F555" s="148"/>
      <c r="G555" s="148"/>
      <c r="H555" s="148"/>
      <c r="I555" s="148"/>
      <c r="J555" s="148"/>
      <c r="K555" s="149"/>
      <c r="L555" s="149"/>
      <c r="M555" s="149"/>
      <c r="N555" s="148"/>
      <c r="O555" s="234"/>
      <c r="P555" s="126">
        <f t="shared" si="64"/>
        <v>0</v>
      </c>
      <c r="R555" s="127"/>
      <c r="T555" s="128">
        <f t="shared" si="66"/>
        <v>0</v>
      </c>
      <c r="U555" s="129" t="str">
        <f>IFERROR(VLOOKUP($S555,References!$B$3:$C$7,2,FALSE),"")</f>
        <v/>
      </c>
      <c r="V555" s="129" t="str">
        <f t="shared" si="67"/>
        <v/>
      </c>
      <c r="W555" s="74" t="str">
        <f>IFERROR(VLOOKUP($O555,'Customer List'!$A$1:$J$488,10,FALSE),"")</f>
        <v/>
      </c>
    </row>
    <row r="556" spans="1:23">
      <c r="A556" s="125" t="str">
        <f t="shared" si="63"/>
        <v/>
      </c>
      <c r="B556" s="148"/>
      <c r="C556" s="148"/>
      <c r="D556" s="148"/>
      <c r="E556" s="148"/>
      <c r="F556" s="148"/>
      <c r="G556" s="148"/>
      <c r="H556" s="148"/>
      <c r="I556" s="148"/>
      <c r="J556" s="148"/>
      <c r="K556" s="149"/>
      <c r="L556" s="149"/>
      <c r="M556" s="149"/>
      <c r="N556" s="148"/>
      <c r="O556" s="234"/>
      <c r="P556" s="126">
        <f t="shared" si="64"/>
        <v>0</v>
      </c>
      <c r="R556" s="127"/>
      <c r="T556" s="128">
        <f t="shared" si="66"/>
        <v>0</v>
      </c>
      <c r="U556" s="129" t="str">
        <f>IFERROR(VLOOKUP($S556,References!$B$3:$C$7,2,FALSE),"")</f>
        <v/>
      </c>
      <c r="V556" s="129" t="str">
        <f t="shared" si="67"/>
        <v/>
      </c>
      <c r="W556" s="74" t="str">
        <f>IFERROR(VLOOKUP($O556,'Customer List'!$A$1:$J$488,10,FALSE),"")</f>
        <v/>
      </c>
    </row>
    <row r="557" spans="1:23">
      <c r="A557" s="125" t="str">
        <f t="shared" si="63"/>
        <v/>
      </c>
      <c r="B557" s="148"/>
      <c r="C557" s="148"/>
      <c r="D557" s="148"/>
      <c r="E557" s="148"/>
      <c r="F557" s="148"/>
      <c r="G557" s="148"/>
      <c r="H557" s="148"/>
      <c r="I557" s="148"/>
      <c r="J557" s="148"/>
      <c r="K557" s="149"/>
      <c r="L557" s="149"/>
      <c r="M557" s="149"/>
      <c r="N557" s="148"/>
      <c r="O557" s="234"/>
      <c r="P557" s="126">
        <f t="shared" si="64"/>
        <v>0</v>
      </c>
      <c r="R557" s="127"/>
      <c r="T557" s="128">
        <f t="shared" si="66"/>
        <v>0</v>
      </c>
      <c r="U557" s="129" t="str">
        <f>IFERROR(VLOOKUP($S557,References!$B$3:$C$7,2,FALSE),"")</f>
        <v/>
      </c>
      <c r="V557" s="129" t="str">
        <f t="shared" si="67"/>
        <v/>
      </c>
      <c r="W557" s="74" t="str">
        <f>IFERROR(VLOOKUP($O557,'Customer List'!$A$1:$J$488,10,FALSE),"")</f>
        <v/>
      </c>
    </row>
    <row r="558" spans="1:23">
      <c r="A558" s="125" t="str">
        <f t="shared" si="63"/>
        <v/>
      </c>
      <c r="B558" s="148"/>
      <c r="C558" s="148"/>
      <c r="D558" s="148"/>
      <c r="E558" s="148"/>
      <c r="F558" s="148"/>
      <c r="G558" s="148"/>
      <c r="H558" s="148"/>
      <c r="I558" s="148"/>
      <c r="J558" s="148"/>
      <c r="K558" s="149"/>
      <c r="L558" s="149"/>
      <c r="M558" s="149"/>
      <c r="N558" s="148"/>
      <c r="O558" s="234"/>
      <c r="P558" s="126">
        <f t="shared" si="64"/>
        <v>0</v>
      </c>
      <c r="R558" s="127"/>
      <c r="T558" s="128">
        <f t="shared" si="66"/>
        <v>0</v>
      </c>
      <c r="U558" s="129" t="str">
        <f>IFERROR(VLOOKUP($S558,References!$B$3:$C$7,2,FALSE),"")</f>
        <v/>
      </c>
      <c r="V558" s="129" t="str">
        <f t="shared" si="67"/>
        <v/>
      </c>
      <c r="W558" s="74" t="str">
        <f>IFERROR(VLOOKUP($O558,'Customer List'!$A$1:$J$488,10,FALSE),"")</f>
        <v/>
      </c>
    </row>
    <row r="559" spans="1:23">
      <c r="A559" s="125" t="str">
        <f t="shared" si="63"/>
        <v/>
      </c>
      <c r="B559" s="148"/>
      <c r="C559" s="148"/>
      <c r="D559" s="148"/>
      <c r="E559" s="148"/>
      <c r="F559" s="148"/>
      <c r="G559" s="148"/>
      <c r="H559" s="148"/>
      <c r="I559" s="148"/>
      <c r="J559" s="148"/>
      <c r="K559" s="149"/>
      <c r="L559" s="149"/>
      <c r="M559" s="149"/>
      <c r="N559" s="148"/>
      <c r="O559" s="234"/>
      <c r="P559" s="126">
        <f t="shared" si="64"/>
        <v>0</v>
      </c>
      <c r="R559" s="127"/>
      <c r="T559" s="128">
        <f t="shared" si="66"/>
        <v>0</v>
      </c>
      <c r="U559" s="129" t="str">
        <f>IFERROR(VLOOKUP($S559,References!$B$3:$C$7,2,FALSE),"")</f>
        <v/>
      </c>
      <c r="V559" s="129" t="str">
        <f t="shared" si="67"/>
        <v/>
      </c>
      <c r="W559" s="74" t="str">
        <f>IFERROR(VLOOKUP($O559,'Customer List'!$A$1:$J$488,10,FALSE),"")</f>
        <v/>
      </c>
    </row>
    <row r="560" spans="1:23">
      <c r="A560" s="125" t="str">
        <f t="shared" ref="A560:A584" si="68">O560&amp;S560</f>
        <v/>
      </c>
      <c r="B560" s="148"/>
      <c r="C560" s="148"/>
      <c r="D560" s="148"/>
      <c r="E560" s="148"/>
      <c r="F560" s="148"/>
      <c r="G560" s="148"/>
      <c r="H560" s="148"/>
      <c r="I560" s="148"/>
      <c r="J560" s="148"/>
      <c r="K560" s="149"/>
      <c r="L560" s="149"/>
      <c r="M560" s="149"/>
      <c r="N560" s="148"/>
      <c r="O560" s="234"/>
      <c r="P560" s="126">
        <f t="shared" si="64"/>
        <v>0</v>
      </c>
      <c r="R560" s="127"/>
      <c r="T560" s="128">
        <f t="shared" si="66"/>
        <v>0</v>
      </c>
      <c r="U560" s="129" t="str">
        <f>IFERROR(VLOOKUP($S560,References!$B$3:$C$7,2,FALSE),"")</f>
        <v/>
      </c>
      <c r="V560" s="129" t="str">
        <f t="shared" si="67"/>
        <v/>
      </c>
      <c r="W560" s="74" t="str">
        <f>IFERROR(VLOOKUP($O560,'Customer List'!$A$1:$J$488,10,FALSE),"")</f>
        <v/>
      </c>
    </row>
    <row r="561" spans="1:23">
      <c r="A561" s="125" t="str">
        <f t="shared" si="68"/>
        <v/>
      </c>
      <c r="B561" s="148"/>
      <c r="C561" s="148"/>
      <c r="D561" s="148"/>
      <c r="E561" s="148"/>
      <c r="F561" s="148"/>
      <c r="G561" s="148"/>
      <c r="H561" s="148"/>
      <c r="I561" s="148"/>
      <c r="J561" s="148"/>
      <c r="K561" s="149"/>
      <c r="L561" s="149"/>
      <c r="M561" s="149"/>
      <c r="N561" s="148"/>
      <c r="O561" s="234"/>
      <c r="P561" s="126">
        <f t="shared" si="64"/>
        <v>0</v>
      </c>
      <c r="R561" s="127"/>
      <c r="T561" s="128">
        <f t="shared" si="66"/>
        <v>0</v>
      </c>
      <c r="U561" s="129" t="str">
        <f>IFERROR(VLOOKUP($S561,References!$B$3:$C$7,2,FALSE),"")</f>
        <v/>
      </c>
      <c r="V561" s="129" t="str">
        <f t="shared" si="67"/>
        <v/>
      </c>
      <c r="W561" s="74" t="str">
        <f>IFERROR(VLOOKUP($O561,'Customer List'!$A$1:$J$488,10,FALSE),"")</f>
        <v/>
      </c>
    </row>
    <row r="562" spans="1:23">
      <c r="A562" s="125" t="str">
        <f t="shared" si="68"/>
        <v/>
      </c>
      <c r="B562" s="148"/>
      <c r="C562" s="148"/>
      <c r="D562" s="148"/>
      <c r="E562" s="148"/>
      <c r="F562" s="148"/>
      <c r="G562" s="148"/>
      <c r="H562" s="148"/>
      <c r="I562" s="148"/>
      <c r="J562" s="148"/>
      <c r="K562" s="149"/>
      <c r="L562" s="149"/>
      <c r="M562" s="149"/>
      <c r="N562" s="148"/>
      <c r="O562" s="234"/>
      <c r="P562" s="126">
        <f t="shared" si="64"/>
        <v>0</v>
      </c>
      <c r="R562" s="127"/>
      <c r="T562" s="128">
        <f t="shared" si="66"/>
        <v>0</v>
      </c>
      <c r="U562" s="129" t="str">
        <f>IFERROR(VLOOKUP($S562,References!$B$3:$C$7,2,FALSE),"")</f>
        <v/>
      </c>
      <c r="V562" s="129" t="str">
        <f t="shared" si="67"/>
        <v/>
      </c>
      <c r="W562" s="74" t="str">
        <f>IFERROR(VLOOKUP($O562,'Customer List'!$A$1:$J$488,10,FALSE),"")</f>
        <v/>
      </c>
    </row>
    <row r="563" spans="1:23">
      <c r="A563" s="125" t="str">
        <f t="shared" si="68"/>
        <v/>
      </c>
      <c r="B563" s="148"/>
      <c r="C563" s="148"/>
      <c r="D563" s="148"/>
      <c r="E563" s="148"/>
      <c r="F563" s="148"/>
      <c r="G563" s="148"/>
      <c r="H563" s="148"/>
      <c r="I563" s="148"/>
      <c r="J563" s="148"/>
      <c r="K563" s="149"/>
      <c r="L563" s="149"/>
      <c r="M563" s="149"/>
      <c r="N563" s="148"/>
      <c r="O563" s="234"/>
      <c r="P563" s="126">
        <f t="shared" si="64"/>
        <v>0</v>
      </c>
      <c r="R563" s="127"/>
      <c r="T563" s="128">
        <f t="shared" si="66"/>
        <v>0</v>
      </c>
      <c r="U563" s="129" t="str">
        <f>IFERROR(VLOOKUP($S563,References!$B$3:$C$7,2,FALSE),"")</f>
        <v/>
      </c>
      <c r="V563" s="129" t="str">
        <f t="shared" si="67"/>
        <v/>
      </c>
      <c r="W563" s="74" t="str">
        <f>IFERROR(VLOOKUP($O563,'Customer List'!$A$1:$J$488,10,FALSE),"")</f>
        <v/>
      </c>
    </row>
    <row r="564" spans="1:23">
      <c r="A564" s="125" t="str">
        <f t="shared" si="68"/>
        <v/>
      </c>
      <c r="B564" s="148"/>
      <c r="C564" s="148"/>
      <c r="D564" s="148"/>
      <c r="E564" s="148"/>
      <c r="F564" s="148"/>
      <c r="G564" s="148"/>
      <c r="H564" s="148"/>
      <c r="I564" s="148"/>
      <c r="J564" s="148"/>
      <c r="K564" s="149"/>
      <c r="L564" s="149"/>
      <c r="M564" s="149"/>
      <c r="N564" s="148"/>
      <c r="O564" s="234"/>
      <c r="P564" s="126">
        <f t="shared" si="64"/>
        <v>0</v>
      </c>
      <c r="R564" s="127"/>
      <c r="T564" s="128">
        <f t="shared" si="66"/>
        <v>0</v>
      </c>
      <c r="U564" s="129" t="str">
        <f>IFERROR(VLOOKUP($S564,References!$B$3:$C$7,2,FALSE),"")</f>
        <v/>
      </c>
      <c r="V564" s="129" t="str">
        <f t="shared" si="67"/>
        <v/>
      </c>
      <c r="W564" s="74" t="str">
        <f>IFERROR(VLOOKUP($O564,'Customer List'!$A$1:$J$488,10,FALSE),"")</f>
        <v/>
      </c>
    </row>
    <row r="565" spans="1:23">
      <c r="A565" s="125" t="str">
        <f t="shared" si="68"/>
        <v/>
      </c>
      <c r="B565" s="148"/>
      <c r="C565" s="148"/>
      <c r="D565" s="148"/>
      <c r="E565" s="148"/>
      <c r="F565" s="148"/>
      <c r="G565" s="148"/>
      <c r="H565" s="148"/>
      <c r="I565" s="148"/>
      <c r="J565" s="148"/>
      <c r="K565" s="149"/>
      <c r="L565" s="149"/>
      <c r="M565" s="149"/>
      <c r="N565" s="148"/>
      <c r="O565" s="234"/>
      <c r="P565" s="126">
        <f t="shared" si="64"/>
        <v>0</v>
      </c>
      <c r="R565" s="127"/>
      <c r="T565" s="128">
        <f t="shared" si="66"/>
        <v>0</v>
      </c>
      <c r="U565" s="129" t="str">
        <f>IFERROR(VLOOKUP($S565,References!$B$3:$C$7,2,FALSE),"")</f>
        <v/>
      </c>
      <c r="V565" s="129" t="str">
        <f t="shared" si="67"/>
        <v/>
      </c>
      <c r="W565" s="74" t="str">
        <f>IFERROR(VLOOKUP($O565,'Customer List'!$A$1:$J$488,10,FALSE),"")</f>
        <v/>
      </c>
    </row>
    <row r="566" spans="1:23">
      <c r="A566" s="125" t="str">
        <f t="shared" si="68"/>
        <v/>
      </c>
      <c r="B566" s="148"/>
      <c r="C566" s="148"/>
      <c r="D566" s="148"/>
      <c r="E566" s="148"/>
      <c r="F566" s="148"/>
      <c r="G566" s="148"/>
      <c r="H566" s="148"/>
      <c r="I566" s="148"/>
      <c r="J566" s="148"/>
      <c r="K566" s="149"/>
      <c r="L566" s="149"/>
      <c r="M566" s="149"/>
      <c r="N566" s="148"/>
      <c r="O566" s="234"/>
      <c r="P566" s="126">
        <f t="shared" si="64"/>
        <v>0</v>
      </c>
      <c r="R566" s="127"/>
      <c r="T566" s="128">
        <f t="shared" si="66"/>
        <v>0</v>
      </c>
      <c r="U566" s="129" t="str">
        <f>IFERROR(VLOOKUP($S566,References!$B$3:$C$7,2,FALSE),"")</f>
        <v/>
      </c>
      <c r="V566" s="129" t="str">
        <f t="shared" si="67"/>
        <v/>
      </c>
      <c r="W566" s="74" t="str">
        <f>IFERROR(VLOOKUP($O566,'Customer List'!$A$1:$J$488,10,FALSE),"")</f>
        <v/>
      </c>
    </row>
    <row r="567" spans="1:23">
      <c r="A567" s="125" t="str">
        <f t="shared" si="68"/>
        <v/>
      </c>
      <c r="B567" s="148"/>
      <c r="C567" s="148"/>
      <c r="D567" s="148"/>
      <c r="E567" s="148"/>
      <c r="F567" s="148"/>
      <c r="G567" s="148"/>
      <c r="H567" s="148"/>
      <c r="I567" s="148"/>
      <c r="J567" s="148"/>
      <c r="K567" s="149"/>
      <c r="L567" s="149"/>
      <c r="M567" s="149"/>
      <c r="N567" s="148"/>
      <c r="O567" s="234"/>
      <c r="P567" s="126">
        <f t="shared" si="64"/>
        <v>0</v>
      </c>
      <c r="R567" s="127"/>
      <c r="T567" s="128">
        <f t="shared" si="66"/>
        <v>0</v>
      </c>
      <c r="U567" s="129" t="str">
        <f>IFERROR(VLOOKUP($S567,References!$B$3:$C$7,2,FALSE),"")</f>
        <v/>
      </c>
      <c r="V567" s="129" t="str">
        <f t="shared" si="67"/>
        <v/>
      </c>
      <c r="W567" s="74" t="str">
        <f>IFERROR(VLOOKUP($O567,'Customer List'!$A$1:$J$488,10,FALSE),"")</f>
        <v/>
      </c>
    </row>
    <row r="568" spans="1:23">
      <c r="A568" s="125" t="str">
        <f t="shared" si="68"/>
        <v/>
      </c>
      <c r="B568" s="148"/>
      <c r="C568" s="148"/>
      <c r="D568" s="148"/>
      <c r="E568" s="148"/>
      <c r="F568" s="148"/>
      <c r="G568" s="148"/>
      <c r="H568" s="148"/>
      <c r="I568" s="148"/>
      <c r="J568" s="148"/>
      <c r="K568" s="149"/>
      <c r="L568" s="149"/>
      <c r="M568" s="149"/>
      <c r="N568" s="148"/>
      <c r="O568" s="234"/>
      <c r="P568" s="126">
        <f t="shared" si="64"/>
        <v>0</v>
      </c>
      <c r="R568" s="127"/>
      <c r="T568" s="128">
        <f t="shared" si="66"/>
        <v>0</v>
      </c>
      <c r="U568" s="129" t="str">
        <f>IFERROR(VLOOKUP($S568,References!$B$3:$C$7,2,FALSE),"")</f>
        <v/>
      </c>
      <c r="V568" s="129" t="str">
        <f t="shared" si="67"/>
        <v/>
      </c>
      <c r="W568" s="74" t="str">
        <f>IFERROR(VLOOKUP($O568,'Customer List'!$A$1:$J$488,10,FALSE),"")</f>
        <v/>
      </c>
    </row>
    <row r="569" spans="1:23">
      <c r="A569" s="125" t="str">
        <f t="shared" si="68"/>
        <v/>
      </c>
      <c r="B569" s="148"/>
      <c r="C569" s="148"/>
      <c r="D569" s="148"/>
      <c r="E569" s="148"/>
      <c r="F569" s="148"/>
      <c r="G569" s="148"/>
      <c r="H569" s="148"/>
      <c r="I569" s="148"/>
      <c r="J569" s="148"/>
      <c r="K569" s="149"/>
      <c r="L569" s="149"/>
      <c r="M569" s="149"/>
      <c r="N569" s="148"/>
      <c r="O569" s="234"/>
      <c r="P569" s="126">
        <f t="shared" si="64"/>
        <v>0</v>
      </c>
      <c r="R569" s="127"/>
      <c r="T569" s="128">
        <f t="shared" si="66"/>
        <v>0</v>
      </c>
      <c r="U569" s="129" t="str">
        <f>IFERROR(VLOOKUP($S569,References!$B$3:$C$7,2,FALSE),"")</f>
        <v/>
      </c>
      <c r="V569" s="129" t="str">
        <f t="shared" si="67"/>
        <v/>
      </c>
      <c r="W569" s="74" t="str">
        <f>IFERROR(VLOOKUP($O569,'Customer List'!$A$1:$J$488,10,FALSE),"")</f>
        <v/>
      </c>
    </row>
    <row r="570" spans="1:23">
      <c r="A570" s="125" t="str">
        <f t="shared" si="68"/>
        <v/>
      </c>
      <c r="B570" s="148"/>
      <c r="C570" s="148"/>
      <c r="D570" s="148"/>
      <c r="E570" s="148"/>
      <c r="F570" s="148"/>
      <c r="G570" s="148"/>
      <c r="H570" s="148"/>
      <c r="I570" s="148"/>
      <c r="J570" s="148"/>
      <c r="K570" s="149"/>
      <c r="L570" s="149"/>
      <c r="M570" s="149"/>
      <c r="N570" s="148"/>
      <c r="O570" s="234"/>
      <c r="P570" s="126">
        <f t="shared" si="64"/>
        <v>0</v>
      </c>
      <c r="R570" s="127"/>
      <c r="T570" s="128">
        <f t="shared" si="66"/>
        <v>0</v>
      </c>
      <c r="U570" s="129" t="str">
        <f>IFERROR(VLOOKUP($S570,References!$B$3:$C$7,2,FALSE),"")</f>
        <v/>
      </c>
      <c r="V570" s="129" t="str">
        <f t="shared" si="67"/>
        <v/>
      </c>
      <c r="W570" s="74" t="str">
        <f>IFERROR(VLOOKUP($O570,'Customer List'!$A$1:$J$488,10,FALSE),"")</f>
        <v/>
      </c>
    </row>
    <row r="571" spans="1:23">
      <c r="A571" s="125" t="str">
        <f t="shared" si="68"/>
        <v/>
      </c>
      <c r="B571" s="148"/>
      <c r="C571" s="148"/>
      <c r="D571" s="148"/>
      <c r="E571" s="148"/>
      <c r="F571" s="148"/>
      <c r="G571" s="148"/>
      <c r="H571" s="148"/>
      <c r="I571" s="148"/>
      <c r="J571" s="148"/>
      <c r="K571" s="149"/>
      <c r="L571" s="149"/>
      <c r="M571" s="149"/>
      <c r="N571" s="148"/>
      <c r="O571" s="234"/>
      <c r="P571" s="126">
        <f t="shared" si="64"/>
        <v>0</v>
      </c>
      <c r="R571" s="127"/>
      <c r="T571" s="128">
        <f t="shared" si="66"/>
        <v>0</v>
      </c>
      <c r="U571" s="129" t="str">
        <f>IFERROR(VLOOKUP($S571,References!$B$3:$C$7,2,FALSE),"")</f>
        <v/>
      </c>
      <c r="V571" s="129" t="str">
        <f t="shared" si="67"/>
        <v/>
      </c>
      <c r="W571" s="74" t="str">
        <f>IFERROR(VLOOKUP($O571,'Customer List'!$A$1:$J$488,10,FALSE),"")</f>
        <v/>
      </c>
    </row>
    <row r="572" spans="1:23">
      <c r="A572" s="125" t="str">
        <f t="shared" si="68"/>
        <v/>
      </c>
      <c r="B572" s="148"/>
      <c r="C572" s="148"/>
      <c r="D572" s="148"/>
      <c r="E572" s="148"/>
      <c r="F572" s="148"/>
      <c r="G572" s="148"/>
      <c r="H572" s="148"/>
      <c r="I572" s="148"/>
      <c r="J572" s="148"/>
      <c r="K572" s="149"/>
      <c r="L572" s="149"/>
      <c r="M572" s="149"/>
      <c r="N572" s="148"/>
      <c r="O572" s="234"/>
      <c r="P572" s="126">
        <f t="shared" si="64"/>
        <v>0</v>
      </c>
      <c r="R572" s="127"/>
      <c r="T572" s="128">
        <f t="shared" si="66"/>
        <v>0</v>
      </c>
      <c r="U572" s="129" t="str">
        <f>IFERROR(VLOOKUP($S572,References!$B$3:$C$7,2,FALSE),"")</f>
        <v/>
      </c>
      <c r="V572" s="129" t="str">
        <f t="shared" si="67"/>
        <v/>
      </c>
      <c r="W572" s="74" t="str">
        <f>IFERROR(VLOOKUP($O572,'Customer List'!$A$1:$J$488,10,FALSE),"")</f>
        <v/>
      </c>
    </row>
    <row r="573" spans="1:23">
      <c r="A573" s="125" t="str">
        <f t="shared" si="68"/>
        <v/>
      </c>
      <c r="B573" s="148"/>
      <c r="C573" s="148"/>
      <c r="D573" s="148"/>
      <c r="E573" s="148"/>
      <c r="F573" s="148"/>
      <c r="G573" s="148"/>
      <c r="H573" s="148"/>
      <c r="I573" s="148"/>
      <c r="J573" s="148"/>
      <c r="K573" s="149"/>
      <c r="L573" s="149"/>
      <c r="M573" s="149"/>
      <c r="N573" s="148"/>
      <c r="O573" s="234"/>
      <c r="P573" s="126">
        <f t="shared" si="64"/>
        <v>0</v>
      </c>
      <c r="R573" s="127"/>
      <c r="T573" s="128">
        <f t="shared" si="66"/>
        <v>0</v>
      </c>
      <c r="U573" s="129" t="str">
        <f>IFERROR(VLOOKUP($S573,References!$B$3:$C$7,2,FALSE),"")</f>
        <v/>
      </c>
      <c r="V573" s="129" t="str">
        <f t="shared" si="67"/>
        <v/>
      </c>
      <c r="W573" s="74" t="str">
        <f>IFERROR(VLOOKUP($O573,'Customer List'!$A$1:$J$488,10,FALSE),"")</f>
        <v/>
      </c>
    </row>
    <row r="574" spans="1:23">
      <c r="A574" s="125" t="str">
        <f t="shared" si="68"/>
        <v/>
      </c>
      <c r="B574" s="148"/>
      <c r="C574" s="148"/>
      <c r="D574" s="148"/>
      <c r="E574" s="148"/>
      <c r="F574" s="148"/>
      <c r="G574" s="148"/>
      <c r="H574" s="148"/>
      <c r="I574" s="148"/>
      <c r="J574" s="148"/>
      <c r="K574" s="149"/>
      <c r="L574" s="149"/>
      <c r="M574" s="149"/>
      <c r="N574" s="148"/>
      <c r="O574" s="234"/>
      <c r="P574" s="126">
        <f t="shared" si="64"/>
        <v>0</v>
      </c>
      <c r="R574" s="127"/>
      <c r="T574" s="128">
        <f t="shared" si="66"/>
        <v>0</v>
      </c>
      <c r="U574" s="129" t="str">
        <f>IFERROR(VLOOKUP($S574,References!$B$3:$C$7,2,FALSE),"")</f>
        <v/>
      </c>
      <c r="V574" s="129" t="str">
        <f t="shared" si="67"/>
        <v/>
      </c>
      <c r="W574" s="74" t="str">
        <f>IFERROR(VLOOKUP($O574,'Customer List'!$A$1:$J$488,10,FALSE),"")</f>
        <v/>
      </c>
    </row>
    <row r="575" spans="1:23">
      <c r="A575" s="125" t="str">
        <f t="shared" si="68"/>
        <v/>
      </c>
      <c r="O575" s="234"/>
      <c r="P575" s="126">
        <f t="shared" si="64"/>
        <v>0</v>
      </c>
      <c r="R575" s="127"/>
      <c r="T575" s="128">
        <f t="shared" si="66"/>
        <v>0</v>
      </c>
      <c r="U575" s="129" t="str">
        <f>IFERROR(VLOOKUP($S575,References!$B$3:$C$7,2,FALSE),"")</f>
        <v/>
      </c>
      <c r="V575" s="129" t="str">
        <f t="shared" si="67"/>
        <v/>
      </c>
      <c r="W575" s="74" t="str">
        <f>IFERROR(VLOOKUP($O575,'Customer List'!$A$1:$J$488,10,FALSE),"")</f>
        <v/>
      </c>
    </row>
    <row r="576" spans="1:23">
      <c r="A576" s="125" t="str">
        <f t="shared" si="68"/>
        <v/>
      </c>
      <c r="O576" s="234"/>
      <c r="P576" s="126">
        <f t="shared" si="64"/>
        <v>0</v>
      </c>
      <c r="R576" s="127"/>
      <c r="T576" s="128">
        <f t="shared" si="66"/>
        <v>0</v>
      </c>
      <c r="U576" s="129" t="str">
        <f>IFERROR(VLOOKUP($S576,References!$B$3:$C$7,2,FALSE),"")</f>
        <v/>
      </c>
      <c r="V576" s="129" t="str">
        <f t="shared" si="67"/>
        <v/>
      </c>
      <c r="W576" s="74" t="str">
        <f>IFERROR(VLOOKUP($O576,'Customer List'!$A$1:$J$488,10,FALSE),"")</f>
        <v/>
      </c>
    </row>
    <row r="577" spans="1:23">
      <c r="A577" s="125" t="str">
        <f t="shared" si="68"/>
        <v/>
      </c>
      <c r="G577" s="148"/>
      <c r="H577" s="148"/>
      <c r="I577" s="148"/>
      <c r="O577" s="234"/>
      <c r="P577" s="126">
        <f t="shared" si="64"/>
        <v>0</v>
      </c>
      <c r="R577" s="127"/>
      <c r="T577" s="128">
        <f t="shared" si="66"/>
        <v>0</v>
      </c>
      <c r="U577" s="129" t="str">
        <f>IFERROR(VLOOKUP($S577,References!$B$3:$C$7,2,FALSE),"")</f>
        <v/>
      </c>
      <c r="V577" s="129" t="str">
        <f t="shared" si="67"/>
        <v/>
      </c>
      <c r="W577" s="74" t="str">
        <f>IFERROR(VLOOKUP($O577,'Customer List'!$A$1:$J$488,10,FALSE),"")</f>
        <v/>
      </c>
    </row>
    <row r="578" spans="1:23">
      <c r="A578" s="125" t="str">
        <f t="shared" si="68"/>
        <v/>
      </c>
      <c r="C578" s="148"/>
      <c r="D578" s="148"/>
      <c r="E578" s="148"/>
      <c r="G578" s="148"/>
      <c r="H578" s="148"/>
      <c r="I578" s="148"/>
      <c r="N578" s="148"/>
      <c r="O578" s="234"/>
      <c r="P578" s="126">
        <f t="shared" si="64"/>
        <v>0</v>
      </c>
      <c r="R578" s="127"/>
      <c r="T578" s="128">
        <f t="shared" si="66"/>
        <v>0</v>
      </c>
      <c r="U578" s="129" t="str">
        <f>IFERROR(VLOOKUP($S578,References!$B$3:$C$7,2,FALSE),"")</f>
        <v/>
      </c>
      <c r="V578" s="129" t="str">
        <f t="shared" si="67"/>
        <v/>
      </c>
      <c r="W578" s="74" t="str">
        <f>IFERROR(VLOOKUP($O578,'Customer List'!$A$1:$J$488,10,FALSE),"")</f>
        <v/>
      </c>
    </row>
    <row r="579" spans="1:23">
      <c r="A579" s="125" t="str">
        <f t="shared" si="68"/>
        <v/>
      </c>
      <c r="C579" s="148"/>
      <c r="D579" s="148"/>
      <c r="E579" s="148"/>
      <c r="G579" s="148"/>
      <c r="H579" s="148"/>
      <c r="I579" s="148"/>
      <c r="N579" s="148"/>
      <c r="O579" s="234"/>
      <c r="P579" s="126">
        <f t="shared" si="64"/>
        <v>0</v>
      </c>
      <c r="R579" s="127"/>
      <c r="T579" s="128">
        <f t="shared" si="66"/>
        <v>0</v>
      </c>
      <c r="U579" s="129" t="str">
        <f>IFERROR(VLOOKUP($S579,References!$B$3:$C$7,2,FALSE),"")</f>
        <v/>
      </c>
      <c r="V579" s="129" t="str">
        <f t="shared" si="67"/>
        <v/>
      </c>
      <c r="W579" s="74" t="str">
        <f>IFERROR(VLOOKUP($O579,'Customer List'!$A$1:$J$488,10,FALSE),"")</f>
        <v/>
      </c>
    </row>
    <row r="580" spans="1:23">
      <c r="A580" s="125" t="str">
        <f t="shared" si="68"/>
        <v/>
      </c>
      <c r="C580" s="148"/>
      <c r="D580" s="148"/>
      <c r="E580" s="148"/>
      <c r="G580" s="148"/>
      <c r="H580" s="148"/>
      <c r="I580" s="148"/>
      <c r="N580" s="148"/>
      <c r="O580" s="234"/>
      <c r="P580" s="126">
        <f t="shared" si="64"/>
        <v>0</v>
      </c>
      <c r="R580" s="127"/>
      <c r="T580" s="128">
        <f t="shared" si="66"/>
        <v>0</v>
      </c>
      <c r="U580" s="129" t="str">
        <f>IFERROR(VLOOKUP($S580,References!$B$3:$C$7,2,FALSE),"")</f>
        <v/>
      </c>
      <c r="V580" s="129" t="str">
        <f t="shared" si="67"/>
        <v/>
      </c>
      <c r="W580" s="74" t="str">
        <f>IFERROR(VLOOKUP($O580,'Customer List'!$A$1:$J$488,10,FALSE),"")</f>
        <v/>
      </c>
    </row>
    <row r="581" spans="1:23">
      <c r="A581" s="125" t="str">
        <f t="shared" si="68"/>
        <v/>
      </c>
      <c r="C581" s="148"/>
      <c r="D581" s="148"/>
      <c r="E581" s="148"/>
      <c r="G581" s="148"/>
      <c r="H581" s="148"/>
      <c r="I581" s="148"/>
      <c r="N581" s="148"/>
      <c r="O581" s="234"/>
      <c r="P581" s="126">
        <f t="shared" si="64"/>
        <v>0</v>
      </c>
      <c r="R581" s="127"/>
      <c r="T581" s="128">
        <f t="shared" si="66"/>
        <v>0</v>
      </c>
      <c r="U581" s="129" t="str">
        <f>IFERROR(VLOOKUP($S581,References!$B$3:$C$7,2,FALSE),"")</f>
        <v/>
      </c>
      <c r="V581" s="129" t="str">
        <f t="shared" si="67"/>
        <v/>
      </c>
      <c r="W581" s="74" t="str">
        <f>IFERROR(VLOOKUP($O581,'Customer List'!$A$1:$J$488,10,FALSE),"")</f>
        <v/>
      </c>
    </row>
    <row r="582" spans="1:23">
      <c r="A582" s="125" t="str">
        <f t="shared" si="68"/>
        <v/>
      </c>
      <c r="C582" s="148"/>
      <c r="D582" s="148"/>
      <c r="E582" s="148"/>
      <c r="G582" s="148"/>
      <c r="H582" s="148"/>
      <c r="I582" s="148"/>
      <c r="N582" s="148"/>
      <c r="O582" s="234"/>
      <c r="P582" s="126">
        <f t="shared" si="64"/>
        <v>0</v>
      </c>
      <c r="R582" s="127"/>
      <c r="T582" s="128">
        <f t="shared" si="66"/>
        <v>0</v>
      </c>
      <c r="U582" s="129" t="str">
        <f>IFERROR(VLOOKUP($S582,References!$B$3:$C$7,2,FALSE),"")</f>
        <v/>
      </c>
      <c r="V582" s="129" t="str">
        <f t="shared" si="67"/>
        <v/>
      </c>
      <c r="W582" s="74" t="str">
        <f>IFERROR(VLOOKUP($O582,'Customer List'!$A$1:$J$488,10,FALSE),"")</f>
        <v/>
      </c>
    </row>
    <row r="583" spans="1:23">
      <c r="A583" s="125" t="str">
        <f t="shared" si="68"/>
        <v/>
      </c>
      <c r="C583" s="148"/>
      <c r="D583" s="148"/>
      <c r="E583" s="148"/>
      <c r="G583" s="148"/>
      <c r="H583" s="148"/>
      <c r="I583" s="148"/>
      <c r="N583" s="148"/>
      <c r="O583" s="234"/>
      <c r="P583" s="126">
        <f t="shared" si="64"/>
        <v>0</v>
      </c>
      <c r="R583" s="127">
        <f t="shared" ref="R583:R614" si="69">L583-K583</f>
        <v>0</v>
      </c>
      <c r="T583" s="128">
        <f t="shared" si="66"/>
        <v>0</v>
      </c>
      <c r="U583" s="129" t="str">
        <f>IFERROR(VLOOKUP($S583,References!$B$3:$C$7,2,FALSE),"")</f>
        <v/>
      </c>
      <c r="V583" s="129" t="str">
        <f t="shared" si="67"/>
        <v/>
      </c>
      <c r="W583" s="74" t="str">
        <f>IFERROR(VLOOKUP($O583,'Customer List'!$A$1:$J$488,10,FALSE),"")</f>
        <v/>
      </c>
    </row>
    <row r="584" spans="1:23">
      <c r="A584" s="125" t="str">
        <f t="shared" si="68"/>
        <v/>
      </c>
      <c r="C584" s="148"/>
      <c r="D584" s="148"/>
      <c r="E584" s="148"/>
      <c r="G584" s="148"/>
      <c r="H584" s="148"/>
      <c r="I584" s="148"/>
      <c r="N584" s="148"/>
      <c r="O584" s="234"/>
      <c r="P584" s="126">
        <f t="shared" si="64"/>
        <v>0</v>
      </c>
      <c r="R584" s="127">
        <f t="shared" si="69"/>
        <v>0</v>
      </c>
      <c r="T584" s="128">
        <f t="shared" si="66"/>
        <v>0</v>
      </c>
      <c r="U584" s="129" t="str">
        <f>IFERROR(VLOOKUP($S584,References!$B$3:$C$7,2,FALSE),"")</f>
        <v/>
      </c>
      <c r="V584" s="129" t="str">
        <f t="shared" si="67"/>
        <v/>
      </c>
      <c r="W584" s="74" t="str">
        <f>IFERROR(VLOOKUP($O584,'Customer List'!$A$1:$J$488,10,FALSE),"")</f>
        <v/>
      </c>
    </row>
    <row r="585" spans="1:23">
      <c r="A585" s="125" t="str">
        <f t="shared" ref="A585:A648" si="70">O585&amp;S585</f>
        <v/>
      </c>
      <c r="C585" s="148"/>
      <c r="D585" s="148"/>
      <c r="E585" s="148"/>
      <c r="G585" s="148"/>
      <c r="H585" s="148"/>
      <c r="I585" s="148"/>
      <c r="N585" s="148"/>
      <c r="O585" s="234"/>
      <c r="P585" s="126">
        <f t="shared" ref="P585:P648" si="71">INT(L585)</f>
        <v>0</v>
      </c>
      <c r="R585" s="127">
        <f t="shared" si="69"/>
        <v>0</v>
      </c>
      <c r="T585" s="128">
        <f t="shared" si="66"/>
        <v>0</v>
      </c>
      <c r="U585" s="129" t="str">
        <f>IFERROR(VLOOKUP($S585,References!$B$3:$C$7,2,FALSE),"")</f>
        <v/>
      </c>
      <c r="V585" s="129" t="str">
        <f t="shared" si="67"/>
        <v/>
      </c>
      <c r="W585" s="74" t="str">
        <f>IFERROR(VLOOKUP($O585,'Customer List'!$A$1:$J$488,10,FALSE),"")</f>
        <v/>
      </c>
    </row>
    <row r="586" spans="1:23">
      <c r="A586" s="125" t="str">
        <f t="shared" si="70"/>
        <v/>
      </c>
      <c r="C586" s="148"/>
      <c r="D586" s="148"/>
      <c r="E586" s="148"/>
      <c r="G586" s="148"/>
      <c r="H586" s="148"/>
      <c r="I586" s="148"/>
      <c r="N586" s="148"/>
      <c r="O586" s="234"/>
      <c r="P586" s="126">
        <f t="shared" si="71"/>
        <v>0</v>
      </c>
      <c r="R586" s="127">
        <f t="shared" si="69"/>
        <v>0</v>
      </c>
      <c r="T586" s="128">
        <f t="shared" ref="T586:T649" si="72">IF(S586="50 - Cleaning Fee",1,HOUR($R586)+MINUTE(R586)/60)</f>
        <v>0</v>
      </c>
      <c r="U586" s="129" t="str">
        <f>IFERROR(VLOOKUP($S586,References!$B$3:$C$7,2,FALSE),"")</f>
        <v/>
      </c>
      <c r="V586" s="129" t="str">
        <f t="shared" ref="V586:V649" si="73">IF(T586&gt;=8,400,(IFERROR(T586*U586,"")))</f>
        <v/>
      </c>
      <c r="W586" s="74" t="str">
        <f>IFERROR(VLOOKUP($O586,'Customer List'!$A$1:$J$488,10,FALSE),"")</f>
        <v/>
      </c>
    </row>
    <row r="587" spans="1:23">
      <c r="A587" s="125" t="str">
        <f t="shared" si="70"/>
        <v/>
      </c>
      <c r="C587" s="148"/>
      <c r="D587" s="148"/>
      <c r="E587" s="148"/>
      <c r="G587" s="148"/>
      <c r="H587" s="148"/>
      <c r="I587" s="148"/>
      <c r="N587" s="148"/>
      <c r="O587" s="234"/>
      <c r="P587" s="126">
        <f t="shared" si="71"/>
        <v>0</v>
      </c>
      <c r="R587" s="127">
        <f t="shared" si="69"/>
        <v>0</v>
      </c>
      <c r="T587" s="128">
        <f t="shared" si="72"/>
        <v>0</v>
      </c>
      <c r="U587" s="129" t="str">
        <f>IFERROR(VLOOKUP($S587,References!$B$3:$C$7,2,FALSE),"")</f>
        <v/>
      </c>
      <c r="V587" s="129" t="str">
        <f t="shared" si="73"/>
        <v/>
      </c>
      <c r="W587" s="74" t="str">
        <f>IFERROR(VLOOKUP($O587,'Customer List'!$A$1:$J$488,10,FALSE),"")</f>
        <v/>
      </c>
    </row>
    <row r="588" spans="1:23">
      <c r="A588" s="125" t="str">
        <f t="shared" si="70"/>
        <v/>
      </c>
      <c r="C588" s="148"/>
      <c r="D588" s="148"/>
      <c r="E588" s="148"/>
      <c r="G588" s="148"/>
      <c r="H588" s="148"/>
      <c r="I588" s="148"/>
      <c r="N588" s="148"/>
      <c r="O588" s="234"/>
      <c r="P588" s="126">
        <f t="shared" si="71"/>
        <v>0</v>
      </c>
      <c r="R588" s="127">
        <f t="shared" si="69"/>
        <v>0</v>
      </c>
      <c r="T588" s="128">
        <f t="shared" si="72"/>
        <v>0</v>
      </c>
      <c r="U588" s="129" t="str">
        <f>IFERROR(VLOOKUP($S588,References!$B$3:$C$7,2,FALSE),"")</f>
        <v/>
      </c>
      <c r="V588" s="129" t="str">
        <f t="shared" si="73"/>
        <v/>
      </c>
      <c r="W588" s="74" t="str">
        <f>IFERROR(VLOOKUP($O588,'Customer List'!$A$1:$J$488,10,FALSE),"")</f>
        <v/>
      </c>
    </row>
    <row r="589" spans="1:23">
      <c r="A589" s="125" t="str">
        <f t="shared" si="70"/>
        <v/>
      </c>
      <c r="C589" s="148"/>
      <c r="D589" s="148"/>
      <c r="E589" s="148"/>
      <c r="G589" s="148"/>
      <c r="H589" s="148"/>
      <c r="I589" s="148"/>
      <c r="N589" s="148"/>
      <c r="O589" s="234"/>
      <c r="P589" s="126">
        <f t="shared" si="71"/>
        <v>0</v>
      </c>
      <c r="R589" s="127">
        <f t="shared" si="69"/>
        <v>0</v>
      </c>
      <c r="T589" s="128">
        <f t="shared" si="72"/>
        <v>0</v>
      </c>
      <c r="U589" s="129" t="str">
        <f>IFERROR(VLOOKUP($S589,References!$B$3:$C$7,2,FALSE),"")</f>
        <v/>
      </c>
      <c r="V589" s="129" t="str">
        <f t="shared" si="73"/>
        <v/>
      </c>
      <c r="W589" s="74" t="str">
        <f>IFERROR(VLOOKUP($O589,'Customer List'!$A$1:$J$488,10,FALSE),"")</f>
        <v/>
      </c>
    </row>
    <row r="590" spans="1:23">
      <c r="A590" s="125" t="str">
        <f t="shared" si="70"/>
        <v/>
      </c>
      <c r="C590" s="148"/>
      <c r="D590" s="148"/>
      <c r="E590" s="148"/>
      <c r="G590" s="148"/>
      <c r="H590" s="148"/>
      <c r="I590" s="148"/>
      <c r="N590" s="148"/>
      <c r="O590" s="234"/>
      <c r="P590" s="126">
        <f t="shared" si="71"/>
        <v>0</v>
      </c>
      <c r="R590" s="127">
        <f t="shared" si="69"/>
        <v>0</v>
      </c>
      <c r="T590" s="128">
        <f t="shared" si="72"/>
        <v>0</v>
      </c>
      <c r="U590" s="129" t="str">
        <f>IFERROR(VLOOKUP($S590,References!$B$3:$C$7,2,FALSE),"")</f>
        <v/>
      </c>
      <c r="V590" s="129" t="str">
        <f t="shared" si="73"/>
        <v/>
      </c>
      <c r="W590" s="74" t="str">
        <f>IFERROR(VLOOKUP($O590,'Customer List'!$A$1:$J$488,10,FALSE),"")</f>
        <v/>
      </c>
    </row>
    <row r="591" spans="1:23">
      <c r="A591" s="125" t="str">
        <f t="shared" si="70"/>
        <v/>
      </c>
      <c r="C591" s="148"/>
      <c r="D591" s="148"/>
      <c r="E591" s="148"/>
      <c r="G591" s="148"/>
      <c r="H591" s="148"/>
      <c r="I591" s="148"/>
      <c r="N591" s="148"/>
      <c r="O591" s="234"/>
      <c r="P591" s="126">
        <f t="shared" si="71"/>
        <v>0</v>
      </c>
      <c r="R591" s="127">
        <f t="shared" si="69"/>
        <v>0</v>
      </c>
      <c r="T591" s="128">
        <f t="shared" si="72"/>
        <v>0</v>
      </c>
      <c r="U591" s="129" t="str">
        <f>IFERROR(VLOOKUP($S591,References!$B$3:$C$7,2,FALSE),"")</f>
        <v/>
      </c>
      <c r="V591" s="129" t="str">
        <f t="shared" si="73"/>
        <v/>
      </c>
      <c r="W591" s="74" t="str">
        <f>IFERROR(VLOOKUP($O591,'Customer List'!$A$1:$J$488,10,FALSE),"")</f>
        <v/>
      </c>
    </row>
    <row r="592" spans="1:23">
      <c r="A592" s="125" t="str">
        <f t="shared" si="70"/>
        <v/>
      </c>
      <c r="C592" s="148"/>
      <c r="D592" s="148"/>
      <c r="E592" s="148"/>
      <c r="G592" s="148"/>
      <c r="H592" s="148"/>
      <c r="I592" s="148"/>
      <c r="N592" s="148"/>
      <c r="O592" s="234"/>
      <c r="P592" s="126">
        <f t="shared" si="71"/>
        <v>0</v>
      </c>
      <c r="R592" s="127">
        <f t="shared" si="69"/>
        <v>0</v>
      </c>
      <c r="T592" s="128">
        <f t="shared" si="72"/>
        <v>0</v>
      </c>
      <c r="U592" s="129" t="str">
        <f>IFERROR(VLOOKUP($S592,References!$B$3:$C$7,2,FALSE),"")</f>
        <v/>
      </c>
      <c r="V592" s="129" t="str">
        <f t="shared" si="73"/>
        <v/>
      </c>
      <c r="W592" s="74" t="str">
        <f>IFERROR(VLOOKUP($O592,'Customer List'!$A$1:$J$488,10,FALSE),"")</f>
        <v/>
      </c>
    </row>
    <row r="593" spans="1:23">
      <c r="A593" s="125" t="str">
        <f t="shared" si="70"/>
        <v/>
      </c>
      <c r="O593" s="234"/>
      <c r="P593" s="126">
        <f t="shared" si="71"/>
        <v>0</v>
      </c>
      <c r="R593" s="127">
        <f t="shared" si="69"/>
        <v>0</v>
      </c>
      <c r="T593" s="128">
        <f t="shared" si="72"/>
        <v>0</v>
      </c>
      <c r="U593" s="129" t="str">
        <f>IFERROR(VLOOKUP($S593,References!$B$3:$C$7,2,FALSE),"")</f>
        <v/>
      </c>
      <c r="V593" s="129" t="str">
        <f t="shared" si="73"/>
        <v/>
      </c>
      <c r="W593" s="74" t="str">
        <f>IFERROR(VLOOKUP($O593,'Customer List'!$A$1:$J$488,10,FALSE),"")</f>
        <v/>
      </c>
    </row>
    <row r="594" spans="1:23">
      <c r="A594" s="125" t="str">
        <f t="shared" si="70"/>
        <v/>
      </c>
      <c r="O594" s="234"/>
      <c r="P594" s="126">
        <f t="shared" si="71"/>
        <v>0</v>
      </c>
      <c r="R594" s="127">
        <f t="shared" si="69"/>
        <v>0</v>
      </c>
      <c r="T594" s="128">
        <f t="shared" si="72"/>
        <v>0</v>
      </c>
      <c r="U594" s="129" t="str">
        <f>IFERROR(VLOOKUP($S594,References!$B$3:$C$7,2,FALSE),"")</f>
        <v/>
      </c>
      <c r="V594" s="129" t="str">
        <f t="shared" si="73"/>
        <v/>
      </c>
      <c r="W594" s="74" t="str">
        <f>IFERROR(VLOOKUP($O594,'Customer List'!$A$1:$J$488,10,FALSE),"")</f>
        <v/>
      </c>
    </row>
    <row r="595" spans="1:23">
      <c r="A595" s="125" t="str">
        <f t="shared" si="70"/>
        <v/>
      </c>
      <c r="O595" s="234"/>
      <c r="P595" s="126">
        <f t="shared" si="71"/>
        <v>0</v>
      </c>
      <c r="R595" s="127">
        <f t="shared" si="69"/>
        <v>0</v>
      </c>
      <c r="T595" s="128">
        <f t="shared" si="72"/>
        <v>0</v>
      </c>
      <c r="U595" s="129" t="str">
        <f>IFERROR(VLOOKUP($S595,References!$B$3:$C$7,2,FALSE),"")</f>
        <v/>
      </c>
      <c r="V595" s="129" t="str">
        <f t="shared" si="73"/>
        <v/>
      </c>
      <c r="W595" s="74" t="str">
        <f>IFERROR(VLOOKUP($O595,'Customer List'!$A$1:$J$488,10,FALSE),"")</f>
        <v/>
      </c>
    </row>
    <row r="596" spans="1:23">
      <c r="A596" s="125" t="str">
        <f t="shared" si="70"/>
        <v/>
      </c>
      <c r="O596" s="234"/>
      <c r="P596" s="126">
        <f t="shared" si="71"/>
        <v>0</v>
      </c>
      <c r="R596" s="127">
        <f t="shared" si="69"/>
        <v>0</v>
      </c>
      <c r="T596" s="128">
        <f t="shared" si="72"/>
        <v>0</v>
      </c>
      <c r="U596" s="129" t="str">
        <f>IFERROR(VLOOKUP($S596,References!$B$3:$C$7,2,FALSE),"")</f>
        <v/>
      </c>
      <c r="V596" s="129" t="str">
        <f t="shared" si="73"/>
        <v/>
      </c>
      <c r="W596" s="74" t="str">
        <f>IFERROR(VLOOKUP($O596,'Customer List'!$A$1:$J$488,10,FALSE),"")</f>
        <v/>
      </c>
    </row>
    <row r="597" spans="1:23">
      <c r="A597" s="125" t="str">
        <f t="shared" si="70"/>
        <v/>
      </c>
      <c r="O597" s="234"/>
      <c r="P597" s="126">
        <f t="shared" si="71"/>
        <v>0</v>
      </c>
      <c r="R597" s="127">
        <f t="shared" si="69"/>
        <v>0</v>
      </c>
      <c r="T597" s="128">
        <f t="shared" si="72"/>
        <v>0</v>
      </c>
      <c r="U597" s="129" t="str">
        <f>IFERROR(VLOOKUP($S597,References!$B$3:$C$7,2,FALSE),"")</f>
        <v/>
      </c>
      <c r="V597" s="129" t="str">
        <f t="shared" si="73"/>
        <v/>
      </c>
      <c r="W597" s="74" t="str">
        <f>IFERROR(VLOOKUP($O597,'Customer List'!$A$1:$J$488,10,FALSE),"")</f>
        <v/>
      </c>
    </row>
    <row r="598" spans="1:23">
      <c r="A598" s="125" t="str">
        <f t="shared" si="70"/>
        <v/>
      </c>
      <c r="O598" s="234"/>
      <c r="P598" s="126">
        <f t="shared" si="71"/>
        <v>0</v>
      </c>
      <c r="R598" s="127">
        <f t="shared" si="69"/>
        <v>0</v>
      </c>
      <c r="T598" s="128">
        <f t="shared" si="72"/>
        <v>0</v>
      </c>
      <c r="U598" s="129" t="str">
        <f>IFERROR(VLOOKUP($S598,References!$B$3:$C$7,2,FALSE),"")</f>
        <v/>
      </c>
      <c r="V598" s="129" t="str">
        <f t="shared" si="73"/>
        <v/>
      </c>
      <c r="W598" s="74" t="str">
        <f>IFERROR(VLOOKUP($O598,'Customer List'!$A$1:$J$488,10,FALSE),"")</f>
        <v/>
      </c>
    </row>
    <row r="599" spans="1:23">
      <c r="A599" s="125" t="str">
        <f t="shared" si="70"/>
        <v/>
      </c>
      <c r="O599" s="234"/>
      <c r="P599" s="126">
        <f t="shared" si="71"/>
        <v>0</v>
      </c>
      <c r="R599" s="127">
        <f t="shared" si="69"/>
        <v>0</v>
      </c>
      <c r="T599" s="128">
        <f t="shared" si="72"/>
        <v>0</v>
      </c>
      <c r="U599" s="129" t="str">
        <f>IFERROR(VLOOKUP($S599,References!$B$3:$C$7,2,FALSE),"")</f>
        <v/>
      </c>
      <c r="V599" s="129" t="str">
        <f t="shared" si="73"/>
        <v/>
      </c>
      <c r="W599" s="74" t="str">
        <f>IFERROR(VLOOKUP($O599,'Customer List'!$A$1:$J$488,10,FALSE),"")</f>
        <v/>
      </c>
    </row>
    <row r="600" spans="1:23">
      <c r="A600" s="125" t="str">
        <f t="shared" si="70"/>
        <v/>
      </c>
      <c r="O600" s="234"/>
      <c r="P600" s="126">
        <f t="shared" si="71"/>
        <v>0</v>
      </c>
      <c r="R600" s="127">
        <f t="shared" si="69"/>
        <v>0</v>
      </c>
      <c r="T600" s="128">
        <f t="shared" si="72"/>
        <v>0</v>
      </c>
      <c r="U600" s="129" t="str">
        <f>IFERROR(VLOOKUP($S600,References!$B$3:$C$7,2,FALSE),"")</f>
        <v/>
      </c>
      <c r="V600" s="129" t="str">
        <f t="shared" si="73"/>
        <v/>
      </c>
      <c r="W600" s="74" t="str">
        <f>IFERROR(VLOOKUP($O600,'Customer List'!$A$1:$J$488,10,FALSE),"")</f>
        <v/>
      </c>
    </row>
    <row r="601" spans="1:23">
      <c r="A601" s="125" t="str">
        <f t="shared" si="70"/>
        <v/>
      </c>
      <c r="O601" s="234"/>
      <c r="P601" s="126">
        <f t="shared" si="71"/>
        <v>0</v>
      </c>
      <c r="R601" s="127">
        <f t="shared" si="69"/>
        <v>0</v>
      </c>
      <c r="T601" s="128">
        <f t="shared" si="72"/>
        <v>0</v>
      </c>
      <c r="U601" s="129" t="str">
        <f>IFERROR(VLOOKUP($S601,References!$B$3:$C$7,2,FALSE),"")</f>
        <v/>
      </c>
      <c r="V601" s="129" t="str">
        <f t="shared" si="73"/>
        <v/>
      </c>
      <c r="W601" s="74" t="str">
        <f>IFERROR(VLOOKUP($O601,'Customer List'!$A$1:$J$488,10,FALSE),"")</f>
        <v/>
      </c>
    </row>
    <row r="602" spans="1:23">
      <c r="A602" s="125" t="str">
        <f t="shared" si="70"/>
        <v/>
      </c>
      <c r="O602" s="234"/>
      <c r="P602" s="126">
        <f t="shared" si="71"/>
        <v>0</v>
      </c>
      <c r="R602" s="127">
        <f t="shared" si="69"/>
        <v>0</v>
      </c>
      <c r="T602" s="128">
        <f t="shared" si="72"/>
        <v>0</v>
      </c>
      <c r="U602" s="129" t="str">
        <f>IFERROR(VLOOKUP($S602,References!$B$3:$C$7,2,FALSE),"")</f>
        <v/>
      </c>
      <c r="V602" s="129" t="str">
        <f t="shared" si="73"/>
        <v/>
      </c>
      <c r="W602" s="74" t="str">
        <f>IFERROR(VLOOKUP($O602,'Customer List'!$A$1:$J$488,10,FALSE),"")</f>
        <v/>
      </c>
    </row>
    <row r="603" spans="1:23">
      <c r="A603" s="125" t="str">
        <f t="shared" si="70"/>
        <v/>
      </c>
      <c r="O603" s="234"/>
      <c r="P603" s="126">
        <f t="shared" si="71"/>
        <v>0</v>
      </c>
      <c r="R603" s="127">
        <f t="shared" si="69"/>
        <v>0</v>
      </c>
      <c r="T603" s="128">
        <f t="shared" si="72"/>
        <v>0</v>
      </c>
      <c r="U603" s="129" t="str">
        <f>IFERROR(VLOOKUP($S603,References!$B$3:$C$7,2,FALSE),"")</f>
        <v/>
      </c>
      <c r="V603" s="129" t="str">
        <f t="shared" si="73"/>
        <v/>
      </c>
      <c r="W603" s="74" t="str">
        <f>IFERROR(VLOOKUP($O603,'Customer List'!$A$1:$J$488,10,FALSE),"")</f>
        <v/>
      </c>
    </row>
    <row r="604" spans="1:23">
      <c r="A604" s="125" t="str">
        <f t="shared" si="70"/>
        <v/>
      </c>
      <c r="O604" s="234"/>
      <c r="P604" s="126">
        <f t="shared" si="71"/>
        <v>0</v>
      </c>
      <c r="R604" s="127">
        <f t="shared" si="69"/>
        <v>0</v>
      </c>
      <c r="T604" s="128">
        <f t="shared" si="72"/>
        <v>0</v>
      </c>
      <c r="U604" s="129" t="str">
        <f>IFERROR(VLOOKUP($S604,References!$B$3:$C$7,2,FALSE),"")</f>
        <v/>
      </c>
      <c r="V604" s="129" t="str">
        <f t="shared" si="73"/>
        <v/>
      </c>
      <c r="W604" s="74" t="str">
        <f>IFERROR(VLOOKUP($O604,'Customer List'!$A$1:$J$488,10,FALSE),"")</f>
        <v/>
      </c>
    </row>
    <row r="605" spans="1:23">
      <c r="A605" s="125" t="str">
        <f t="shared" si="70"/>
        <v/>
      </c>
      <c r="O605" s="234"/>
      <c r="P605" s="126">
        <f t="shared" si="71"/>
        <v>0</v>
      </c>
      <c r="R605" s="127">
        <f t="shared" si="69"/>
        <v>0</v>
      </c>
      <c r="T605" s="128">
        <f t="shared" si="72"/>
        <v>0</v>
      </c>
      <c r="U605" s="129" t="str">
        <f>IFERROR(VLOOKUP($S605,References!$B$3:$C$7,2,FALSE),"")</f>
        <v/>
      </c>
      <c r="V605" s="129" t="str">
        <f t="shared" si="73"/>
        <v/>
      </c>
      <c r="W605" s="74" t="str">
        <f>IFERROR(VLOOKUP($O605,'Customer List'!$A$1:$J$488,10,FALSE),"")</f>
        <v/>
      </c>
    </row>
    <row r="606" spans="1:23">
      <c r="A606" s="125" t="str">
        <f t="shared" si="70"/>
        <v/>
      </c>
      <c r="O606" s="234"/>
      <c r="P606" s="126">
        <f t="shared" si="71"/>
        <v>0</v>
      </c>
      <c r="R606" s="127">
        <f t="shared" si="69"/>
        <v>0</v>
      </c>
      <c r="T606" s="128">
        <f t="shared" si="72"/>
        <v>0</v>
      </c>
      <c r="U606" s="129" t="str">
        <f>IFERROR(VLOOKUP($S606,References!$B$3:$C$7,2,FALSE),"")</f>
        <v/>
      </c>
      <c r="V606" s="129" t="str">
        <f t="shared" si="73"/>
        <v/>
      </c>
      <c r="W606" s="74" t="str">
        <f>IFERROR(VLOOKUP($O606,'Customer List'!$A$1:$J$488,10,FALSE),"")</f>
        <v/>
      </c>
    </row>
    <row r="607" spans="1:23">
      <c r="A607" s="125" t="str">
        <f t="shared" si="70"/>
        <v/>
      </c>
      <c r="O607" s="234"/>
      <c r="P607" s="126">
        <f t="shared" si="71"/>
        <v>0</v>
      </c>
      <c r="R607" s="127">
        <f t="shared" si="69"/>
        <v>0</v>
      </c>
      <c r="T607" s="128">
        <f t="shared" si="72"/>
        <v>0</v>
      </c>
      <c r="U607" s="129" t="str">
        <f>IFERROR(VLOOKUP($S607,References!$B$3:$C$7,2,FALSE),"")</f>
        <v/>
      </c>
      <c r="V607" s="129" t="str">
        <f t="shared" si="73"/>
        <v/>
      </c>
      <c r="W607" s="74" t="str">
        <f>IFERROR(VLOOKUP($O607,'Customer List'!$A$1:$J$488,10,FALSE),"")</f>
        <v/>
      </c>
    </row>
    <row r="608" spans="1:23">
      <c r="A608" s="125" t="str">
        <f t="shared" si="70"/>
        <v/>
      </c>
      <c r="O608" s="234"/>
      <c r="P608" s="126">
        <f t="shared" si="71"/>
        <v>0</v>
      </c>
      <c r="R608" s="127">
        <f t="shared" si="69"/>
        <v>0</v>
      </c>
      <c r="T608" s="128">
        <f t="shared" si="72"/>
        <v>0</v>
      </c>
      <c r="U608" s="129" t="str">
        <f>IFERROR(VLOOKUP($S608,References!$B$3:$C$7,2,FALSE),"")</f>
        <v/>
      </c>
      <c r="V608" s="129" t="str">
        <f t="shared" si="73"/>
        <v/>
      </c>
      <c r="W608" s="74" t="str">
        <f>IFERROR(VLOOKUP($O608,'Customer List'!$A$1:$J$488,10,FALSE),"")</f>
        <v/>
      </c>
    </row>
    <row r="609" spans="1:23">
      <c r="A609" s="125" t="str">
        <f t="shared" si="70"/>
        <v/>
      </c>
      <c r="O609" s="234"/>
      <c r="P609" s="126">
        <f t="shared" si="71"/>
        <v>0</v>
      </c>
      <c r="R609" s="127">
        <f t="shared" si="69"/>
        <v>0</v>
      </c>
      <c r="T609" s="128">
        <f t="shared" si="72"/>
        <v>0</v>
      </c>
      <c r="U609" s="129" t="str">
        <f>IFERROR(VLOOKUP($S609,References!$B$3:$C$7,2,FALSE),"")</f>
        <v/>
      </c>
      <c r="V609" s="129" t="str">
        <f t="shared" si="73"/>
        <v/>
      </c>
      <c r="W609" s="74" t="str">
        <f>IFERROR(VLOOKUP($O609,'Customer List'!$A$1:$J$488,10,FALSE),"")</f>
        <v/>
      </c>
    </row>
    <row r="610" spans="1:23">
      <c r="A610" s="125" t="str">
        <f t="shared" si="70"/>
        <v/>
      </c>
      <c r="O610" s="234"/>
      <c r="P610" s="126">
        <f t="shared" si="71"/>
        <v>0</v>
      </c>
      <c r="R610" s="127">
        <f t="shared" si="69"/>
        <v>0</v>
      </c>
      <c r="T610" s="128">
        <f t="shared" si="72"/>
        <v>0</v>
      </c>
      <c r="U610" s="129" t="str">
        <f>IFERROR(VLOOKUP($S610,References!$B$3:$C$7,2,FALSE),"")</f>
        <v/>
      </c>
      <c r="V610" s="129" t="str">
        <f t="shared" si="73"/>
        <v/>
      </c>
      <c r="W610" s="74" t="str">
        <f>IFERROR(VLOOKUP($O610,'Customer List'!$A$1:$J$488,10,FALSE),"")</f>
        <v/>
      </c>
    </row>
    <row r="611" spans="1:23">
      <c r="A611" s="125" t="str">
        <f t="shared" si="70"/>
        <v/>
      </c>
      <c r="O611" s="234"/>
      <c r="P611" s="126">
        <f t="shared" si="71"/>
        <v>0</v>
      </c>
      <c r="R611" s="127">
        <f t="shared" si="69"/>
        <v>0</v>
      </c>
      <c r="T611" s="128">
        <f t="shared" si="72"/>
        <v>0</v>
      </c>
      <c r="U611" s="129" t="str">
        <f>IFERROR(VLOOKUP($S611,References!$B$3:$C$7,2,FALSE),"")</f>
        <v/>
      </c>
      <c r="V611" s="129" t="str">
        <f t="shared" si="73"/>
        <v/>
      </c>
      <c r="W611" s="74" t="str">
        <f>IFERROR(VLOOKUP($O611,'Customer List'!$A$1:$J$488,10,FALSE),"")</f>
        <v/>
      </c>
    </row>
    <row r="612" spans="1:23">
      <c r="A612" s="125" t="str">
        <f t="shared" si="70"/>
        <v/>
      </c>
      <c r="O612" s="234"/>
      <c r="P612" s="126">
        <f t="shared" si="71"/>
        <v>0</v>
      </c>
      <c r="R612" s="127">
        <f t="shared" si="69"/>
        <v>0</v>
      </c>
      <c r="T612" s="128">
        <f t="shared" si="72"/>
        <v>0</v>
      </c>
      <c r="U612" s="129" t="str">
        <f>IFERROR(VLOOKUP($S612,References!$B$3:$C$7,2,FALSE),"")</f>
        <v/>
      </c>
      <c r="V612" s="129" t="str">
        <f t="shared" si="73"/>
        <v/>
      </c>
      <c r="W612" s="74" t="str">
        <f>IFERROR(VLOOKUP($O612,'Customer List'!$A$1:$J$488,10,FALSE),"")</f>
        <v/>
      </c>
    </row>
    <row r="613" spans="1:23">
      <c r="A613" s="125" t="str">
        <f t="shared" si="70"/>
        <v/>
      </c>
      <c r="O613" s="234"/>
      <c r="P613" s="126">
        <f t="shared" si="71"/>
        <v>0</v>
      </c>
      <c r="R613" s="127">
        <f t="shared" si="69"/>
        <v>0</v>
      </c>
      <c r="T613" s="128">
        <f t="shared" si="72"/>
        <v>0</v>
      </c>
      <c r="U613" s="129" t="str">
        <f>IFERROR(VLOOKUP($S613,References!$B$3:$C$7,2,FALSE),"")</f>
        <v/>
      </c>
      <c r="V613" s="129" t="str">
        <f t="shared" si="73"/>
        <v/>
      </c>
      <c r="W613" s="74" t="str">
        <f>IFERROR(VLOOKUP($O613,'Customer List'!$A$1:$J$488,10,FALSE),"")</f>
        <v/>
      </c>
    </row>
    <row r="614" spans="1:23">
      <c r="A614" s="125" t="str">
        <f t="shared" si="70"/>
        <v/>
      </c>
      <c r="O614" s="234"/>
      <c r="P614" s="126">
        <f t="shared" si="71"/>
        <v>0</v>
      </c>
      <c r="R614" s="127">
        <f t="shared" si="69"/>
        <v>0</v>
      </c>
      <c r="T614" s="128">
        <f t="shared" si="72"/>
        <v>0</v>
      </c>
      <c r="U614" s="129" t="str">
        <f>IFERROR(VLOOKUP($S614,References!$B$3:$C$7,2,FALSE),"")</f>
        <v/>
      </c>
      <c r="V614" s="129" t="str">
        <f t="shared" si="73"/>
        <v/>
      </c>
      <c r="W614" s="74" t="str">
        <f>IFERROR(VLOOKUP($O614,'Customer List'!$A$1:$J$488,10,FALSE),"")</f>
        <v/>
      </c>
    </row>
    <row r="615" spans="1:23">
      <c r="A615" s="125" t="str">
        <f t="shared" si="70"/>
        <v/>
      </c>
      <c r="O615" s="234"/>
      <c r="P615" s="126">
        <f t="shared" si="71"/>
        <v>0</v>
      </c>
      <c r="R615" s="127">
        <f t="shared" ref="R615:R646" si="74">L615-K615</f>
        <v>0</v>
      </c>
      <c r="T615" s="128">
        <f t="shared" si="72"/>
        <v>0</v>
      </c>
      <c r="U615" s="129" t="str">
        <f>IFERROR(VLOOKUP($S615,References!$B$3:$C$7,2,FALSE),"")</f>
        <v/>
      </c>
      <c r="V615" s="129" t="str">
        <f t="shared" si="73"/>
        <v/>
      </c>
      <c r="W615" s="74" t="str">
        <f>IFERROR(VLOOKUP($O615,'Customer List'!$A$1:$J$488,10,FALSE),"")</f>
        <v/>
      </c>
    </row>
    <row r="616" spans="1:23">
      <c r="A616" s="125" t="str">
        <f t="shared" si="70"/>
        <v/>
      </c>
      <c r="O616" s="234"/>
      <c r="P616" s="126">
        <f t="shared" si="71"/>
        <v>0</v>
      </c>
      <c r="R616" s="127">
        <f t="shared" si="74"/>
        <v>0</v>
      </c>
      <c r="T616" s="128">
        <f t="shared" si="72"/>
        <v>0</v>
      </c>
      <c r="U616" s="129" t="str">
        <f>IFERROR(VLOOKUP($S616,References!$B$3:$C$7,2,FALSE),"")</f>
        <v/>
      </c>
      <c r="V616" s="129" t="str">
        <f t="shared" si="73"/>
        <v/>
      </c>
      <c r="W616" s="74" t="str">
        <f>IFERROR(VLOOKUP($O616,'Customer List'!$A$1:$J$488,10,FALSE),"")</f>
        <v/>
      </c>
    </row>
    <row r="617" spans="1:23">
      <c r="A617" s="125" t="str">
        <f t="shared" si="70"/>
        <v/>
      </c>
      <c r="O617" s="234"/>
      <c r="P617" s="126">
        <f t="shared" si="71"/>
        <v>0</v>
      </c>
      <c r="R617" s="127">
        <f t="shared" si="74"/>
        <v>0</v>
      </c>
      <c r="T617" s="128">
        <f t="shared" si="72"/>
        <v>0</v>
      </c>
      <c r="U617" s="129" t="str">
        <f>IFERROR(VLOOKUP($S617,References!$B$3:$C$7,2,FALSE),"")</f>
        <v/>
      </c>
      <c r="V617" s="129" t="str">
        <f t="shared" si="73"/>
        <v/>
      </c>
      <c r="W617" s="74" t="str">
        <f>IFERROR(VLOOKUP($O617,'Customer List'!$A$1:$J$488,10,FALSE),"")</f>
        <v/>
      </c>
    </row>
    <row r="618" spans="1:23">
      <c r="A618" s="125" t="str">
        <f t="shared" si="70"/>
        <v/>
      </c>
      <c r="O618" s="234"/>
      <c r="P618" s="126">
        <f t="shared" si="71"/>
        <v>0</v>
      </c>
      <c r="R618" s="127">
        <f t="shared" si="74"/>
        <v>0</v>
      </c>
      <c r="T618" s="128">
        <f t="shared" si="72"/>
        <v>0</v>
      </c>
      <c r="U618" s="129" t="str">
        <f>IFERROR(VLOOKUP($S618,References!$B$3:$C$7,2,FALSE),"")</f>
        <v/>
      </c>
      <c r="V618" s="129" t="str">
        <f t="shared" si="73"/>
        <v/>
      </c>
      <c r="W618" s="74" t="str">
        <f>IFERROR(VLOOKUP($O618,'Customer List'!$A$1:$J$488,10,FALSE),"")</f>
        <v/>
      </c>
    </row>
    <row r="619" spans="1:23">
      <c r="A619" s="125" t="str">
        <f t="shared" si="70"/>
        <v/>
      </c>
      <c r="O619" s="234"/>
      <c r="P619" s="126">
        <f t="shared" si="71"/>
        <v>0</v>
      </c>
      <c r="R619" s="127">
        <f t="shared" si="74"/>
        <v>0</v>
      </c>
      <c r="T619" s="128">
        <f t="shared" si="72"/>
        <v>0</v>
      </c>
      <c r="U619" s="129" t="str">
        <f>IFERROR(VLOOKUP($S619,References!$B$3:$C$7,2,FALSE),"")</f>
        <v/>
      </c>
      <c r="V619" s="129" t="str">
        <f t="shared" si="73"/>
        <v/>
      </c>
      <c r="W619" s="74" t="str">
        <f>IFERROR(VLOOKUP($O619,'Customer List'!$A$1:$J$488,10,FALSE),"")</f>
        <v/>
      </c>
    </row>
    <row r="620" spans="1:23">
      <c r="A620" s="125" t="str">
        <f t="shared" si="70"/>
        <v/>
      </c>
      <c r="O620" s="234"/>
      <c r="P620" s="126">
        <f t="shared" si="71"/>
        <v>0</v>
      </c>
      <c r="R620" s="127">
        <f t="shared" si="74"/>
        <v>0</v>
      </c>
      <c r="T620" s="128">
        <f t="shared" si="72"/>
        <v>0</v>
      </c>
      <c r="U620" s="129" t="str">
        <f>IFERROR(VLOOKUP($S620,References!$B$3:$C$7,2,FALSE),"")</f>
        <v/>
      </c>
      <c r="V620" s="129" t="str">
        <f t="shared" si="73"/>
        <v/>
      </c>
      <c r="W620" s="74" t="str">
        <f>IFERROR(VLOOKUP($O620,'Customer List'!$A$1:$J$488,10,FALSE),"")</f>
        <v/>
      </c>
    </row>
    <row r="621" spans="1:23">
      <c r="A621" s="125" t="str">
        <f t="shared" si="70"/>
        <v/>
      </c>
      <c r="O621" s="234"/>
      <c r="P621" s="126">
        <f t="shared" si="71"/>
        <v>0</v>
      </c>
      <c r="R621" s="127">
        <f t="shared" si="74"/>
        <v>0</v>
      </c>
      <c r="T621" s="128">
        <f t="shared" si="72"/>
        <v>0</v>
      </c>
      <c r="U621" s="129" t="str">
        <f>IFERROR(VLOOKUP($S621,References!$B$3:$C$7,2,FALSE),"")</f>
        <v/>
      </c>
      <c r="V621" s="129" t="str">
        <f t="shared" si="73"/>
        <v/>
      </c>
      <c r="W621" s="74" t="str">
        <f>IFERROR(VLOOKUP($O621,'Customer List'!$A$1:$J$488,10,FALSE),"")</f>
        <v/>
      </c>
    </row>
    <row r="622" spans="1:23">
      <c r="A622" s="125" t="str">
        <f t="shared" si="70"/>
        <v/>
      </c>
      <c r="O622" s="234"/>
      <c r="P622" s="126">
        <f t="shared" si="71"/>
        <v>0</v>
      </c>
      <c r="R622" s="127">
        <f t="shared" si="74"/>
        <v>0</v>
      </c>
      <c r="T622" s="128">
        <f t="shared" si="72"/>
        <v>0</v>
      </c>
      <c r="U622" s="129" t="str">
        <f>IFERROR(VLOOKUP($S622,References!$B$3:$C$7,2,FALSE),"")</f>
        <v/>
      </c>
      <c r="V622" s="129" t="str">
        <f t="shared" si="73"/>
        <v/>
      </c>
      <c r="W622" s="74" t="str">
        <f>IFERROR(VLOOKUP($O622,'Customer List'!$A$1:$J$488,10,FALSE),"")</f>
        <v/>
      </c>
    </row>
    <row r="623" spans="1:23">
      <c r="A623" s="125" t="str">
        <f t="shared" si="70"/>
        <v/>
      </c>
      <c r="O623" s="234"/>
      <c r="P623" s="126">
        <f t="shared" si="71"/>
        <v>0</v>
      </c>
      <c r="R623" s="127">
        <f t="shared" si="74"/>
        <v>0</v>
      </c>
      <c r="T623" s="128">
        <f t="shared" si="72"/>
        <v>0</v>
      </c>
      <c r="U623" s="129" t="str">
        <f>IFERROR(VLOOKUP($S623,References!$B$3:$C$7,2,FALSE),"")</f>
        <v/>
      </c>
      <c r="V623" s="129" t="str">
        <f t="shared" si="73"/>
        <v/>
      </c>
      <c r="W623" s="74" t="str">
        <f>IFERROR(VLOOKUP($O623,'Customer List'!$A$1:$J$488,10,FALSE),"")</f>
        <v/>
      </c>
    </row>
    <row r="624" spans="1:23">
      <c r="A624" s="125" t="str">
        <f t="shared" si="70"/>
        <v/>
      </c>
      <c r="O624" s="234"/>
      <c r="P624" s="126">
        <f t="shared" si="71"/>
        <v>0</v>
      </c>
      <c r="R624" s="127">
        <f t="shared" si="74"/>
        <v>0</v>
      </c>
      <c r="T624" s="128">
        <f t="shared" si="72"/>
        <v>0</v>
      </c>
      <c r="U624" s="129" t="str">
        <f>IFERROR(VLOOKUP($S624,References!$B$3:$C$7,2,FALSE),"")</f>
        <v/>
      </c>
      <c r="V624" s="129" t="str">
        <f t="shared" si="73"/>
        <v/>
      </c>
      <c r="W624" s="74" t="str">
        <f>IFERROR(VLOOKUP($O624,'Customer List'!$A$1:$J$488,10,FALSE),"")</f>
        <v/>
      </c>
    </row>
    <row r="625" spans="1:23">
      <c r="A625" s="125" t="str">
        <f t="shared" si="70"/>
        <v/>
      </c>
      <c r="O625" s="234"/>
      <c r="P625" s="126">
        <f t="shared" si="71"/>
        <v>0</v>
      </c>
      <c r="R625" s="127">
        <f t="shared" si="74"/>
        <v>0</v>
      </c>
      <c r="T625" s="128">
        <f t="shared" si="72"/>
        <v>0</v>
      </c>
      <c r="U625" s="129" t="str">
        <f>IFERROR(VLOOKUP($S625,References!$B$3:$C$7,2,FALSE),"")</f>
        <v/>
      </c>
      <c r="V625" s="129" t="str">
        <f t="shared" si="73"/>
        <v/>
      </c>
      <c r="W625" s="74" t="str">
        <f>IFERROR(VLOOKUP($O625,'Customer List'!$A$1:$J$488,10,FALSE),"")</f>
        <v/>
      </c>
    </row>
    <row r="626" spans="1:23">
      <c r="A626" s="125" t="str">
        <f t="shared" si="70"/>
        <v/>
      </c>
      <c r="O626" s="234"/>
      <c r="P626" s="126">
        <f t="shared" si="71"/>
        <v>0</v>
      </c>
      <c r="R626" s="127">
        <f t="shared" si="74"/>
        <v>0</v>
      </c>
      <c r="T626" s="128">
        <f t="shared" si="72"/>
        <v>0</v>
      </c>
      <c r="U626" s="129" t="str">
        <f>IFERROR(VLOOKUP($S626,References!$B$3:$C$7,2,FALSE),"")</f>
        <v/>
      </c>
      <c r="V626" s="129" t="str">
        <f t="shared" si="73"/>
        <v/>
      </c>
      <c r="W626" s="74" t="str">
        <f>IFERROR(VLOOKUP($O626,'Customer List'!$A$1:$J$488,10,FALSE),"")</f>
        <v/>
      </c>
    </row>
    <row r="627" spans="1:23">
      <c r="A627" s="125" t="str">
        <f t="shared" si="70"/>
        <v/>
      </c>
      <c r="O627" s="234"/>
      <c r="P627" s="126">
        <f t="shared" si="71"/>
        <v>0</v>
      </c>
      <c r="R627" s="127">
        <f t="shared" si="74"/>
        <v>0</v>
      </c>
      <c r="T627" s="128">
        <f t="shared" si="72"/>
        <v>0</v>
      </c>
      <c r="U627" s="129" t="str">
        <f>IFERROR(VLOOKUP($S627,References!$B$3:$C$7,2,FALSE),"")</f>
        <v/>
      </c>
      <c r="V627" s="129" t="str">
        <f t="shared" si="73"/>
        <v/>
      </c>
      <c r="W627" s="74" t="str">
        <f>IFERROR(VLOOKUP($O627,'Customer List'!$A$1:$J$488,10,FALSE),"")</f>
        <v/>
      </c>
    </row>
    <row r="628" spans="1:23">
      <c r="A628" s="125" t="str">
        <f t="shared" si="70"/>
        <v/>
      </c>
      <c r="O628" s="234"/>
      <c r="P628" s="126">
        <f t="shared" si="71"/>
        <v>0</v>
      </c>
      <c r="R628" s="127">
        <f t="shared" si="74"/>
        <v>0</v>
      </c>
      <c r="T628" s="128">
        <f t="shared" si="72"/>
        <v>0</v>
      </c>
      <c r="U628" s="129" t="str">
        <f>IFERROR(VLOOKUP($S628,References!$B$3:$C$7,2,FALSE),"")</f>
        <v/>
      </c>
      <c r="V628" s="129" t="str">
        <f t="shared" si="73"/>
        <v/>
      </c>
      <c r="W628" s="74" t="str">
        <f>IFERROR(VLOOKUP($O628,'Customer List'!$A$1:$J$488,10,FALSE),"")</f>
        <v/>
      </c>
    </row>
    <row r="629" spans="1:23">
      <c r="A629" s="125" t="str">
        <f t="shared" si="70"/>
        <v/>
      </c>
      <c r="O629" s="234"/>
      <c r="P629" s="126">
        <f t="shared" si="71"/>
        <v>0</v>
      </c>
      <c r="R629" s="127">
        <f t="shared" si="74"/>
        <v>0</v>
      </c>
      <c r="T629" s="128">
        <f t="shared" si="72"/>
        <v>0</v>
      </c>
      <c r="U629" s="129" t="str">
        <f>IFERROR(VLOOKUP($S629,References!$B$3:$C$7,2,FALSE),"")</f>
        <v/>
      </c>
      <c r="V629" s="129" t="str">
        <f t="shared" si="73"/>
        <v/>
      </c>
      <c r="W629" s="74" t="str">
        <f>IFERROR(VLOOKUP($O629,'Customer List'!$A$1:$J$488,10,FALSE),"")</f>
        <v/>
      </c>
    </row>
    <row r="630" spans="1:23">
      <c r="A630" s="125" t="str">
        <f t="shared" si="70"/>
        <v/>
      </c>
      <c r="O630" s="234"/>
      <c r="P630" s="126">
        <f t="shared" si="71"/>
        <v>0</v>
      </c>
      <c r="R630" s="127">
        <f t="shared" si="74"/>
        <v>0</v>
      </c>
      <c r="T630" s="128">
        <f t="shared" si="72"/>
        <v>0</v>
      </c>
      <c r="U630" s="129" t="str">
        <f>IFERROR(VLOOKUP($S630,References!$B$3:$C$7,2,FALSE),"")</f>
        <v/>
      </c>
      <c r="V630" s="129" t="str">
        <f t="shared" si="73"/>
        <v/>
      </c>
      <c r="W630" s="74" t="str">
        <f>IFERROR(VLOOKUP($O630,'Customer List'!$A$1:$J$488,10,FALSE),"")</f>
        <v/>
      </c>
    </row>
    <row r="631" spans="1:23">
      <c r="A631" s="125" t="str">
        <f t="shared" si="70"/>
        <v/>
      </c>
      <c r="O631" s="234"/>
      <c r="P631" s="126">
        <f t="shared" si="71"/>
        <v>0</v>
      </c>
      <c r="R631" s="127">
        <f t="shared" si="74"/>
        <v>0</v>
      </c>
      <c r="T631" s="128">
        <f t="shared" si="72"/>
        <v>0</v>
      </c>
      <c r="U631" s="129" t="str">
        <f>IFERROR(VLOOKUP($S631,References!$B$3:$C$7,2,FALSE),"")</f>
        <v/>
      </c>
      <c r="V631" s="129" t="str">
        <f t="shared" si="73"/>
        <v/>
      </c>
      <c r="W631" s="74" t="str">
        <f>IFERROR(VLOOKUP($O631,'Customer List'!$A$1:$J$488,10,FALSE),"")</f>
        <v/>
      </c>
    </row>
    <row r="632" spans="1:23">
      <c r="A632" s="125" t="str">
        <f t="shared" si="70"/>
        <v/>
      </c>
      <c r="O632" s="234"/>
      <c r="P632" s="126">
        <f t="shared" si="71"/>
        <v>0</v>
      </c>
      <c r="R632" s="127">
        <f t="shared" si="74"/>
        <v>0</v>
      </c>
      <c r="T632" s="128">
        <f t="shared" si="72"/>
        <v>0</v>
      </c>
      <c r="U632" s="129" t="str">
        <f>IFERROR(VLOOKUP($S632,References!$B$3:$C$7,2,FALSE),"")</f>
        <v/>
      </c>
      <c r="V632" s="129" t="str">
        <f t="shared" si="73"/>
        <v/>
      </c>
      <c r="W632" s="74" t="str">
        <f>IFERROR(VLOOKUP($O632,'Customer List'!$A$1:$J$488,10,FALSE),"")</f>
        <v/>
      </c>
    </row>
    <row r="633" spans="1:23">
      <c r="A633" s="125" t="str">
        <f t="shared" si="70"/>
        <v/>
      </c>
      <c r="O633" s="234"/>
      <c r="P633" s="126">
        <f t="shared" si="71"/>
        <v>0</v>
      </c>
      <c r="R633" s="127">
        <f t="shared" si="74"/>
        <v>0</v>
      </c>
      <c r="T633" s="128">
        <f t="shared" si="72"/>
        <v>0</v>
      </c>
      <c r="U633" s="129" t="str">
        <f>IFERROR(VLOOKUP($S633,References!$B$3:$C$7,2,FALSE),"")</f>
        <v/>
      </c>
      <c r="V633" s="129" t="str">
        <f t="shared" si="73"/>
        <v/>
      </c>
      <c r="W633" s="74" t="str">
        <f>IFERROR(VLOOKUP($O633,'Customer List'!$A$1:$J$488,10,FALSE),"")</f>
        <v/>
      </c>
    </row>
    <row r="634" spans="1:23">
      <c r="A634" s="125" t="str">
        <f t="shared" si="70"/>
        <v/>
      </c>
      <c r="O634" s="234"/>
      <c r="P634" s="126">
        <f t="shared" si="71"/>
        <v>0</v>
      </c>
      <c r="R634" s="127">
        <f t="shared" si="74"/>
        <v>0</v>
      </c>
      <c r="T634" s="128">
        <f t="shared" si="72"/>
        <v>0</v>
      </c>
      <c r="U634" s="129" t="str">
        <f>IFERROR(VLOOKUP($S634,References!$B$3:$C$7,2,FALSE),"")</f>
        <v/>
      </c>
      <c r="V634" s="129" t="str">
        <f t="shared" si="73"/>
        <v/>
      </c>
      <c r="W634" s="74" t="str">
        <f>IFERROR(VLOOKUP($O634,'Customer List'!$A$1:$J$488,10,FALSE),"")</f>
        <v/>
      </c>
    </row>
    <row r="635" spans="1:23">
      <c r="A635" s="125" t="str">
        <f t="shared" si="70"/>
        <v/>
      </c>
      <c r="O635" s="234"/>
      <c r="P635" s="126">
        <f t="shared" si="71"/>
        <v>0</v>
      </c>
      <c r="R635" s="127">
        <f t="shared" si="74"/>
        <v>0</v>
      </c>
      <c r="T635" s="128">
        <f t="shared" si="72"/>
        <v>0</v>
      </c>
      <c r="U635" s="129" t="str">
        <f>IFERROR(VLOOKUP($S635,References!$B$3:$C$7,2,FALSE),"")</f>
        <v/>
      </c>
      <c r="V635" s="129" t="str">
        <f t="shared" si="73"/>
        <v/>
      </c>
      <c r="W635" s="74" t="str">
        <f>IFERROR(VLOOKUP($O635,'Customer List'!$A$1:$J$488,10,FALSE),"")</f>
        <v/>
      </c>
    </row>
    <row r="636" spans="1:23">
      <c r="A636" s="125" t="str">
        <f t="shared" si="70"/>
        <v/>
      </c>
      <c r="O636" s="234"/>
      <c r="P636" s="126">
        <f t="shared" si="71"/>
        <v>0</v>
      </c>
      <c r="R636" s="127">
        <f t="shared" si="74"/>
        <v>0</v>
      </c>
      <c r="T636" s="128">
        <f t="shared" si="72"/>
        <v>0</v>
      </c>
      <c r="U636" s="129" t="str">
        <f>IFERROR(VLOOKUP($S636,References!$B$3:$C$7,2,FALSE),"")</f>
        <v/>
      </c>
      <c r="V636" s="129" t="str">
        <f t="shared" si="73"/>
        <v/>
      </c>
      <c r="W636" s="74" t="str">
        <f>IFERROR(VLOOKUP($O636,'Customer List'!$A$1:$J$488,10,FALSE),"")</f>
        <v/>
      </c>
    </row>
    <row r="637" spans="1:23">
      <c r="A637" s="125" t="str">
        <f t="shared" si="70"/>
        <v/>
      </c>
      <c r="O637" s="234"/>
      <c r="P637" s="126">
        <f t="shared" si="71"/>
        <v>0</v>
      </c>
      <c r="R637" s="127">
        <f t="shared" si="74"/>
        <v>0</v>
      </c>
      <c r="T637" s="128">
        <f t="shared" si="72"/>
        <v>0</v>
      </c>
      <c r="U637" s="129" t="str">
        <f>IFERROR(VLOOKUP($S637,References!$B$3:$C$7,2,FALSE),"")</f>
        <v/>
      </c>
      <c r="V637" s="129" t="str">
        <f t="shared" si="73"/>
        <v/>
      </c>
      <c r="W637" s="74" t="str">
        <f>IFERROR(VLOOKUP($O637,'Customer List'!$A$1:$J$488,10,FALSE),"")</f>
        <v/>
      </c>
    </row>
    <row r="638" spans="1:23">
      <c r="A638" s="125" t="str">
        <f t="shared" si="70"/>
        <v/>
      </c>
      <c r="O638" s="234"/>
      <c r="P638" s="126">
        <f t="shared" si="71"/>
        <v>0</v>
      </c>
      <c r="R638" s="127">
        <f t="shared" si="74"/>
        <v>0</v>
      </c>
      <c r="T638" s="128">
        <f t="shared" si="72"/>
        <v>0</v>
      </c>
      <c r="U638" s="129" t="str">
        <f>IFERROR(VLOOKUP($S638,References!$B$3:$C$7,2,FALSE),"")</f>
        <v/>
      </c>
      <c r="V638" s="129" t="str">
        <f t="shared" si="73"/>
        <v/>
      </c>
      <c r="W638" s="74" t="str">
        <f>IFERROR(VLOOKUP($O638,'Customer List'!$A$1:$J$488,10,FALSE),"")</f>
        <v/>
      </c>
    </row>
    <row r="639" spans="1:23">
      <c r="A639" s="125" t="str">
        <f t="shared" si="70"/>
        <v/>
      </c>
      <c r="O639" s="234"/>
      <c r="P639" s="126">
        <f t="shared" si="71"/>
        <v>0</v>
      </c>
      <c r="R639" s="127">
        <f t="shared" si="74"/>
        <v>0</v>
      </c>
      <c r="T639" s="128">
        <f t="shared" si="72"/>
        <v>0</v>
      </c>
      <c r="U639" s="129" t="str">
        <f>IFERROR(VLOOKUP($S639,References!$B$3:$C$7,2,FALSE),"")</f>
        <v/>
      </c>
      <c r="V639" s="129" t="str">
        <f t="shared" si="73"/>
        <v/>
      </c>
      <c r="W639" s="74" t="str">
        <f>IFERROR(VLOOKUP($O639,'Customer List'!$A$1:$J$488,10,FALSE),"")</f>
        <v/>
      </c>
    </row>
    <row r="640" spans="1:23">
      <c r="A640" s="125" t="str">
        <f t="shared" si="70"/>
        <v/>
      </c>
      <c r="O640" s="234"/>
      <c r="P640" s="126">
        <f t="shared" si="71"/>
        <v>0</v>
      </c>
      <c r="R640" s="127">
        <f t="shared" si="74"/>
        <v>0</v>
      </c>
      <c r="T640" s="128">
        <f t="shared" si="72"/>
        <v>0</v>
      </c>
      <c r="U640" s="129" t="str">
        <f>IFERROR(VLOOKUP($S640,References!$B$3:$C$7,2,FALSE),"")</f>
        <v/>
      </c>
      <c r="V640" s="129" t="str">
        <f t="shared" si="73"/>
        <v/>
      </c>
      <c r="W640" s="74" t="str">
        <f>IFERROR(VLOOKUP($O640,'Customer List'!$A$1:$J$488,10,FALSE),"")</f>
        <v/>
      </c>
    </row>
    <row r="641" spans="1:23">
      <c r="A641" s="125" t="str">
        <f t="shared" si="70"/>
        <v/>
      </c>
      <c r="O641" s="234"/>
      <c r="P641" s="126">
        <f t="shared" si="71"/>
        <v>0</v>
      </c>
      <c r="R641" s="127">
        <f t="shared" si="74"/>
        <v>0</v>
      </c>
      <c r="T641" s="128">
        <f t="shared" si="72"/>
        <v>0</v>
      </c>
      <c r="U641" s="129" t="str">
        <f>IFERROR(VLOOKUP($S641,References!$B$3:$C$7,2,FALSE),"")</f>
        <v/>
      </c>
      <c r="V641" s="129" t="str">
        <f t="shared" si="73"/>
        <v/>
      </c>
      <c r="W641" s="74" t="str">
        <f>IFERROR(VLOOKUP($O641,'Customer List'!$A$1:$J$488,10,FALSE),"")</f>
        <v/>
      </c>
    </row>
    <row r="642" spans="1:23">
      <c r="A642" s="125" t="str">
        <f t="shared" si="70"/>
        <v/>
      </c>
      <c r="O642" s="234"/>
      <c r="P642" s="126">
        <f t="shared" si="71"/>
        <v>0</v>
      </c>
      <c r="R642" s="127">
        <f t="shared" si="74"/>
        <v>0</v>
      </c>
      <c r="T642" s="128">
        <f t="shared" si="72"/>
        <v>0</v>
      </c>
      <c r="U642" s="129" t="str">
        <f>IFERROR(VLOOKUP($S642,References!$B$3:$C$7,2,FALSE),"")</f>
        <v/>
      </c>
      <c r="V642" s="129" t="str">
        <f t="shared" si="73"/>
        <v/>
      </c>
      <c r="W642" s="74" t="str">
        <f>IFERROR(VLOOKUP($O642,'Customer List'!$A$1:$J$488,10,FALSE),"")</f>
        <v/>
      </c>
    </row>
    <row r="643" spans="1:23">
      <c r="A643" s="125" t="str">
        <f t="shared" si="70"/>
        <v/>
      </c>
      <c r="O643" s="234"/>
      <c r="P643" s="126">
        <f t="shared" si="71"/>
        <v>0</v>
      </c>
      <c r="R643" s="127">
        <f t="shared" si="74"/>
        <v>0</v>
      </c>
      <c r="T643" s="128">
        <f t="shared" si="72"/>
        <v>0</v>
      </c>
      <c r="U643" s="129" t="str">
        <f>IFERROR(VLOOKUP($S643,References!$B$3:$C$7,2,FALSE),"")</f>
        <v/>
      </c>
      <c r="V643" s="129" t="str">
        <f t="shared" si="73"/>
        <v/>
      </c>
      <c r="W643" s="74" t="str">
        <f>IFERROR(VLOOKUP($O643,'Customer List'!$A$1:$J$488,10,FALSE),"")</f>
        <v/>
      </c>
    </row>
    <row r="644" spans="1:23">
      <c r="A644" s="125" t="str">
        <f t="shared" si="70"/>
        <v/>
      </c>
      <c r="O644" s="234"/>
      <c r="P644" s="126">
        <f t="shared" si="71"/>
        <v>0</v>
      </c>
      <c r="R644" s="127">
        <f t="shared" si="74"/>
        <v>0</v>
      </c>
      <c r="T644" s="128">
        <f t="shared" si="72"/>
        <v>0</v>
      </c>
      <c r="U644" s="129" t="str">
        <f>IFERROR(VLOOKUP($S644,References!$B$3:$C$7,2,FALSE),"")</f>
        <v/>
      </c>
      <c r="V644" s="129" t="str">
        <f t="shared" si="73"/>
        <v/>
      </c>
      <c r="W644" s="74" t="str">
        <f>IFERROR(VLOOKUP($O644,'Customer List'!$A$1:$J$488,10,FALSE),"")</f>
        <v/>
      </c>
    </row>
    <row r="645" spans="1:23">
      <c r="A645" s="125" t="str">
        <f t="shared" si="70"/>
        <v/>
      </c>
      <c r="O645" s="234"/>
      <c r="P645" s="126">
        <f t="shared" si="71"/>
        <v>0</v>
      </c>
      <c r="R645" s="127">
        <f t="shared" si="74"/>
        <v>0</v>
      </c>
      <c r="T645" s="128">
        <f t="shared" si="72"/>
        <v>0</v>
      </c>
      <c r="U645" s="129" t="str">
        <f>IFERROR(VLOOKUP($S645,References!$B$3:$C$7,2,FALSE),"")</f>
        <v/>
      </c>
      <c r="V645" s="129" t="str">
        <f t="shared" si="73"/>
        <v/>
      </c>
      <c r="W645" s="74" t="str">
        <f>IFERROR(VLOOKUP($O645,'Customer List'!$A$1:$J$488,10,FALSE),"")</f>
        <v/>
      </c>
    </row>
    <row r="646" spans="1:23">
      <c r="A646" s="125" t="str">
        <f t="shared" si="70"/>
        <v/>
      </c>
      <c r="O646" s="234"/>
      <c r="P646" s="126">
        <f t="shared" si="71"/>
        <v>0</v>
      </c>
      <c r="R646" s="127">
        <f t="shared" si="74"/>
        <v>0</v>
      </c>
      <c r="T646" s="128">
        <f t="shared" si="72"/>
        <v>0</v>
      </c>
      <c r="U646" s="129" t="str">
        <f>IFERROR(VLOOKUP($S646,References!$B$3:$C$7,2,FALSE),"")</f>
        <v/>
      </c>
      <c r="V646" s="129" t="str">
        <f t="shared" si="73"/>
        <v/>
      </c>
      <c r="W646" s="74" t="str">
        <f>IFERROR(VLOOKUP($O646,'Customer List'!$A$1:$J$488,10,FALSE),"")</f>
        <v/>
      </c>
    </row>
    <row r="647" spans="1:23">
      <c r="A647" s="125" t="str">
        <f t="shared" si="70"/>
        <v/>
      </c>
      <c r="O647" s="234"/>
      <c r="P647" s="126">
        <f t="shared" si="71"/>
        <v>0</v>
      </c>
      <c r="R647" s="127">
        <f t="shared" ref="R647:R678" si="75">L647-K647</f>
        <v>0</v>
      </c>
      <c r="T647" s="128">
        <f t="shared" si="72"/>
        <v>0</v>
      </c>
      <c r="U647" s="129" t="str">
        <f>IFERROR(VLOOKUP($S647,References!$B$3:$C$7,2,FALSE),"")</f>
        <v/>
      </c>
      <c r="V647" s="129" t="str">
        <f t="shared" si="73"/>
        <v/>
      </c>
      <c r="W647" s="74" t="str">
        <f>IFERROR(VLOOKUP($O647,'Customer List'!$A$1:$J$488,10,FALSE),"")</f>
        <v/>
      </c>
    </row>
    <row r="648" spans="1:23">
      <c r="A648" s="125" t="str">
        <f t="shared" si="70"/>
        <v/>
      </c>
      <c r="O648" s="234"/>
      <c r="P648" s="126">
        <f t="shared" si="71"/>
        <v>0</v>
      </c>
      <c r="R648" s="127">
        <f t="shared" si="75"/>
        <v>0</v>
      </c>
      <c r="T648" s="128">
        <f t="shared" si="72"/>
        <v>0</v>
      </c>
      <c r="U648" s="129" t="str">
        <f>IFERROR(VLOOKUP($S648,References!$B$3:$C$7,2,FALSE),"")</f>
        <v/>
      </c>
      <c r="V648" s="129" t="str">
        <f t="shared" si="73"/>
        <v/>
      </c>
      <c r="W648" s="74" t="str">
        <f>IFERROR(VLOOKUP($O648,'Customer List'!$A$1:$J$488,10,FALSE),"")</f>
        <v/>
      </c>
    </row>
    <row r="649" spans="1:23">
      <c r="A649" s="125" t="str">
        <f t="shared" ref="A649:A712" si="76">O649&amp;S649</f>
        <v/>
      </c>
      <c r="O649" s="234"/>
      <c r="P649" s="126">
        <f t="shared" ref="P649:P712" si="77">INT(L649)</f>
        <v>0</v>
      </c>
      <c r="R649" s="127">
        <f t="shared" si="75"/>
        <v>0</v>
      </c>
      <c r="T649" s="128">
        <f t="shared" si="72"/>
        <v>0</v>
      </c>
      <c r="U649" s="129" t="str">
        <f>IFERROR(VLOOKUP($S649,References!$B$3:$C$7,2,FALSE),"")</f>
        <v/>
      </c>
      <c r="V649" s="129" t="str">
        <f t="shared" si="73"/>
        <v/>
      </c>
      <c r="W649" s="74" t="str">
        <f>IFERROR(VLOOKUP($O649,'Customer List'!$A$1:$J$488,10,FALSE),"")</f>
        <v/>
      </c>
    </row>
    <row r="650" spans="1:23">
      <c r="A650" s="125" t="str">
        <f t="shared" si="76"/>
        <v/>
      </c>
      <c r="O650" s="234"/>
      <c r="P650" s="126">
        <f t="shared" si="77"/>
        <v>0</v>
      </c>
      <c r="R650" s="127">
        <f t="shared" si="75"/>
        <v>0</v>
      </c>
      <c r="T650" s="128">
        <f t="shared" ref="T650:T713" si="78">IF(S650="50 - Cleaning Fee",1,HOUR($R650)+MINUTE(R650)/60)</f>
        <v>0</v>
      </c>
      <c r="U650" s="129" t="str">
        <f>IFERROR(VLOOKUP($S650,References!$B$3:$C$7,2,FALSE),"")</f>
        <v/>
      </c>
      <c r="V650" s="129" t="str">
        <f t="shared" ref="V650:V713" si="79">IF(T650&gt;=8,400,(IFERROR(T650*U650,"")))</f>
        <v/>
      </c>
      <c r="W650" s="74" t="str">
        <f>IFERROR(VLOOKUP($O650,'Customer List'!$A$1:$J$488,10,FALSE),"")</f>
        <v/>
      </c>
    </row>
    <row r="651" spans="1:23">
      <c r="A651" s="125" t="str">
        <f t="shared" si="76"/>
        <v/>
      </c>
      <c r="O651" s="234"/>
      <c r="P651" s="126">
        <f t="shared" si="77"/>
        <v>0</v>
      </c>
      <c r="R651" s="127">
        <f t="shared" si="75"/>
        <v>0</v>
      </c>
      <c r="T651" s="128">
        <f t="shared" si="78"/>
        <v>0</v>
      </c>
      <c r="U651" s="129" t="str">
        <f>IFERROR(VLOOKUP($S651,References!$B$3:$C$7,2,FALSE),"")</f>
        <v/>
      </c>
      <c r="V651" s="129" t="str">
        <f t="shared" si="79"/>
        <v/>
      </c>
      <c r="W651" s="74" t="str">
        <f>IFERROR(VLOOKUP($O651,'Customer List'!$A$1:$J$488,10,FALSE),"")</f>
        <v/>
      </c>
    </row>
    <row r="652" spans="1:23">
      <c r="A652" s="125" t="str">
        <f t="shared" si="76"/>
        <v/>
      </c>
      <c r="O652" s="234"/>
      <c r="P652" s="126">
        <f t="shared" si="77"/>
        <v>0</v>
      </c>
      <c r="R652" s="127">
        <f t="shared" si="75"/>
        <v>0</v>
      </c>
      <c r="T652" s="128">
        <f t="shared" si="78"/>
        <v>0</v>
      </c>
      <c r="U652" s="129" t="str">
        <f>IFERROR(VLOOKUP($S652,References!$B$3:$C$7,2,FALSE),"")</f>
        <v/>
      </c>
      <c r="V652" s="129" t="str">
        <f t="shared" si="79"/>
        <v/>
      </c>
      <c r="W652" s="74" t="str">
        <f>IFERROR(VLOOKUP($O652,'Customer List'!$A$1:$J$488,10,FALSE),"")</f>
        <v/>
      </c>
    </row>
    <row r="653" spans="1:23">
      <c r="A653" s="125" t="str">
        <f t="shared" si="76"/>
        <v/>
      </c>
      <c r="O653" s="234"/>
      <c r="P653" s="126">
        <f t="shared" si="77"/>
        <v>0</v>
      </c>
      <c r="R653" s="127">
        <f t="shared" si="75"/>
        <v>0</v>
      </c>
      <c r="T653" s="128">
        <f t="shared" si="78"/>
        <v>0</v>
      </c>
      <c r="U653" s="129" t="str">
        <f>IFERROR(VLOOKUP($S653,References!$B$3:$C$7,2,FALSE),"")</f>
        <v/>
      </c>
      <c r="V653" s="129" t="str">
        <f t="shared" si="79"/>
        <v/>
      </c>
      <c r="W653" s="74" t="str">
        <f>IFERROR(VLOOKUP($O653,'Customer List'!$A$1:$J$488,10,FALSE),"")</f>
        <v/>
      </c>
    </row>
    <row r="654" spans="1:23">
      <c r="A654" s="125" t="str">
        <f t="shared" si="76"/>
        <v/>
      </c>
      <c r="O654" s="234"/>
      <c r="P654" s="126">
        <f t="shared" si="77"/>
        <v>0</v>
      </c>
      <c r="R654" s="127">
        <f t="shared" si="75"/>
        <v>0</v>
      </c>
      <c r="T654" s="128">
        <f t="shared" si="78"/>
        <v>0</v>
      </c>
      <c r="U654" s="129" t="str">
        <f>IFERROR(VLOOKUP($S654,References!$B$3:$C$7,2,FALSE),"")</f>
        <v/>
      </c>
      <c r="V654" s="129" t="str">
        <f t="shared" si="79"/>
        <v/>
      </c>
      <c r="W654" s="74" t="str">
        <f>IFERROR(VLOOKUP($O654,'Customer List'!$A$1:$J$488,10,FALSE),"")</f>
        <v/>
      </c>
    </row>
    <row r="655" spans="1:23">
      <c r="A655" s="125" t="str">
        <f t="shared" si="76"/>
        <v/>
      </c>
      <c r="O655" s="234"/>
      <c r="P655" s="126">
        <f t="shared" si="77"/>
        <v>0</v>
      </c>
      <c r="R655" s="127">
        <f t="shared" si="75"/>
        <v>0</v>
      </c>
      <c r="T655" s="128">
        <f t="shared" si="78"/>
        <v>0</v>
      </c>
      <c r="U655" s="129" t="str">
        <f>IFERROR(VLOOKUP($S655,References!$B$3:$C$7,2,FALSE),"")</f>
        <v/>
      </c>
      <c r="V655" s="129" t="str">
        <f t="shared" si="79"/>
        <v/>
      </c>
      <c r="W655" s="74" t="str">
        <f>IFERROR(VLOOKUP($O655,'Customer List'!$A$1:$J$488,10,FALSE),"")</f>
        <v/>
      </c>
    </row>
    <row r="656" spans="1:23">
      <c r="A656" s="125" t="str">
        <f t="shared" si="76"/>
        <v/>
      </c>
      <c r="O656" s="234"/>
      <c r="P656" s="126">
        <f t="shared" si="77"/>
        <v>0</v>
      </c>
      <c r="R656" s="127">
        <f t="shared" si="75"/>
        <v>0</v>
      </c>
      <c r="T656" s="128">
        <f t="shared" si="78"/>
        <v>0</v>
      </c>
      <c r="U656" s="129" t="str">
        <f>IFERROR(VLOOKUP($S656,References!$B$3:$C$7,2,FALSE),"")</f>
        <v/>
      </c>
      <c r="V656" s="129" t="str">
        <f t="shared" si="79"/>
        <v/>
      </c>
      <c r="W656" s="74" t="str">
        <f>IFERROR(VLOOKUP($O656,'Customer List'!$A$1:$J$488,10,FALSE),"")</f>
        <v/>
      </c>
    </row>
    <row r="657" spans="1:23">
      <c r="A657" s="125" t="str">
        <f t="shared" si="76"/>
        <v/>
      </c>
      <c r="O657" s="234"/>
      <c r="P657" s="126">
        <f t="shared" si="77"/>
        <v>0</v>
      </c>
      <c r="R657" s="127">
        <f t="shared" si="75"/>
        <v>0</v>
      </c>
      <c r="T657" s="128">
        <f t="shared" si="78"/>
        <v>0</v>
      </c>
      <c r="U657" s="129" t="str">
        <f>IFERROR(VLOOKUP($S657,References!$B$3:$C$7,2,FALSE),"")</f>
        <v/>
      </c>
      <c r="V657" s="129" t="str">
        <f t="shared" si="79"/>
        <v/>
      </c>
      <c r="W657" s="74" t="str">
        <f>IFERROR(VLOOKUP($O657,'Customer List'!$A$1:$J$488,10,FALSE),"")</f>
        <v/>
      </c>
    </row>
    <row r="658" spans="1:23">
      <c r="A658" s="125" t="str">
        <f t="shared" si="76"/>
        <v/>
      </c>
      <c r="O658" s="234"/>
      <c r="P658" s="126">
        <f t="shared" si="77"/>
        <v>0</v>
      </c>
      <c r="R658" s="127">
        <f t="shared" si="75"/>
        <v>0</v>
      </c>
      <c r="T658" s="128">
        <f t="shared" si="78"/>
        <v>0</v>
      </c>
      <c r="U658" s="129" t="str">
        <f>IFERROR(VLOOKUP($S658,References!$B$3:$C$7,2,FALSE),"")</f>
        <v/>
      </c>
      <c r="V658" s="129" t="str">
        <f t="shared" si="79"/>
        <v/>
      </c>
      <c r="W658" s="74" t="str">
        <f>IFERROR(VLOOKUP($O658,'Customer List'!$A$1:$J$488,10,FALSE),"")</f>
        <v/>
      </c>
    </row>
    <row r="659" spans="1:23">
      <c r="A659" s="125" t="str">
        <f t="shared" si="76"/>
        <v/>
      </c>
      <c r="O659" s="234"/>
      <c r="P659" s="126">
        <f t="shared" si="77"/>
        <v>0</v>
      </c>
      <c r="R659" s="127">
        <f t="shared" si="75"/>
        <v>0</v>
      </c>
      <c r="T659" s="128">
        <f t="shared" si="78"/>
        <v>0</v>
      </c>
      <c r="U659" s="129" t="str">
        <f>IFERROR(VLOOKUP($S659,References!$B$3:$C$7,2,FALSE),"")</f>
        <v/>
      </c>
      <c r="V659" s="129" t="str">
        <f t="shared" si="79"/>
        <v/>
      </c>
      <c r="W659" s="74" t="str">
        <f>IFERROR(VLOOKUP($O659,'Customer List'!$A$1:$J$488,10,FALSE),"")</f>
        <v/>
      </c>
    </row>
    <row r="660" spans="1:23">
      <c r="A660" s="125" t="str">
        <f t="shared" si="76"/>
        <v/>
      </c>
      <c r="O660" s="234"/>
      <c r="P660" s="126">
        <f t="shared" si="77"/>
        <v>0</v>
      </c>
      <c r="R660" s="127">
        <f t="shared" si="75"/>
        <v>0</v>
      </c>
      <c r="T660" s="128">
        <f t="shared" si="78"/>
        <v>0</v>
      </c>
      <c r="U660" s="129" t="str">
        <f>IFERROR(VLOOKUP($S660,References!$B$3:$C$7,2,FALSE),"")</f>
        <v/>
      </c>
      <c r="V660" s="129" t="str">
        <f t="shared" si="79"/>
        <v/>
      </c>
      <c r="W660" s="74" t="str">
        <f>IFERROR(VLOOKUP($O660,'Customer List'!$A$1:$J$488,10,FALSE),"")</f>
        <v/>
      </c>
    </row>
    <row r="661" spans="1:23">
      <c r="A661" s="125" t="str">
        <f t="shared" si="76"/>
        <v/>
      </c>
      <c r="O661" s="234"/>
      <c r="P661" s="126">
        <f t="shared" si="77"/>
        <v>0</v>
      </c>
      <c r="R661" s="127">
        <f t="shared" si="75"/>
        <v>0</v>
      </c>
      <c r="T661" s="128">
        <f t="shared" si="78"/>
        <v>0</v>
      </c>
      <c r="U661" s="129" t="str">
        <f>IFERROR(VLOOKUP($S661,References!$B$3:$C$7,2,FALSE),"")</f>
        <v/>
      </c>
      <c r="V661" s="129" t="str">
        <f t="shared" si="79"/>
        <v/>
      </c>
      <c r="W661" s="74" t="str">
        <f>IFERROR(VLOOKUP($O661,'Customer List'!$A$1:$J$488,10,FALSE),"")</f>
        <v/>
      </c>
    </row>
    <row r="662" spans="1:23">
      <c r="A662" s="125" t="str">
        <f t="shared" si="76"/>
        <v/>
      </c>
      <c r="O662" s="234"/>
      <c r="P662" s="126">
        <f t="shared" si="77"/>
        <v>0</v>
      </c>
      <c r="R662" s="127">
        <f t="shared" si="75"/>
        <v>0</v>
      </c>
      <c r="T662" s="128">
        <f t="shared" si="78"/>
        <v>0</v>
      </c>
      <c r="U662" s="129" t="str">
        <f>IFERROR(VLOOKUP($S662,References!$B$3:$C$7,2,FALSE),"")</f>
        <v/>
      </c>
      <c r="V662" s="129" t="str">
        <f t="shared" si="79"/>
        <v/>
      </c>
      <c r="W662" s="74" t="str">
        <f>IFERROR(VLOOKUP($O662,'Customer List'!$A$1:$J$488,10,FALSE),"")</f>
        <v/>
      </c>
    </row>
    <row r="663" spans="1:23">
      <c r="A663" s="125" t="str">
        <f t="shared" si="76"/>
        <v/>
      </c>
      <c r="O663" s="234"/>
      <c r="P663" s="126">
        <f t="shared" si="77"/>
        <v>0</v>
      </c>
      <c r="R663" s="127">
        <f t="shared" si="75"/>
        <v>0</v>
      </c>
      <c r="T663" s="128">
        <f t="shared" si="78"/>
        <v>0</v>
      </c>
      <c r="U663" s="129" t="str">
        <f>IFERROR(VLOOKUP($S663,References!$B$3:$C$7,2,FALSE),"")</f>
        <v/>
      </c>
      <c r="V663" s="129" t="str">
        <f t="shared" si="79"/>
        <v/>
      </c>
      <c r="W663" s="74" t="str">
        <f>IFERROR(VLOOKUP($O663,'Customer List'!$A$1:$J$488,10,FALSE),"")</f>
        <v/>
      </c>
    </row>
    <row r="664" spans="1:23">
      <c r="A664" s="125" t="str">
        <f t="shared" si="76"/>
        <v/>
      </c>
      <c r="O664" s="234"/>
      <c r="P664" s="126">
        <f t="shared" si="77"/>
        <v>0</v>
      </c>
      <c r="R664" s="127">
        <f t="shared" si="75"/>
        <v>0</v>
      </c>
      <c r="T664" s="128">
        <f t="shared" si="78"/>
        <v>0</v>
      </c>
      <c r="U664" s="129" t="str">
        <f>IFERROR(VLOOKUP($S664,References!$B$3:$C$7,2,FALSE),"")</f>
        <v/>
      </c>
      <c r="V664" s="129" t="str">
        <f t="shared" si="79"/>
        <v/>
      </c>
      <c r="W664" s="74" t="str">
        <f>IFERROR(VLOOKUP($O664,'Customer List'!$A$1:$J$488,10,FALSE),"")</f>
        <v/>
      </c>
    </row>
    <row r="665" spans="1:23">
      <c r="A665" s="125" t="str">
        <f t="shared" si="76"/>
        <v/>
      </c>
      <c r="O665" s="234"/>
      <c r="P665" s="126">
        <f t="shared" si="77"/>
        <v>0</v>
      </c>
      <c r="R665" s="127">
        <f t="shared" si="75"/>
        <v>0</v>
      </c>
      <c r="T665" s="128">
        <f t="shared" si="78"/>
        <v>0</v>
      </c>
      <c r="U665" s="129" t="str">
        <f>IFERROR(VLOOKUP($S665,References!$B$3:$C$7,2,FALSE),"")</f>
        <v/>
      </c>
      <c r="V665" s="129" t="str">
        <f t="shared" si="79"/>
        <v/>
      </c>
      <c r="W665" s="74" t="str">
        <f>IFERROR(VLOOKUP($O665,'Customer List'!$A$1:$J$488,10,FALSE),"")</f>
        <v/>
      </c>
    </row>
    <row r="666" spans="1:23">
      <c r="A666" s="125" t="str">
        <f t="shared" si="76"/>
        <v/>
      </c>
      <c r="O666" s="234"/>
      <c r="P666" s="126">
        <f t="shared" si="77"/>
        <v>0</v>
      </c>
      <c r="R666" s="127">
        <f t="shared" si="75"/>
        <v>0</v>
      </c>
      <c r="T666" s="128">
        <f t="shared" si="78"/>
        <v>0</v>
      </c>
      <c r="U666" s="129" t="str">
        <f>IFERROR(VLOOKUP($S666,References!$B$3:$C$7,2,FALSE),"")</f>
        <v/>
      </c>
      <c r="V666" s="129" t="str">
        <f t="shared" si="79"/>
        <v/>
      </c>
      <c r="W666" s="74" t="str">
        <f>IFERROR(VLOOKUP($O666,'Customer List'!$A$1:$J$488,10,FALSE),"")</f>
        <v/>
      </c>
    </row>
    <row r="667" spans="1:23">
      <c r="A667" s="125" t="str">
        <f t="shared" si="76"/>
        <v/>
      </c>
      <c r="O667" s="234"/>
      <c r="P667" s="126">
        <f t="shared" si="77"/>
        <v>0</v>
      </c>
      <c r="R667" s="127">
        <f t="shared" si="75"/>
        <v>0</v>
      </c>
      <c r="T667" s="128">
        <f t="shared" si="78"/>
        <v>0</v>
      </c>
      <c r="U667" s="129" t="str">
        <f>IFERROR(VLOOKUP($S667,References!$B$3:$C$7,2,FALSE),"")</f>
        <v/>
      </c>
      <c r="V667" s="129" t="str">
        <f t="shared" si="79"/>
        <v/>
      </c>
      <c r="W667" s="74" t="str">
        <f>IFERROR(VLOOKUP($O667,'Customer List'!$A$1:$J$488,10,FALSE),"")</f>
        <v/>
      </c>
    </row>
    <row r="668" spans="1:23">
      <c r="A668" s="125" t="str">
        <f t="shared" si="76"/>
        <v/>
      </c>
      <c r="O668" s="234"/>
      <c r="P668" s="126">
        <f t="shared" si="77"/>
        <v>0</v>
      </c>
      <c r="R668" s="127">
        <f t="shared" si="75"/>
        <v>0</v>
      </c>
      <c r="T668" s="128">
        <f t="shared" si="78"/>
        <v>0</v>
      </c>
      <c r="U668" s="129" t="str">
        <f>IFERROR(VLOOKUP($S668,References!$B$3:$C$7,2,FALSE),"")</f>
        <v/>
      </c>
      <c r="V668" s="129" t="str">
        <f t="shared" si="79"/>
        <v/>
      </c>
      <c r="W668" s="74" t="str">
        <f>IFERROR(VLOOKUP($O668,'Customer List'!$A$1:$J$488,10,FALSE),"")</f>
        <v/>
      </c>
    </row>
    <row r="669" spans="1:23">
      <c r="A669" s="125" t="str">
        <f t="shared" si="76"/>
        <v/>
      </c>
      <c r="O669" s="234"/>
      <c r="P669" s="126">
        <f t="shared" si="77"/>
        <v>0</v>
      </c>
      <c r="R669" s="127">
        <f t="shared" si="75"/>
        <v>0</v>
      </c>
      <c r="T669" s="128">
        <f t="shared" si="78"/>
        <v>0</v>
      </c>
      <c r="U669" s="129" t="str">
        <f>IFERROR(VLOOKUP($S669,References!$B$3:$C$7,2,FALSE),"")</f>
        <v/>
      </c>
      <c r="V669" s="129" t="str">
        <f t="shared" si="79"/>
        <v/>
      </c>
      <c r="W669" s="74" t="str">
        <f>IFERROR(VLOOKUP($O669,'Customer List'!$A$1:$J$488,10,FALSE),"")</f>
        <v/>
      </c>
    </row>
    <row r="670" spans="1:23">
      <c r="A670" s="125" t="str">
        <f t="shared" si="76"/>
        <v/>
      </c>
      <c r="O670" s="234"/>
      <c r="P670" s="126">
        <f t="shared" si="77"/>
        <v>0</v>
      </c>
      <c r="R670" s="127">
        <f t="shared" si="75"/>
        <v>0</v>
      </c>
      <c r="T670" s="128">
        <f t="shared" si="78"/>
        <v>0</v>
      </c>
      <c r="U670" s="129" t="str">
        <f>IFERROR(VLOOKUP($S670,References!$B$3:$C$7,2,FALSE),"")</f>
        <v/>
      </c>
      <c r="V670" s="129" t="str">
        <f t="shared" si="79"/>
        <v/>
      </c>
      <c r="W670" s="74" t="str">
        <f>IFERROR(VLOOKUP($O670,'Customer List'!$A$1:$J$488,10,FALSE),"")</f>
        <v/>
      </c>
    </row>
    <row r="671" spans="1:23">
      <c r="A671" s="125" t="str">
        <f t="shared" si="76"/>
        <v/>
      </c>
      <c r="O671" s="234"/>
      <c r="P671" s="126">
        <f t="shared" si="77"/>
        <v>0</v>
      </c>
      <c r="R671" s="127">
        <f t="shared" si="75"/>
        <v>0</v>
      </c>
      <c r="T671" s="128">
        <f t="shared" si="78"/>
        <v>0</v>
      </c>
      <c r="U671" s="129" t="str">
        <f>IFERROR(VLOOKUP($S671,References!$B$3:$C$7,2,FALSE),"")</f>
        <v/>
      </c>
      <c r="V671" s="129" t="str">
        <f t="shared" si="79"/>
        <v/>
      </c>
      <c r="W671" s="74" t="str">
        <f>IFERROR(VLOOKUP($O671,'Customer List'!$A$1:$J$488,10,FALSE),"")</f>
        <v/>
      </c>
    </row>
    <row r="672" spans="1:23">
      <c r="A672" s="125" t="str">
        <f t="shared" si="76"/>
        <v/>
      </c>
      <c r="O672" s="234"/>
      <c r="P672" s="126">
        <f t="shared" si="77"/>
        <v>0</v>
      </c>
      <c r="R672" s="127">
        <f t="shared" si="75"/>
        <v>0</v>
      </c>
      <c r="T672" s="128">
        <f t="shared" si="78"/>
        <v>0</v>
      </c>
      <c r="U672" s="129" t="str">
        <f>IFERROR(VLOOKUP($S672,References!$B$3:$C$7,2,FALSE),"")</f>
        <v/>
      </c>
      <c r="V672" s="129" t="str">
        <f t="shared" si="79"/>
        <v/>
      </c>
      <c r="W672" s="74" t="str">
        <f>IFERROR(VLOOKUP($O672,'Customer List'!$A$1:$J$488,10,FALSE),"")</f>
        <v/>
      </c>
    </row>
    <row r="673" spans="1:23">
      <c r="A673" s="125" t="str">
        <f t="shared" si="76"/>
        <v/>
      </c>
      <c r="O673" s="234"/>
      <c r="P673" s="126">
        <f t="shared" si="77"/>
        <v>0</v>
      </c>
      <c r="R673" s="127">
        <f t="shared" si="75"/>
        <v>0</v>
      </c>
      <c r="T673" s="128">
        <f t="shared" si="78"/>
        <v>0</v>
      </c>
      <c r="U673" s="129" t="str">
        <f>IFERROR(VLOOKUP($S673,References!$B$3:$C$7,2,FALSE),"")</f>
        <v/>
      </c>
      <c r="V673" s="129" t="str">
        <f t="shared" si="79"/>
        <v/>
      </c>
      <c r="W673" s="74" t="str">
        <f>IFERROR(VLOOKUP($O673,'Customer List'!$A$1:$J$488,10,FALSE),"")</f>
        <v/>
      </c>
    </row>
    <row r="674" spans="1:23">
      <c r="A674" s="125" t="str">
        <f t="shared" si="76"/>
        <v/>
      </c>
      <c r="O674" s="234"/>
      <c r="P674" s="126">
        <f t="shared" si="77"/>
        <v>0</v>
      </c>
      <c r="R674" s="127">
        <f t="shared" si="75"/>
        <v>0</v>
      </c>
      <c r="T674" s="128">
        <f t="shared" si="78"/>
        <v>0</v>
      </c>
      <c r="U674" s="129" t="str">
        <f>IFERROR(VLOOKUP($S674,References!$B$3:$C$7,2,FALSE),"")</f>
        <v/>
      </c>
      <c r="V674" s="129" t="str">
        <f t="shared" si="79"/>
        <v/>
      </c>
      <c r="W674" s="74" t="str">
        <f>IFERROR(VLOOKUP($O674,'Customer List'!$A$1:$J$488,10,FALSE),"")</f>
        <v/>
      </c>
    </row>
    <row r="675" spans="1:23">
      <c r="A675" s="125" t="str">
        <f t="shared" si="76"/>
        <v/>
      </c>
      <c r="O675" s="234"/>
      <c r="P675" s="126">
        <f t="shared" si="77"/>
        <v>0</v>
      </c>
      <c r="R675" s="127">
        <f t="shared" si="75"/>
        <v>0</v>
      </c>
      <c r="T675" s="128">
        <f t="shared" si="78"/>
        <v>0</v>
      </c>
      <c r="U675" s="129" t="str">
        <f>IFERROR(VLOOKUP($S675,References!$B$3:$C$7,2,FALSE),"")</f>
        <v/>
      </c>
      <c r="V675" s="129" t="str">
        <f t="shared" si="79"/>
        <v/>
      </c>
      <c r="W675" s="74" t="str">
        <f>IFERROR(VLOOKUP($O675,'Customer List'!$A$1:$J$488,10,FALSE),"")</f>
        <v/>
      </c>
    </row>
    <row r="676" spans="1:23">
      <c r="A676" s="125" t="str">
        <f t="shared" si="76"/>
        <v/>
      </c>
      <c r="O676" s="234"/>
      <c r="P676" s="126">
        <f t="shared" si="77"/>
        <v>0</v>
      </c>
      <c r="R676" s="127">
        <f t="shared" si="75"/>
        <v>0</v>
      </c>
      <c r="T676" s="128">
        <f t="shared" si="78"/>
        <v>0</v>
      </c>
      <c r="U676" s="129" t="str">
        <f>IFERROR(VLOOKUP($S676,References!$B$3:$C$7,2,FALSE),"")</f>
        <v/>
      </c>
      <c r="V676" s="129" t="str">
        <f t="shared" si="79"/>
        <v/>
      </c>
      <c r="W676" s="74" t="str">
        <f>IFERROR(VLOOKUP($O676,'Customer List'!$A$1:$J$488,10,FALSE),"")</f>
        <v/>
      </c>
    </row>
    <row r="677" spans="1:23">
      <c r="A677" s="125" t="str">
        <f t="shared" si="76"/>
        <v/>
      </c>
      <c r="O677" s="234"/>
      <c r="P677" s="126">
        <f t="shared" si="77"/>
        <v>0</v>
      </c>
      <c r="R677" s="127">
        <f t="shared" si="75"/>
        <v>0</v>
      </c>
      <c r="T677" s="128">
        <f t="shared" si="78"/>
        <v>0</v>
      </c>
      <c r="U677" s="129" t="str">
        <f>IFERROR(VLOOKUP($S677,References!$B$3:$C$7,2,FALSE),"")</f>
        <v/>
      </c>
      <c r="V677" s="129" t="str">
        <f t="shared" si="79"/>
        <v/>
      </c>
      <c r="W677" s="74" t="str">
        <f>IFERROR(VLOOKUP($O677,'Customer List'!$A$1:$J$488,10,FALSE),"")</f>
        <v/>
      </c>
    </row>
    <row r="678" spans="1:23">
      <c r="A678" s="125" t="str">
        <f t="shared" si="76"/>
        <v/>
      </c>
      <c r="O678" s="234"/>
      <c r="P678" s="126">
        <f t="shared" si="77"/>
        <v>0</v>
      </c>
      <c r="R678" s="127">
        <f t="shared" si="75"/>
        <v>0</v>
      </c>
      <c r="T678" s="128">
        <f t="shared" si="78"/>
        <v>0</v>
      </c>
      <c r="U678" s="129" t="str">
        <f>IFERROR(VLOOKUP($S678,References!$B$3:$C$7,2,FALSE),"")</f>
        <v/>
      </c>
      <c r="V678" s="129" t="str">
        <f t="shared" si="79"/>
        <v/>
      </c>
      <c r="W678" s="74" t="str">
        <f>IFERROR(VLOOKUP($O678,'Customer List'!$A$1:$J$488,10,FALSE),"")</f>
        <v/>
      </c>
    </row>
    <row r="679" spans="1:23">
      <c r="A679" s="125" t="str">
        <f t="shared" si="76"/>
        <v/>
      </c>
      <c r="O679" s="234"/>
      <c r="P679" s="126">
        <f t="shared" si="77"/>
        <v>0</v>
      </c>
      <c r="R679" s="127">
        <f t="shared" ref="R679:R704" si="80">L679-K679</f>
        <v>0</v>
      </c>
      <c r="T679" s="128">
        <f t="shared" si="78"/>
        <v>0</v>
      </c>
      <c r="U679" s="129" t="str">
        <f>IFERROR(VLOOKUP($S679,References!$B$3:$C$7,2,FALSE),"")</f>
        <v/>
      </c>
      <c r="V679" s="129" t="str">
        <f t="shared" si="79"/>
        <v/>
      </c>
      <c r="W679" s="74" t="str">
        <f>IFERROR(VLOOKUP($O679,'Customer List'!$A$1:$J$488,10,FALSE),"")</f>
        <v/>
      </c>
    </row>
    <row r="680" spans="1:23">
      <c r="A680" s="125" t="str">
        <f t="shared" si="76"/>
        <v/>
      </c>
      <c r="O680" s="234"/>
      <c r="P680" s="126">
        <f t="shared" si="77"/>
        <v>0</v>
      </c>
      <c r="R680" s="127">
        <f t="shared" si="80"/>
        <v>0</v>
      </c>
      <c r="T680" s="128">
        <f t="shared" si="78"/>
        <v>0</v>
      </c>
      <c r="U680" s="129" t="str">
        <f>IFERROR(VLOOKUP($S680,References!$B$3:$C$7,2,FALSE),"")</f>
        <v/>
      </c>
      <c r="V680" s="129" t="str">
        <f t="shared" si="79"/>
        <v/>
      </c>
      <c r="W680" s="74" t="str">
        <f>IFERROR(VLOOKUP($O680,'Customer List'!$A$1:$J$488,10,FALSE),"")</f>
        <v/>
      </c>
    </row>
    <row r="681" spans="1:23">
      <c r="A681" s="125" t="str">
        <f t="shared" si="76"/>
        <v/>
      </c>
      <c r="O681" s="234"/>
      <c r="P681" s="126">
        <f t="shared" si="77"/>
        <v>0</v>
      </c>
      <c r="R681" s="127">
        <f t="shared" si="80"/>
        <v>0</v>
      </c>
      <c r="T681" s="128">
        <f t="shared" si="78"/>
        <v>0</v>
      </c>
      <c r="U681" s="129" t="str">
        <f>IFERROR(VLOOKUP($S681,References!$B$3:$C$7,2,FALSE),"")</f>
        <v/>
      </c>
      <c r="V681" s="129" t="str">
        <f t="shared" si="79"/>
        <v/>
      </c>
      <c r="W681" s="74" t="str">
        <f>IFERROR(VLOOKUP($O681,'Customer List'!$A$1:$J$488,10,FALSE),"")</f>
        <v/>
      </c>
    </row>
    <row r="682" spans="1:23">
      <c r="A682" s="125" t="str">
        <f t="shared" si="76"/>
        <v/>
      </c>
      <c r="O682" s="234"/>
      <c r="P682" s="126">
        <f t="shared" si="77"/>
        <v>0</v>
      </c>
      <c r="R682" s="127">
        <f t="shared" si="80"/>
        <v>0</v>
      </c>
      <c r="T682" s="128">
        <f t="shared" si="78"/>
        <v>0</v>
      </c>
      <c r="U682" s="129" t="str">
        <f>IFERROR(VLOOKUP($S682,References!$B$3:$C$7,2,FALSE),"")</f>
        <v/>
      </c>
      <c r="V682" s="129" t="str">
        <f t="shared" si="79"/>
        <v/>
      </c>
      <c r="W682" s="74" t="str">
        <f>IFERROR(VLOOKUP($O682,'Customer List'!$A$1:$J$488,10,FALSE),"")</f>
        <v/>
      </c>
    </row>
    <row r="683" spans="1:23">
      <c r="A683" s="125" t="str">
        <f t="shared" si="76"/>
        <v/>
      </c>
      <c r="O683" s="234"/>
      <c r="P683" s="126">
        <f t="shared" si="77"/>
        <v>0</v>
      </c>
      <c r="R683" s="127">
        <f t="shared" si="80"/>
        <v>0</v>
      </c>
      <c r="T683" s="128">
        <f t="shared" si="78"/>
        <v>0</v>
      </c>
      <c r="U683" s="129" t="str">
        <f>IFERROR(VLOOKUP($S683,References!$B$3:$C$7,2,FALSE),"")</f>
        <v/>
      </c>
      <c r="V683" s="129" t="str">
        <f t="shared" si="79"/>
        <v/>
      </c>
      <c r="W683" s="74" t="str">
        <f>IFERROR(VLOOKUP($O683,'Customer List'!$A$1:$J$488,10,FALSE),"")</f>
        <v/>
      </c>
    </row>
    <row r="684" spans="1:23">
      <c r="A684" s="125" t="str">
        <f t="shared" si="76"/>
        <v/>
      </c>
      <c r="O684" s="234"/>
      <c r="P684" s="126">
        <f t="shared" si="77"/>
        <v>0</v>
      </c>
      <c r="R684" s="127">
        <f t="shared" si="80"/>
        <v>0</v>
      </c>
      <c r="T684" s="128">
        <f t="shared" si="78"/>
        <v>0</v>
      </c>
      <c r="U684" s="129" t="str">
        <f>IFERROR(VLOOKUP($S684,References!$B$3:$C$7,2,FALSE),"")</f>
        <v/>
      </c>
      <c r="V684" s="129" t="str">
        <f t="shared" si="79"/>
        <v/>
      </c>
      <c r="W684" s="74" t="str">
        <f>IFERROR(VLOOKUP($O684,'Customer List'!$A$1:$J$488,10,FALSE),"")</f>
        <v/>
      </c>
    </row>
    <row r="685" spans="1:23">
      <c r="A685" s="125" t="str">
        <f t="shared" si="76"/>
        <v/>
      </c>
      <c r="O685" s="234"/>
      <c r="P685" s="126">
        <f t="shared" si="77"/>
        <v>0</v>
      </c>
      <c r="R685" s="127">
        <f t="shared" si="80"/>
        <v>0</v>
      </c>
      <c r="T685" s="128">
        <f t="shared" si="78"/>
        <v>0</v>
      </c>
      <c r="U685" s="129" t="str">
        <f>IFERROR(VLOOKUP($S685,References!$B$3:$C$7,2,FALSE),"")</f>
        <v/>
      </c>
      <c r="V685" s="129" t="str">
        <f t="shared" si="79"/>
        <v/>
      </c>
      <c r="W685" s="74" t="str">
        <f>IFERROR(VLOOKUP($O685,'Customer List'!$A$1:$J$488,10,FALSE),"")</f>
        <v/>
      </c>
    </row>
    <row r="686" spans="1:23">
      <c r="A686" s="125" t="str">
        <f t="shared" si="76"/>
        <v/>
      </c>
      <c r="O686" s="234"/>
      <c r="P686" s="126">
        <f t="shared" si="77"/>
        <v>0</v>
      </c>
      <c r="R686" s="127">
        <f t="shared" si="80"/>
        <v>0</v>
      </c>
      <c r="T686" s="128">
        <f t="shared" si="78"/>
        <v>0</v>
      </c>
      <c r="U686" s="129" t="str">
        <f>IFERROR(VLOOKUP($S686,References!$B$3:$C$7,2,FALSE),"")</f>
        <v/>
      </c>
      <c r="V686" s="129" t="str">
        <f t="shared" si="79"/>
        <v/>
      </c>
      <c r="W686" s="74" t="str">
        <f>IFERROR(VLOOKUP($O686,'Customer List'!$A$1:$J$488,10,FALSE),"")</f>
        <v/>
      </c>
    </row>
    <row r="687" spans="1:23">
      <c r="A687" s="125" t="str">
        <f t="shared" si="76"/>
        <v/>
      </c>
      <c r="O687" s="234"/>
      <c r="P687" s="126">
        <f t="shared" si="77"/>
        <v>0</v>
      </c>
      <c r="R687" s="127">
        <f t="shared" si="80"/>
        <v>0</v>
      </c>
      <c r="T687" s="128">
        <f t="shared" si="78"/>
        <v>0</v>
      </c>
      <c r="U687" s="129" t="str">
        <f>IFERROR(VLOOKUP($S687,References!$B$3:$C$7,2,FALSE),"")</f>
        <v/>
      </c>
      <c r="V687" s="129" t="str">
        <f t="shared" si="79"/>
        <v/>
      </c>
      <c r="W687" s="74" t="str">
        <f>IFERROR(VLOOKUP($O687,'Customer List'!$A$1:$J$488,10,FALSE),"")</f>
        <v/>
      </c>
    </row>
    <row r="688" spans="1:23">
      <c r="A688" s="125" t="str">
        <f t="shared" si="76"/>
        <v/>
      </c>
      <c r="O688" s="234"/>
      <c r="P688" s="126">
        <f t="shared" si="77"/>
        <v>0</v>
      </c>
      <c r="R688" s="127">
        <f t="shared" si="80"/>
        <v>0</v>
      </c>
      <c r="T688" s="128">
        <f t="shared" si="78"/>
        <v>0</v>
      </c>
      <c r="U688" s="129" t="str">
        <f>IFERROR(VLOOKUP($S688,References!$B$3:$C$7,2,FALSE),"")</f>
        <v/>
      </c>
      <c r="V688" s="129" t="str">
        <f t="shared" si="79"/>
        <v/>
      </c>
      <c r="W688" s="74" t="str">
        <f>IFERROR(VLOOKUP($O688,'Customer List'!$A$1:$J$488,10,FALSE),"")</f>
        <v/>
      </c>
    </row>
    <row r="689" spans="1:23">
      <c r="A689" s="125" t="str">
        <f t="shared" si="76"/>
        <v/>
      </c>
      <c r="O689" s="234"/>
      <c r="P689" s="126">
        <f t="shared" si="77"/>
        <v>0</v>
      </c>
      <c r="R689" s="127">
        <f t="shared" si="80"/>
        <v>0</v>
      </c>
      <c r="T689" s="128">
        <f t="shared" si="78"/>
        <v>0</v>
      </c>
      <c r="U689" s="129" t="str">
        <f>IFERROR(VLOOKUP($S689,References!$B$3:$C$7,2,FALSE),"")</f>
        <v/>
      </c>
      <c r="V689" s="129" t="str">
        <f t="shared" si="79"/>
        <v/>
      </c>
      <c r="W689" s="74" t="str">
        <f>IFERROR(VLOOKUP($O689,'Customer List'!$A$1:$J$488,10,FALSE),"")</f>
        <v/>
      </c>
    </row>
    <row r="690" spans="1:23">
      <c r="A690" s="125" t="str">
        <f t="shared" si="76"/>
        <v/>
      </c>
      <c r="O690" s="234"/>
      <c r="P690" s="126">
        <f t="shared" si="77"/>
        <v>0</v>
      </c>
      <c r="R690" s="127">
        <f t="shared" si="80"/>
        <v>0</v>
      </c>
      <c r="T690" s="128">
        <f t="shared" si="78"/>
        <v>0</v>
      </c>
      <c r="U690" s="129" t="str">
        <f>IFERROR(VLOOKUP($S690,References!$B$3:$C$7,2,FALSE),"")</f>
        <v/>
      </c>
      <c r="V690" s="129" t="str">
        <f t="shared" si="79"/>
        <v/>
      </c>
      <c r="W690" s="74" t="str">
        <f>IFERROR(VLOOKUP($O690,'Customer List'!$A$1:$J$488,10,FALSE),"")</f>
        <v/>
      </c>
    </row>
    <row r="691" spans="1:23">
      <c r="A691" s="125" t="str">
        <f t="shared" si="76"/>
        <v/>
      </c>
      <c r="O691" s="234"/>
      <c r="P691" s="126">
        <f t="shared" si="77"/>
        <v>0</v>
      </c>
      <c r="R691" s="127">
        <f t="shared" si="80"/>
        <v>0</v>
      </c>
      <c r="T691" s="128">
        <f t="shared" si="78"/>
        <v>0</v>
      </c>
      <c r="U691" s="129" t="str">
        <f>IFERROR(VLOOKUP($S691,References!$B$3:$C$7,2,FALSE),"")</f>
        <v/>
      </c>
      <c r="V691" s="129" t="str">
        <f t="shared" si="79"/>
        <v/>
      </c>
      <c r="W691" s="74" t="str">
        <f>IFERROR(VLOOKUP($O691,'Customer List'!$A$1:$J$488,10,FALSE),"")</f>
        <v/>
      </c>
    </row>
    <row r="692" spans="1:23">
      <c r="A692" s="125" t="str">
        <f t="shared" si="76"/>
        <v/>
      </c>
      <c r="O692" s="234"/>
      <c r="P692" s="126">
        <f t="shared" si="77"/>
        <v>0</v>
      </c>
      <c r="R692" s="127">
        <f t="shared" si="80"/>
        <v>0</v>
      </c>
      <c r="T692" s="128">
        <f t="shared" si="78"/>
        <v>0</v>
      </c>
      <c r="U692" s="129" t="str">
        <f>IFERROR(VLOOKUP($S692,References!$B$3:$C$7,2,FALSE),"")</f>
        <v/>
      </c>
      <c r="V692" s="129" t="str">
        <f t="shared" si="79"/>
        <v/>
      </c>
      <c r="W692" s="74" t="str">
        <f>IFERROR(VLOOKUP($O692,'Customer List'!$A$1:$J$488,10,FALSE),"")</f>
        <v/>
      </c>
    </row>
    <row r="693" spans="1:23">
      <c r="A693" s="125" t="str">
        <f t="shared" si="76"/>
        <v/>
      </c>
      <c r="O693" s="234"/>
      <c r="P693" s="126">
        <f t="shared" si="77"/>
        <v>0</v>
      </c>
      <c r="R693" s="127">
        <f t="shared" si="80"/>
        <v>0</v>
      </c>
      <c r="T693" s="128">
        <f t="shared" si="78"/>
        <v>0</v>
      </c>
      <c r="U693" s="129" t="str">
        <f>IFERROR(VLOOKUP($S693,References!$B$3:$C$7,2,FALSE),"")</f>
        <v/>
      </c>
      <c r="V693" s="129" t="str">
        <f t="shared" si="79"/>
        <v/>
      </c>
      <c r="W693" s="74" t="str">
        <f>IFERROR(VLOOKUP($O693,'Customer List'!$A$1:$J$488,10,FALSE),"")</f>
        <v/>
      </c>
    </row>
    <row r="694" spans="1:23">
      <c r="A694" s="125" t="str">
        <f t="shared" si="76"/>
        <v/>
      </c>
      <c r="O694" s="234"/>
      <c r="P694" s="126">
        <f t="shared" si="77"/>
        <v>0</v>
      </c>
      <c r="R694" s="127">
        <f t="shared" si="80"/>
        <v>0</v>
      </c>
      <c r="T694" s="128">
        <f t="shared" si="78"/>
        <v>0</v>
      </c>
      <c r="U694" s="129" t="str">
        <f>IFERROR(VLOOKUP($S694,References!$B$3:$C$7,2,FALSE),"")</f>
        <v/>
      </c>
      <c r="V694" s="129" t="str">
        <f t="shared" si="79"/>
        <v/>
      </c>
      <c r="W694" s="74" t="str">
        <f>IFERROR(VLOOKUP($O694,'Customer List'!$A$1:$J$488,10,FALSE),"")</f>
        <v/>
      </c>
    </row>
    <row r="695" spans="1:23">
      <c r="A695" s="125" t="str">
        <f t="shared" si="76"/>
        <v/>
      </c>
      <c r="O695" s="234"/>
      <c r="P695" s="126">
        <f t="shared" si="77"/>
        <v>0</v>
      </c>
      <c r="R695" s="127">
        <f t="shared" si="80"/>
        <v>0</v>
      </c>
      <c r="T695" s="128">
        <f t="shared" si="78"/>
        <v>0</v>
      </c>
      <c r="U695" s="129" t="str">
        <f>IFERROR(VLOOKUP($S695,References!$B$3:$C$7,2,FALSE),"")</f>
        <v/>
      </c>
      <c r="V695" s="129" t="str">
        <f t="shared" si="79"/>
        <v/>
      </c>
      <c r="W695" s="74" t="str">
        <f>IFERROR(VLOOKUP($O695,'Customer List'!$A$1:$J$488,10,FALSE),"")</f>
        <v/>
      </c>
    </row>
    <row r="696" spans="1:23">
      <c r="A696" s="125" t="str">
        <f t="shared" si="76"/>
        <v/>
      </c>
      <c r="O696" s="234"/>
      <c r="P696" s="126">
        <f t="shared" si="77"/>
        <v>0</v>
      </c>
      <c r="R696" s="127">
        <f t="shared" si="80"/>
        <v>0</v>
      </c>
      <c r="T696" s="128">
        <f t="shared" si="78"/>
        <v>0</v>
      </c>
      <c r="U696" s="129" t="str">
        <f>IFERROR(VLOOKUP($S696,References!$B$3:$C$7,2,FALSE),"")</f>
        <v/>
      </c>
      <c r="V696" s="129" t="str">
        <f t="shared" si="79"/>
        <v/>
      </c>
      <c r="W696" s="74" t="str">
        <f>IFERROR(VLOOKUP($O696,'Customer List'!$A$1:$J$488,10,FALSE),"")</f>
        <v/>
      </c>
    </row>
    <row r="697" spans="1:23">
      <c r="A697" s="125" t="str">
        <f t="shared" si="76"/>
        <v/>
      </c>
      <c r="O697" s="234"/>
      <c r="P697" s="126">
        <f t="shared" si="77"/>
        <v>0</v>
      </c>
      <c r="R697" s="127">
        <f t="shared" si="80"/>
        <v>0</v>
      </c>
      <c r="T697" s="128">
        <f t="shared" si="78"/>
        <v>0</v>
      </c>
      <c r="U697" s="129" t="str">
        <f>IFERROR(VLOOKUP($S697,References!$B$3:$C$7,2,FALSE),"")</f>
        <v/>
      </c>
      <c r="V697" s="129" t="str">
        <f t="shared" si="79"/>
        <v/>
      </c>
      <c r="W697" s="74" t="str">
        <f>IFERROR(VLOOKUP($O697,'Customer List'!$A$1:$J$488,10,FALSE),"")</f>
        <v/>
      </c>
    </row>
    <row r="698" spans="1:23">
      <c r="A698" s="125" t="str">
        <f t="shared" si="76"/>
        <v/>
      </c>
      <c r="O698" s="234"/>
      <c r="P698" s="126">
        <f t="shared" si="77"/>
        <v>0</v>
      </c>
      <c r="R698" s="127">
        <f t="shared" si="80"/>
        <v>0</v>
      </c>
      <c r="T698" s="128">
        <f t="shared" si="78"/>
        <v>0</v>
      </c>
      <c r="U698" s="129" t="str">
        <f>IFERROR(VLOOKUP($S698,References!$B$3:$C$7,2,FALSE),"")</f>
        <v/>
      </c>
      <c r="V698" s="129" t="str">
        <f t="shared" si="79"/>
        <v/>
      </c>
      <c r="W698" s="74" t="str">
        <f>IFERROR(VLOOKUP($O698,'Customer List'!$A$1:$J$488,10,FALSE),"")</f>
        <v/>
      </c>
    </row>
    <row r="699" spans="1:23">
      <c r="A699" s="125" t="str">
        <f t="shared" si="76"/>
        <v/>
      </c>
      <c r="O699" s="234"/>
      <c r="P699" s="126">
        <f t="shared" si="77"/>
        <v>0</v>
      </c>
      <c r="R699" s="127">
        <f t="shared" si="80"/>
        <v>0</v>
      </c>
      <c r="T699" s="128">
        <f t="shared" si="78"/>
        <v>0</v>
      </c>
      <c r="U699" s="129" t="str">
        <f>IFERROR(VLOOKUP($S699,References!$B$3:$C$7,2,FALSE),"")</f>
        <v/>
      </c>
      <c r="V699" s="129" t="str">
        <f t="shared" si="79"/>
        <v/>
      </c>
      <c r="W699" s="74" t="str">
        <f>IFERROR(VLOOKUP($O699,'Customer List'!$A$1:$J$488,10,FALSE),"")</f>
        <v/>
      </c>
    </row>
    <row r="700" spans="1:23">
      <c r="A700" s="125" t="str">
        <f t="shared" si="76"/>
        <v/>
      </c>
      <c r="O700" s="234"/>
      <c r="P700" s="126">
        <f t="shared" si="77"/>
        <v>0</v>
      </c>
      <c r="R700" s="127">
        <f t="shared" si="80"/>
        <v>0</v>
      </c>
      <c r="T700" s="128">
        <f t="shared" si="78"/>
        <v>0</v>
      </c>
      <c r="U700" s="129" t="str">
        <f>IFERROR(VLOOKUP($S700,References!$B$3:$C$7,2,FALSE),"")</f>
        <v/>
      </c>
      <c r="V700" s="129" t="str">
        <f t="shared" si="79"/>
        <v/>
      </c>
      <c r="W700" s="74" t="str">
        <f>IFERROR(VLOOKUP($O700,'Customer List'!$A$1:$J$488,10,FALSE),"")</f>
        <v/>
      </c>
    </row>
    <row r="701" spans="1:23">
      <c r="A701" s="125" t="str">
        <f t="shared" si="76"/>
        <v/>
      </c>
      <c r="O701" s="234"/>
      <c r="P701" s="126">
        <f t="shared" si="77"/>
        <v>0</v>
      </c>
      <c r="R701" s="127">
        <f t="shared" si="80"/>
        <v>0</v>
      </c>
      <c r="T701" s="128">
        <f t="shared" si="78"/>
        <v>0</v>
      </c>
      <c r="U701" s="129" t="str">
        <f>IFERROR(VLOOKUP($S701,References!$B$3:$C$7,2,FALSE),"")</f>
        <v/>
      </c>
      <c r="V701" s="129" t="str">
        <f t="shared" si="79"/>
        <v/>
      </c>
      <c r="W701" s="74" t="str">
        <f>IFERROR(VLOOKUP($O701,'Customer List'!$A$1:$J$488,10,FALSE),"")</f>
        <v/>
      </c>
    </row>
    <row r="702" spans="1:23">
      <c r="A702" s="125" t="str">
        <f t="shared" si="76"/>
        <v/>
      </c>
      <c r="O702" s="234"/>
      <c r="P702" s="126">
        <f t="shared" si="77"/>
        <v>0</v>
      </c>
      <c r="R702" s="127">
        <f t="shared" si="80"/>
        <v>0</v>
      </c>
      <c r="T702" s="128">
        <f t="shared" si="78"/>
        <v>0</v>
      </c>
      <c r="U702" s="129" t="str">
        <f>IFERROR(VLOOKUP($S702,References!$B$3:$C$7,2,FALSE),"")</f>
        <v/>
      </c>
      <c r="V702" s="129" t="str">
        <f t="shared" si="79"/>
        <v/>
      </c>
      <c r="W702" s="74" t="str">
        <f>IFERROR(VLOOKUP($O702,'Customer List'!$A$1:$J$488,10,FALSE),"")</f>
        <v/>
      </c>
    </row>
    <row r="703" spans="1:23">
      <c r="A703" s="125" t="str">
        <f t="shared" si="76"/>
        <v/>
      </c>
      <c r="O703" s="234"/>
      <c r="P703" s="126">
        <f t="shared" si="77"/>
        <v>0</v>
      </c>
      <c r="R703" s="127">
        <f t="shared" si="80"/>
        <v>0</v>
      </c>
      <c r="T703" s="128">
        <f t="shared" si="78"/>
        <v>0</v>
      </c>
      <c r="U703" s="129" t="str">
        <f>IFERROR(VLOOKUP($S703,References!$B$3:$C$7,2,FALSE),"")</f>
        <v/>
      </c>
      <c r="V703" s="129" t="str">
        <f t="shared" si="79"/>
        <v/>
      </c>
      <c r="W703" s="74" t="str">
        <f>IFERROR(VLOOKUP($O703,'Customer List'!$A$1:$J$488,10,FALSE),"")</f>
        <v/>
      </c>
    </row>
    <row r="704" spans="1:23">
      <c r="A704" s="125" t="str">
        <f t="shared" si="76"/>
        <v/>
      </c>
      <c r="O704" s="234"/>
      <c r="P704" s="126">
        <f t="shared" si="77"/>
        <v>0</v>
      </c>
      <c r="R704" s="127">
        <f t="shared" si="80"/>
        <v>0</v>
      </c>
      <c r="T704" s="128">
        <f t="shared" si="78"/>
        <v>0</v>
      </c>
      <c r="U704" s="129" t="str">
        <f>IFERROR(VLOOKUP($S704,References!$B$3:$C$7,2,FALSE),"")</f>
        <v/>
      </c>
      <c r="V704" s="129" t="str">
        <f t="shared" si="79"/>
        <v/>
      </c>
      <c r="W704" s="74" t="str">
        <f>IFERROR(VLOOKUP($O704,'Customer List'!$A$1:$J$488,10,FALSE),"")</f>
        <v/>
      </c>
    </row>
    <row r="705" spans="1:23">
      <c r="A705" s="125" t="str">
        <f t="shared" si="76"/>
        <v/>
      </c>
      <c r="O705" s="234"/>
      <c r="P705" s="126">
        <f t="shared" si="77"/>
        <v>0</v>
      </c>
      <c r="R705" s="127"/>
      <c r="T705" s="128">
        <f t="shared" si="78"/>
        <v>0</v>
      </c>
      <c r="U705" s="129" t="str">
        <f>IFERROR(VLOOKUP($S705,References!$B$3:$C$7,2,FALSE),"")</f>
        <v/>
      </c>
      <c r="V705" s="129" t="str">
        <f t="shared" si="79"/>
        <v/>
      </c>
      <c r="W705" s="74" t="str">
        <f>IFERROR(VLOOKUP($O705,'Customer List'!$A$1:$J$488,10,FALSE),"")</f>
        <v/>
      </c>
    </row>
    <row r="706" spans="1:23">
      <c r="A706" s="125" t="str">
        <f t="shared" si="76"/>
        <v/>
      </c>
      <c r="O706" s="234"/>
      <c r="P706" s="126">
        <f t="shared" si="77"/>
        <v>0</v>
      </c>
      <c r="R706" s="127"/>
      <c r="T706" s="128">
        <f t="shared" si="78"/>
        <v>0</v>
      </c>
      <c r="U706" s="129" t="str">
        <f>IFERROR(VLOOKUP($S706,References!$B$3:$C$7,2,FALSE),"")</f>
        <v/>
      </c>
      <c r="V706" s="129" t="str">
        <f t="shared" si="79"/>
        <v/>
      </c>
      <c r="W706" s="74" t="str">
        <f>IFERROR(VLOOKUP($O706,'Customer List'!$A$1:$J$488,10,FALSE),"")</f>
        <v/>
      </c>
    </row>
    <row r="707" spans="1:23">
      <c r="A707" s="125" t="str">
        <f t="shared" si="76"/>
        <v/>
      </c>
      <c r="O707" s="234"/>
      <c r="P707" s="126">
        <f t="shared" si="77"/>
        <v>0</v>
      </c>
      <c r="R707" s="127"/>
      <c r="T707" s="128">
        <f t="shared" si="78"/>
        <v>0</v>
      </c>
      <c r="U707" s="129" t="str">
        <f>IFERROR(VLOOKUP($S707,References!$B$3:$C$7,2,FALSE),"")</f>
        <v/>
      </c>
      <c r="V707" s="129" t="str">
        <f t="shared" si="79"/>
        <v/>
      </c>
      <c r="W707" s="74" t="str">
        <f>IFERROR(VLOOKUP($O707,'Customer List'!$A$1:$J$488,10,FALSE),"")</f>
        <v/>
      </c>
    </row>
    <row r="708" spans="1:23">
      <c r="A708" s="125" t="str">
        <f t="shared" si="76"/>
        <v/>
      </c>
      <c r="O708" s="234"/>
      <c r="P708" s="126">
        <f t="shared" si="77"/>
        <v>0</v>
      </c>
      <c r="R708" s="127"/>
      <c r="T708" s="128">
        <f t="shared" si="78"/>
        <v>0</v>
      </c>
      <c r="U708" s="129" t="str">
        <f>IFERROR(VLOOKUP($S708,References!$B$3:$C$7,2,FALSE),"")</f>
        <v/>
      </c>
      <c r="V708" s="129" t="str">
        <f t="shared" si="79"/>
        <v/>
      </c>
      <c r="W708" s="74" t="str">
        <f>IFERROR(VLOOKUP($O708,'Customer List'!$A$1:$J$488,10,FALSE),"")</f>
        <v/>
      </c>
    </row>
    <row r="709" spans="1:23">
      <c r="A709" s="125" t="str">
        <f t="shared" si="76"/>
        <v/>
      </c>
      <c r="O709" s="234"/>
      <c r="P709" s="126">
        <f t="shared" si="77"/>
        <v>0</v>
      </c>
      <c r="R709" s="127"/>
      <c r="T709" s="128">
        <f t="shared" si="78"/>
        <v>0</v>
      </c>
      <c r="U709" s="129" t="str">
        <f>IFERROR(VLOOKUP($S709,References!$B$3:$C$7,2,FALSE),"")</f>
        <v/>
      </c>
      <c r="V709" s="129" t="str">
        <f t="shared" si="79"/>
        <v/>
      </c>
      <c r="W709" s="74" t="str">
        <f>IFERROR(VLOOKUP($O709,'Customer List'!$A$1:$J$488,10,FALSE),"")</f>
        <v/>
      </c>
    </row>
    <row r="710" spans="1:23">
      <c r="A710" s="125" t="str">
        <f t="shared" si="76"/>
        <v/>
      </c>
      <c r="O710" s="234"/>
      <c r="P710" s="126">
        <f t="shared" si="77"/>
        <v>0</v>
      </c>
      <c r="R710" s="127"/>
      <c r="T710" s="128">
        <f t="shared" si="78"/>
        <v>0</v>
      </c>
      <c r="U710" s="129" t="str">
        <f>IFERROR(VLOOKUP($S710,References!$B$3:$C$7,2,FALSE),"")</f>
        <v/>
      </c>
      <c r="V710" s="129" t="str">
        <f t="shared" si="79"/>
        <v/>
      </c>
      <c r="W710" s="74" t="str">
        <f>IFERROR(VLOOKUP($O710,'Customer List'!$A$1:$J$488,10,FALSE),"")</f>
        <v/>
      </c>
    </row>
    <row r="711" spans="1:23">
      <c r="A711" s="125" t="str">
        <f t="shared" si="76"/>
        <v/>
      </c>
      <c r="O711" s="234"/>
      <c r="P711" s="126">
        <f t="shared" si="77"/>
        <v>0</v>
      </c>
      <c r="R711" s="127"/>
      <c r="T711" s="128">
        <f t="shared" si="78"/>
        <v>0</v>
      </c>
      <c r="U711" s="129" t="str">
        <f>IFERROR(VLOOKUP($S711,References!$B$3:$C$7,2,FALSE),"")</f>
        <v/>
      </c>
      <c r="V711" s="129" t="str">
        <f t="shared" si="79"/>
        <v/>
      </c>
      <c r="W711" s="74" t="str">
        <f>IFERROR(VLOOKUP($O711,'Customer List'!$A$1:$J$488,10,FALSE),"")</f>
        <v/>
      </c>
    </row>
    <row r="712" spans="1:23">
      <c r="A712" s="125" t="str">
        <f t="shared" si="76"/>
        <v/>
      </c>
      <c r="O712" s="234"/>
      <c r="P712" s="126">
        <f t="shared" si="77"/>
        <v>0</v>
      </c>
      <c r="R712" s="127"/>
      <c r="T712" s="128">
        <f t="shared" si="78"/>
        <v>0</v>
      </c>
      <c r="U712" s="129" t="str">
        <f>IFERROR(VLOOKUP($S712,References!$B$3:$C$7,2,FALSE),"")</f>
        <v/>
      </c>
      <c r="V712" s="129" t="str">
        <f t="shared" si="79"/>
        <v/>
      </c>
      <c r="W712" s="74" t="str">
        <f>IFERROR(VLOOKUP($O712,'Customer List'!$A$1:$J$488,10,FALSE),"")</f>
        <v/>
      </c>
    </row>
    <row r="713" spans="1:23">
      <c r="A713" s="125" t="str">
        <f t="shared" ref="A713:A776" si="81">O713&amp;S713</f>
        <v/>
      </c>
      <c r="O713" s="234"/>
      <c r="P713" s="126">
        <f t="shared" ref="P713:P776" si="82">INT(L713)</f>
        <v>0</v>
      </c>
      <c r="R713" s="127"/>
      <c r="T713" s="128">
        <f t="shared" si="78"/>
        <v>0</v>
      </c>
      <c r="U713" s="129" t="str">
        <f>IFERROR(VLOOKUP($S713,References!$B$3:$C$7,2,FALSE),"")</f>
        <v/>
      </c>
      <c r="V713" s="129" t="str">
        <f t="shared" si="79"/>
        <v/>
      </c>
      <c r="W713" s="74" t="str">
        <f>IFERROR(VLOOKUP($O713,'Customer List'!$A$1:$J$488,10,FALSE),"")</f>
        <v/>
      </c>
    </row>
    <row r="714" spans="1:23">
      <c r="A714" s="125" t="str">
        <f t="shared" si="81"/>
        <v/>
      </c>
      <c r="O714" s="234"/>
      <c r="P714" s="126">
        <f t="shared" si="82"/>
        <v>0</v>
      </c>
      <c r="R714" s="127"/>
      <c r="T714" s="128">
        <f t="shared" ref="T714:T777" si="83">IF(S714="50 - Cleaning Fee",1,HOUR($R714)+MINUTE(R714)/60)</f>
        <v>0</v>
      </c>
      <c r="U714" s="129" t="str">
        <f>IFERROR(VLOOKUP($S714,References!$B$3:$C$7,2,FALSE),"")</f>
        <v/>
      </c>
      <c r="V714" s="129" t="str">
        <f t="shared" ref="V714:V777" si="84">IF(T714&gt;=8,400,(IFERROR(T714*U714,"")))</f>
        <v/>
      </c>
      <c r="W714" s="74" t="str">
        <f>IFERROR(VLOOKUP($O714,'Customer List'!$A$1:$J$488,10,FALSE),"")</f>
        <v/>
      </c>
    </row>
    <row r="715" spans="1:23">
      <c r="A715" s="125" t="str">
        <f t="shared" si="81"/>
        <v/>
      </c>
      <c r="O715" s="234"/>
      <c r="P715" s="126">
        <f t="shared" si="82"/>
        <v>0</v>
      </c>
      <c r="R715" s="127"/>
      <c r="T715" s="128">
        <f t="shared" si="83"/>
        <v>0</v>
      </c>
      <c r="U715" s="129" t="str">
        <f>IFERROR(VLOOKUP($S715,References!$B$3:$C$7,2,FALSE),"")</f>
        <v/>
      </c>
      <c r="V715" s="129" t="str">
        <f t="shared" si="84"/>
        <v/>
      </c>
      <c r="W715" s="74" t="str">
        <f>IFERROR(VLOOKUP($O715,'Customer List'!$A$1:$J$488,10,FALSE),"")</f>
        <v/>
      </c>
    </row>
    <row r="716" spans="1:23">
      <c r="A716" s="125" t="str">
        <f t="shared" si="81"/>
        <v/>
      </c>
      <c r="O716" s="234"/>
      <c r="P716" s="126">
        <f t="shared" si="82"/>
        <v>0</v>
      </c>
      <c r="R716" s="127"/>
      <c r="T716" s="128">
        <f t="shared" si="83"/>
        <v>0</v>
      </c>
      <c r="U716" s="129" t="str">
        <f>IFERROR(VLOOKUP($S716,References!$B$3:$C$7,2,FALSE),"")</f>
        <v/>
      </c>
      <c r="V716" s="129" t="str">
        <f t="shared" si="84"/>
        <v/>
      </c>
      <c r="W716" s="74" t="str">
        <f>IFERROR(VLOOKUP($O716,'Customer List'!$A$1:$J$488,10,FALSE),"")</f>
        <v/>
      </c>
    </row>
    <row r="717" spans="1:23">
      <c r="A717" s="125" t="str">
        <f t="shared" si="81"/>
        <v/>
      </c>
      <c r="O717" s="234"/>
      <c r="P717" s="126">
        <f t="shared" si="82"/>
        <v>0</v>
      </c>
      <c r="R717" s="127"/>
      <c r="T717" s="128">
        <f t="shared" si="83"/>
        <v>0</v>
      </c>
      <c r="U717" s="129" t="str">
        <f>IFERROR(VLOOKUP($S717,References!$B$3:$C$7,2,FALSE),"")</f>
        <v/>
      </c>
      <c r="V717" s="129" t="str">
        <f t="shared" si="84"/>
        <v/>
      </c>
      <c r="W717" s="74" t="str">
        <f>IFERROR(VLOOKUP($O717,'Customer List'!$A$1:$J$488,10,FALSE),"")</f>
        <v/>
      </c>
    </row>
    <row r="718" spans="1:23">
      <c r="A718" s="125" t="str">
        <f t="shared" si="81"/>
        <v/>
      </c>
      <c r="O718" s="234"/>
      <c r="P718" s="126">
        <f t="shared" si="82"/>
        <v>0</v>
      </c>
      <c r="R718" s="127"/>
      <c r="T718" s="128">
        <f t="shared" si="83"/>
        <v>0</v>
      </c>
      <c r="U718" s="129" t="str">
        <f>IFERROR(VLOOKUP($S718,References!$B$3:$C$7,2,FALSE),"")</f>
        <v/>
      </c>
      <c r="V718" s="129" t="str">
        <f t="shared" si="84"/>
        <v/>
      </c>
      <c r="W718" s="74" t="str">
        <f>IFERROR(VLOOKUP($O718,'Customer List'!$A$1:$J$488,10,FALSE),"")</f>
        <v/>
      </c>
    </row>
    <row r="719" spans="1:23">
      <c r="A719" s="125" t="str">
        <f t="shared" si="81"/>
        <v/>
      </c>
      <c r="O719" s="154"/>
      <c r="P719" s="126">
        <f t="shared" si="82"/>
        <v>0</v>
      </c>
      <c r="R719" s="127"/>
      <c r="T719" s="128">
        <f t="shared" si="83"/>
        <v>0</v>
      </c>
      <c r="U719" s="129" t="str">
        <f>IFERROR(VLOOKUP($S719,References!$B$3:$C$7,2,FALSE),"")</f>
        <v/>
      </c>
      <c r="V719" s="129" t="str">
        <f t="shared" si="84"/>
        <v/>
      </c>
      <c r="W719" s="74" t="str">
        <f>IFERROR(VLOOKUP($O719,'Customer List'!$A$1:$J$488,10,FALSE),"")</f>
        <v/>
      </c>
    </row>
    <row r="720" spans="1:23">
      <c r="A720" s="125" t="str">
        <f t="shared" si="81"/>
        <v/>
      </c>
      <c r="O720" s="154"/>
      <c r="P720" s="126">
        <f t="shared" si="82"/>
        <v>0</v>
      </c>
      <c r="R720" s="127"/>
      <c r="T720" s="128">
        <f t="shared" si="83"/>
        <v>0</v>
      </c>
      <c r="U720" s="129" t="str">
        <f>IFERROR(VLOOKUP($S720,References!$B$3:$C$7,2,FALSE),"")</f>
        <v/>
      </c>
      <c r="V720" s="129" t="str">
        <f t="shared" si="84"/>
        <v/>
      </c>
      <c r="W720" s="74" t="str">
        <f>IFERROR(VLOOKUP($O720,'Customer List'!$A$1:$J$488,10,FALSE),"")</f>
        <v/>
      </c>
    </row>
    <row r="721" spans="1:23">
      <c r="A721" s="125" t="str">
        <f t="shared" si="81"/>
        <v/>
      </c>
      <c r="O721" s="154"/>
      <c r="P721" s="126">
        <f t="shared" si="82"/>
        <v>0</v>
      </c>
      <c r="R721" s="127"/>
      <c r="T721" s="128">
        <f t="shared" si="83"/>
        <v>0</v>
      </c>
      <c r="U721" s="129" t="str">
        <f>IFERROR(VLOOKUP($S721,References!$B$3:$C$7,2,FALSE),"")</f>
        <v/>
      </c>
      <c r="V721" s="129" t="str">
        <f t="shared" si="84"/>
        <v/>
      </c>
      <c r="W721" s="74" t="str">
        <f>IFERROR(VLOOKUP($O721,'Customer List'!$A$1:$J$488,10,FALSE),"")</f>
        <v/>
      </c>
    </row>
    <row r="722" spans="1:23">
      <c r="A722" s="125" t="str">
        <f t="shared" si="81"/>
        <v/>
      </c>
      <c r="O722" s="154"/>
      <c r="P722" s="126">
        <f t="shared" si="82"/>
        <v>0</v>
      </c>
      <c r="R722" s="127"/>
      <c r="T722" s="128">
        <f t="shared" si="83"/>
        <v>0</v>
      </c>
      <c r="U722" s="129" t="str">
        <f>IFERROR(VLOOKUP($S722,References!$B$3:$C$7,2,FALSE),"")</f>
        <v/>
      </c>
      <c r="V722" s="129" t="str">
        <f t="shared" si="84"/>
        <v/>
      </c>
      <c r="W722" s="74" t="str">
        <f>IFERROR(VLOOKUP($O722,'Customer List'!$A$1:$J$488,10,FALSE),"")</f>
        <v/>
      </c>
    </row>
    <row r="723" spans="1:23">
      <c r="A723" s="125" t="str">
        <f t="shared" si="81"/>
        <v/>
      </c>
      <c r="O723" s="154"/>
      <c r="P723" s="126">
        <f t="shared" si="82"/>
        <v>0</v>
      </c>
      <c r="R723" s="127"/>
      <c r="T723" s="128">
        <f t="shared" si="83"/>
        <v>0</v>
      </c>
      <c r="U723" s="129" t="str">
        <f>IFERROR(VLOOKUP($S723,References!$B$3:$C$7,2,FALSE),"")</f>
        <v/>
      </c>
      <c r="V723" s="129" t="str">
        <f t="shared" si="84"/>
        <v/>
      </c>
      <c r="W723" s="74" t="str">
        <f>IFERROR(VLOOKUP($O723,'Customer List'!$A$1:$J$488,10,FALSE),"")</f>
        <v/>
      </c>
    </row>
    <row r="724" spans="1:23">
      <c r="A724" s="125" t="str">
        <f t="shared" si="81"/>
        <v/>
      </c>
      <c r="O724" s="154"/>
      <c r="P724" s="126">
        <f t="shared" si="82"/>
        <v>0</v>
      </c>
      <c r="R724" s="127"/>
      <c r="T724" s="128">
        <f t="shared" si="83"/>
        <v>0</v>
      </c>
      <c r="U724" s="129" t="str">
        <f>IFERROR(VLOOKUP($S724,References!$B$3:$C$7,2,FALSE),"")</f>
        <v/>
      </c>
      <c r="V724" s="129" t="str">
        <f t="shared" si="84"/>
        <v/>
      </c>
      <c r="W724" s="74" t="str">
        <f>IFERROR(VLOOKUP($O724,'Customer List'!$A$1:$J$488,10,FALSE),"")</f>
        <v/>
      </c>
    </row>
    <row r="725" spans="1:23">
      <c r="A725" s="125" t="str">
        <f t="shared" si="81"/>
        <v/>
      </c>
      <c r="O725" s="154"/>
      <c r="P725" s="126">
        <f t="shared" si="82"/>
        <v>0</v>
      </c>
      <c r="R725" s="127"/>
      <c r="T725" s="128">
        <f t="shared" si="83"/>
        <v>0</v>
      </c>
      <c r="U725" s="129" t="str">
        <f>IFERROR(VLOOKUP($S725,References!$B$3:$C$7,2,FALSE),"")</f>
        <v/>
      </c>
      <c r="V725" s="129" t="str">
        <f t="shared" si="84"/>
        <v/>
      </c>
      <c r="W725" s="74" t="str">
        <f>IFERROR(VLOOKUP($O725,'Customer List'!$A$1:$J$488,10,FALSE),"")</f>
        <v/>
      </c>
    </row>
    <row r="726" spans="1:23">
      <c r="A726" s="125" t="str">
        <f t="shared" si="81"/>
        <v/>
      </c>
      <c r="O726" s="154"/>
      <c r="P726" s="126">
        <f t="shared" si="82"/>
        <v>0</v>
      </c>
      <c r="R726" s="127"/>
      <c r="T726" s="128">
        <f t="shared" si="83"/>
        <v>0</v>
      </c>
      <c r="U726" s="129" t="str">
        <f>IFERROR(VLOOKUP($S726,References!$B$3:$C$7,2,FALSE),"")</f>
        <v/>
      </c>
      <c r="V726" s="129" t="str">
        <f t="shared" si="84"/>
        <v/>
      </c>
      <c r="W726" s="74" t="str">
        <f>IFERROR(VLOOKUP($O726,'Customer List'!$A$1:$J$488,10,FALSE),"")</f>
        <v/>
      </c>
    </row>
    <row r="727" spans="1:23">
      <c r="A727" s="125" t="str">
        <f t="shared" si="81"/>
        <v/>
      </c>
      <c r="O727" s="154"/>
      <c r="P727" s="126">
        <f t="shared" si="82"/>
        <v>0</v>
      </c>
      <c r="R727" s="127"/>
      <c r="T727" s="128">
        <f t="shared" si="83"/>
        <v>0</v>
      </c>
      <c r="U727" s="129" t="str">
        <f>IFERROR(VLOOKUP($S727,References!$B$3:$C$7,2,FALSE),"")</f>
        <v/>
      </c>
      <c r="V727" s="129" t="str">
        <f t="shared" si="84"/>
        <v/>
      </c>
      <c r="W727" s="74" t="str">
        <f>IFERROR(VLOOKUP($O727,'Customer List'!$A$1:$J$488,10,FALSE),"")</f>
        <v/>
      </c>
    </row>
    <row r="728" spans="1:23">
      <c r="A728" s="125" t="str">
        <f t="shared" si="81"/>
        <v/>
      </c>
      <c r="O728" s="154"/>
      <c r="P728" s="126">
        <f t="shared" si="82"/>
        <v>0</v>
      </c>
      <c r="R728" s="127"/>
      <c r="T728" s="128">
        <f t="shared" si="83"/>
        <v>0</v>
      </c>
      <c r="U728" s="129" t="str">
        <f>IFERROR(VLOOKUP($S728,References!$B$3:$C$7,2,FALSE),"")</f>
        <v/>
      </c>
      <c r="V728" s="129" t="str">
        <f t="shared" si="84"/>
        <v/>
      </c>
      <c r="W728" s="74" t="str">
        <f>IFERROR(VLOOKUP($O728,'Customer List'!$A$1:$J$488,10,FALSE),"")</f>
        <v/>
      </c>
    </row>
    <row r="729" spans="1:23">
      <c r="A729" s="125" t="str">
        <f t="shared" si="81"/>
        <v/>
      </c>
      <c r="O729" s="154"/>
      <c r="P729" s="126">
        <f t="shared" si="82"/>
        <v>0</v>
      </c>
      <c r="R729" s="127"/>
      <c r="T729" s="128">
        <f t="shared" si="83"/>
        <v>0</v>
      </c>
      <c r="U729" s="129" t="str">
        <f>IFERROR(VLOOKUP($S729,References!$B$3:$C$7,2,FALSE),"")</f>
        <v/>
      </c>
      <c r="V729" s="129" t="str">
        <f t="shared" si="84"/>
        <v/>
      </c>
      <c r="W729" s="74" t="str">
        <f>IFERROR(VLOOKUP($O729,'Customer List'!$A$1:$J$488,10,FALSE),"")</f>
        <v/>
      </c>
    </row>
    <row r="730" spans="1:23">
      <c r="A730" s="125" t="str">
        <f t="shared" si="81"/>
        <v/>
      </c>
      <c r="O730" s="154"/>
      <c r="P730" s="126">
        <f t="shared" si="82"/>
        <v>0</v>
      </c>
      <c r="R730" s="127"/>
      <c r="T730" s="128">
        <f t="shared" si="83"/>
        <v>0</v>
      </c>
      <c r="U730" s="129" t="str">
        <f>IFERROR(VLOOKUP($S730,References!$B$3:$C$7,2,FALSE),"")</f>
        <v/>
      </c>
      <c r="V730" s="129" t="str">
        <f t="shared" si="84"/>
        <v/>
      </c>
      <c r="W730" s="74" t="str">
        <f>IFERROR(VLOOKUP($O730,'Customer List'!$A$1:$J$488,10,FALSE),"")</f>
        <v/>
      </c>
    </row>
    <row r="731" spans="1:23">
      <c r="A731" s="125" t="str">
        <f t="shared" si="81"/>
        <v/>
      </c>
      <c r="O731" s="154"/>
      <c r="P731" s="126">
        <f t="shared" si="82"/>
        <v>0</v>
      </c>
      <c r="R731" s="127"/>
      <c r="T731" s="128">
        <f t="shared" si="83"/>
        <v>0</v>
      </c>
      <c r="U731" s="129" t="str">
        <f>IFERROR(VLOOKUP($S731,References!$B$3:$C$7,2,FALSE),"")</f>
        <v/>
      </c>
      <c r="V731" s="129" t="str">
        <f t="shared" si="84"/>
        <v/>
      </c>
      <c r="W731" s="74" t="str">
        <f>IFERROR(VLOOKUP($O731,'Customer List'!$A$1:$J$488,10,FALSE),"")</f>
        <v/>
      </c>
    </row>
    <row r="732" spans="1:23">
      <c r="A732" s="125" t="str">
        <f t="shared" si="81"/>
        <v/>
      </c>
      <c r="O732" s="154"/>
      <c r="P732" s="126">
        <f t="shared" si="82"/>
        <v>0</v>
      </c>
      <c r="R732" s="127"/>
      <c r="T732" s="128">
        <f t="shared" si="83"/>
        <v>0</v>
      </c>
      <c r="U732" s="129" t="str">
        <f>IFERROR(VLOOKUP($S732,References!$B$3:$C$7,2,FALSE),"")</f>
        <v/>
      </c>
      <c r="V732" s="129" t="str">
        <f t="shared" si="84"/>
        <v/>
      </c>
      <c r="W732" s="74" t="str">
        <f>IFERROR(VLOOKUP($O732,'Customer List'!$A$1:$J$488,10,FALSE),"")</f>
        <v/>
      </c>
    </row>
    <row r="733" spans="1:23">
      <c r="A733" s="125" t="str">
        <f t="shared" si="81"/>
        <v/>
      </c>
      <c r="O733" s="154"/>
      <c r="P733" s="126">
        <f t="shared" si="82"/>
        <v>0</v>
      </c>
      <c r="R733" s="127"/>
      <c r="T733" s="128">
        <f t="shared" si="83"/>
        <v>0</v>
      </c>
      <c r="U733" s="129" t="str">
        <f>IFERROR(VLOOKUP($S733,References!$B$3:$C$7,2,FALSE),"")</f>
        <v/>
      </c>
      <c r="V733" s="129" t="str">
        <f t="shared" si="84"/>
        <v/>
      </c>
      <c r="W733" s="74" t="str">
        <f>IFERROR(VLOOKUP($O733,'Customer List'!$A$1:$J$488,10,FALSE),"")</f>
        <v/>
      </c>
    </row>
    <row r="734" spans="1:23">
      <c r="A734" s="125" t="str">
        <f t="shared" si="81"/>
        <v/>
      </c>
      <c r="O734" s="154"/>
      <c r="P734" s="126">
        <f t="shared" si="82"/>
        <v>0</v>
      </c>
      <c r="R734" s="127"/>
      <c r="T734" s="128">
        <f t="shared" si="83"/>
        <v>0</v>
      </c>
      <c r="U734" s="129" t="str">
        <f>IFERROR(VLOOKUP($S734,References!$B$3:$C$7,2,FALSE),"")</f>
        <v/>
      </c>
      <c r="V734" s="129" t="str">
        <f t="shared" si="84"/>
        <v/>
      </c>
      <c r="W734" s="74" t="str">
        <f>IFERROR(VLOOKUP($O734,'Customer List'!$A$1:$J$488,10,FALSE),"")</f>
        <v/>
      </c>
    </row>
    <row r="735" spans="1:23">
      <c r="A735" s="125" t="str">
        <f t="shared" si="81"/>
        <v/>
      </c>
      <c r="O735" s="154"/>
      <c r="P735" s="126">
        <f t="shared" si="82"/>
        <v>0</v>
      </c>
      <c r="R735" s="127"/>
      <c r="T735" s="128">
        <f t="shared" si="83"/>
        <v>0</v>
      </c>
      <c r="U735" s="129" t="str">
        <f>IFERROR(VLOOKUP($S735,References!$B$3:$C$7,2,FALSE),"")</f>
        <v/>
      </c>
      <c r="V735" s="129" t="str">
        <f t="shared" si="84"/>
        <v/>
      </c>
      <c r="W735" s="74" t="str">
        <f>IFERROR(VLOOKUP($O735,'Customer List'!$A$1:$J$488,10,FALSE),"")</f>
        <v/>
      </c>
    </row>
    <row r="736" spans="1:23">
      <c r="A736" s="125" t="str">
        <f t="shared" si="81"/>
        <v/>
      </c>
      <c r="O736" s="154"/>
      <c r="P736" s="126">
        <f t="shared" si="82"/>
        <v>0</v>
      </c>
      <c r="R736" s="127"/>
      <c r="T736" s="128">
        <f t="shared" si="83"/>
        <v>0</v>
      </c>
      <c r="U736" s="129" t="str">
        <f>IFERROR(VLOOKUP($S736,References!$B$3:$C$7,2,FALSE),"")</f>
        <v/>
      </c>
      <c r="V736" s="129" t="str">
        <f t="shared" si="84"/>
        <v/>
      </c>
      <c r="W736" s="74" t="str">
        <f>IFERROR(VLOOKUP($O736,'Customer List'!$A$1:$J$488,10,FALSE),"")</f>
        <v/>
      </c>
    </row>
    <row r="737" spans="1:23">
      <c r="A737" s="125" t="str">
        <f t="shared" si="81"/>
        <v/>
      </c>
      <c r="O737" s="154"/>
      <c r="P737" s="126">
        <f t="shared" si="82"/>
        <v>0</v>
      </c>
      <c r="R737" s="127"/>
      <c r="T737" s="128">
        <f t="shared" si="83"/>
        <v>0</v>
      </c>
      <c r="U737" s="129" t="str">
        <f>IFERROR(VLOOKUP($S737,References!$B$3:$C$7,2,FALSE),"")</f>
        <v/>
      </c>
      <c r="V737" s="129" t="str">
        <f t="shared" si="84"/>
        <v/>
      </c>
      <c r="W737" s="74" t="str">
        <f>IFERROR(VLOOKUP($O737,'Customer List'!$A$1:$J$488,10,FALSE),"")</f>
        <v/>
      </c>
    </row>
    <row r="738" spans="1:23">
      <c r="A738" s="125" t="str">
        <f t="shared" si="81"/>
        <v/>
      </c>
      <c r="O738" s="154"/>
      <c r="P738" s="126">
        <f t="shared" si="82"/>
        <v>0</v>
      </c>
      <c r="R738" s="127"/>
      <c r="T738" s="128">
        <f t="shared" si="83"/>
        <v>0</v>
      </c>
      <c r="U738" s="129" t="str">
        <f>IFERROR(VLOOKUP($S738,References!$B$3:$C$7,2,FALSE),"")</f>
        <v/>
      </c>
      <c r="V738" s="129" t="str">
        <f t="shared" si="84"/>
        <v/>
      </c>
      <c r="W738" s="74" t="str">
        <f>IFERROR(VLOOKUP($O738,'Customer List'!$A$1:$J$488,10,FALSE),"")</f>
        <v/>
      </c>
    </row>
    <row r="739" spans="1:23">
      <c r="A739" s="125" t="str">
        <f t="shared" si="81"/>
        <v/>
      </c>
      <c r="O739" s="154"/>
      <c r="P739" s="126">
        <f t="shared" si="82"/>
        <v>0</v>
      </c>
      <c r="R739" s="127"/>
      <c r="T739" s="128">
        <f t="shared" si="83"/>
        <v>0</v>
      </c>
      <c r="U739" s="129" t="str">
        <f>IFERROR(VLOOKUP($S739,References!$B$3:$C$7,2,FALSE),"")</f>
        <v/>
      </c>
      <c r="V739" s="129" t="str">
        <f t="shared" si="84"/>
        <v/>
      </c>
      <c r="W739" s="74" t="str">
        <f>IFERROR(VLOOKUP($O739,'Customer List'!$A$1:$J$488,10,FALSE),"")</f>
        <v/>
      </c>
    </row>
    <row r="740" spans="1:23">
      <c r="A740" s="125" t="str">
        <f t="shared" si="81"/>
        <v/>
      </c>
      <c r="O740" s="154"/>
      <c r="P740" s="126">
        <f t="shared" si="82"/>
        <v>0</v>
      </c>
      <c r="R740" s="127"/>
      <c r="T740" s="128">
        <f t="shared" si="83"/>
        <v>0</v>
      </c>
      <c r="U740" s="129" t="str">
        <f>IFERROR(VLOOKUP($S740,References!$B$3:$C$7,2,FALSE),"")</f>
        <v/>
      </c>
      <c r="V740" s="129" t="str">
        <f t="shared" si="84"/>
        <v/>
      </c>
      <c r="W740" s="74" t="str">
        <f>IFERROR(VLOOKUP($O740,'Customer List'!$A$1:$J$488,10,FALSE),"")</f>
        <v/>
      </c>
    </row>
    <row r="741" spans="1:23">
      <c r="A741" s="125" t="str">
        <f t="shared" si="81"/>
        <v/>
      </c>
      <c r="O741" s="154"/>
      <c r="P741" s="126">
        <f t="shared" si="82"/>
        <v>0</v>
      </c>
      <c r="R741" s="127"/>
      <c r="T741" s="128">
        <f t="shared" si="83"/>
        <v>0</v>
      </c>
      <c r="U741" s="129" t="str">
        <f>IFERROR(VLOOKUP($S741,References!$B$3:$C$7,2,FALSE),"")</f>
        <v/>
      </c>
      <c r="V741" s="129" t="str">
        <f t="shared" si="84"/>
        <v/>
      </c>
      <c r="W741" s="74" t="str">
        <f>IFERROR(VLOOKUP($O741,'Customer List'!$A$1:$J$488,10,FALSE),"")</f>
        <v/>
      </c>
    </row>
    <row r="742" spans="1:23">
      <c r="A742" s="125" t="str">
        <f t="shared" si="81"/>
        <v/>
      </c>
      <c r="O742" s="154"/>
      <c r="P742" s="126">
        <f t="shared" si="82"/>
        <v>0</v>
      </c>
      <c r="R742" s="127"/>
      <c r="T742" s="128">
        <f t="shared" si="83"/>
        <v>0</v>
      </c>
      <c r="U742" s="129" t="str">
        <f>IFERROR(VLOOKUP($S742,References!$B$3:$C$7,2,FALSE),"")</f>
        <v/>
      </c>
      <c r="V742" s="129" t="str">
        <f t="shared" si="84"/>
        <v/>
      </c>
      <c r="W742" s="74" t="str">
        <f>IFERROR(VLOOKUP($O742,'Customer List'!$A$1:$J$488,10,FALSE),"")</f>
        <v/>
      </c>
    </row>
    <row r="743" spans="1:23">
      <c r="A743" s="125" t="str">
        <f t="shared" si="81"/>
        <v/>
      </c>
      <c r="O743" s="154"/>
      <c r="P743" s="126">
        <f t="shared" si="82"/>
        <v>0</v>
      </c>
      <c r="R743" s="127"/>
      <c r="T743" s="128">
        <f t="shared" si="83"/>
        <v>0</v>
      </c>
      <c r="U743" s="129" t="str">
        <f>IFERROR(VLOOKUP($S743,References!$B$3:$C$7,2,FALSE),"")</f>
        <v/>
      </c>
      <c r="V743" s="129" t="str">
        <f t="shared" si="84"/>
        <v/>
      </c>
      <c r="W743" s="74" t="str">
        <f>IFERROR(VLOOKUP($O743,'Customer List'!$A$1:$J$488,10,FALSE),"")</f>
        <v/>
      </c>
    </row>
    <row r="744" spans="1:23">
      <c r="A744" s="125" t="str">
        <f t="shared" si="81"/>
        <v/>
      </c>
      <c r="O744" s="154"/>
      <c r="P744" s="126">
        <f t="shared" si="82"/>
        <v>0</v>
      </c>
      <c r="R744" s="127"/>
      <c r="T744" s="128">
        <f t="shared" si="83"/>
        <v>0</v>
      </c>
      <c r="U744" s="129" t="str">
        <f>IFERROR(VLOOKUP($S744,References!$B$3:$C$7,2,FALSE),"")</f>
        <v/>
      </c>
      <c r="V744" s="129" t="str">
        <f t="shared" si="84"/>
        <v/>
      </c>
      <c r="W744" s="74" t="str">
        <f>IFERROR(VLOOKUP($O744,'Customer List'!$A$1:$J$488,10,FALSE),"")</f>
        <v/>
      </c>
    </row>
    <row r="745" spans="1:23">
      <c r="A745" s="125" t="str">
        <f t="shared" si="81"/>
        <v/>
      </c>
      <c r="O745" s="154"/>
      <c r="P745" s="126">
        <f t="shared" si="82"/>
        <v>0</v>
      </c>
      <c r="R745" s="127"/>
      <c r="T745" s="128">
        <f t="shared" si="83"/>
        <v>0</v>
      </c>
      <c r="U745" s="129" t="str">
        <f>IFERROR(VLOOKUP($S745,References!$B$3:$C$7,2,FALSE),"")</f>
        <v/>
      </c>
      <c r="V745" s="129" t="str">
        <f t="shared" si="84"/>
        <v/>
      </c>
      <c r="W745" s="74" t="str">
        <f>IFERROR(VLOOKUP($O745,'Customer List'!$A$1:$J$488,10,FALSE),"")</f>
        <v/>
      </c>
    </row>
    <row r="746" spans="1:23">
      <c r="A746" s="125" t="str">
        <f t="shared" si="81"/>
        <v/>
      </c>
      <c r="O746" s="154"/>
      <c r="P746" s="126">
        <f t="shared" si="82"/>
        <v>0</v>
      </c>
      <c r="R746" s="127"/>
      <c r="T746" s="128">
        <f t="shared" si="83"/>
        <v>0</v>
      </c>
      <c r="U746" s="129" t="str">
        <f>IFERROR(VLOOKUP($S746,References!$B$3:$C$7,2,FALSE),"")</f>
        <v/>
      </c>
      <c r="V746" s="129" t="str">
        <f t="shared" si="84"/>
        <v/>
      </c>
      <c r="W746" s="74" t="str">
        <f>IFERROR(VLOOKUP($O746,'Customer List'!$A$1:$J$488,10,FALSE),"")</f>
        <v/>
      </c>
    </row>
    <row r="747" spans="1:23">
      <c r="A747" s="125" t="str">
        <f t="shared" si="81"/>
        <v/>
      </c>
      <c r="O747" s="154"/>
      <c r="P747" s="126">
        <f t="shared" si="82"/>
        <v>0</v>
      </c>
      <c r="R747" s="127"/>
      <c r="T747" s="128">
        <f t="shared" si="83"/>
        <v>0</v>
      </c>
      <c r="U747" s="129" t="str">
        <f>IFERROR(VLOOKUP($S747,References!$B$3:$C$7,2,FALSE),"")</f>
        <v/>
      </c>
      <c r="V747" s="129" t="str">
        <f t="shared" si="84"/>
        <v/>
      </c>
      <c r="W747" s="74" t="str">
        <f>IFERROR(VLOOKUP($O747,'Customer List'!$A$1:$J$488,10,FALSE),"")</f>
        <v/>
      </c>
    </row>
    <row r="748" spans="1:23">
      <c r="A748" s="125" t="str">
        <f t="shared" si="81"/>
        <v/>
      </c>
      <c r="O748" s="154"/>
      <c r="P748" s="126">
        <f t="shared" si="82"/>
        <v>0</v>
      </c>
      <c r="R748" s="127"/>
      <c r="T748" s="128">
        <f t="shared" si="83"/>
        <v>0</v>
      </c>
      <c r="U748" s="129" t="str">
        <f>IFERROR(VLOOKUP($S748,References!$B$3:$C$7,2,FALSE),"")</f>
        <v/>
      </c>
      <c r="V748" s="129" t="str">
        <f t="shared" si="84"/>
        <v/>
      </c>
      <c r="W748" s="74" t="str">
        <f>IFERROR(VLOOKUP($O748,'Customer List'!$A$1:$J$488,10,FALSE),"")</f>
        <v/>
      </c>
    </row>
    <row r="749" spans="1:23">
      <c r="A749" s="125" t="str">
        <f t="shared" si="81"/>
        <v/>
      </c>
      <c r="O749" s="154"/>
      <c r="P749" s="126">
        <f t="shared" si="82"/>
        <v>0</v>
      </c>
      <c r="R749" s="127"/>
      <c r="T749" s="128">
        <f t="shared" si="83"/>
        <v>0</v>
      </c>
      <c r="U749" s="129" t="str">
        <f>IFERROR(VLOOKUP($S749,References!$B$3:$C$7,2,FALSE),"")</f>
        <v/>
      </c>
      <c r="V749" s="129" t="str">
        <f t="shared" si="84"/>
        <v/>
      </c>
      <c r="W749" s="74" t="str">
        <f>IFERROR(VLOOKUP($O749,'Customer List'!$A$1:$J$488,10,FALSE),"")</f>
        <v/>
      </c>
    </row>
    <row r="750" spans="1:23">
      <c r="A750" s="125" t="str">
        <f t="shared" si="81"/>
        <v/>
      </c>
      <c r="O750" s="154"/>
      <c r="P750" s="126">
        <f t="shared" si="82"/>
        <v>0</v>
      </c>
      <c r="R750" s="127"/>
      <c r="T750" s="128">
        <f t="shared" si="83"/>
        <v>0</v>
      </c>
      <c r="U750" s="129" t="str">
        <f>IFERROR(VLOOKUP($S750,References!$B$3:$C$7,2,FALSE),"")</f>
        <v/>
      </c>
      <c r="V750" s="129" t="str">
        <f t="shared" si="84"/>
        <v/>
      </c>
      <c r="W750" s="74" t="str">
        <f>IFERROR(VLOOKUP($O750,'Customer List'!$A$1:$J$488,10,FALSE),"")</f>
        <v/>
      </c>
    </row>
    <row r="751" spans="1:23">
      <c r="A751" s="125" t="str">
        <f t="shared" si="81"/>
        <v/>
      </c>
      <c r="O751" s="154"/>
      <c r="P751" s="126">
        <f t="shared" si="82"/>
        <v>0</v>
      </c>
      <c r="R751" s="127"/>
      <c r="T751" s="128">
        <f t="shared" si="83"/>
        <v>0</v>
      </c>
      <c r="U751" s="129" t="str">
        <f>IFERROR(VLOOKUP($S751,References!$B$3:$C$7,2,FALSE),"")</f>
        <v/>
      </c>
      <c r="V751" s="129" t="str">
        <f t="shared" si="84"/>
        <v/>
      </c>
      <c r="W751" s="74" t="str">
        <f>IFERROR(VLOOKUP($O751,'Customer List'!$A$1:$J$488,10,FALSE),"")</f>
        <v/>
      </c>
    </row>
    <row r="752" spans="1:23">
      <c r="A752" s="125" t="str">
        <f t="shared" si="81"/>
        <v/>
      </c>
      <c r="O752" s="154"/>
      <c r="P752" s="126">
        <f t="shared" si="82"/>
        <v>0</v>
      </c>
      <c r="R752" s="127"/>
      <c r="T752" s="128">
        <f t="shared" si="83"/>
        <v>0</v>
      </c>
      <c r="U752" s="129" t="str">
        <f>IFERROR(VLOOKUP($S752,References!$B$3:$C$7,2,FALSE),"")</f>
        <v/>
      </c>
      <c r="V752" s="129" t="str">
        <f t="shared" si="84"/>
        <v/>
      </c>
      <c r="W752" s="74" t="str">
        <f>IFERROR(VLOOKUP($O752,'Customer List'!$A$1:$J$488,10,FALSE),"")</f>
        <v/>
      </c>
    </row>
    <row r="753" spans="1:23">
      <c r="A753" s="125" t="str">
        <f t="shared" si="81"/>
        <v/>
      </c>
      <c r="O753" s="154"/>
      <c r="P753" s="126">
        <f t="shared" si="82"/>
        <v>0</v>
      </c>
      <c r="R753" s="127"/>
      <c r="T753" s="128">
        <f t="shared" si="83"/>
        <v>0</v>
      </c>
      <c r="U753" s="129" t="str">
        <f>IFERROR(VLOOKUP($S753,References!$B$3:$C$7,2,FALSE),"")</f>
        <v/>
      </c>
      <c r="V753" s="129" t="str">
        <f t="shared" si="84"/>
        <v/>
      </c>
      <c r="W753" s="74" t="str">
        <f>IFERROR(VLOOKUP($O753,'Customer List'!$A$1:$J$488,10,FALSE),"")</f>
        <v/>
      </c>
    </row>
    <row r="754" spans="1:23">
      <c r="A754" s="125" t="str">
        <f t="shared" si="81"/>
        <v/>
      </c>
      <c r="O754" s="154"/>
      <c r="P754" s="126">
        <f t="shared" si="82"/>
        <v>0</v>
      </c>
      <c r="R754" s="127"/>
      <c r="T754" s="128">
        <f t="shared" si="83"/>
        <v>0</v>
      </c>
      <c r="U754" s="129" t="str">
        <f>IFERROR(VLOOKUP($S754,References!$B$3:$C$7,2,FALSE),"")</f>
        <v/>
      </c>
      <c r="V754" s="129" t="str">
        <f t="shared" si="84"/>
        <v/>
      </c>
      <c r="W754" s="74" t="str">
        <f>IFERROR(VLOOKUP($O754,'Customer List'!$A$1:$J$488,10,FALSE),"")</f>
        <v/>
      </c>
    </row>
    <row r="755" spans="1:23">
      <c r="A755" s="125" t="str">
        <f t="shared" si="81"/>
        <v/>
      </c>
      <c r="O755" s="154"/>
      <c r="P755" s="126">
        <f t="shared" si="82"/>
        <v>0</v>
      </c>
      <c r="R755" s="127"/>
      <c r="T755" s="128">
        <f t="shared" si="83"/>
        <v>0</v>
      </c>
      <c r="U755" s="129" t="str">
        <f>IFERROR(VLOOKUP($S755,References!$B$3:$C$7,2,FALSE),"")</f>
        <v/>
      </c>
      <c r="V755" s="129" t="str">
        <f t="shared" si="84"/>
        <v/>
      </c>
      <c r="W755" s="74" t="str">
        <f>IFERROR(VLOOKUP($O755,'Customer List'!$A$1:$J$488,10,FALSE),"")</f>
        <v/>
      </c>
    </row>
    <row r="756" spans="1:23">
      <c r="A756" s="125" t="str">
        <f t="shared" si="81"/>
        <v/>
      </c>
      <c r="O756" s="154"/>
      <c r="P756" s="126">
        <f t="shared" si="82"/>
        <v>0</v>
      </c>
      <c r="R756" s="127"/>
      <c r="T756" s="128">
        <f t="shared" si="83"/>
        <v>0</v>
      </c>
      <c r="U756" s="129" t="str">
        <f>IFERROR(VLOOKUP($S756,References!$B$3:$C$7,2,FALSE),"")</f>
        <v/>
      </c>
      <c r="V756" s="129" t="str">
        <f t="shared" si="84"/>
        <v/>
      </c>
      <c r="W756" s="74" t="str">
        <f>IFERROR(VLOOKUP($O756,'Customer List'!$A$1:$J$488,10,FALSE),"")</f>
        <v/>
      </c>
    </row>
    <row r="757" spans="1:23">
      <c r="A757" s="125" t="str">
        <f t="shared" si="81"/>
        <v/>
      </c>
      <c r="O757" s="154"/>
      <c r="P757" s="126">
        <f t="shared" si="82"/>
        <v>0</v>
      </c>
      <c r="R757" s="127"/>
      <c r="T757" s="128">
        <f t="shared" si="83"/>
        <v>0</v>
      </c>
      <c r="U757" s="129" t="str">
        <f>IFERROR(VLOOKUP($S757,References!$B$3:$C$7,2,FALSE),"")</f>
        <v/>
      </c>
      <c r="V757" s="129" t="str">
        <f t="shared" si="84"/>
        <v/>
      </c>
      <c r="W757" s="74" t="str">
        <f>IFERROR(VLOOKUP($O757,'Customer List'!$A$1:$J$488,10,FALSE),"")</f>
        <v/>
      </c>
    </row>
    <row r="758" spans="1:23">
      <c r="A758" s="125" t="str">
        <f t="shared" si="81"/>
        <v/>
      </c>
      <c r="O758" s="154"/>
      <c r="P758" s="126">
        <f t="shared" si="82"/>
        <v>0</v>
      </c>
      <c r="R758" s="127"/>
      <c r="T758" s="128">
        <f t="shared" si="83"/>
        <v>0</v>
      </c>
      <c r="U758" s="129" t="str">
        <f>IFERROR(VLOOKUP($S758,References!$B$3:$C$7,2,FALSE),"")</f>
        <v/>
      </c>
      <c r="V758" s="129" t="str">
        <f t="shared" si="84"/>
        <v/>
      </c>
      <c r="W758" s="74" t="str">
        <f>IFERROR(VLOOKUP($O758,'Customer List'!$A$1:$J$488,10,FALSE),"")</f>
        <v/>
      </c>
    </row>
    <row r="759" spans="1:23">
      <c r="A759" s="125" t="str">
        <f t="shared" si="81"/>
        <v/>
      </c>
      <c r="O759" s="154"/>
      <c r="P759" s="126">
        <f t="shared" si="82"/>
        <v>0</v>
      </c>
      <c r="R759" s="127"/>
      <c r="T759" s="128">
        <f t="shared" si="83"/>
        <v>0</v>
      </c>
      <c r="U759" s="129" t="str">
        <f>IFERROR(VLOOKUP($S759,References!$B$3:$C$7,2,FALSE),"")</f>
        <v/>
      </c>
      <c r="V759" s="129" t="str">
        <f t="shared" si="84"/>
        <v/>
      </c>
      <c r="W759" s="74" t="str">
        <f>IFERROR(VLOOKUP($O759,'Customer List'!$A$1:$J$488,10,FALSE),"")</f>
        <v/>
      </c>
    </row>
    <row r="760" spans="1:23">
      <c r="A760" s="125" t="str">
        <f t="shared" si="81"/>
        <v/>
      </c>
      <c r="O760" s="154"/>
      <c r="P760" s="126">
        <f t="shared" si="82"/>
        <v>0</v>
      </c>
      <c r="R760" s="127"/>
      <c r="T760" s="128">
        <f t="shared" si="83"/>
        <v>0</v>
      </c>
      <c r="U760" s="129" t="str">
        <f>IFERROR(VLOOKUP($S760,References!$B$3:$C$7,2,FALSE),"")</f>
        <v/>
      </c>
      <c r="V760" s="129" t="str">
        <f t="shared" si="84"/>
        <v/>
      </c>
      <c r="W760" s="74" t="str">
        <f>IFERROR(VLOOKUP($O760,'Customer List'!$A$1:$J$488,10,FALSE),"")</f>
        <v/>
      </c>
    </row>
    <row r="761" spans="1:23">
      <c r="A761" s="125" t="str">
        <f t="shared" si="81"/>
        <v/>
      </c>
      <c r="O761" s="154"/>
      <c r="P761" s="126">
        <f t="shared" si="82"/>
        <v>0</v>
      </c>
      <c r="R761" s="127"/>
      <c r="T761" s="128">
        <f t="shared" si="83"/>
        <v>0</v>
      </c>
      <c r="U761" s="129" t="str">
        <f>IFERROR(VLOOKUP($S761,References!$B$3:$C$7,2,FALSE),"")</f>
        <v/>
      </c>
      <c r="V761" s="129" t="str">
        <f t="shared" si="84"/>
        <v/>
      </c>
      <c r="W761" s="74" t="str">
        <f>IFERROR(VLOOKUP($O761,'Customer List'!$A$1:$J$488,10,FALSE),"")</f>
        <v/>
      </c>
    </row>
    <row r="762" spans="1:23">
      <c r="A762" s="125" t="str">
        <f t="shared" si="81"/>
        <v/>
      </c>
      <c r="O762" s="154"/>
      <c r="P762" s="126">
        <f t="shared" si="82"/>
        <v>0</v>
      </c>
      <c r="R762" s="127"/>
      <c r="T762" s="128">
        <f t="shared" si="83"/>
        <v>0</v>
      </c>
      <c r="U762" s="129" t="str">
        <f>IFERROR(VLOOKUP($S762,References!$B$3:$C$7,2,FALSE),"")</f>
        <v/>
      </c>
      <c r="V762" s="129" t="str">
        <f t="shared" si="84"/>
        <v/>
      </c>
      <c r="W762" s="74" t="str">
        <f>IFERROR(VLOOKUP($O762,'Customer List'!$A$1:$J$488,10,FALSE),"")</f>
        <v/>
      </c>
    </row>
    <row r="763" spans="1:23">
      <c r="A763" s="125" t="str">
        <f t="shared" si="81"/>
        <v/>
      </c>
      <c r="O763" s="154"/>
      <c r="P763" s="126">
        <f t="shared" si="82"/>
        <v>0</v>
      </c>
      <c r="R763" s="127"/>
      <c r="T763" s="128">
        <f t="shared" si="83"/>
        <v>0</v>
      </c>
      <c r="U763" s="129" t="str">
        <f>IFERROR(VLOOKUP($S763,References!$B$3:$C$7,2,FALSE),"")</f>
        <v/>
      </c>
      <c r="V763" s="129" t="str">
        <f t="shared" si="84"/>
        <v/>
      </c>
      <c r="W763" s="74" t="str">
        <f>IFERROR(VLOOKUP($O763,'Customer List'!$A$1:$J$488,10,FALSE),"")</f>
        <v/>
      </c>
    </row>
    <row r="764" spans="1:23">
      <c r="A764" s="125" t="str">
        <f t="shared" si="81"/>
        <v/>
      </c>
      <c r="O764" s="154"/>
      <c r="P764" s="126">
        <f t="shared" si="82"/>
        <v>0</v>
      </c>
      <c r="R764" s="127"/>
      <c r="T764" s="128">
        <f t="shared" si="83"/>
        <v>0</v>
      </c>
      <c r="U764" s="129" t="str">
        <f>IFERROR(VLOOKUP($S764,References!$B$3:$C$7,2,FALSE),"")</f>
        <v/>
      </c>
      <c r="V764" s="129" t="str">
        <f t="shared" si="84"/>
        <v/>
      </c>
      <c r="W764" s="74" t="str">
        <f>IFERROR(VLOOKUP($O764,'Customer List'!$A$1:$J$488,10,FALSE),"")</f>
        <v/>
      </c>
    </row>
    <row r="765" spans="1:23">
      <c r="A765" s="125" t="str">
        <f t="shared" si="81"/>
        <v/>
      </c>
      <c r="O765" s="154"/>
      <c r="P765" s="126">
        <f t="shared" si="82"/>
        <v>0</v>
      </c>
      <c r="R765" s="127"/>
      <c r="T765" s="128">
        <f t="shared" si="83"/>
        <v>0</v>
      </c>
      <c r="U765" s="129" t="str">
        <f>IFERROR(VLOOKUP($S765,References!$B$3:$C$7,2,FALSE),"")</f>
        <v/>
      </c>
      <c r="V765" s="129" t="str">
        <f t="shared" si="84"/>
        <v/>
      </c>
      <c r="W765" s="74" t="str">
        <f>IFERROR(VLOOKUP($O765,'Customer List'!$A$1:$J$488,10,FALSE),"")</f>
        <v/>
      </c>
    </row>
    <row r="766" spans="1:23">
      <c r="A766" s="125" t="str">
        <f t="shared" si="81"/>
        <v/>
      </c>
      <c r="O766" s="154"/>
      <c r="P766" s="126">
        <f t="shared" si="82"/>
        <v>0</v>
      </c>
      <c r="R766" s="127"/>
      <c r="T766" s="128">
        <f t="shared" si="83"/>
        <v>0</v>
      </c>
      <c r="U766" s="129" t="str">
        <f>IFERROR(VLOOKUP($S766,References!$B$3:$C$7,2,FALSE),"")</f>
        <v/>
      </c>
      <c r="V766" s="129" t="str">
        <f t="shared" si="84"/>
        <v/>
      </c>
      <c r="W766" s="74" t="str">
        <f>IFERROR(VLOOKUP($O766,'Customer List'!$A$1:$J$488,10,FALSE),"")</f>
        <v/>
      </c>
    </row>
    <row r="767" spans="1:23">
      <c r="A767" s="125" t="str">
        <f t="shared" si="81"/>
        <v/>
      </c>
      <c r="O767" s="154"/>
      <c r="P767" s="126">
        <f t="shared" si="82"/>
        <v>0</v>
      </c>
      <c r="R767" s="127"/>
      <c r="T767" s="128">
        <f t="shared" si="83"/>
        <v>0</v>
      </c>
      <c r="U767" s="129" t="str">
        <f>IFERROR(VLOOKUP($S767,References!$B$3:$C$7,2,FALSE),"")</f>
        <v/>
      </c>
      <c r="V767" s="129" t="str">
        <f t="shared" si="84"/>
        <v/>
      </c>
      <c r="W767" s="74" t="str">
        <f>IFERROR(VLOOKUP($O767,'Customer List'!$A$1:$J$488,10,FALSE),"")</f>
        <v/>
      </c>
    </row>
    <row r="768" spans="1:23">
      <c r="A768" s="125" t="str">
        <f t="shared" si="81"/>
        <v/>
      </c>
      <c r="O768" s="154"/>
      <c r="P768" s="126">
        <f t="shared" si="82"/>
        <v>0</v>
      </c>
      <c r="R768" s="127"/>
      <c r="T768" s="128">
        <f t="shared" si="83"/>
        <v>0</v>
      </c>
      <c r="U768" s="129" t="str">
        <f>IFERROR(VLOOKUP($S768,References!$B$3:$C$7,2,FALSE),"")</f>
        <v/>
      </c>
      <c r="V768" s="129" t="str">
        <f t="shared" si="84"/>
        <v/>
      </c>
      <c r="W768" s="74" t="str">
        <f>IFERROR(VLOOKUP($O768,'Customer List'!$A$1:$J$488,10,FALSE),"")</f>
        <v/>
      </c>
    </row>
    <row r="769" spans="1:23">
      <c r="A769" s="125" t="str">
        <f t="shared" si="81"/>
        <v/>
      </c>
      <c r="O769" s="154"/>
      <c r="P769" s="126">
        <f t="shared" si="82"/>
        <v>0</v>
      </c>
      <c r="R769" s="127"/>
      <c r="T769" s="128">
        <f t="shared" si="83"/>
        <v>0</v>
      </c>
      <c r="U769" s="129" t="str">
        <f>IFERROR(VLOOKUP($S769,References!$B$3:$C$7,2,FALSE),"")</f>
        <v/>
      </c>
      <c r="V769" s="129" t="str">
        <f t="shared" si="84"/>
        <v/>
      </c>
      <c r="W769" s="74" t="str">
        <f>IFERROR(VLOOKUP($O769,'Customer List'!$A$1:$J$488,10,FALSE),"")</f>
        <v/>
      </c>
    </row>
    <row r="770" spans="1:23">
      <c r="A770" s="125" t="str">
        <f t="shared" si="81"/>
        <v/>
      </c>
      <c r="O770" s="154"/>
      <c r="P770" s="126">
        <f t="shared" si="82"/>
        <v>0</v>
      </c>
      <c r="R770" s="127"/>
      <c r="T770" s="128">
        <f t="shared" si="83"/>
        <v>0</v>
      </c>
      <c r="U770" s="129" t="str">
        <f>IFERROR(VLOOKUP($S770,References!$B$3:$C$7,2,FALSE),"")</f>
        <v/>
      </c>
      <c r="V770" s="129" t="str">
        <f t="shared" si="84"/>
        <v/>
      </c>
      <c r="W770" s="74" t="str">
        <f>IFERROR(VLOOKUP($O770,'Customer List'!$A$1:$J$488,10,FALSE),"")</f>
        <v/>
      </c>
    </row>
    <row r="771" spans="1:23">
      <c r="A771" s="125" t="str">
        <f t="shared" si="81"/>
        <v/>
      </c>
      <c r="O771" s="154"/>
      <c r="P771" s="126">
        <f t="shared" si="82"/>
        <v>0</v>
      </c>
      <c r="R771" s="127"/>
      <c r="T771" s="128">
        <f t="shared" si="83"/>
        <v>0</v>
      </c>
      <c r="U771" s="129" t="str">
        <f>IFERROR(VLOOKUP($S771,References!$B$3:$C$7,2,FALSE),"")</f>
        <v/>
      </c>
      <c r="V771" s="129" t="str">
        <f t="shared" si="84"/>
        <v/>
      </c>
      <c r="W771" s="74" t="str">
        <f>IFERROR(VLOOKUP($O771,'Customer List'!$A$1:$J$488,10,FALSE),"")</f>
        <v/>
      </c>
    </row>
    <row r="772" spans="1:23">
      <c r="A772" s="125" t="str">
        <f t="shared" si="81"/>
        <v/>
      </c>
      <c r="O772" s="154"/>
      <c r="P772" s="126">
        <f t="shared" si="82"/>
        <v>0</v>
      </c>
      <c r="R772" s="127"/>
      <c r="T772" s="128">
        <f t="shared" si="83"/>
        <v>0</v>
      </c>
      <c r="U772" s="129" t="str">
        <f>IFERROR(VLOOKUP($S772,References!$B$3:$C$7,2,FALSE),"")</f>
        <v/>
      </c>
      <c r="V772" s="129" t="str">
        <f t="shared" si="84"/>
        <v/>
      </c>
      <c r="W772" s="74" t="str">
        <f>IFERROR(VLOOKUP($O772,'Customer List'!$A$1:$J$488,10,FALSE),"")</f>
        <v/>
      </c>
    </row>
    <row r="773" spans="1:23">
      <c r="A773" s="125" t="str">
        <f t="shared" si="81"/>
        <v/>
      </c>
      <c r="O773" s="154"/>
      <c r="P773" s="126">
        <f t="shared" si="82"/>
        <v>0</v>
      </c>
      <c r="R773" s="127"/>
      <c r="T773" s="128">
        <f t="shared" si="83"/>
        <v>0</v>
      </c>
      <c r="U773" s="129" t="str">
        <f>IFERROR(VLOOKUP($S773,References!$B$3:$C$7,2,FALSE),"")</f>
        <v/>
      </c>
      <c r="V773" s="129" t="str">
        <f t="shared" si="84"/>
        <v/>
      </c>
      <c r="W773" s="74" t="str">
        <f>IFERROR(VLOOKUP($O773,'Customer List'!$A$1:$J$488,10,FALSE),"")</f>
        <v/>
      </c>
    </row>
    <row r="774" spans="1:23">
      <c r="A774" s="125" t="str">
        <f t="shared" si="81"/>
        <v/>
      </c>
      <c r="O774" s="154"/>
      <c r="P774" s="126">
        <f t="shared" si="82"/>
        <v>0</v>
      </c>
      <c r="R774" s="127"/>
      <c r="T774" s="128">
        <f t="shared" si="83"/>
        <v>0</v>
      </c>
      <c r="U774" s="129" t="str">
        <f>IFERROR(VLOOKUP($S774,References!$B$3:$C$7,2,FALSE),"")</f>
        <v/>
      </c>
      <c r="V774" s="129" t="str">
        <f t="shared" si="84"/>
        <v/>
      </c>
      <c r="W774" s="74" t="str">
        <f>IFERROR(VLOOKUP($O774,'Customer List'!$A$1:$J$488,10,FALSE),"")</f>
        <v/>
      </c>
    </row>
    <row r="775" spans="1:23">
      <c r="A775" s="125" t="str">
        <f t="shared" si="81"/>
        <v/>
      </c>
      <c r="O775" s="154"/>
      <c r="P775" s="126">
        <f t="shared" si="82"/>
        <v>0</v>
      </c>
      <c r="R775" s="127"/>
      <c r="T775" s="128">
        <f t="shared" si="83"/>
        <v>0</v>
      </c>
      <c r="U775" s="129" t="str">
        <f>IFERROR(VLOOKUP($S775,References!$B$3:$C$7,2,FALSE),"")</f>
        <v/>
      </c>
      <c r="V775" s="129" t="str">
        <f t="shared" si="84"/>
        <v/>
      </c>
      <c r="W775" s="74" t="str">
        <f>IFERROR(VLOOKUP($O775,'Customer List'!$A$1:$J$488,10,FALSE),"")</f>
        <v/>
      </c>
    </row>
    <row r="776" spans="1:23">
      <c r="A776" s="125" t="str">
        <f t="shared" si="81"/>
        <v/>
      </c>
      <c r="O776" s="154"/>
      <c r="P776" s="126">
        <f t="shared" si="82"/>
        <v>0</v>
      </c>
      <c r="R776" s="127"/>
      <c r="T776" s="128">
        <f t="shared" si="83"/>
        <v>0</v>
      </c>
      <c r="U776" s="129" t="str">
        <f>IFERROR(VLOOKUP($S776,References!$B$3:$C$7,2,FALSE),"")</f>
        <v/>
      </c>
      <c r="V776" s="129" t="str">
        <f t="shared" si="84"/>
        <v/>
      </c>
      <c r="W776" s="74" t="str">
        <f>IFERROR(VLOOKUP($O776,'Customer List'!$A$1:$J$488,10,FALSE),"")</f>
        <v/>
      </c>
    </row>
    <row r="777" spans="1:23">
      <c r="A777" s="125" t="str">
        <f t="shared" ref="A777:A840" si="85">O777&amp;S777</f>
        <v/>
      </c>
      <c r="O777" s="154"/>
      <c r="P777" s="126">
        <f t="shared" ref="P777:P841" si="86">INT(L777)</f>
        <v>0</v>
      </c>
      <c r="R777" s="127"/>
      <c r="T777" s="128">
        <f t="shared" si="83"/>
        <v>0</v>
      </c>
      <c r="U777" s="129" t="str">
        <f>IFERROR(VLOOKUP($S777,References!$B$3:$C$7,2,FALSE),"")</f>
        <v/>
      </c>
      <c r="V777" s="129" t="str">
        <f t="shared" si="84"/>
        <v/>
      </c>
      <c r="W777" s="74" t="str">
        <f>IFERROR(VLOOKUP($O777,'Customer List'!$A$1:$J$488,10,FALSE),"")</f>
        <v/>
      </c>
    </row>
    <row r="778" spans="1:23">
      <c r="A778" s="125" t="str">
        <f t="shared" si="85"/>
        <v/>
      </c>
      <c r="O778" s="154"/>
      <c r="P778" s="126">
        <f t="shared" si="86"/>
        <v>0</v>
      </c>
      <c r="R778" s="127"/>
      <c r="T778" s="128">
        <f t="shared" ref="T778:T841" si="87">IF(S778="50 - Cleaning Fee",1,HOUR($R778)+MINUTE(R778)/60)</f>
        <v>0</v>
      </c>
      <c r="U778" s="129" t="str">
        <f>IFERROR(VLOOKUP($S778,References!$B$3:$C$7,2,FALSE),"")</f>
        <v/>
      </c>
      <c r="V778" s="129" t="str">
        <f t="shared" ref="V778:V841" si="88">IF(T778&gt;=8,400,(IFERROR(T778*U778,"")))</f>
        <v/>
      </c>
      <c r="W778" s="74" t="str">
        <f>IFERROR(VLOOKUP($O778,'Customer List'!$A$1:$J$488,10,FALSE),"")</f>
        <v/>
      </c>
    </row>
    <row r="779" spans="1:23">
      <c r="A779" s="125" t="str">
        <f t="shared" si="85"/>
        <v/>
      </c>
      <c r="O779" s="154"/>
      <c r="P779" s="126">
        <f t="shared" si="86"/>
        <v>0</v>
      </c>
      <c r="R779" s="127"/>
      <c r="T779" s="128">
        <f t="shared" si="87"/>
        <v>0</v>
      </c>
      <c r="U779" s="129" t="str">
        <f>IFERROR(VLOOKUP($S779,References!$B$3:$C$7,2,FALSE),"")</f>
        <v/>
      </c>
      <c r="V779" s="129" t="str">
        <f t="shared" si="88"/>
        <v/>
      </c>
      <c r="W779" s="74" t="str">
        <f>IFERROR(VLOOKUP($O779,'Customer List'!$A$1:$J$488,10,FALSE),"")</f>
        <v/>
      </c>
    </row>
    <row r="780" spans="1:23">
      <c r="A780" s="125" t="str">
        <f t="shared" si="85"/>
        <v/>
      </c>
      <c r="O780" s="154"/>
      <c r="P780" s="126">
        <f t="shared" si="86"/>
        <v>0</v>
      </c>
      <c r="R780" s="127"/>
      <c r="T780" s="128">
        <f t="shared" si="87"/>
        <v>0</v>
      </c>
      <c r="U780" s="129" t="str">
        <f>IFERROR(VLOOKUP($S780,References!$B$3:$C$7,2,FALSE),"")</f>
        <v/>
      </c>
      <c r="V780" s="129" t="str">
        <f t="shared" si="88"/>
        <v/>
      </c>
      <c r="W780" s="74" t="str">
        <f>IFERROR(VLOOKUP($O780,'Customer List'!$A$1:$J$488,10,FALSE),"")</f>
        <v/>
      </c>
    </row>
    <row r="781" spans="1:23">
      <c r="A781" s="125" t="str">
        <f t="shared" si="85"/>
        <v/>
      </c>
      <c r="O781" s="154"/>
      <c r="P781" s="126">
        <f t="shared" si="86"/>
        <v>0</v>
      </c>
      <c r="R781" s="127"/>
      <c r="T781" s="128">
        <f t="shared" si="87"/>
        <v>0</v>
      </c>
      <c r="U781" s="129" t="str">
        <f>IFERROR(VLOOKUP($S781,References!$B$3:$C$7,2,FALSE),"")</f>
        <v/>
      </c>
      <c r="V781" s="129" t="str">
        <f t="shared" si="88"/>
        <v/>
      </c>
      <c r="W781" s="74" t="str">
        <f>IFERROR(VLOOKUP($O781,'Customer List'!$A$1:$J$488,10,FALSE),"")</f>
        <v/>
      </c>
    </row>
    <row r="782" spans="1:23">
      <c r="A782" s="125" t="str">
        <f t="shared" si="85"/>
        <v/>
      </c>
      <c r="O782" s="154"/>
      <c r="P782" s="126">
        <f t="shared" si="86"/>
        <v>0</v>
      </c>
      <c r="R782" s="127"/>
      <c r="T782" s="128">
        <f t="shared" si="87"/>
        <v>0</v>
      </c>
      <c r="U782" s="129" t="str">
        <f>IFERROR(VLOOKUP($S782,References!$B$3:$C$7,2,FALSE),"")</f>
        <v/>
      </c>
      <c r="V782" s="129" t="str">
        <f t="shared" si="88"/>
        <v/>
      </c>
      <c r="W782" s="74" t="str">
        <f>IFERROR(VLOOKUP($O782,'Customer List'!$A$1:$J$488,10,FALSE),"")</f>
        <v/>
      </c>
    </row>
    <row r="783" spans="1:23">
      <c r="A783" s="125" t="str">
        <f t="shared" si="85"/>
        <v/>
      </c>
      <c r="O783" s="154"/>
      <c r="P783" s="126">
        <f t="shared" si="86"/>
        <v>0</v>
      </c>
      <c r="R783" s="127"/>
      <c r="T783" s="128">
        <f t="shared" si="87"/>
        <v>0</v>
      </c>
      <c r="U783" s="129" t="str">
        <f>IFERROR(VLOOKUP($S783,References!$B$3:$C$7,2,FALSE),"")</f>
        <v/>
      </c>
      <c r="V783" s="129" t="str">
        <f t="shared" si="88"/>
        <v/>
      </c>
      <c r="W783" s="74" t="str">
        <f>IFERROR(VLOOKUP($O783,'Customer List'!$A$1:$J$488,10,FALSE),"")</f>
        <v/>
      </c>
    </row>
    <row r="784" spans="1:23">
      <c r="A784" s="125" t="str">
        <f t="shared" si="85"/>
        <v/>
      </c>
      <c r="O784" s="154"/>
      <c r="P784" s="126">
        <f t="shared" si="86"/>
        <v>0</v>
      </c>
      <c r="R784" s="127"/>
      <c r="T784" s="128">
        <f t="shared" si="87"/>
        <v>0</v>
      </c>
      <c r="U784" s="129" t="str">
        <f>IFERROR(VLOOKUP($S784,References!$B$3:$C$7,2,FALSE),"")</f>
        <v/>
      </c>
      <c r="V784" s="129" t="str">
        <f t="shared" si="88"/>
        <v/>
      </c>
      <c r="W784" s="74" t="str">
        <f>IFERROR(VLOOKUP($O784,'Customer List'!$A$1:$J$488,10,FALSE),"")</f>
        <v/>
      </c>
    </row>
    <row r="785" spans="1:23">
      <c r="A785" s="125" t="str">
        <f t="shared" si="85"/>
        <v/>
      </c>
      <c r="O785" s="154"/>
      <c r="P785" s="126">
        <f t="shared" si="86"/>
        <v>0</v>
      </c>
      <c r="R785" s="127"/>
      <c r="T785" s="128">
        <f t="shared" si="87"/>
        <v>0</v>
      </c>
      <c r="U785" s="129" t="str">
        <f>IFERROR(VLOOKUP($S785,References!$B$3:$C$7,2,FALSE),"")</f>
        <v/>
      </c>
      <c r="V785" s="129" t="str">
        <f t="shared" si="88"/>
        <v/>
      </c>
      <c r="W785" s="74" t="str">
        <f>IFERROR(VLOOKUP($O785,'Customer List'!$A$1:$J$488,10,FALSE),"")</f>
        <v/>
      </c>
    </row>
    <row r="786" spans="1:23">
      <c r="A786" s="125" t="str">
        <f t="shared" si="85"/>
        <v/>
      </c>
      <c r="O786" s="154"/>
      <c r="P786" s="126">
        <f t="shared" si="86"/>
        <v>0</v>
      </c>
      <c r="R786" s="127"/>
      <c r="T786" s="128">
        <f t="shared" si="87"/>
        <v>0</v>
      </c>
      <c r="U786" s="129" t="str">
        <f>IFERROR(VLOOKUP($S786,References!$B$3:$C$7,2,FALSE),"")</f>
        <v/>
      </c>
      <c r="V786" s="129" t="str">
        <f t="shared" si="88"/>
        <v/>
      </c>
      <c r="W786" s="74" t="str">
        <f>IFERROR(VLOOKUP($O786,'Customer List'!$A$1:$J$488,10,FALSE),"")</f>
        <v/>
      </c>
    </row>
    <row r="787" spans="1:23">
      <c r="A787" s="125" t="str">
        <f t="shared" si="85"/>
        <v/>
      </c>
      <c r="O787" s="154"/>
      <c r="P787" s="126">
        <f t="shared" si="86"/>
        <v>0</v>
      </c>
      <c r="R787" s="127"/>
      <c r="T787" s="128">
        <f t="shared" si="87"/>
        <v>0</v>
      </c>
      <c r="U787" s="129" t="str">
        <f>IFERROR(VLOOKUP($S787,References!$B$3:$C$7,2,FALSE),"")</f>
        <v/>
      </c>
      <c r="V787" s="129" t="str">
        <f t="shared" si="88"/>
        <v/>
      </c>
      <c r="W787" s="74" t="str">
        <f>IFERROR(VLOOKUP($O787,'Customer List'!$A$1:$J$488,10,FALSE),"")</f>
        <v/>
      </c>
    </row>
    <row r="788" spans="1:23">
      <c r="A788" s="125" t="str">
        <f t="shared" si="85"/>
        <v/>
      </c>
      <c r="O788" s="154"/>
      <c r="P788" s="126">
        <f t="shared" si="86"/>
        <v>0</v>
      </c>
      <c r="R788" s="127"/>
      <c r="T788" s="128">
        <f t="shared" si="87"/>
        <v>0</v>
      </c>
      <c r="U788" s="129" t="str">
        <f>IFERROR(VLOOKUP($S788,References!$B$3:$C$7,2,FALSE),"")</f>
        <v/>
      </c>
      <c r="V788" s="129" t="str">
        <f t="shared" si="88"/>
        <v/>
      </c>
      <c r="W788" s="74" t="str">
        <f>IFERROR(VLOOKUP($O788,'Customer List'!$A$1:$J$488,10,FALSE),"")</f>
        <v/>
      </c>
    </row>
    <row r="789" spans="1:23">
      <c r="A789" s="125" t="str">
        <f t="shared" si="85"/>
        <v/>
      </c>
      <c r="O789" s="154"/>
      <c r="P789" s="126">
        <f t="shared" si="86"/>
        <v>0</v>
      </c>
      <c r="R789" s="127"/>
      <c r="T789" s="128">
        <f t="shared" si="87"/>
        <v>0</v>
      </c>
      <c r="U789" s="129" t="str">
        <f>IFERROR(VLOOKUP($S789,References!$B$3:$C$7,2,FALSE),"")</f>
        <v/>
      </c>
      <c r="V789" s="129" t="str">
        <f t="shared" si="88"/>
        <v/>
      </c>
      <c r="W789" s="74" t="str">
        <f>IFERROR(VLOOKUP($O789,'Customer List'!$A$1:$J$488,10,FALSE),"")</f>
        <v/>
      </c>
    </row>
    <row r="790" spans="1:23">
      <c r="A790" s="125" t="str">
        <f t="shared" si="85"/>
        <v/>
      </c>
      <c r="O790" s="154"/>
      <c r="P790" s="126">
        <f t="shared" si="86"/>
        <v>0</v>
      </c>
      <c r="R790" s="127"/>
      <c r="T790" s="128">
        <f t="shared" si="87"/>
        <v>0</v>
      </c>
      <c r="U790" s="129" t="str">
        <f>IFERROR(VLOOKUP($S790,References!$B$3:$C$7,2,FALSE),"")</f>
        <v/>
      </c>
      <c r="V790" s="129" t="str">
        <f t="shared" si="88"/>
        <v/>
      </c>
      <c r="W790" s="74" t="str">
        <f>IFERROR(VLOOKUP($O790,'Customer List'!$A$1:$J$488,10,FALSE),"")</f>
        <v/>
      </c>
    </row>
    <row r="791" spans="1:23">
      <c r="A791" s="125" t="str">
        <f t="shared" si="85"/>
        <v/>
      </c>
      <c r="O791" s="154"/>
      <c r="P791" s="126">
        <f t="shared" si="86"/>
        <v>0</v>
      </c>
      <c r="R791" s="127"/>
      <c r="T791" s="128">
        <f t="shared" si="87"/>
        <v>0</v>
      </c>
      <c r="U791" s="129" t="str">
        <f>IFERROR(VLOOKUP($S791,References!$B$3:$C$7,2,FALSE),"")</f>
        <v/>
      </c>
      <c r="V791" s="129" t="str">
        <f t="shared" si="88"/>
        <v/>
      </c>
      <c r="W791" s="74" t="str">
        <f>IFERROR(VLOOKUP($O791,'Customer List'!$A$1:$J$488,10,FALSE),"")</f>
        <v/>
      </c>
    </row>
    <row r="792" spans="1:23">
      <c r="A792" s="125" t="str">
        <f t="shared" si="85"/>
        <v/>
      </c>
      <c r="O792" s="154"/>
      <c r="P792" s="126">
        <f t="shared" si="86"/>
        <v>0</v>
      </c>
      <c r="R792" s="127"/>
      <c r="T792" s="128">
        <f t="shared" si="87"/>
        <v>0</v>
      </c>
      <c r="U792" s="129" t="str">
        <f>IFERROR(VLOOKUP($S792,References!$B$3:$C$7,2,FALSE),"")</f>
        <v/>
      </c>
      <c r="V792" s="129" t="str">
        <f t="shared" si="88"/>
        <v/>
      </c>
      <c r="W792" s="74" t="str">
        <f>IFERROR(VLOOKUP($O792,'Customer List'!$A$1:$J$488,10,FALSE),"")</f>
        <v/>
      </c>
    </row>
    <row r="793" spans="1:23">
      <c r="A793" s="125" t="str">
        <f t="shared" si="85"/>
        <v/>
      </c>
      <c r="O793" s="154"/>
      <c r="P793" s="126">
        <f t="shared" si="86"/>
        <v>0</v>
      </c>
      <c r="R793" s="127"/>
      <c r="T793" s="128">
        <f t="shared" si="87"/>
        <v>0</v>
      </c>
      <c r="U793" s="129" t="str">
        <f>IFERROR(VLOOKUP($S793,References!$B$3:$C$7,2,FALSE),"")</f>
        <v/>
      </c>
      <c r="V793" s="129" t="str">
        <f t="shared" si="88"/>
        <v/>
      </c>
      <c r="W793" s="74" t="str">
        <f>IFERROR(VLOOKUP($O793,'Customer List'!$A$1:$J$488,10,FALSE),"")</f>
        <v/>
      </c>
    </row>
    <row r="794" spans="1:23">
      <c r="A794" s="125" t="str">
        <f t="shared" si="85"/>
        <v/>
      </c>
      <c r="O794" s="154"/>
      <c r="P794" s="126">
        <f t="shared" si="86"/>
        <v>0</v>
      </c>
      <c r="R794" s="127"/>
      <c r="T794" s="128">
        <f t="shared" si="87"/>
        <v>0</v>
      </c>
      <c r="U794" s="129" t="str">
        <f>IFERROR(VLOOKUP($S794,References!$B$3:$C$7,2,FALSE),"")</f>
        <v/>
      </c>
      <c r="V794" s="129" t="str">
        <f t="shared" si="88"/>
        <v/>
      </c>
      <c r="W794" s="74" t="str">
        <f>IFERROR(VLOOKUP($O794,'Customer List'!$A$1:$J$488,10,FALSE),"")</f>
        <v/>
      </c>
    </row>
    <row r="795" spans="1:23">
      <c r="A795" s="125" t="str">
        <f t="shared" si="85"/>
        <v/>
      </c>
      <c r="O795" s="154"/>
      <c r="P795" s="126">
        <f t="shared" si="86"/>
        <v>0</v>
      </c>
      <c r="R795" s="127"/>
      <c r="T795" s="128">
        <f t="shared" si="87"/>
        <v>0</v>
      </c>
      <c r="U795" s="129" t="str">
        <f>IFERROR(VLOOKUP($S795,References!$B$3:$C$7,2,FALSE),"")</f>
        <v/>
      </c>
      <c r="V795" s="129" t="str">
        <f t="shared" si="88"/>
        <v/>
      </c>
      <c r="W795" s="74" t="str">
        <f>IFERROR(VLOOKUP($O795,'Customer List'!$A$1:$J$488,10,FALSE),"")</f>
        <v/>
      </c>
    </row>
    <row r="796" spans="1:23">
      <c r="A796" s="125" t="str">
        <f t="shared" si="85"/>
        <v/>
      </c>
      <c r="O796" s="154"/>
      <c r="P796" s="126">
        <f t="shared" si="86"/>
        <v>0</v>
      </c>
      <c r="R796" s="127"/>
      <c r="T796" s="128">
        <f t="shared" si="87"/>
        <v>0</v>
      </c>
      <c r="U796" s="129" t="str">
        <f>IFERROR(VLOOKUP($S796,References!$B$3:$C$7,2,FALSE),"")</f>
        <v/>
      </c>
      <c r="V796" s="129" t="str">
        <f t="shared" si="88"/>
        <v/>
      </c>
      <c r="W796" s="74" t="str">
        <f>IFERROR(VLOOKUP($O796,'Customer List'!$A$1:$J$488,10,FALSE),"")</f>
        <v/>
      </c>
    </row>
    <row r="797" spans="1:23">
      <c r="A797" s="125" t="str">
        <f t="shared" si="85"/>
        <v/>
      </c>
      <c r="O797" s="154"/>
      <c r="P797" s="126">
        <f t="shared" si="86"/>
        <v>0</v>
      </c>
      <c r="R797" s="127"/>
      <c r="T797" s="128">
        <f t="shared" si="87"/>
        <v>0</v>
      </c>
      <c r="U797" s="129" t="str">
        <f>IFERROR(VLOOKUP($S797,References!$B$3:$C$7,2,FALSE),"")</f>
        <v/>
      </c>
      <c r="V797" s="129" t="str">
        <f t="shared" si="88"/>
        <v/>
      </c>
      <c r="W797" s="74" t="str">
        <f>IFERROR(VLOOKUP($O797,'Customer List'!$A$1:$J$488,10,FALSE),"")</f>
        <v/>
      </c>
    </row>
    <row r="798" spans="1:23">
      <c r="A798" s="125" t="str">
        <f t="shared" si="85"/>
        <v/>
      </c>
      <c r="O798" s="154"/>
      <c r="P798" s="126">
        <f t="shared" si="86"/>
        <v>0</v>
      </c>
      <c r="R798" s="127"/>
      <c r="T798" s="128">
        <f t="shared" si="87"/>
        <v>0</v>
      </c>
      <c r="U798" s="129" t="str">
        <f>IFERROR(VLOOKUP($S798,References!$B$3:$C$7,2,FALSE),"")</f>
        <v/>
      </c>
      <c r="V798" s="129" t="str">
        <f t="shared" si="88"/>
        <v/>
      </c>
      <c r="W798" s="74" t="str">
        <f>IFERROR(VLOOKUP($O798,'Customer List'!$A$1:$J$488,10,FALSE),"")</f>
        <v/>
      </c>
    </row>
    <row r="799" spans="1:23">
      <c r="A799" s="125" t="str">
        <f t="shared" si="85"/>
        <v/>
      </c>
      <c r="O799" s="154"/>
      <c r="P799" s="126">
        <f t="shared" si="86"/>
        <v>0</v>
      </c>
      <c r="R799" s="127"/>
      <c r="T799" s="128">
        <f t="shared" si="87"/>
        <v>0</v>
      </c>
      <c r="U799" s="129" t="str">
        <f>IFERROR(VLOOKUP($S799,References!$B$3:$C$7,2,FALSE),"")</f>
        <v/>
      </c>
      <c r="V799" s="129" t="str">
        <f t="shared" si="88"/>
        <v/>
      </c>
      <c r="W799" s="74" t="str">
        <f>IFERROR(VLOOKUP($O799,'Customer List'!$A$1:$J$488,10,FALSE),"")</f>
        <v/>
      </c>
    </row>
    <row r="800" spans="1:23">
      <c r="A800" s="125" t="str">
        <f t="shared" si="85"/>
        <v/>
      </c>
      <c r="O800" s="154"/>
      <c r="P800" s="126">
        <f t="shared" si="86"/>
        <v>0</v>
      </c>
      <c r="R800" s="127"/>
      <c r="T800" s="128">
        <f t="shared" si="87"/>
        <v>0</v>
      </c>
      <c r="U800" s="129" t="str">
        <f>IFERROR(VLOOKUP($S800,References!$B$3:$C$7,2,FALSE),"")</f>
        <v/>
      </c>
      <c r="V800" s="129" t="str">
        <f t="shared" si="88"/>
        <v/>
      </c>
      <c r="W800" s="74" t="str">
        <f>IFERROR(VLOOKUP($O800,'Customer List'!$A$1:$J$488,10,FALSE),"")</f>
        <v/>
      </c>
    </row>
    <row r="801" spans="1:23">
      <c r="A801" s="125" t="str">
        <f t="shared" si="85"/>
        <v/>
      </c>
      <c r="O801" s="154"/>
      <c r="P801" s="126">
        <f t="shared" si="86"/>
        <v>0</v>
      </c>
      <c r="R801" s="127"/>
      <c r="T801" s="128">
        <f t="shared" si="87"/>
        <v>0</v>
      </c>
      <c r="U801" s="129" t="str">
        <f>IFERROR(VLOOKUP($S801,References!$B$3:$C$7,2,FALSE),"")</f>
        <v/>
      </c>
      <c r="V801" s="129" t="str">
        <f t="shared" si="88"/>
        <v/>
      </c>
      <c r="W801" s="74" t="str">
        <f>IFERROR(VLOOKUP($O801,'Customer List'!$A$1:$J$488,10,FALSE),"")</f>
        <v/>
      </c>
    </row>
    <row r="802" spans="1:23">
      <c r="A802" s="125" t="str">
        <f t="shared" si="85"/>
        <v/>
      </c>
      <c r="O802" s="154"/>
      <c r="P802" s="126">
        <f t="shared" si="86"/>
        <v>0</v>
      </c>
      <c r="R802" s="127"/>
      <c r="T802" s="128">
        <f t="shared" si="87"/>
        <v>0</v>
      </c>
      <c r="U802" s="129" t="str">
        <f>IFERROR(VLOOKUP($S802,References!$B$3:$C$7,2,FALSE),"")</f>
        <v/>
      </c>
      <c r="V802" s="129" t="str">
        <f t="shared" si="88"/>
        <v/>
      </c>
      <c r="W802" s="74" t="str">
        <f>IFERROR(VLOOKUP($O802,'Customer List'!$A$1:$J$488,10,FALSE),"")</f>
        <v/>
      </c>
    </row>
    <row r="803" spans="1:23">
      <c r="A803" s="125" t="str">
        <f t="shared" si="85"/>
        <v/>
      </c>
      <c r="O803" s="154"/>
      <c r="P803" s="126">
        <f t="shared" si="86"/>
        <v>0</v>
      </c>
      <c r="R803" s="127"/>
      <c r="T803" s="128">
        <f t="shared" si="87"/>
        <v>0</v>
      </c>
      <c r="U803" s="129" t="str">
        <f>IFERROR(VLOOKUP($S803,References!$B$3:$C$7,2,FALSE),"")</f>
        <v/>
      </c>
      <c r="V803" s="129" t="str">
        <f t="shared" si="88"/>
        <v/>
      </c>
      <c r="W803" s="74" t="str">
        <f>IFERROR(VLOOKUP($O803,'Customer List'!$A$1:$J$488,10,FALSE),"")</f>
        <v/>
      </c>
    </row>
    <row r="804" spans="1:23">
      <c r="A804" s="125" t="str">
        <f t="shared" si="85"/>
        <v/>
      </c>
      <c r="O804" s="154"/>
      <c r="P804" s="126">
        <f t="shared" si="86"/>
        <v>0</v>
      </c>
      <c r="R804" s="127"/>
      <c r="T804" s="128">
        <f t="shared" si="87"/>
        <v>0</v>
      </c>
      <c r="U804" s="129" t="str">
        <f>IFERROR(VLOOKUP($S804,References!$B$3:$C$7,2,FALSE),"")</f>
        <v/>
      </c>
      <c r="V804" s="129" t="str">
        <f t="shared" si="88"/>
        <v/>
      </c>
      <c r="W804" s="74" t="str">
        <f>IFERROR(VLOOKUP($O804,'Customer List'!$A$1:$J$488,10,FALSE),"")</f>
        <v/>
      </c>
    </row>
    <row r="805" spans="1:23">
      <c r="A805" s="125" t="str">
        <f t="shared" si="85"/>
        <v/>
      </c>
      <c r="O805" s="154"/>
      <c r="P805" s="126">
        <f t="shared" si="86"/>
        <v>0</v>
      </c>
      <c r="R805" s="127"/>
      <c r="T805" s="128">
        <f t="shared" si="87"/>
        <v>0</v>
      </c>
      <c r="U805" s="129" t="str">
        <f>IFERROR(VLOOKUP($S805,References!$B$3:$C$7,2,FALSE),"")</f>
        <v/>
      </c>
      <c r="V805" s="129" t="str">
        <f t="shared" si="88"/>
        <v/>
      </c>
      <c r="W805" s="74" t="str">
        <f>IFERROR(VLOOKUP($O805,'Customer List'!$A$1:$J$488,10,FALSE),"")</f>
        <v/>
      </c>
    </row>
    <row r="806" spans="1:23">
      <c r="A806" s="125" t="str">
        <f t="shared" si="85"/>
        <v/>
      </c>
      <c r="O806" s="154"/>
      <c r="P806" s="126">
        <f t="shared" si="86"/>
        <v>0</v>
      </c>
      <c r="R806" s="127"/>
      <c r="T806" s="128">
        <f t="shared" si="87"/>
        <v>0</v>
      </c>
      <c r="U806" s="129" t="str">
        <f>IFERROR(VLOOKUP($S806,References!$B$3:$C$7,2,FALSE),"")</f>
        <v/>
      </c>
      <c r="V806" s="129" t="str">
        <f t="shared" si="88"/>
        <v/>
      </c>
      <c r="W806" s="74" t="str">
        <f>IFERROR(VLOOKUP($O806,'Customer List'!$A$1:$J$488,10,FALSE),"")</f>
        <v/>
      </c>
    </row>
    <row r="807" spans="1:23">
      <c r="A807" s="125" t="str">
        <f t="shared" si="85"/>
        <v/>
      </c>
      <c r="O807" s="154"/>
      <c r="P807" s="126">
        <f t="shared" si="86"/>
        <v>0</v>
      </c>
      <c r="R807" s="127"/>
      <c r="T807" s="128">
        <f t="shared" si="87"/>
        <v>0</v>
      </c>
      <c r="U807" s="129" t="str">
        <f>IFERROR(VLOOKUP($S807,References!$B$3:$C$7,2,FALSE),"")</f>
        <v/>
      </c>
      <c r="V807" s="129" t="str">
        <f t="shared" si="88"/>
        <v/>
      </c>
      <c r="W807" s="74" t="str">
        <f>IFERROR(VLOOKUP($O807,'Customer List'!$A$1:$J$488,10,FALSE),"")</f>
        <v/>
      </c>
    </row>
    <row r="808" spans="1:23">
      <c r="A808" s="125" t="str">
        <f t="shared" si="85"/>
        <v/>
      </c>
      <c r="O808" s="154"/>
      <c r="P808" s="126">
        <f t="shared" si="86"/>
        <v>0</v>
      </c>
      <c r="R808" s="127"/>
      <c r="T808" s="128">
        <f t="shared" si="87"/>
        <v>0</v>
      </c>
      <c r="U808" s="129" t="str">
        <f>IFERROR(VLOOKUP($S808,References!$B$3:$C$7,2,FALSE),"")</f>
        <v/>
      </c>
      <c r="V808" s="129" t="str">
        <f t="shared" si="88"/>
        <v/>
      </c>
      <c r="W808" s="74" t="str">
        <f>IFERROR(VLOOKUP($O808,'Customer List'!$A$1:$J$488,10,FALSE),"")</f>
        <v/>
      </c>
    </row>
    <row r="809" spans="1:23">
      <c r="A809" s="125" t="str">
        <f t="shared" si="85"/>
        <v/>
      </c>
      <c r="O809" s="154"/>
      <c r="P809" s="126">
        <f t="shared" si="86"/>
        <v>0</v>
      </c>
      <c r="R809" s="127"/>
      <c r="T809" s="128">
        <f t="shared" si="87"/>
        <v>0</v>
      </c>
      <c r="U809" s="129" t="str">
        <f>IFERROR(VLOOKUP($S809,References!$B$3:$C$7,2,FALSE),"")</f>
        <v/>
      </c>
      <c r="V809" s="129" t="str">
        <f t="shared" si="88"/>
        <v/>
      </c>
      <c r="W809" s="74" t="str">
        <f>IFERROR(VLOOKUP($O809,'Customer List'!$A$1:$J$488,10,FALSE),"")</f>
        <v/>
      </c>
    </row>
    <row r="810" spans="1:23">
      <c r="A810" s="125" t="str">
        <f t="shared" si="85"/>
        <v/>
      </c>
      <c r="O810" s="154"/>
      <c r="P810" s="126">
        <f t="shared" si="86"/>
        <v>0</v>
      </c>
      <c r="R810" s="127"/>
      <c r="T810" s="128">
        <f t="shared" si="87"/>
        <v>0</v>
      </c>
      <c r="U810" s="129" t="str">
        <f>IFERROR(VLOOKUP($S810,References!$B$3:$C$7,2,FALSE),"")</f>
        <v/>
      </c>
      <c r="V810" s="129" t="str">
        <f t="shared" si="88"/>
        <v/>
      </c>
      <c r="W810" s="74" t="str">
        <f>IFERROR(VLOOKUP($O810,'Customer List'!$A$1:$J$488,10,FALSE),"")</f>
        <v/>
      </c>
    </row>
    <row r="811" spans="1:23">
      <c r="A811" s="125" t="str">
        <f t="shared" si="85"/>
        <v/>
      </c>
      <c r="O811" s="154"/>
      <c r="P811" s="126">
        <f t="shared" si="86"/>
        <v>0</v>
      </c>
      <c r="R811" s="127"/>
      <c r="T811" s="128">
        <f t="shared" si="87"/>
        <v>0</v>
      </c>
      <c r="U811" s="129" t="str">
        <f>IFERROR(VLOOKUP($S811,References!$B$3:$C$7,2,FALSE),"")</f>
        <v/>
      </c>
      <c r="V811" s="129" t="str">
        <f t="shared" si="88"/>
        <v/>
      </c>
      <c r="W811" s="74" t="str">
        <f>IFERROR(VLOOKUP($O811,'Customer List'!$A$1:$J$488,10,FALSE),"")</f>
        <v/>
      </c>
    </row>
    <row r="812" spans="1:23">
      <c r="A812" s="125" t="str">
        <f t="shared" si="85"/>
        <v/>
      </c>
      <c r="O812" s="154"/>
      <c r="P812" s="126">
        <f t="shared" si="86"/>
        <v>0</v>
      </c>
      <c r="R812" s="127"/>
      <c r="T812" s="128">
        <f t="shared" si="87"/>
        <v>0</v>
      </c>
      <c r="U812" s="129" t="str">
        <f>IFERROR(VLOOKUP($S812,References!$B$3:$C$7,2,FALSE),"")</f>
        <v/>
      </c>
      <c r="V812" s="129" t="str">
        <f t="shared" si="88"/>
        <v/>
      </c>
      <c r="W812" s="74" t="str">
        <f>IFERROR(VLOOKUP($O812,'Customer List'!$A$1:$J$488,10,FALSE),"")</f>
        <v/>
      </c>
    </row>
    <row r="813" spans="1:23">
      <c r="A813" s="125" t="str">
        <f t="shared" si="85"/>
        <v/>
      </c>
      <c r="O813" s="154"/>
      <c r="P813" s="126">
        <f t="shared" si="86"/>
        <v>0</v>
      </c>
      <c r="R813" s="127"/>
      <c r="T813" s="128">
        <f t="shared" si="87"/>
        <v>0</v>
      </c>
      <c r="U813" s="129" t="str">
        <f>IFERROR(VLOOKUP($S813,References!$B$3:$C$7,2,FALSE),"")</f>
        <v/>
      </c>
      <c r="V813" s="129" t="str">
        <f t="shared" si="88"/>
        <v/>
      </c>
      <c r="W813" s="74" t="str">
        <f>IFERROR(VLOOKUP($O813,'Customer List'!$A$1:$J$488,10,FALSE),"")</f>
        <v/>
      </c>
    </row>
    <row r="814" spans="1:23">
      <c r="A814" s="125" t="str">
        <f t="shared" si="85"/>
        <v/>
      </c>
      <c r="O814" s="154"/>
      <c r="P814" s="126">
        <f t="shared" si="86"/>
        <v>0</v>
      </c>
      <c r="R814" s="127"/>
      <c r="T814" s="128">
        <f t="shared" si="87"/>
        <v>0</v>
      </c>
      <c r="U814" s="129" t="str">
        <f>IFERROR(VLOOKUP($S814,References!$B$3:$C$7,2,FALSE),"")</f>
        <v/>
      </c>
      <c r="V814" s="129" t="str">
        <f t="shared" si="88"/>
        <v/>
      </c>
      <c r="W814" s="74" t="str">
        <f>IFERROR(VLOOKUP($O814,'Customer List'!$A$1:$J$488,10,FALSE),"")</f>
        <v/>
      </c>
    </row>
    <row r="815" spans="1:23">
      <c r="A815" s="125" t="str">
        <f t="shared" si="85"/>
        <v/>
      </c>
      <c r="O815" s="154"/>
      <c r="P815" s="126">
        <f t="shared" si="86"/>
        <v>0</v>
      </c>
      <c r="R815" s="127"/>
      <c r="T815" s="128">
        <f t="shared" si="87"/>
        <v>0</v>
      </c>
      <c r="U815" s="129" t="str">
        <f>IFERROR(VLOOKUP($S815,References!$B$3:$C$7,2,FALSE),"")</f>
        <v/>
      </c>
      <c r="V815" s="129" t="str">
        <f t="shared" si="88"/>
        <v/>
      </c>
      <c r="W815" s="74" t="str">
        <f>IFERROR(VLOOKUP($O815,'Customer List'!$A$1:$J$488,10,FALSE),"")</f>
        <v/>
      </c>
    </row>
    <row r="816" spans="1:23">
      <c r="A816" s="125" t="str">
        <f t="shared" si="85"/>
        <v/>
      </c>
      <c r="O816" s="154"/>
      <c r="P816" s="126">
        <f t="shared" si="86"/>
        <v>0</v>
      </c>
      <c r="R816" s="127"/>
      <c r="T816" s="128">
        <f t="shared" si="87"/>
        <v>0</v>
      </c>
      <c r="U816" s="129" t="str">
        <f>IFERROR(VLOOKUP($S816,References!$B$3:$C$7,2,FALSE),"")</f>
        <v/>
      </c>
      <c r="V816" s="129" t="str">
        <f t="shared" si="88"/>
        <v/>
      </c>
      <c r="W816" s="74" t="str">
        <f>IFERROR(VLOOKUP($O816,'Customer List'!$A$1:$J$488,10,FALSE),"")</f>
        <v/>
      </c>
    </row>
    <row r="817" spans="1:23">
      <c r="A817" s="125" t="str">
        <f t="shared" si="85"/>
        <v/>
      </c>
      <c r="O817" s="154"/>
      <c r="P817" s="126">
        <f t="shared" si="86"/>
        <v>0</v>
      </c>
      <c r="R817" s="127"/>
      <c r="T817" s="128">
        <f t="shared" si="87"/>
        <v>0</v>
      </c>
      <c r="U817" s="129" t="str">
        <f>IFERROR(VLOOKUP($S817,References!$B$3:$C$7,2,FALSE),"")</f>
        <v/>
      </c>
      <c r="V817" s="129" t="str">
        <f t="shared" si="88"/>
        <v/>
      </c>
      <c r="W817" s="74" t="str">
        <f>IFERROR(VLOOKUP($O817,'Customer List'!$A$1:$J$488,10,FALSE),"")</f>
        <v/>
      </c>
    </row>
    <row r="818" spans="1:23">
      <c r="A818" s="125" t="str">
        <f t="shared" si="85"/>
        <v/>
      </c>
      <c r="O818" s="154"/>
      <c r="P818" s="126">
        <f t="shared" si="86"/>
        <v>0</v>
      </c>
      <c r="R818" s="127"/>
      <c r="T818" s="128">
        <f t="shared" si="87"/>
        <v>0</v>
      </c>
      <c r="U818" s="129" t="str">
        <f>IFERROR(VLOOKUP($S818,References!$B$3:$C$7,2,FALSE),"")</f>
        <v/>
      </c>
      <c r="V818" s="129" t="str">
        <f t="shared" si="88"/>
        <v/>
      </c>
      <c r="W818" s="74" t="str">
        <f>IFERROR(VLOOKUP($O818,'Customer List'!$A$1:$J$488,10,FALSE),"")</f>
        <v/>
      </c>
    </row>
    <row r="819" spans="1:23">
      <c r="A819" s="125" t="str">
        <f t="shared" si="85"/>
        <v/>
      </c>
      <c r="O819" s="154"/>
      <c r="P819" s="126">
        <f t="shared" si="86"/>
        <v>0</v>
      </c>
      <c r="R819" s="127"/>
      <c r="T819" s="128">
        <f t="shared" si="87"/>
        <v>0</v>
      </c>
      <c r="U819" s="129" t="str">
        <f>IFERROR(VLOOKUP($S819,References!$B$3:$C$7,2,FALSE),"")</f>
        <v/>
      </c>
      <c r="V819" s="129" t="str">
        <f t="shared" si="88"/>
        <v/>
      </c>
      <c r="W819" s="74" t="str">
        <f>IFERROR(VLOOKUP($O819,'Customer List'!$A$1:$J$488,10,FALSE),"")</f>
        <v/>
      </c>
    </row>
    <row r="820" spans="1:23">
      <c r="A820" s="125" t="str">
        <f t="shared" si="85"/>
        <v/>
      </c>
      <c r="O820" s="154"/>
      <c r="P820" s="126">
        <f t="shared" si="86"/>
        <v>0</v>
      </c>
      <c r="R820" s="127"/>
      <c r="T820" s="128">
        <f t="shared" si="87"/>
        <v>0</v>
      </c>
      <c r="U820" s="129" t="str">
        <f>IFERROR(VLOOKUP($S820,References!$B$3:$C$7,2,FALSE),"")</f>
        <v/>
      </c>
      <c r="V820" s="129" t="str">
        <f t="shared" si="88"/>
        <v/>
      </c>
      <c r="W820" s="74" t="str">
        <f>IFERROR(VLOOKUP($O820,'Customer List'!$A$1:$J$488,10,FALSE),"")</f>
        <v/>
      </c>
    </row>
    <row r="821" spans="1:23">
      <c r="A821" s="125" t="str">
        <f t="shared" si="85"/>
        <v/>
      </c>
      <c r="O821" s="154"/>
      <c r="P821" s="126">
        <f t="shared" si="86"/>
        <v>0</v>
      </c>
      <c r="R821" s="127"/>
      <c r="T821" s="128">
        <f t="shared" si="87"/>
        <v>0</v>
      </c>
      <c r="U821" s="129" t="str">
        <f>IFERROR(VLOOKUP($S821,References!$B$3:$C$7,2,FALSE),"")</f>
        <v/>
      </c>
      <c r="V821" s="129" t="str">
        <f t="shared" si="88"/>
        <v/>
      </c>
      <c r="W821" s="74" t="str">
        <f>IFERROR(VLOOKUP($O821,'Customer List'!$A$1:$J$488,10,FALSE),"")</f>
        <v/>
      </c>
    </row>
    <row r="822" spans="1:23">
      <c r="A822" s="125" t="str">
        <f t="shared" si="85"/>
        <v/>
      </c>
      <c r="O822" s="154"/>
      <c r="P822" s="126">
        <f t="shared" si="86"/>
        <v>0</v>
      </c>
      <c r="R822" s="127"/>
      <c r="T822" s="128">
        <f t="shared" si="87"/>
        <v>0</v>
      </c>
      <c r="U822" s="129" t="str">
        <f>IFERROR(VLOOKUP($S822,References!$B$3:$C$7,2,FALSE),"")</f>
        <v/>
      </c>
      <c r="V822" s="129" t="str">
        <f t="shared" si="88"/>
        <v/>
      </c>
      <c r="W822" s="74" t="str">
        <f>IFERROR(VLOOKUP($O822,'Customer List'!$A$1:$J$488,10,FALSE),"")</f>
        <v/>
      </c>
    </row>
    <row r="823" spans="1:23">
      <c r="A823" s="125" t="str">
        <f t="shared" si="85"/>
        <v/>
      </c>
      <c r="O823" s="154"/>
      <c r="P823" s="126">
        <f t="shared" si="86"/>
        <v>0</v>
      </c>
      <c r="R823" s="127"/>
      <c r="T823" s="128">
        <f t="shared" si="87"/>
        <v>0</v>
      </c>
      <c r="U823" s="129" t="str">
        <f>IFERROR(VLOOKUP($S823,References!$B$3:$C$7,2,FALSE),"")</f>
        <v/>
      </c>
      <c r="V823" s="129" t="str">
        <f t="shared" si="88"/>
        <v/>
      </c>
      <c r="W823" s="74" t="str">
        <f>IFERROR(VLOOKUP($O823,'Customer List'!$A$1:$J$488,10,FALSE),"")</f>
        <v/>
      </c>
    </row>
    <row r="824" spans="1:23">
      <c r="A824" s="125" t="str">
        <f t="shared" si="85"/>
        <v/>
      </c>
      <c r="O824" s="154"/>
      <c r="P824" s="126">
        <f t="shared" si="86"/>
        <v>0</v>
      </c>
      <c r="R824" s="127"/>
      <c r="T824" s="128">
        <f t="shared" si="87"/>
        <v>0</v>
      </c>
      <c r="U824" s="129" t="str">
        <f>IFERROR(VLOOKUP($S824,References!$B$3:$C$7,2,FALSE),"")</f>
        <v/>
      </c>
      <c r="V824" s="129" t="str">
        <f t="shared" si="88"/>
        <v/>
      </c>
      <c r="W824" s="74" t="str">
        <f>IFERROR(VLOOKUP($O824,'Customer List'!$A$1:$J$488,10,FALSE),"")</f>
        <v/>
      </c>
    </row>
    <row r="825" spans="1:23">
      <c r="A825" s="125" t="str">
        <f t="shared" si="85"/>
        <v/>
      </c>
      <c r="O825" s="154"/>
      <c r="P825" s="126">
        <f t="shared" si="86"/>
        <v>0</v>
      </c>
      <c r="R825" s="127"/>
      <c r="T825" s="128">
        <f t="shared" si="87"/>
        <v>0</v>
      </c>
      <c r="U825" s="129" t="str">
        <f>IFERROR(VLOOKUP($S825,References!$B$3:$C$7,2,FALSE),"")</f>
        <v/>
      </c>
      <c r="V825" s="129" t="str">
        <f t="shared" si="88"/>
        <v/>
      </c>
      <c r="W825" s="74" t="str">
        <f>IFERROR(VLOOKUP($O825,'Customer List'!$A$1:$J$488,10,FALSE),"")</f>
        <v/>
      </c>
    </row>
    <row r="826" spans="1:23">
      <c r="A826" s="125" t="str">
        <f t="shared" si="85"/>
        <v/>
      </c>
      <c r="O826" s="154"/>
      <c r="P826" s="126">
        <f t="shared" si="86"/>
        <v>0</v>
      </c>
      <c r="R826" s="127"/>
      <c r="T826" s="128">
        <f t="shared" si="87"/>
        <v>0</v>
      </c>
      <c r="U826" s="129" t="str">
        <f>IFERROR(VLOOKUP($S826,References!$B$3:$C$7,2,FALSE),"")</f>
        <v/>
      </c>
      <c r="V826" s="129" t="str">
        <f t="shared" si="88"/>
        <v/>
      </c>
      <c r="W826" s="74" t="str">
        <f>IFERROR(VLOOKUP($O826,'Customer List'!$A$1:$J$488,10,FALSE),"")</f>
        <v/>
      </c>
    </row>
    <row r="827" spans="1:23">
      <c r="A827" s="125" t="str">
        <f t="shared" si="85"/>
        <v/>
      </c>
      <c r="O827" s="154"/>
      <c r="P827" s="126">
        <f t="shared" si="86"/>
        <v>0</v>
      </c>
      <c r="R827" s="127"/>
      <c r="T827" s="128">
        <f t="shared" si="87"/>
        <v>0</v>
      </c>
      <c r="U827" s="129" t="str">
        <f>IFERROR(VLOOKUP($S827,References!$B$3:$C$7,2,FALSE),"")</f>
        <v/>
      </c>
      <c r="V827" s="129" t="str">
        <f t="shared" si="88"/>
        <v/>
      </c>
      <c r="W827" s="74" t="str">
        <f>IFERROR(VLOOKUP($O827,'Customer List'!$A$1:$J$488,10,FALSE),"")</f>
        <v/>
      </c>
    </row>
    <row r="828" spans="1:23">
      <c r="A828" s="125" t="str">
        <f t="shared" si="85"/>
        <v/>
      </c>
      <c r="O828" s="154"/>
      <c r="P828" s="126">
        <f t="shared" si="86"/>
        <v>0</v>
      </c>
      <c r="R828" s="127"/>
      <c r="T828" s="128">
        <f t="shared" si="87"/>
        <v>0</v>
      </c>
      <c r="U828" s="129" t="str">
        <f>IFERROR(VLOOKUP($S828,References!$B$3:$C$7,2,FALSE),"")</f>
        <v/>
      </c>
      <c r="V828" s="129" t="str">
        <f t="shared" si="88"/>
        <v/>
      </c>
      <c r="W828" s="74" t="str">
        <f>IFERROR(VLOOKUP($O828,'Customer List'!$A$1:$J$488,10,FALSE),"")</f>
        <v/>
      </c>
    </row>
    <row r="829" spans="1:23">
      <c r="A829" s="125" t="str">
        <f t="shared" si="85"/>
        <v/>
      </c>
      <c r="O829" s="154"/>
      <c r="P829" s="126">
        <f t="shared" si="86"/>
        <v>0</v>
      </c>
      <c r="R829" s="127"/>
      <c r="T829" s="128">
        <f t="shared" si="87"/>
        <v>0</v>
      </c>
      <c r="U829" s="129" t="str">
        <f>IFERROR(VLOOKUP($S829,References!$B$3:$C$7,2,FALSE),"")</f>
        <v/>
      </c>
      <c r="V829" s="129" t="str">
        <f t="shared" si="88"/>
        <v/>
      </c>
      <c r="W829" s="74" t="str">
        <f>IFERROR(VLOOKUP($O829,'Customer List'!$A$1:$J$488,10,FALSE),"")</f>
        <v/>
      </c>
    </row>
    <row r="830" spans="1:23">
      <c r="A830" s="125" t="str">
        <f t="shared" si="85"/>
        <v/>
      </c>
      <c r="O830" s="154"/>
      <c r="P830" s="126">
        <f t="shared" si="86"/>
        <v>0</v>
      </c>
      <c r="R830" s="127"/>
      <c r="T830" s="128">
        <f t="shared" si="87"/>
        <v>0</v>
      </c>
      <c r="U830" s="129" t="str">
        <f>IFERROR(VLOOKUP($S830,References!$B$3:$C$7,2,FALSE),"")</f>
        <v/>
      </c>
      <c r="V830" s="129" t="str">
        <f t="shared" si="88"/>
        <v/>
      </c>
      <c r="W830" s="74" t="str">
        <f>IFERROR(VLOOKUP($O830,'Customer List'!$A$1:$J$488,10,FALSE),"")</f>
        <v/>
      </c>
    </row>
    <row r="831" spans="1:23">
      <c r="A831" s="125" t="str">
        <f t="shared" si="85"/>
        <v/>
      </c>
      <c r="O831" s="154"/>
      <c r="P831" s="126">
        <f t="shared" si="86"/>
        <v>0</v>
      </c>
      <c r="R831" s="127"/>
      <c r="T831" s="128">
        <f t="shared" si="87"/>
        <v>0</v>
      </c>
      <c r="U831" s="129" t="str">
        <f>IFERROR(VLOOKUP($S831,References!$B$3:$C$7,2,FALSE),"")</f>
        <v/>
      </c>
      <c r="V831" s="129" t="str">
        <f t="shared" si="88"/>
        <v/>
      </c>
      <c r="W831" s="74" t="str">
        <f>IFERROR(VLOOKUP($O831,'Customer List'!$A$1:$J$488,10,FALSE),"")</f>
        <v/>
      </c>
    </row>
    <row r="832" spans="1:23">
      <c r="A832" s="125" t="str">
        <f t="shared" si="85"/>
        <v/>
      </c>
      <c r="O832" s="154"/>
      <c r="P832" s="126">
        <f t="shared" si="86"/>
        <v>0</v>
      </c>
      <c r="R832" s="127"/>
      <c r="T832" s="128">
        <f t="shared" si="87"/>
        <v>0</v>
      </c>
      <c r="U832" s="129" t="str">
        <f>IFERROR(VLOOKUP($S832,References!$B$3:$C$7,2,FALSE),"")</f>
        <v/>
      </c>
      <c r="V832" s="129" t="str">
        <f t="shared" si="88"/>
        <v/>
      </c>
      <c r="W832" s="74" t="str">
        <f>IFERROR(VLOOKUP($O832,'Customer List'!$A$1:$J$488,10,FALSE),"")</f>
        <v/>
      </c>
    </row>
    <row r="833" spans="1:23">
      <c r="A833" s="125" t="str">
        <f t="shared" si="85"/>
        <v/>
      </c>
      <c r="O833" s="154"/>
      <c r="P833" s="126">
        <f t="shared" si="86"/>
        <v>0</v>
      </c>
      <c r="R833" s="127"/>
      <c r="T833" s="128">
        <f t="shared" si="87"/>
        <v>0</v>
      </c>
      <c r="U833" s="129" t="str">
        <f>IFERROR(VLOOKUP($S833,References!$B$3:$C$7,2,FALSE),"")</f>
        <v/>
      </c>
      <c r="V833" s="129" t="str">
        <f t="shared" si="88"/>
        <v/>
      </c>
      <c r="W833" s="74" t="str">
        <f>IFERROR(VLOOKUP($O833,'Customer List'!$A$1:$J$488,10,FALSE),"")</f>
        <v/>
      </c>
    </row>
    <row r="834" spans="1:23">
      <c r="A834" s="125" t="str">
        <f t="shared" si="85"/>
        <v/>
      </c>
      <c r="O834" s="154"/>
      <c r="P834" s="126">
        <f t="shared" si="86"/>
        <v>0</v>
      </c>
      <c r="R834" s="127"/>
      <c r="T834" s="128">
        <f t="shared" si="87"/>
        <v>0</v>
      </c>
      <c r="U834" s="129" t="str">
        <f>IFERROR(VLOOKUP($S834,References!$B$3:$C$7,2,FALSE),"")</f>
        <v/>
      </c>
      <c r="V834" s="129" t="str">
        <f t="shared" si="88"/>
        <v/>
      </c>
      <c r="W834" s="74" t="str">
        <f>IFERROR(VLOOKUP($O834,'Customer List'!$A$1:$J$488,10,FALSE),"")</f>
        <v/>
      </c>
    </row>
    <row r="835" spans="1:23">
      <c r="A835" s="125" t="str">
        <f t="shared" si="85"/>
        <v/>
      </c>
      <c r="O835" s="154"/>
      <c r="P835" s="126">
        <f t="shared" si="86"/>
        <v>0</v>
      </c>
      <c r="R835" s="127"/>
      <c r="T835" s="128">
        <f t="shared" si="87"/>
        <v>0</v>
      </c>
      <c r="U835" s="129" t="str">
        <f>IFERROR(VLOOKUP($S835,References!$B$3:$C$7,2,FALSE),"")</f>
        <v/>
      </c>
      <c r="V835" s="129" t="str">
        <f t="shared" si="88"/>
        <v/>
      </c>
      <c r="W835" s="74" t="str">
        <f>IFERROR(VLOOKUP($O835,'Customer List'!$A$1:$J$488,10,FALSE),"")</f>
        <v/>
      </c>
    </row>
    <row r="836" spans="1:23">
      <c r="A836" s="125" t="str">
        <f t="shared" si="85"/>
        <v/>
      </c>
      <c r="O836" s="154"/>
      <c r="P836" s="126">
        <f t="shared" si="86"/>
        <v>0</v>
      </c>
      <c r="R836" s="127"/>
      <c r="T836" s="128">
        <f t="shared" si="87"/>
        <v>0</v>
      </c>
      <c r="U836" s="129" t="str">
        <f>IFERROR(VLOOKUP($S836,References!$B$3:$C$7,2,FALSE),"")</f>
        <v/>
      </c>
      <c r="V836" s="129" t="str">
        <f t="shared" si="88"/>
        <v/>
      </c>
      <c r="W836" s="74" t="str">
        <f>IFERROR(VLOOKUP($O836,'Customer List'!$A$1:$J$488,10,FALSE),"")</f>
        <v/>
      </c>
    </row>
    <row r="837" spans="1:23">
      <c r="A837" s="125" t="str">
        <f t="shared" si="85"/>
        <v/>
      </c>
      <c r="O837" s="154"/>
      <c r="P837" s="126">
        <f t="shared" si="86"/>
        <v>0</v>
      </c>
      <c r="R837" s="127"/>
      <c r="T837" s="128">
        <f t="shared" si="87"/>
        <v>0</v>
      </c>
      <c r="U837" s="129" t="str">
        <f>IFERROR(VLOOKUP($S837,References!$B$3:$C$7,2,FALSE),"")</f>
        <v/>
      </c>
      <c r="V837" s="129" t="str">
        <f t="shared" si="88"/>
        <v/>
      </c>
      <c r="W837" s="74" t="str">
        <f>IFERROR(VLOOKUP($O837,'Customer List'!$A$1:$J$488,10,FALSE),"")</f>
        <v/>
      </c>
    </row>
    <row r="838" spans="1:23">
      <c r="A838" s="125" t="str">
        <f t="shared" si="85"/>
        <v/>
      </c>
      <c r="O838" s="154"/>
      <c r="P838" s="126">
        <f t="shared" si="86"/>
        <v>0</v>
      </c>
      <c r="R838" s="127"/>
      <c r="T838" s="128">
        <f t="shared" si="87"/>
        <v>0</v>
      </c>
      <c r="U838" s="129" t="str">
        <f>IFERROR(VLOOKUP($S838,References!$B$3:$C$7,2,FALSE),"")</f>
        <v/>
      </c>
      <c r="V838" s="129" t="str">
        <f t="shared" si="88"/>
        <v/>
      </c>
      <c r="W838" s="74" t="str">
        <f>IFERROR(VLOOKUP($O838,'Customer List'!$A$1:$J$488,10,FALSE),"")</f>
        <v/>
      </c>
    </row>
    <row r="839" spans="1:23">
      <c r="A839" s="125" t="str">
        <f t="shared" si="85"/>
        <v/>
      </c>
      <c r="O839" s="154"/>
      <c r="P839" s="126">
        <f t="shared" si="86"/>
        <v>0</v>
      </c>
      <c r="R839" s="127"/>
      <c r="T839" s="128">
        <f t="shared" si="87"/>
        <v>0</v>
      </c>
      <c r="U839" s="129" t="str">
        <f>IFERROR(VLOOKUP($S839,References!$B$3:$C$7,2,FALSE),"")</f>
        <v/>
      </c>
      <c r="V839" s="129" t="str">
        <f t="shared" si="88"/>
        <v/>
      </c>
      <c r="W839" s="74" t="str">
        <f>IFERROR(VLOOKUP($O839,'Customer List'!$A$1:$J$488,10,FALSE),"")</f>
        <v/>
      </c>
    </row>
    <row r="840" spans="1:23">
      <c r="A840" s="125" t="str">
        <f t="shared" si="85"/>
        <v/>
      </c>
      <c r="O840" s="154"/>
      <c r="P840" s="126">
        <f t="shared" si="86"/>
        <v>0</v>
      </c>
      <c r="R840" s="127"/>
      <c r="T840" s="128">
        <f t="shared" si="87"/>
        <v>0</v>
      </c>
      <c r="U840" s="129" t="str">
        <f>IFERROR(VLOOKUP($S840,References!$B$3:$C$7,2,FALSE),"")</f>
        <v/>
      </c>
      <c r="V840" s="129" t="str">
        <f t="shared" si="88"/>
        <v/>
      </c>
      <c r="W840" s="74" t="str">
        <f>IFERROR(VLOOKUP($O840,'Customer List'!$A$1:$J$488,10,FALSE),"")</f>
        <v/>
      </c>
    </row>
    <row r="841" spans="1:23">
      <c r="A841" s="125" t="str">
        <f t="shared" ref="A841:A904" si="89">O841&amp;S841</f>
        <v/>
      </c>
      <c r="O841" s="154"/>
      <c r="P841" s="126">
        <f t="shared" si="86"/>
        <v>0</v>
      </c>
      <c r="R841" s="127"/>
      <c r="T841" s="128">
        <f t="shared" si="87"/>
        <v>0</v>
      </c>
      <c r="U841" s="129" t="str">
        <f>IFERROR(VLOOKUP($S841,References!$B$3:$C$7,2,FALSE),"")</f>
        <v/>
      </c>
      <c r="V841" s="129" t="str">
        <f t="shared" si="88"/>
        <v/>
      </c>
      <c r="W841" s="74" t="str">
        <f>IFERROR(VLOOKUP($O841,'Customer List'!$A$1:$J$488,10,FALSE),"")</f>
        <v/>
      </c>
    </row>
    <row r="842" spans="1:23">
      <c r="A842" s="125" t="str">
        <f t="shared" si="89"/>
        <v/>
      </c>
      <c r="O842" s="154"/>
      <c r="R842" s="127"/>
      <c r="T842" s="128">
        <f t="shared" ref="T842:T905" si="90">IF(S842="50 - Cleaning Fee",1,HOUR($R842)+MINUTE(R842)/60)</f>
        <v>0</v>
      </c>
      <c r="U842" s="129" t="str">
        <f>IFERROR(VLOOKUP($S842,References!$B$3:$C$7,2,FALSE),"")</f>
        <v/>
      </c>
      <c r="V842" s="129" t="str">
        <f t="shared" ref="V842:V905" si="91">IF(T842&gt;=8,400,(IFERROR(T842*U842,"")))</f>
        <v/>
      </c>
      <c r="W842" s="74" t="str">
        <f>IFERROR(VLOOKUP($O842,'Customer List'!$A$1:$J$488,10,FALSE),"")</f>
        <v/>
      </c>
    </row>
    <row r="843" spans="1:23">
      <c r="A843" s="125" t="str">
        <f t="shared" si="89"/>
        <v/>
      </c>
      <c r="O843" s="154"/>
      <c r="R843" s="127"/>
      <c r="T843" s="128">
        <f t="shared" si="90"/>
        <v>0</v>
      </c>
      <c r="U843" s="129" t="str">
        <f>IFERROR(VLOOKUP($S843,References!$B$3:$C$7,2,FALSE),"")</f>
        <v/>
      </c>
      <c r="V843" s="129" t="str">
        <f t="shared" si="91"/>
        <v/>
      </c>
      <c r="W843" s="74" t="str">
        <f>IFERROR(VLOOKUP($O843,'Customer List'!$A$1:$J$488,10,FALSE),"")</f>
        <v/>
      </c>
    </row>
    <row r="844" spans="1:23">
      <c r="A844" s="125" t="str">
        <f t="shared" si="89"/>
        <v/>
      </c>
      <c r="O844" s="154"/>
      <c r="R844" s="127"/>
      <c r="T844" s="128">
        <f t="shared" si="90"/>
        <v>0</v>
      </c>
      <c r="U844" s="129" t="str">
        <f>IFERROR(VLOOKUP($S844,References!$B$3:$C$7,2,FALSE),"")</f>
        <v/>
      </c>
      <c r="V844" s="129" t="str">
        <f t="shared" si="91"/>
        <v/>
      </c>
      <c r="W844" s="74" t="str">
        <f>IFERROR(VLOOKUP($O844,'Customer List'!$A$1:$J$488,10,FALSE),"")</f>
        <v/>
      </c>
    </row>
    <row r="845" spans="1:23">
      <c r="A845" s="125" t="str">
        <f t="shared" si="89"/>
        <v/>
      </c>
      <c r="O845" s="154"/>
      <c r="R845" s="127"/>
      <c r="T845" s="128">
        <f t="shared" si="90"/>
        <v>0</v>
      </c>
      <c r="U845" s="129" t="str">
        <f>IFERROR(VLOOKUP($S845,References!$B$3:$C$7,2,FALSE),"")</f>
        <v/>
      </c>
      <c r="V845" s="129" t="str">
        <f t="shared" si="91"/>
        <v/>
      </c>
      <c r="W845" s="74" t="str">
        <f>IFERROR(VLOOKUP($O845,'Customer List'!$A$1:$J$488,10,FALSE),"")</f>
        <v/>
      </c>
    </row>
    <row r="846" spans="1:23">
      <c r="A846" s="125" t="str">
        <f t="shared" si="89"/>
        <v/>
      </c>
      <c r="O846" s="154"/>
      <c r="R846" s="127"/>
      <c r="T846" s="128">
        <f t="shared" si="90"/>
        <v>0</v>
      </c>
      <c r="U846" s="129" t="str">
        <f>IFERROR(VLOOKUP($S846,References!$B$3:$C$7,2,FALSE),"")</f>
        <v/>
      </c>
      <c r="V846" s="129" t="str">
        <f t="shared" si="91"/>
        <v/>
      </c>
      <c r="W846" s="74" t="str">
        <f>IFERROR(VLOOKUP($O846,'Customer List'!$A$1:$J$488,10,FALSE),"")</f>
        <v/>
      </c>
    </row>
    <row r="847" spans="1:23">
      <c r="A847" s="125" t="str">
        <f t="shared" si="89"/>
        <v/>
      </c>
      <c r="O847" s="154"/>
      <c r="R847" s="127"/>
      <c r="T847" s="128">
        <f t="shared" si="90"/>
        <v>0</v>
      </c>
      <c r="U847" s="129" t="str">
        <f>IFERROR(VLOOKUP($S847,References!$B$3:$C$7,2,FALSE),"")</f>
        <v/>
      </c>
      <c r="V847" s="129" t="str">
        <f t="shared" si="91"/>
        <v/>
      </c>
      <c r="W847" s="74" t="str">
        <f>IFERROR(VLOOKUP($O847,'Customer List'!$A$1:$J$488,10,FALSE),"")</f>
        <v/>
      </c>
    </row>
    <row r="848" spans="1:23">
      <c r="A848" s="125" t="str">
        <f t="shared" si="89"/>
        <v/>
      </c>
      <c r="O848" s="154"/>
      <c r="R848" s="127"/>
      <c r="T848" s="128">
        <f t="shared" si="90"/>
        <v>0</v>
      </c>
      <c r="U848" s="129" t="str">
        <f>IFERROR(VLOOKUP($S848,References!$B$3:$C$7,2,FALSE),"")</f>
        <v/>
      </c>
      <c r="V848" s="129" t="str">
        <f t="shared" si="91"/>
        <v/>
      </c>
      <c r="W848" s="74" t="str">
        <f>IFERROR(VLOOKUP($O848,'Customer List'!$A$1:$J$488,10,FALSE),"")</f>
        <v/>
      </c>
    </row>
    <row r="849" spans="1:23">
      <c r="A849" s="125" t="str">
        <f t="shared" si="89"/>
        <v/>
      </c>
      <c r="O849" s="154"/>
      <c r="R849" s="127"/>
      <c r="T849" s="128">
        <f t="shared" si="90"/>
        <v>0</v>
      </c>
      <c r="U849" s="129" t="str">
        <f>IFERROR(VLOOKUP($S849,References!$B$3:$C$7,2,FALSE),"")</f>
        <v/>
      </c>
      <c r="V849" s="129" t="str">
        <f t="shared" si="91"/>
        <v/>
      </c>
      <c r="W849" s="74" t="str">
        <f>IFERROR(VLOOKUP($O849,'Customer List'!$A$1:$J$488,10,FALSE),"")</f>
        <v/>
      </c>
    </row>
    <row r="850" spans="1:23">
      <c r="A850" s="125" t="str">
        <f t="shared" si="89"/>
        <v/>
      </c>
      <c r="O850" s="154"/>
      <c r="R850" s="127"/>
      <c r="T850" s="128">
        <f t="shared" si="90"/>
        <v>0</v>
      </c>
      <c r="U850" s="129" t="str">
        <f>IFERROR(VLOOKUP($S850,References!$B$3:$C$7,2,FALSE),"")</f>
        <v/>
      </c>
      <c r="V850" s="129" t="str">
        <f t="shared" si="91"/>
        <v/>
      </c>
      <c r="W850" s="74" t="str">
        <f>IFERROR(VLOOKUP($O850,'Customer List'!$A$1:$J$488,10,FALSE),"")</f>
        <v/>
      </c>
    </row>
    <row r="851" spans="1:23">
      <c r="A851" s="125" t="str">
        <f t="shared" si="89"/>
        <v/>
      </c>
      <c r="O851" s="154"/>
      <c r="R851" s="127"/>
      <c r="T851" s="128">
        <f t="shared" si="90"/>
        <v>0</v>
      </c>
      <c r="U851" s="129" t="str">
        <f>IFERROR(VLOOKUP($S851,References!$B$3:$C$7,2,FALSE),"")</f>
        <v/>
      </c>
      <c r="V851" s="129" t="str">
        <f t="shared" si="91"/>
        <v/>
      </c>
      <c r="W851" s="74" t="str">
        <f>IFERROR(VLOOKUP($O851,'Customer List'!$A$1:$J$488,10,FALSE),"")</f>
        <v/>
      </c>
    </row>
    <row r="852" spans="1:23">
      <c r="A852" s="125" t="str">
        <f t="shared" si="89"/>
        <v/>
      </c>
      <c r="O852" s="154"/>
      <c r="R852" s="127"/>
      <c r="T852" s="128">
        <f t="shared" si="90"/>
        <v>0</v>
      </c>
      <c r="U852" s="129" t="str">
        <f>IFERROR(VLOOKUP($S852,References!$B$3:$C$7,2,FALSE),"")</f>
        <v/>
      </c>
      <c r="V852" s="129" t="str">
        <f t="shared" si="91"/>
        <v/>
      </c>
      <c r="W852" s="74" t="str">
        <f>IFERROR(VLOOKUP($O852,'Customer List'!$A$1:$J$488,10,FALSE),"")</f>
        <v/>
      </c>
    </row>
    <row r="853" spans="1:23">
      <c r="A853" s="125" t="str">
        <f t="shared" si="89"/>
        <v/>
      </c>
      <c r="O853" s="154"/>
      <c r="R853" s="127"/>
      <c r="T853" s="128">
        <f t="shared" si="90"/>
        <v>0</v>
      </c>
      <c r="U853" s="129" t="str">
        <f>IFERROR(VLOOKUP($S853,References!$B$3:$C$7,2,FALSE),"")</f>
        <v/>
      </c>
      <c r="V853" s="129" t="str">
        <f t="shared" si="91"/>
        <v/>
      </c>
      <c r="W853" s="74" t="str">
        <f>IFERROR(VLOOKUP($O853,'Customer List'!$A$1:$J$488,10,FALSE),"")</f>
        <v/>
      </c>
    </row>
    <row r="854" spans="1:23">
      <c r="A854" s="125" t="str">
        <f t="shared" si="89"/>
        <v/>
      </c>
      <c r="O854" s="154"/>
      <c r="R854" s="127"/>
      <c r="T854" s="128">
        <f t="shared" si="90"/>
        <v>0</v>
      </c>
      <c r="U854" s="129" t="str">
        <f>IFERROR(VLOOKUP($S854,References!$B$3:$C$7,2,FALSE),"")</f>
        <v/>
      </c>
      <c r="V854" s="129" t="str">
        <f t="shared" si="91"/>
        <v/>
      </c>
      <c r="W854" s="74" t="str">
        <f>IFERROR(VLOOKUP($O854,'Customer List'!$A$1:$J$488,10,FALSE),"")</f>
        <v/>
      </c>
    </row>
    <row r="855" spans="1:23">
      <c r="A855" s="125" t="str">
        <f t="shared" si="89"/>
        <v/>
      </c>
      <c r="O855" s="154"/>
      <c r="R855" s="127"/>
      <c r="T855" s="128">
        <f t="shared" si="90"/>
        <v>0</v>
      </c>
      <c r="U855" s="129" t="str">
        <f>IFERROR(VLOOKUP($S855,References!$B$3:$C$7,2,FALSE),"")</f>
        <v/>
      </c>
      <c r="V855" s="129" t="str">
        <f t="shared" si="91"/>
        <v/>
      </c>
      <c r="W855" s="74" t="str">
        <f>IFERROR(VLOOKUP($O855,'Customer List'!$A$1:$J$488,10,FALSE),"")</f>
        <v/>
      </c>
    </row>
    <row r="856" spans="1:23">
      <c r="A856" s="125" t="str">
        <f t="shared" si="89"/>
        <v/>
      </c>
      <c r="O856" s="154"/>
      <c r="R856" s="127"/>
      <c r="T856" s="128">
        <f t="shared" si="90"/>
        <v>0</v>
      </c>
      <c r="U856" s="129" t="str">
        <f>IFERROR(VLOOKUP($S856,References!$B$3:$C$7,2,FALSE),"")</f>
        <v/>
      </c>
      <c r="V856" s="129" t="str">
        <f t="shared" si="91"/>
        <v/>
      </c>
      <c r="W856" s="74" t="str">
        <f>IFERROR(VLOOKUP($O856,'Customer List'!$A$1:$J$488,10,FALSE),"")</f>
        <v/>
      </c>
    </row>
    <row r="857" spans="1:23">
      <c r="A857" s="125" t="str">
        <f t="shared" si="89"/>
        <v/>
      </c>
      <c r="O857" s="154"/>
      <c r="R857" s="127"/>
      <c r="T857" s="128">
        <f t="shared" si="90"/>
        <v>0</v>
      </c>
      <c r="U857" s="129" t="str">
        <f>IFERROR(VLOOKUP($S857,References!$B$3:$C$7,2,FALSE),"")</f>
        <v/>
      </c>
      <c r="V857" s="129" t="str">
        <f t="shared" si="91"/>
        <v/>
      </c>
      <c r="W857" s="74" t="str">
        <f>IFERROR(VLOOKUP($O857,'Customer List'!$A$1:$J$488,10,FALSE),"")</f>
        <v/>
      </c>
    </row>
    <row r="858" spans="1:23">
      <c r="A858" s="125" t="str">
        <f t="shared" si="89"/>
        <v/>
      </c>
      <c r="O858" s="154"/>
      <c r="R858" s="127"/>
      <c r="T858" s="128">
        <f t="shared" si="90"/>
        <v>0</v>
      </c>
      <c r="U858" s="129" t="str">
        <f>IFERROR(VLOOKUP($S858,References!$B$3:$C$7,2,FALSE),"")</f>
        <v/>
      </c>
      <c r="V858" s="129" t="str">
        <f t="shared" si="91"/>
        <v/>
      </c>
      <c r="W858" s="74" t="str">
        <f>IFERROR(VLOOKUP($O858,'Customer List'!$A$1:$J$488,10,FALSE),"")</f>
        <v/>
      </c>
    </row>
    <row r="859" spans="1:23">
      <c r="A859" s="125" t="str">
        <f t="shared" si="89"/>
        <v/>
      </c>
      <c r="O859" s="154"/>
      <c r="R859" s="127"/>
      <c r="T859" s="128">
        <f t="shared" si="90"/>
        <v>0</v>
      </c>
      <c r="U859" s="129" t="str">
        <f>IFERROR(VLOOKUP($S859,References!$B$3:$C$7,2,FALSE),"")</f>
        <v/>
      </c>
      <c r="V859" s="129" t="str">
        <f t="shared" si="91"/>
        <v/>
      </c>
      <c r="W859" s="74" t="str">
        <f>IFERROR(VLOOKUP($O859,'Customer List'!$A$1:$J$488,10,FALSE),"")</f>
        <v/>
      </c>
    </row>
    <row r="860" spans="1:23">
      <c r="A860" s="125" t="str">
        <f t="shared" si="89"/>
        <v/>
      </c>
      <c r="O860" s="154"/>
      <c r="R860" s="127"/>
      <c r="T860" s="128">
        <f t="shared" si="90"/>
        <v>0</v>
      </c>
      <c r="U860" s="129" t="str">
        <f>IFERROR(VLOOKUP($S860,References!$B$3:$C$7,2,FALSE),"")</f>
        <v/>
      </c>
      <c r="V860" s="129" t="str">
        <f t="shared" si="91"/>
        <v/>
      </c>
      <c r="W860" s="74" t="str">
        <f>IFERROR(VLOOKUP($O860,'Customer List'!$A$1:$J$488,10,FALSE),"")</f>
        <v/>
      </c>
    </row>
    <row r="861" spans="1:23">
      <c r="A861" s="125" t="str">
        <f t="shared" si="89"/>
        <v/>
      </c>
      <c r="O861" s="154"/>
      <c r="R861" s="127"/>
      <c r="T861" s="128">
        <f t="shared" si="90"/>
        <v>0</v>
      </c>
      <c r="U861" s="129" t="str">
        <f>IFERROR(VLOOKUP($S861,References!$B$3:$C$7,2,FALSE),"")</f>
        <v/>
      </c>
      <c r="V861" s="129" t="str">
        <f t="shared" si="91"/>
        <v/>
      </c>
      <c r="W861" s="74" t="str">
        <f>IFERROR(VLOOKUP($O861,'Customer List'!$A$1:$J$488,10,FALSE),"")</f>
        <v/>
      </c>
    </row>
    <row r="862" spans="1:23">
      <c r="A862" s="125" t="str">
        <f t="shared" si="89"/>
        <v/>
      </c>
      <c r="O862" s="154"/>
      <c r="R862" s="127"/>
      <c r="T862" s="128">
        <f t="shared" si="90"/>
        <v>0</v>
      </c>
      <c r="U862" s="129" t="str">
        <f>IFERROR(VLOOKUP($S862,References!$B$3:$C$7,2,FALSE),"")</f>
        <v/>
      </c>
      <c r="V862" s="129" t="str">
        <f t="shared" si="91"/>
        <v/>
      </c>
      <c r="W862" s="74" t="str">
        <f>IFERROR(VLOOKUP($O862,'Customer List'!$A$1:$J$488,10,FALSE),"")</f>
        <v/>
      </c>
    </row>
    <row r="863" spans="1:23">
      <c r="A863" s="125" t="str">
        <f t="shared" si="89"/>
        <v/>
      </c>
      <c r="O863" s="154"/>
      <c r="R863" s="127"/>
      <c r="T863" s="128">
        <f t="shared" si="90"/>
        <v>0</v>
      </c>
      <c r="U863" s="129" t="str">
        <f>IFERROR(VLOOKUP($S863,References!$B$3:$C$7,2,FALSE),"")</f>
        <v/>
      </c>
      <c r="V863" s="129" t="str">
        <f t="shared" si="91"/>
        <v/>
      </c>
      <c r="W863" s="74" t="str">
        <f>IFERROR(VLOOKUP($O863,'Customer List'!$A$1:$J$488,10,FALSE),"")</f>
        <v/>
      </c>
    </row>
    <row r="864" spans="1:23">
      <c r="A864" s="125" t="str">
        <f t="shared" si="89"/>
        <v/>
      </c>
      <c r="O864" s="154"/>
      <c r="R864" s="127"/>
      <c r="T864" s="128">
        <f t="shared" si="90"/>
        <v>0</v>
      </c>
      <c r="U864" s="129" t="str">
        <f>IFERROR(VLOOKUP($S864,References!$B$3:$C$7,2,FALSE),"")</f>
        <v/>
      </c>
      <c r="V864" s="129" t="str">
        <f t="shared" si="91"/>
        <v/>
      </c>
      <c r="W864" s="74" t="str">
        <f>IFERROR(VLOOKUP($O864,'Customer List'!$A$1:$J$488,10,FALSE),"")</f>
        <v/>
      </c>
    </row>
    <row r="865" spans="1:23">
      <c r="A865" s="125" t="str">
        <f t="shared" si="89"/>
        <v/>
      </c>
      <c r="O865" s="154"/>
      <c r="R865" s="127"/>
      <c r="T865" s="128">
        <f t="shared" si="90"/>
        <v>0</v>
      </c>
      <c r="U865" s="129" t="str">
        <f>IFERROR(VLOOKUP($S865,References!$B$3:$C$7,2,FALSE),"")</f>
        <v/>
      </c>
      <c r="V865" s="129" t="str">
        <f t="shared" si="91"/>
        <v/>
      </c>
      <c r="W865" s="74" t="str">
        <f>IFERROR(VLOOKUP($O865,'Customer List'!$A$1:$J$488,10,FALSE),"")</f>
        <v/>
      </c>
    </row>
    <row r="866" spans="1:23">
      <c r="A866" s="125" t="str">
        <f t="shared" si="89"/>
        <v/>
      </c>
      <c r="O866" s="154"/>
      <c r="R866" s="127"/>
      <c r="T866" s="128">
        <f t="shared" si="90"/>
        <v>0</v>
      </c>
      <c r="U866" s="129" t="str">
        <f>IFERROR(VLOOKUP($S866,References!$B$3:$C$7,2,FALSE),"")</f>
        <v/>
      </c>
      <c r="V866" s="129" t="str">
        <f t="shared" si="91"/>
        <v/>
      </c>
      <c r="W866" s="74" t="str">
        <f>IFERROR(VLOOKUP($O866,'Customer List'!$A$1:$J$488,10,FALSE),"")</f>
        <v/>
      </c>
    </row>
    <row r="867" spans="1:23">
      <c r="A867" s="125" t="str">
        <f t="shared" si="89"/>
        <v/>
      </c>
      <c r="O867" s="154"/>
      <c r="R867" s="127"/>
      <c r="T867" s="128">
        <f t="shared" si="90"/>
        <v>0</v>
      </c>
      <c r="U867" s="129" t="str">
        <f>IFERROR(VLOOKUP($S867,References!$B$3:$C$7,2,FALSE),"")</f>
        <v/>
      </c>
      <c r="V867" s="129" t="str">
        <f t="shared" si="91"/>
        <v/>
      </c>
      <c r="W867" s="74" t="str">
        <f>IFERROR(VLOOKUP($O867,'Customer List'!$A$1:$J$488,10,FALSE),"")</f>
        <v/>
      </c>
    </row>
    <row r="868" spans="1:23">
      <c r="A868" s="125" t="str">
        <f t="shared" si="89"/>
        <v/>
      </c>
      <c r="O868" s="154"/>
      <c r="R868" s="127"/>
      <c r="T868" s="128">
        <f t="shared" si="90"/>
        <v>0</v>
      </c>
      <c r="U868" s="129" t="str">
        <f>IFERROR(VLOOKUP($S868,References!$B$3:$C$7,2,FALSE),"")</f>
        <v/>
      </c>
      <c r="V868" s="129" t="str">
        <f t="shared" si="91"/>
        <v/>
      </c>
      <c r="W868" s="74" t="str">
        <f>IFERROR(VLOOKUP($O868,'Customer List'!$A$1:$J$488,10,FALSE),"")</f>
        <v/>
      </c>
    </row>
    <row r="869" spans="1:23">
      <c r="A869" s="125" t="str">
        <f t="shared" si="89"/>
        <v/>
      </c>
      <c r="O869" s="154"/>
      <c r="R869" s="127"/>
      <c r="T869" s="128">
        <f t="shared" si="90"/>
        <v>0</v>
      </c>
      <c r="U869" s="129" t="str">
        <f>IFERROR(VLOOKUP($S869,References!$B$3:$C$7,2,FALSE),"")</f>
        <v/>
      </c>
      <c r="V869" s="129" t="str">
        <f t="shared" si="91"/>
        <v/>
      </c>
      <c r="W869" s="74" t="str">
        <f>IFERROR(VLOOKUP($O869,'Customer List'!$A$1:$J$488,10,FALSE),"")</f>
        <v/>
      </c>
    </row>
    <row r="870" spans="1:23">
      <c r="A870" s="125" t="str">
        <f t="shared" si="89"/>
        <v/>
      </c>
      <c r="O870" s="154"/>
      <c r="R870" s="127"/>
      <c r="T870" s="128">
        <f t="shared" si="90"/>
        <v>0</v>
      </c>
      <c r="U870" s="129" t="str">
        <f>IFERROR(VLOOKUP($S870,References!$B$3:$C$7,2,FALSE),"")</f>
        <v/>
      </c>
      <c r="V870" s="129" t="str">
        <f t="shared" si="91"/>
        <v/>
      </c>
      <c r="W870" s="74" t="str">
        <f>IFERROR(VLOOKUP($O870,'Customer List'!$A$1:$J$488,10,FALSE),"")</f>
        <v/>
      </c>
    </row>
    <row r="871" spans="1:23">
      <c r="A871" s="125" t="str">
        <f t="shared" si="89"/>
        <v/>
      </c>
      <c r="O871" s="154"/>
      <c r="R871" s="127"/>
      <c r="T871" s="128">
        <f t="shared" si="90"/>
        <v>0</v>
      </c>
      <c r="U871" s="129" t="str">
        <f>IFERROR(VLOOKUP($S871,References!$B$3:$C$7,2,FALSE),"")</f>
        <v/>
      </c>
      <c r="V871" s="129" t="str">
        <f t="shared" si="91"/>
        <v/>
      </c>
      <c r="W871" s="74" t="str">
        <f>IFERROR(VLOOKUP($O871,'Customer List'!$A$1:$J$488,10,FALSE),"")</f>
        <v/>
      </c>
    </row>
    <row r="872" spans="1:23">
      <c r="A872" s="125" t="str">
        <f t="shared" si="89"/>
        <v/>
      </c>
      <c r="O872" s="154"/>
      <c r="R872" s="127"/>
      <c r="T872" s="128">
        <f t="shared" si="90"/>
        <v>0</v>
      </c>
      <c r="U872" s="129" t="str">
        <f>IFERROR(VLOOKUP($S872,References!$B$3:$C$7,2,FALSE),"")</f>
        <v/>
      </c>
      <c r="V872" s="129" t="str">
        <f t="shared" si="91"/>
        <v/>
      </c>
      <c r="W872" s="74" t="str">
        <f>IFERROR(VLOOKUP($O872,'Customer List'!$A$1:$J$488,10,FALSE),"")</f>
        <v/>
      </c>
    </row>
    <row r="873" spans="1:23">
      <c r="A873" s="125" t="str">
        <f t="shared" si="89"/>
        <v/>
      </c>
      <c r="O873" s="154"/>
      <c r="R873" s="127"/>
      <c r="T873" s="128">
        <f t="shared" si="90"/>
        <v>0</v>
      </c>
      <c r="U873" s="129" t="str">
        <f>IFERROR(VLOOKUP($S873,References!$B$3:$C$7,2,FALSE),"")</f>
        <v/>
      </c>
      <c r="V873" s="129" t="str">
        <f t="shared" si="91"/>
        <v/>
      </c>
      <c r="W873" s="74" t="str">
        <f>IFERROR(VLOOKUP($O873,'Customer List'!$A$1:$J$488,10,FALSE),"")</f>
        <v/>
      </c>
    </row>
    <row r="874" spans="1:23">
      <c r="A874" s="125" t="str">
        <f t="shared" si="89"/>
        <v/>
      </c>
      <c r="O874" s="154"/>
      <c r="R874" s="127"/>
      <c r="T874" s="128">
        <f t="shared" si="90"/>
        <v>0</v>
      </c>
      <c r="U874" s="129" t="str">
        <f>IFERROR(VLOOKUP($S874,References!$B$3:$C$7,2,FALSE),"")</f>
        <v/>
      </c>
      <c r="V874" s="129" t="str">
        <f t="shared" si="91"/>
        <v/>
      </c>
      <c r="W874" s="74" t="str">
        <f>IFERROR(VLOOKUP($O874,'Customer List'!$A$1:$J$488,10,FALSE),"")</f>
        <v/>
      </c>
    </row>
    <row r="875" spans="1:23">
      <c r="A875" s="125" t="str">
        <f t="shared" si="89"/>
        <v/>
      </c>
      <c r="O875" s="154"/>
      <c r="R875" s="127"/>
      <c r="T875" s="128">
        <f t="shared" si="90"/>
        <v>0</v>
      </c>
      <c r="U875" s="129" t="str">
        <f>IFERROR(VLOOKUP($S875,References!$B$3:$C$7,2,FALSE),"")</f>
        <v/>
      </c>
      <c r="V875" s="129" t="str">
        <f t="shared" si="91"/>
        <v/>
      </c>
      <c r="W875" s="74" t="str">
        <f>IFERROR(VLOOKUP($O875,'Customer List'!$A$1:$J$488,10,FALSE),"")</f>
        <v/>
      </c>
    </row>
    <row r="876" spans="1:23">
      <c r="A876" s="125" t="str">
        <f t="shared" si="89"/>
        <v/>
      </c>
      <c r="O876" s="154"/>
      <c r="R876" s="127"/>
      <c r="T876" s="128">
        <f t="shared" si="90"/>
        <v>0</v>
      </c>
      <c r="U876" s="129" t="str">
        <f>IFERROR(VLOOKUP($S876,References!$B$3:$C$7,2,FALSE),"")</f>
        <v/>
      </c>
      <c r="V876" s="129" t="str">
        <f t="shared" si="91"/>
        <v/>
      </c>
      <c r="W876" s="74" t="str">
        <f>IFERROR(VLOOKUP($O876,'Customer List'!$A$1:$J$488,10,FALSE),"")</f>
        <v/>
      </c>
    </row>
    <row r="877" spans="1:23">
      <c r="A877" s="125" t="str">
        <f t="shared" si="89"/>
        <v/>
      </c>
      <c r="O877" s="154"/>
      <c r="R877" s="127"/>
      <c r="T877" s="128">
        <f t="shared" si="90"/>
        <v>0</v>
      </c>
      <c r="U877" s="129" t="str">
        <f>IFERROR(VLOOKUP($S877,References!$B$3:$C$7,2,FALSE),"")</f>
        <v/>
      </c>
      <c r="V877" s="129" t="str">
        <f t="shared" si="91"/>
        <v/>
      </c>
      <c r="W877" s="74" t="str">
        <f>IFERROR(VLOOKUP($O877,'Customer List'!$A$1:$J$488,10,FALSE),"")</f>
        <v/>
      </c>
    </row>
    <row r="878" spans="1:23">
      <c r="A878" s="125" t="str">
        <f t="shared" si="89"/>
        <v/>
      </c>
      <c r="O878" s="154"/>
      <c r="R878" s="127"/>
      <c r="T878" s="128">
        <f t="shared" si="90"/>
        <v>0</v>
      </c>
      <c r="U878" s="129" t="str">
        <f>IFERROR(VLOOKUP($S878,References!$B$3:$C$7,2,FALSE),"")</f>
        <v/>
      </c>
      <c r="V878" s="129" t="str">
        <f t="shared" si="91"/>
        <v/>
      </c>
      <c r="W878" s="74" t="str">
        <f>IFERROR(VLOOKUP($O878,'Customer List'!$A$1:$J$488,10,FALSE),"")</f>
        <v/>
      </c>
    </row>
    <row r="879" spans="1:23">
      <c r="A879" s="125" t="str">
        <f t="shared" si="89"/>
        <v/>
      </c>
      <c r="O879" s="154"/>
      <c r="R879" s="127"/>
      <c r="T879" s="128">
        <f t="shared" si="90"/>
        <v>0</v>
      </c>
      <c r="U879" s="129" t="str">
        <f>IFERROR(VLOOKUP($S879,References!$B$3:$C$7,2,FALSE),"")</f>
        <v/>
      </c>
      <c r="V879" s="129" t="str">
        <f t="shared" si="91"/>
        <v/>
      </c>
      <c r="W879" s="74" t="str">
        <f>IFERROR(VLOOKUP($O879,'Customer List'!$A$1:$J$488,10,FALSE),"")</f>
        <v/>
      </c>
    </row>
    <row r="880" spans="1:23">
      <c r="A880" s="125" t="str">
        <f t="shared" si="89"/>
        <v/>
      </c>
      <c r="O880" s="154"/>
      <c r="R880" s="127"/>
      <c r="T880" s="128">
        <f t="shared" si="90"/>
        <v>0</v>
      </c>
      <c r="U880" s="129" t="str">
        <f>IFERROR(VLOOKUP($S880,References!$B$3:$C$7,2,FALSE),"")</f>
        <v/>
      </c>
      <c r="V880" s="129" t="str">
        <f t="shared" si="91"/>
        <v/>
      </c>
      <c r="W880" s="74" t="str">
        <f>IFERROR(VLOOKUP($O880,'Customer List'!$A$1:$J$488,10,FALSE),"")</f>
        <v/>
      </c>
    </row>
    <row r="881" spans="1:23">
      <c r="A881" s="125" t="str">
        <f t="shared" si="89"/>
        <v/>
      </c>
      <c r="O881" s="154"/>
      <c r="R881" s="127"/>
      <c r="T881" s="128">
        <f t="shared" si="90"/>
        <v>0</v>
      </c>
      <c r="U881" s="129" t="str">
        <f>IFERROR(VLOOKUP($S881,References!$B$3:$C$7,2,FALSE),"")</f>
        <v/>
      </c>
      <c r="V881" s="129" t="str">
        <f t="shared" si="91"/>
        <v/>
      </c>
      <c r="W881" s="74" t="str">
        <f>IFERROR(VLOOKUP($O881,'Customer List'!$A$1:$J$488,10,FALSE),"")</f>
        <v/>
      </c>
    </row>
    <row r="882" spans="1:23">
      <c r="A882" s="125" t="str">
        <f t="shared" si="89"/>
        <v/>
      </c>
      <c r="O882" s="154"/>
      <c r="R882" s="127"/>
      <c r="T882" s="128">
        <f t="shared" si="90"/>
        <v>0</v>
      </c>
      <c r="U882" s="129" t="str">
        <f>IFERROR(VLOOKUP($S882,References!$B$3:$C$7,2,FALSE),"")</f>
        <v/>
      </c>
      <c r="V882" s="129" t="str">
        <f t="shared" si="91"/>
        <v/>
      </c>
      <c r="W882" s="74" t="str">
        <f>IFERROR(VLOOKUP($O882,'Customer List'!$A$1:$J$488,10,FALSE),"")</f>
        <v/>
      </c>
    </row>
    <row r="883" spans="1:23">
      <c r="A883" s="125" t="str">
        <f t="shared" si="89"/>
        <v/>
      </c>
      <c r="O883" s="154"/>
      <c r="R883" s="127"/>
      <c r="T883" s="128">
        <f t="shared" si="90"/>
        <v>0</v>
      </c>
      <c r="U883" s="129" t="str">
        <f>IFERROR(VLOOKUP($S883,References!$B$3:$C$7,2,FALSE),"")</f>
        <v/>
      </c>
      <c r="V883" s="129" t="str">
        <f t="shared" si="91"/>
        <v/>
      </c>
      <c r="W883" s="74" t="str">
        <f>IFERROR(VLOOKUP($O883,'Customer List'!$A$1:$J$488,10,FALSE),"")</f>
        <v/>
      </c>
    </row>
    <row r="884" spans="1:23">
      <c r="A884" s="125" t="str">
        <f t="shared" si="89"/>
        <v/>
      </c>
      <c r="O884" s="154"/>
      <c r="R884" s="127"/>
      <c r="T884" s="128">
        <f t="shared" si="90"/>
        <v>0</v>
      </c>
      <c r="U884" s="129" t="str">
        <f>IFERROR(VLOOKUP($S884,References!$B$3:$C$7,2,FALSE),"")</f>
        <v/>
      </c>
      <c r="V884" s="129" t="str">
        <f t="shared" si="91"/>
        <v/>
      </c>
      <c r="W884" s="74" t="str">
        <f>IFERROR(VLOOKUP($O884,'Customer List'!$A$1:$J$488,10,FALSE),"")</f>
        <v/>
      </c>
    </row>
    <row r="885" spans="1:23">
      <c r="A885" s="125" t="str">
        <f t="shared" si="89"/>
        <v/>
      </c>
      <c r="O885" s="154"/>
      <c r="R885" s="127"/>
      <c r="T885" s="128">
        <f t="shared" si="90"/>
        <v>0</v>
      </c>
      <c r="U885" s="129" t="str">
        <f>IFERROR(VLOOKUP($S885,References!$B$3:$C$7,2,FALSE),"")</f>
        <v/>
      </c>
      <c r="V885" s="129" t="str">
        <f t="shared" si="91"/>
        <v/>
      </c>
      <c r="W885" s="74" t="str">
        <f>IFERROR(VLOOKUP($O885,'Customer List'!$A$1:$J$488,10,FALSE),"")</f>
        <v/>
      </c>
    </row>
    <row r="886" spans="1:23">
      <c r="A886" s="125" t="str">
        <f t="shared" si="89"/>
        <v/>
      </c>
      <c r="O886" s="154"/>
      <c r="R886" s="127"/>
      <c r="T886" s="128">
        <f t="shared" si="90"/>
        <v>0</v>
      </c>
      <c r="U886" s="129" t="str">
        <f>IFERROR(VLOOKUP($S886,References!$B$3:$C$7,2,FALSE),"")</f>
        <v/>
      </c>
      <c r="V886" s="129" t="str">
        <f t="shared" si="91"/>
        <v/>
      </c>
      <c r="W886" s="74" t="str">
        <f>IFERROR(VLOOKUP($O886,'Customer List'!$A$1:$J$488,10,FALSE),"")</f>
        <v/>
      </c>
    </row>
    <row r="887" spans="1:23">
      <c r="A887" s="125" t="str">
        <f t="shared" si="89"/>
        <v/>
      </c>
      <c r="O887" s="154"/>
      <c r="R887" s="127"/>
      <c r="T887" s="128">
        <f t="shared" si="90"/>
        <v>0</v>
      </c>
      <c r="U887" s="129" t="str">
        <f>IFERROR(VLOOKUP($S887,References!$B$3:$C$7,2,FALSE),"")</f>
        <v/>
      </c>
      <c r="V887" s="129" t="str">
        <f t="shared" si="91"/>
        <v/>
      </c>
      <c r="W887" s="74" t="str">
        <f>IFERROR(VLOOKUP($O887,'Customer List'!$A$1:$J$488,10,FALSE),"")</f>
        <v/>
      </c>
    </row>
    <row r="888" spans="1:23">
      <c r="A888" s="125" t="str">
        <f t="shared" si="89"/>
        <v/>
      </c>
      <c r="O888" s="154"/>
      <c r="R888" s="127"/>
      <c r="T888" s="128">
        <f t="shared" si="90"/>
        <v>0</v>
      </c>
      <c r="U888" s="129" t="str">
        <f>IFERROR(VLOOKUP($S888,References!$B$3:$C$7,2,FALSE),"")</f>
        <v/>
      </c>
      <c r="V888" s="129" t="str">
        <f t="shared" si="91"/>
        <v/>
      </c>
      <c r="W888" s="74" t="str">
        <f>IFERROR(VLOOKUP($O888,'Customer List'!$A$1:$J$488,10,FALSE),"")</f>
        <v/>
      </c>
    </row>
    <row r="889" spans="1:23">
      <c r="A889" s="125" t="str">
        <f t="shared" si="89"/>
        <v/>
      </c>
      <c r="O889" s="154"/>
      <c r="R889" s="127"/>
      <c r="T889" s="128">
        <f t="shared" si="90"/>
        <v>0</v>
      </c>
      <c r="U889" s="129" t="str">
        <f>IFERROR(VLOOKUP($S889,References!$B$3:$C$7,2,FALSE),"")</f>
        <v/>
      </c>
      <c r="V889" s="129" t="str">
        <f t="shared" si="91"/>
        <v/>
      </c>
      <c r="W889" s="74" t="str">
        <f>IFERROR(VLOOKUP($O889,'Customer List'!$A$1:$J$488,10,FALSE),"")</f>
        <v/>
      </c>
    </row>
    <row r="890" spans="1:23">
      <c r="A890" s="125" t="str">
        <f t="shared" si="89"/>
        <v/>
      </c>
      <c r="O890" s="154"/>
      <c r="R890" s="127"/>
      <c r="T890" s="128">
        <f t="shared" si="90"/>
        <v>0</v>
      </c>
      <c r="U890" s="129" t="str">
        <f>IFERROR(VLOOKUP($S890,References!$B$3:$C$7,2,FALSE),"")</f>
        <v/>
      </c>
      <c r="V890" s="129" t="str">
        <f t="shared" si="91"/>
        <v/>
      </c>
      <c r="W890" s="74" t="str">
        <f>IFERROR(VLOOKUP($O890,'Customer List'!$A$1:$J$488,10,FALSE),"")</f>
        <v/>
      </c>
    </row>
    <row r="891" spans="1:23">
      <c r="A891" s="125" t="str">
        <f t="shared" si="89"/>
        <v/>
      </c>
      <c r="O891" s="154"/>
      <c r="R891" s="127"/>
      <c r="T891" s="128">
        <f t="shared" si="90"/>
        <v>0</v>
      </c>
      <c r="U891" s="129" t="str">
        <f>IFERROR(VLOOKUP($S891,References!$B$3:$C$7,2,FALSE),"")</f>
        <v/>
      </c>
      <c r="V891" s="129" t="str">
        <f t="shared" si="91"/>
        <v/>
      </c>
      <c r="W891" s="74" t="str">
        <f>IFERROR(VLOOKUP($O891,'Customer List'!$A$1:$J$488,10,FALSE),"")</f>
        <v/>
      </c>
    </row>
    <row r="892" spans="1:23">
      <c r="A892" s="125" t="str">
        <f t="shared" si="89"/>
        <v/>
      </c>
      <c r="O892" s="154"/>
      <c r="R892" s="127"/>
      <c r="T892" s="128">
        <f t="shared" si="90"/>
        <v>0</v>
      </c>
      <c r="U892" s="129" t="str">
        <f>IFERROR(VLOOKUP($S892,References!$B$3:$C$7,2,FALSE),"")</f>
        <v/>
      </c>
      <c r="V892" s="129" t="str">
        <f t="shared" si="91"/>
        <v/>
      </c>
      <c r="W892" s="74" t="str">
        <f>IFERROR(VLOOKUP($O892,'Customer List'!$A$1:$J$488,10,FALSE),"")</f>
        <v/>
      </c>
    </row>
    <row r="893" spans="1:23">
      <c r="A893" s="125" t="str">
        <f t="shared" si="89"/>
        <v/>
      </c>
      <c r="O893" s="154"/>
      <c r="R893" s="127"/>
      <c r="T893" s="128">
        <f t="shared" si="90"/>
        <v>0</v>
      </c>
      <c r="U893" s="129" t="str">
        <f>IFERROR(VLOOKUP($S893,References!$B$3:$C$7,2,FALSE),"")</f>
        <v/>
      </c>
      <c r="V893" s="129" t="str">
        <f t="shared" si="91"/>
        <v/>
      </c>
      <c r="W893" s="74" t="str">
        <f>IFERROR(VLOOKUP($O893,'Customer List'!$A$1:$J$488,10,FALSE),"")</f>
        <v/>
      </c>
    </row>
    <row r="894" spans="1:23">
      <c r="A894" s="125" t="str">
        <f t="shared" si="89"/>
        <v/>
      </c>
      <c r="O894" s="154"/>
      <c r="R894" s="127"/>
      <c r="T894" s="128">
        <f t="shared" si="90"/>
        <v>0</v>
      </c>
      <c r="U894" s="129" t="str">
        <f>IFERROR(VLOOKUP($S894,References!$B$3:$C$7,2,FALSE),"")</f>
        <v/>
      </c>
      <c r="V894" s="129" t="str">
        <f t="shared" si="91"/>
        <v/>
      </c>
      <c r="W894" s="74" t="str">
        <f>IFERROR(VLOOKUP($O894,'Customer List'!$A$1:$J$488,10,FALSE),"")</f>
        <v/>
      </c>
    </row>
    <row r="895" spans="1:23">
      <c r="A895" s="125" t="str">
        <f t="shared" si="89"/>
        <v/>
      </c>
      <c r="O895" s="154"/>
      <c r="R895" s="127"/>
      <c r="T895" s="128">
        <f t="shared" si="90"/>
        <v>0</v>
      </c>
      <c r="U895" s="129" t="str">
        <f>IFERROR(VLOOKUP($S895,References!$B$3:$C$7,2,FALSE),"")</f>
        <v/>
      </c>
      <c r="V895" s="129" t="str">
        <f t="shared" si="91"/>
        <v/>
      </c>
      <c r="W895" s="74" t="str">
        <f>IFERROR(VLOOKUP($O895,'Customer List'!$A$1:$J$488,10,FALSE),"")</f>
        <v/>
      </c>
    </row>
    <row r="896" spans="1:23">
      <c r="A896" s="125" t="str">
        <f t="shared" si="89"/>
        <v/>
      </c>
      <c r="O896" s="154"/>
      <c r="R896" s="127"/>
      <c r="T896" s="128">
        <f t="shared" si="90"/>
        <v>0</v>
      </c>
      <c r="U896" s="129" t="str">
        <f>IFERROR(VLOOKUP($S896,References!$B$3:$C$7,2,FALSE),"")</f>
        <v/>
      </c>
      <c r="V896" s="129" t="str">
        <f t="shared" si="91"/>
        <v/>
      </c>
      <c r="W896" s="74" t="str">
        <f>IFERROR(VLOOKUP($O896,'Customer List'!$A$1:$J$488,10,FALSE),"")</f>
        <v/>
      </c>
    </row>
    <row r="897" spans="1:23">
      <c r="A897" s="125" t="str">
        <f t="shared" si="89"/>
        <v/>
      </c>
      <c r="O897" s="154"/>
      <c r="R897" s="127"/>
      <c r="T897" s="128">
        <f t="shared" si="90"/>
        <v>0</v>
      </c>
      <c r="U897" s="129" t="str">
        <f>IFERROR(VLOOKUP($S897,References!$B$3:$C$7,2,FALSE),"")</f>
        <v/>
      </c>
      <c r="V897" s="129" t="str">
        <f t="shared" si="91"/>
        <v/>
      </c>
      <c r="W897" s="74" t="str">
        <f>IFERROR(VLOOKUP($O897,'Customer List'!$A$1:$J$488,10,FALSE),"")</f>
        <v/>
      </c>
    </row>
    <row r="898" spans="1:23">
      <c r="A898" s="125" t="str">
        <f t="shared" si="89"/>
        <v/>
      </c>
      <c r="O898" s="154"/>
      <c r="R898" s="127"/>
      <c r="T898" s="128">
        <f t="shared" si="90"/>
        <v>0</v>
      </c>
      <c r="U898" s="129" t="str">
        <f>IFERROR(VLOOKUP($S898,References!$B$3:$C$7,2,FALSE),"")</f>
        <v/>
      </c>
      <c r="V898" s="129" t="str">
        <f t="shared" si="91"/>
        <v/>
      </c>
      <c r="W898" s="74" t="str">
        <f>IFERROR(VLOOKUP($O898,'Customer List'!$A$1:$J$488,10,FALSE),"")</f>
        <v/>
      </c>
    </row>
    <row r="899" spans="1:23">
      <c r="A899" s="125" t="str">
        <f t="shared" si="89"/>
        <v/>
      </c>
      <c r="O899" s="154"/>
      <c r="R899" s="127"/>
      <c r="T899" s="128">
        <f t="shared" si="90"/>
        <v>0</v>
      </c>
      <c r="U899" s="129" t="str">
        <f>IFERROR(VLOOKUP($S899,References!$B$3:$C$7,2,FALSE),"")</f>
        <v/>
      </c>
      <c r="V899" s="129" t="str">
        <f t="shared" si="91"/>
        <v/>
      </c>
      <c r="W899" s="74" t="str">
        <f>IFERROR(VLOOKUP($O899,'Customer List'!$A$1:$J$488,10,FALSE),"")</f>
        <v/>
      </c>
    </row>
    <row r="900" spans="1:23">
      <c r="A900" s="125" t="str">
        <f t="shared" si="89"/>
        <v/>
      </c>
      <c r="O900" s="154"/>
      <c r="R900" s="127"/>
      <c r="T900" s="128">
        <f t="shared" si="90"/>
        <v>0</v>
      </c>
      <c r="U900" s="129" t="str">
        <f>IFERROR(VLOOKUP($S900,References!$B$3:$C$7,2,FALSE),"")</f>
        <v/>
      </c>
      <c r="V900" s="129" t="str">
        <f t="shared" si="91"/>
        <v/>
      </c>
      <c r="W900" s="74" t="str">
        <f>IFERROR(VLOOKUP($O900,'Customer List'!$A$1:$J$488,10,FALSE),"")</f>
        <v/>
      </c>
    </row>
    <row r="901" spans="1:23">
      <c r="A901" s="125" t="str">
        <f t="shared" si="89"/>
        <v/>
      </c>
      <c r="O901" s="154"/>
      <c r="R901" s="127"/>
      <c r="T901" s="128">
        <f t="shared" si="90"/>
        <v>0</v>
      </c>
      <c r="U901" s="129" t="str">
        <f>IFERROR(VLOOKUP($S901,References!$B$3:$C$7,2,FALSE),"")</f>
        <v/>
      </c>
      <c r="V901" s="129" t="str">
        <f t="shared" si="91"/>
        <v/>
      </c>
      <c r="W901" s="74" t="str">
        <f>IFERROR(VLOOKUP($O901,'Customer List'!$A$1:$J$488,10,FALSE),"")</f>
        <v/>
      </c>
    </row>
    <row r="902" spans="1:23">
      <c r="A902" s="125" t="str">
        <f t="shared" si="89"/>
        <v/>
      </c>
      <c r="O902" s="154"/>
      <c r="R902" s="127"/>
      <c r="T902" s="128">
        <f t="shared" si="90"/>
        <v>0</v>
      </c>
      <c r="U902" s="129" t="str">
        <f>IFERROR(VLOOKUP($S902,References!$B$3:$C$7,2,FALSE),"")</f>
        <v/>
      </c>
      <c r="V902" s="129" t="str">
        <f t="shared" si="91"/>
        <v/>
      </c>
      <c r="W902" s="74" t="str">
        <f>IFERROR(VLOOKUP($O902,'Customer List'!$A$1:$J$488,10,FALSE),"")</f>
        <v/>
      </c>
    </row>
    <row r="903" spans="1:23">
      <c r="A903" s="125" t="str">
        <f t="shared" si="89"/>
        <v/>
      </c>
      <c r="O903" s="154"/>
      <c r="R903" s="127"/>
      <c r="T903" s="128">
        <f t="shared" si="90"/>
        <v>0</v>
      </c>
      <c r="U903" s="129" t="str">
        <f>IFERROR(VLOOKUP($S903,References!$B$3:$C$7,2,FALSE),"")</f>
        <v/>
      </c>
      <c r="V903" s="129" t="str">
        <f t="shared" si="91"/>
        <v/>
      </c>
      <c r="W903" s="74" t="str">
        <f>IFERROR(VLOOKUP($O903,'Customer List'!$A$1:$J$488,10,FALSE),"")</f>
        <v/>
      </c>
    </row>
    <row r="904" spans="1:23">
      <c r="A904" s="125" t="str">
        <f t="shared" si="89"/>
        <v/>
      </c>
      <c r="O904" s="154"/>
      <c r="R904" s="127"/>
      <c r="T904" s="128">
        <f t="shared" si="90"/>
        <v>0</v>
      </c>
      <c r="U904" s="129" t="str">
        <f>IFERROR(VLOOKUP($S904,References!$B$3:$C$7,2,FALSE),"")</f>
        <v/>
      </c>
      <c r="V904" s="129" t="str">
        <f t="shared" si="91"/>
        <v/>
      </c>
      <c r="W904" s="74" t="str">
        <f>IFERROR(VLOOKUP($O904,'Customer List'!$A$1:$J$488,10,FALSE),"")</f>
        <v/>
      </c>
    </row>
    <row r="905" spans="1:23">
      <c r="A905" s="125" t="str">
        <f t="shared" ref="A905:A968" si="92">O905&amp;S905</f>
        <v/>
      </c>
      <c r="O905" s="154"/>
      <c r="R905" s="127"/>
      <c r="T905" s="128">
        <f t="shared" si="90"/>
        <v>0</v>
      </c>
      <c r="U905" s="129" t="str">
        <f>IFERROR(VLOOKUP($S905,References!$B$3:$C$7,2,FALSE),"")</f>
        <v/>
      </c>
      <c r="V905" s="129" t="str">
        <f t="shared" si="91"/>
        <v/>
      </c>
      <c r="W905" s="74" t="str">
        <f>IFERROR(VLOOKUP($O905,'Customer List'!$A$1:$J$488,10,FALSE),"")</f>
        <v/>
      </c>
    </row>
    <row r="906" spans="1:23">
      <c r="A906" s="125" t="str">
        <f t="shared" si="92"/>
        <v/>
      </c>
      <c r="O906" s="154"/>
      <c r="R906" s="127"/>
      <c r="T906" s="128">
        <f t="shared" ref="T906:T969" si="93">IF(S906="50 - Cleaning Fee",1,HOUR($R906)+MINUTE(R906)/60)</f>
        <v>0</v>
      </c>
      <c r="U906" s="129" t="str">
        <f>IFERROR(VLOOKUP($S906,References!$B$3:$C$7,2,FALSE),"")</f>
        <v/>
      </c>
      <c r="V906" s="129" t="str">
        <f t="shared" ref="V906:V969" si="94">IF(T906&gt;=8,400,(IFERROR(T906*U906,"")))</f>
        <v/>
      </c>
      <c r="W906" s="74" t="str">
        <f>IFERROR(VLOOKUP($O906,'Customer List'!$A$1:$J$488,10,FALSE),"")</f>
        <v/>
      </c>
    </row>
    <row r="907" spans="1:23">
      <c r="A907" s="125" t="str">
        <f t="shared" si="92"/>
        <v/>
      </c>
      <c r="O907" s="154"/>
      <c r="R907" s="127"/>
      <c r="T907" s="128">
        <f t="shared" si="93"/>
        <v>0</v>
      </c>
      <c r="U907" s="129" t="str">
        <f>IFERROR(VLOOKUP($S907,References!$B$3:$C$7,2,FALSE),"")</f>
        <v/>
      </c>
      <c r="V907" s="129" t="str">
        <f t="shared" si="94"/>
        <v/>
      </c>
      <c r="W907" s="74" t="str">
        <f>IFERROR(VLOOKUP($O907,'Customer List'!$A$1:$J$488,10,FALSE),"")</f>
        <v/>
      </c>
    </row>
    <row r="908" spans="1:23">
      <c r="A908" s="125" t="str">
        <f t="shared" si="92"/>
        <v/>
      </c>
      <c r="O908" s="154"/>
      <c r="R908" s="127"/>
      <c r="T908" s="128">
        <f t="shared" si="93"/>
        <v>0</v>
      </c>
      <c r="U908" s="129" t="str">
        <f>IFERROR(VLOOKUP($S908,References!$B$3:$C$7,2,FALSE),"")</f>
        <v/>
      </c>
      <c r="V908" s="129" t="str">
        <f t="shared" si="94"/>
        <v/>
      </c>
      <c r="W908" s="74" t="str">
        <f>IFERROR(VLOOKUP($O908,'Customer List'!$A$1:$J$488,10,FALSE),"")</f>
        <v/>
      </c>
    </row>
    <row r="909" spans="1:23">
      <c r="A909" s="125" t="str">
        <f t="shared" si="92"/>
        <v/>
      </c>
      <c r="O909" s="154"/>
      <c r="R909" s="127"/>
      <c r="T909" s="128">
        <f t="shared" si="93"/>
        <v>0</v>
      </c>
      <c r="U909" s="129" t="str">
        <f>IFERROR(VLOOKUP($S909,References!$B$3:$C$7,2,FALSE),"")</f>
        <v/>
      </c>
      <c r="V909" s="129" t="str">
        <f t="shared" si="94"/>
        <v/>
      </c>
      <c r="W909" s="74" t="str">
        <f>IFERROR(VLOOKUP($O909,'Customer List'!$A$1:$J$488,10,FALSE),"")</f>
        <v/>
      </c>
    </row>
    <row r="910" spans="1:23">
      <c r="A910" s="125" t="str">
        <f t="shared" si="92"/>
        <v/>
      </c>
      <c r="O910" s="154"/>
      <c r="R910" s="127"/>
      <c r="T910" s="128">
        <f t="shared" si="93"/>
        <v>0</v>
      </c>
      <c r="U910" s="129" t="str">
        <f>IFERROR(VLOOKUP($S910,References!$B$3:$C$7,2,FALSE),"")</f>
        <v/>
      </c>
      <c r="V910" s="129" t="str">
        <f t="shared" si="94"/>
        <v/>
      </c>
      <c r="W910" s="74" t="str">
        <f>IFERROR(VLOOKUP($O910,'Customer List'!$A$1:$J$488,10,FALSE),"")</f>
        <v/>
      </c>
    </row>
    <row r="911" spans="1:23">
      <c r="A911" s="125" t="str">
        <f t="shared" si="92"/>
        <v/>
      </c>
      <c r="O911" s="154"/>
      <c r="R911" s="127"/>
      <c r="T911" s="128">
        <f t="shared" si="93"/>
        <v>0</v>
      </c>
      <c r="U911" s="129" t="str">
        <f>IFERROR(VLOOKUP($S911,References!$B$3:$C$7,2,FALSE),"")</f>
        <v/>
      </c>
      <c r="V911" s="129" t="str">
        <f t="shared" si="94"/>
        <v/>
      </c>
      <c r="W911" s="74" t="str">
        <f>IFERROR(VLOOKUP($O911,'Customer List'!$A$1:$J$488,10,FALSE),"")</f>
        <v/>
      </c>
    </row>
    <row r="912" spans="1:23">
      <c r="A912" s="125" t="str">
        <f t="shared" si="92"/>
        <v/>
      </c>
      <c r="O912" s="154"/>
      <c r="R912" s="127"/>
      <c r="T912" s="128">
        <f t="shared" si="93"/>
        <v>0</v>
      </c>
      <c r="U912" s="129" t="str">
        <f>IFERROR(VLOOKUP($S912,References!$B$3:$C$7,2,FALSE),"")</f>
        <v/>
      </c>
      <c r="V912" s="129" t="str">
        <f t="shared" si="94"/>
        <v/>
      </c>
      <c r="W912" s="74" t="str">
        <f>IFERROR(VLOOKUP($O912,'Customer List'!$A$1:$J$488,10,FALSE),"")</f>
        <v/>
      </c>
    </row>
    <row r="913" spans="1:23">
      <c r="A913" s="125" t="str">
        <f t="shared" si="92"/>
        <v/>
      </c>
      <c r="O913" s="154"/>
      <c r="R913" s="127"/>
      <c r="T913" s="128">
        <f t="shared" si="93"/>
        <v>0</v>
      </c>
      <c r="U913" s="129" t="str">
        <f>IFERROR(VLOOKUP($S913,References!$B$3:$C$7,2,FALSE),"")</f>
        <v/>
      </c>
      <c r="V913" s="129" t="str">
        <f t="shared" si="94"/>
        <v/>
      </c>
      <c r="W913" s="74" t="str">
        <f>IFERROR(VLOOKUP($O913,'Customer List'!$A$1:$J$488,10,FALSE),"")</f>
        <v/>
      </c>
    </row>
    <row r="914" spans="1:23">
      <c r="A914" s="125" t="str">
        <f t="shared" si="92"/>
        <v/>
      </c>
      <c r="O914" s="154"/>
      <c r="R914" s="127"/>
      <c r="T914" s="128">
        <f t="shared" si="93"/>
        <v>0</v>
      </c>
      <c r="U914" s="129" t="str">
        <f>IFERROR(VLOOKUP($S914,References!$B$3:$C$7,2,FALSE),"")</f>
        <v/>
      </c>
      <c r="V914" s="129" t="str">
        <f t="shared" si="94"/>
        <v/>
      </c>
      <c r="W914" s="74" t="str">
        <f>IFERROR(VLOOKUP($O914,'Customer List'!$A$1:$J$488,10,FALSE),"")</f>
        <v/>
      </c>
    </row>
    <row r="915" spans="1:23">
      <c r="A915" s="125" t="str">
        <f t="shared" si="92"/>
        <v/>
      </c>
      <c r="O915" s="154"/>
      <c r="R915" s="127"/>
      <c r="T915" s="128">
        <f t="shared" si="93"/>
        <v>0</v>
      </c>
      <c r="U915" s="129" t="str">
        <f>IFERROR(VLOOKUP($S915,References!$B$3:$C$7,2,FALSE),"")</f>
        <v/>
      </c>
      <c r="V915" s="129" t="str">
        <f t="shared" si="94"/>
        <v/>
      </c>
      <c r="W915" s="74" t="str">
        <f>IFERROR(VLOOKUP($O915,'Customer List'!$A$1:$J$488,10,FALSE),"")</f>
        <v/>
      </c>
    </row>
    <row r="916" spans="1:23">
      <c r="A916" s="125" t="str">
        <f t="shared" si="92"/>
        <v/>
      </c>
      <c r="O916" s="154"/>
      <c r="R916" s="127"/>
      <c r="T916" s="128">
        <f t="shared" si="93"/>
        <v>0</v>
      </c>
      <c r="U916" s="129" t="str">
        <f>IFERROR(VLOOKUP($S916,References!$B$3:$C$7,2,FALSE),"")</f>
        <v/>
      </c>
      <c r="V916" s="129" t="str">
        <f t="shared" si="94"/>
        <v/>
      </c>
      <c r="W916" s="74" t="str">
        <f>IFERROR(VLOOKUP($O916,'Customer List'!$A$1:$J$488,10,FALSE),"")</f>
        <v/>
      </c>
    </row>
    <row r="917" spans="1:23">
      <c r="A917" s="125" t="str">
        <f t="shared" si="92"/>
        <v/>
      </c>
      <c r="O917" s="154"/>
      <c r="R917" s="127"/>
      <c r="T917" s="128">
        <f t="shared" si="93"/>
        <v>0</v>
      </c>
      <c r="U917" s="129" t="str">
        <f>IFERROR(VLOOKUP($S917,References!$B$3:$C$7,2,FALSE),"")</f>
        <v/>
      </c>
      <c r="V917" s="129" t="str">
        <f t="shared" si="94"/>
        <v/>
      </c>
      <c r="W917" s="74" t="str">
        <f>IFERROR(VLOOKUP($O917,'Customer List'!$A$1:$J$488,10,FALSE),"")</f>
        <v/>
      </c>
    </row>
    <row r="918" spans="1:23">
      <c r="A918" s="125" t="str">
        <f t="shared" si="92"/>
        <v/>
      </c>
      <c r="O918" s="154"/>
      <c r="R918" s="127"/>
      <c r="T918" s="128">
        <f t="shared" si="93"/>
        <v>0</v>
      </c>
      <c r="U918" s="129" t="str">
        <f>IFERROR(VLOOKUP($S918,References!$B$3:$C$7,2,FALSE),"")</f>
        <v/>
      </c>
      <c r="V918" s="129" t="str">
        <f t="shared" si="94"/>
        <v/>
      </c>
      <c r="W918" s="74" t="str">
        <f>IFERROR(VLOOKUP($O918,'Customer List'!$A$1:$J$488,10,FALSE),"")</f>
        <v/>
      </c>
    </row>
    <row r="919" spans="1:23">
      <c r="A919" s="125" t="str">
        <f t="shared" si="92"/>
        <v/>
      </c>
      <c r="O919" s="154"/>
      <c r="R919" s="127"/>
      <c r="T919" s="128">
        <f t="shared" si="93"/>
        <v>0</v>
      </c>
      <c r="U919" s="129" t="str">
        <f>IFERROR(VLOOKUP($S919,References!$B$3:$C$7,2,FALSE),"")</f>
        <v/>
      </c>
      <c r="V919" s="129" t="str">
        <f t="shared" si="94"/>
        <v/>
      </c>
      <c r="W919" s="74" t="str">
        <f>IFERROR(VLOOKUP($O919,'Customer List'!$A$1:$J$488,10,FALSE),"")</f>
        <v/>
      </c>
    </row>
    <row r="920" spans="1:23">
      <c r="A920" s="125" t="str">
        <f t="shared" si="92"/>
        <v/>
      </c>
      <c r="O920" s="154"/>
      <c r="R920" s="127"/>
      <c r="T920" s="128">
        <f t="shared" si="93"/>
        <v>0</v>
      </c>
      <c r="U920" s="129" t="str">
        <f>IFERROR(VLOOKUP($S920,References!$B$3:$C$7,2,FALSE),"")</f>
        <v/>
      </c>
      <c r="V920" s="129" t="str">
        <f t="shared" si="94"/>
        <v/>
      </c>
      <c r="W920" s="74" t="str">
        <f>IFERROR(VLOOKUP($O920,'Customer List'!$A$1:$J$488,10,FALSE),"")</f>
        <v/>
      </c>
    </row>
    <row r="921" spans="1:23">
      <c r="A921" s="125" t="str">
        <f t="shared" si="92"/>
        <v/>
      </c>
      <c r="O921" s="154"/>
      <c r="R921" s="127"/>
      <c r="T921" s="128">
        <f t="shared" si="93"/>
        <v>0</v>
      </c>
      <c r="U921" s="129" t="str">
        <f>IFERROR(VLOOKUP($S921,References!$B$3:$C$7,2,FALSE),"")</f>
        <v/>
      </c>
      <c r="V921" s="129" t="str">
        <f t="shared" si="94"/>
        <v/>
      </c>
      <c r="W921" s="74" t="str">
        <f>IFERROR(VLOOKUP($O921,'Customer List'!$A$1:$J$488,10,FALSE),"")</f>
        <v/>
      </c>
    </row>
    <row r="922" spans="1:23">
      <c r="A922" s="125" t="str">
        <f t="shared" si="92"/>
        <v/>
      </c>
      <c r="O922" s="154"/>
      <c r="R922" s="127"/>
      <c r="T922" s="128">
        <f t="shared" si="93"/>
        <v>0</v>
      </c>
      <c r="U922" s="129" t="str">
        <f>IFERROR(VLOOKUP($S922,References!$B$3:$C$7,2,FALSE),"")</f>
        <v/>
      </c>
      <c r="V922" s="129" t="str">
        <f t="shared" si="94"/>
        <v/>
      </c>
      <c r="W922" s="74" t="str">
        <f>IFERROR(VLOOKUP($O922,'Customer List'!$A$1:$J$488,10,FALSE),"")</f>
        <v/>
      </c>
    </row>
    <row r="923" spans="1:23">
      <c r="A923" s="125" t="str">
        <f t="shared" si="92"/>
        <v/>
      </c>
      <c r="O923" s="154"/>
      <c r="R923" s="127"/>
      <c r="T923" s="128">
        <f t="shared" si="93"/>
        <v>0</v>
      </c>
      <c r="U923" s="129" t="str">
        <f>IFERROR(VLOOKUP($S923,References!$B$3:$C$7,2,FALSE),"")</f>
        <v/>
      </c>
      <c r="V923" s="129" t="str">
        <f t="shared" si="94"/>
        <v/>
      </c>
      <c r="W923" s="74" t="str">
        <f>IFERROR(VLOOKUP($O923,'Customer List'!$A$1:$J$488,10,FALSE),"")</f>
        <v/>
      </c>
    </row>
    <row r="924" spans="1:23">
      <c r="A924" s="125" t="str">
        <f t="shared" si="92"/>
        <v/>
      </c>
      <c r="O924" s="154"/>
      <c r="R924" s="127"/>
      <c r="T924" s="128">
        <f t="shared" si="93"/>
        <v>0</v>
      </c>
      <c r="U924" s="129" t="str">
        <f>IFERROR(VLOOKUP($S924,References!$B$3:$C$7,2,FALSE),"")</f>
        <v/>
      </c>
      <c r="V924" s="129" t="str">
        <f t="shared" si="94"/>
        <v/>
      </c>
      <c r="W924" s="74" t="str">
        <f>IFERROR(VLOOKUP($O924,'Customer List'!$A$1:$J$488,10,FALSE),"")</f>
        <v/>
      </c>
    </row>
    <row r="925" spans="1:23">
      <c r="A925" s="125" t="str">
        <f t="shared" si="92"/>
        <v/>
      </c>
      <c r="O925" s="154"/>
      <c r="R925" s="127"/>
      <c r="T925" s="128">
        <f t="shared" si="93"/>
        <v>0</v>
      </c>
      <c r="U925" s="129" t="str">
        <f>IFERROR(VLOOKUP($S925,References!$B$3:$C$7,2,FALSE),"")</f>
        <v/>
      </c>
      <c r="V925" s="129" t="str">
        <f t="shared" si="94"/>
        <v/>
      </c>
      <c r="W925" s="74" t="str">
        <f>IFERROR(VLOOKUP($O925,'Customer List'!$A$1:$J$488,10,FALSE),"")</f>
        <v/>
      </c>
    </row>
    <row r="926" spans="1:23">
      <c r="A926" s="125" t="str">
        <f t="shared" si="92"/>
        <v/>
      </c>
      <c r="O926" s="154"/>
      <c r="R926" s="127"/>
      <c r="T926" s="128">
        <f t="shared" si="93"/>
        <v>0</v>
      </c>
      <c r="U926" s="129" t="str">
        <f>IFERROR(VLOOKUP($S926,References!$B$3:$C$7,2,FALSE),"")</f>
        <v/>
      </c>
      <c r="V926" s="129" t="str">
        <f t="shared" si="94"/>
        <v/>
      </c>
      <c r="W926" s="74" t="str">
        <f>IFERROR(VLOOKUP($O926,'Customer List'!$A$1:$J$488,10,FALSE),"")</f>
        <v/>
      </c>
    </row>
    <row r="927" spans="1:23">
      <c r="A927" s="125" t="str">
        <f t="shared" si="92"/>
        <v/>
      </c>
      <c r="O927" s="154"/>
      <c r="R927" s="127"/>
      <c r="T927" s="128">
        <f t="shared" si="93"/>
        <v>0</v>
      </c>
      <c r="U927" s="129" t="str">
        <f>IFERROR(VLOOKUP($S927,References!$B$3:$C$7,2,FALSE),"")</f>
        <v/>
      </c>
      <c r="V927" s="129" t="str">
        <f t="shared" si="94"/>
        <v/>
      </c>
      <c r="W927" s="74" t="str">
        <f>IFERROR(VLOOKUP($O927,'Customer List'!$A$1:$J$488,10,FALSE),"")</f>
        <v/>
      </c>
    </row>
    <row r="928" spans="1:23">
      <c r="A928" s="125" t="str">
        <f t="shared" si="92"/>
        <v/>
      </c>
      <c r="O928" s="154"/>
      <c r="R928" s="127"/>
      <c r="T928" s="128">
        <f t="shared" si="93"/>
        <v>0</v>
      </c>
      <c r="U928" s="129" t="str">
        <f>IFERROR(VLOOKUP($S928,References!$B$3:$C$7,2,FALSE),"")</f>
        <v/>
      </c>
      <c r="V928" s="129" t="str">
        <f t="shared" si="94"/>
        <v/>
      </c>
      <c r="W928" s="74" t="str">
        <f>IFERROR(VLOOKUP($O928,'Customer List'!$A$1:$J$488,10,FALSE),"")</f>
        <v/>
      </c>
    </row>
    <row r="929" spans="1:23">
      <c r="A929" s="125" t="str">
        <f t="shared" si="92"/>
        <v/>
      </c>
      <c r="O929" s="154"/>
      <c r="R929" s="127"/>
      <c r="T929" s="128">
        <f t="shared" si="93"/>
        <v>0</v>
      </c>
      <c r="U929" s="129" t="str">
        <f>IFERROR(VLOOKUP($S929,References!$B$3:$C$7,2,FALSE),"")</f>
        <v/>
      </c>
      <c r="V929" s="129" t="str">
        <f t="shared" si="94"/>
        <v/>
      </c>
      <c r="W929" s="74" t="str">
        <f>IFERROR(VLOOKUP($O929,'Customer List'!$A$1:$J$488,10,FALSE),"")</f>
        <v/>
      </c>
    </row>
    <row r="930" spans="1:23">
      <c r="A930" s="125" t="str">
        <f t="shared" si="92"/>
        <v/>
      </c>
      <c r="O930" s="154"/>
      <c r="R930" s="127"/>
      <c r="T930" s="128">
        <f t="shared" si="93"/>
        <v>0</v>
      </c>
      <c r="U930" s="129" t="str">
        <f>IFERROR(VLOOKUP($S930,References!$B$3:$C$7,2,FALSE),"")</f>
        <v/>
      </c>
      <c r="V930" s="129" t="str">
        <f t="shared" si="94"/>
        <v/>
      </c>
      <c r="W930" s="74" t="str">
        <f>IFERROR(VLOOKUP($O930,'Customer List'!$A$1:$J$488,10,FALSE),"")</f>
        <v/>
      </c>
    </row>
    <row r="931" spans="1:23">
      <c r="A931" s="125" t="str">
        <f t="shared" si="92"/>
        <v/>
      </c>
      <c r="O931" s="154"/>
      <c r="R931" s="127"/>
      <c r="T931" s="128">
        <f t="shared" si="93"/>
        <v>0</v>
      </c>
      <c r="U931" s="129" t="str">
        <f>IFERROR(VLOOKUP($S931,References!$B$3:$C$7,2,FALSE),"")</f>
        <v/>
      </c>
      <c r="V931" s="129" t="str">
        <f t="shared" si="94"/>
        <v/>
      </c>
      <c r="W931" s="74" t="str">
        <f>IFERROR(VLOOKUP($O931,'Customer List'!$A$1:$J$488,10,FALSE),"")</f>
        <v/>
      </c>
    </row>
    <row r="932" spans="1:23">
      <c r="A932" s="125" t="str">
        <f t="shared" si="92"/>
        <v/>
      </c>
      <c r="O932" s="154"/>
      <c r="R932" s="127"/>
      <c r="T932" s="128">
        <f t="shared" si="93"/>
        <v>0</v>
      </c>
      <c r="U932" s="129" t="str">
        <f>IFERROR(VLOOKUP($S932,References!$B$3:$C$7,2,FALSE),"")</f>
        <v/>
      </c>
      <c r="V932" s="129" t="str">
        <f t="shared" si="94"/>
        <v/>
      </c>
      <c r="W932" s="74" t="str">
        <f>IFERROR(VLOOKUP($O932,'Customer List'!$A$1:$J$488,10,FALSE),"")</f>
        <v/>
      </c>
    </row>
    <row r="933" spans="1:23">
      <c r="A933" s="125" t="str">
        <f t="shared" si="92"/>
        <v/>
      </c>
      <c r="O933" s="154"/>
      <c r="R933" s="127"/>
      <c r="T933" s="128">
        <f t="shared" si="93"/>
        <v>0</v>
      </c>
      <c r="U933" s="129" t="str">
        <f>IFERROR(VLOOKUP($S933,References!$B$3:$C$7,2,FALSE),"")</f>
        <v/>
      </c>
      <c r="V933" s="129" t="str">
        <f t="shared" si="94"/>
        <v/>
      </c>
      <c r="W933" s="74" t="str">
        <f>IFERROR(VLOOKUP($O933,'Customer List'!$A$1:$J$488,10,FALSE),"")</f>
        <v/>
      </c>
    </row>
    <row r="934" spans="1:23">
      <c r="A934" s="125" t="str">
        <f t="shared" si="92"/>
        <v/>
      </c>
      <c r="O934" s="154"/>
      <c r="R934" s="127"/>
      <c r="T934" s="128">
        <f t="shared" si="93"/>
        <v>0</v>
      </c>
      <c r="U934" s="129" t="str">
        <f>IFERROR(VLOOKUP($S934,References!$B$3:$C$7,2,FALSE),"")</f>
        <v/>
      </c>
      <c r="V934" s="129" t="str">
        <f t="shared" si="94"/>
        <v/>
      </c>
      <c r="W934" s="74" t="str">
        <f>IFERROR(VLOOKUP($O934,'Customer List'!$A$1:$J$488,10,FALSE),"")</f>
        <v/>
      </c>
    </row>
    <row r="935" spans="1:23">
      <c r="A935" s="125" t="str">
        <f t="shared" si="92"/>
        <v/>
      </c>
      <c r="O935" s="154"/>
      <c r="R935" s="127"/>
      <c r="T935" s="128">
        <f t="shared" si="93"/>
        <v>0</v>
      </c>
      <c r="U935" s="129" t="str">
        <f>IFERROR(VLOOKUP($S935,References!$B$3:$C$7,2,FALSE),"")</f>
        <v/>
      </c>
      <c r="V935" s="129" t="str">
        <f t="shared" si="94"/>
        <v/>
      </c>
      <c r="W935" s="74" t="str">
        <f>IFERROR(VLOOKUP($O935,'Customer List'!$A$1:$J$488,10,FALSE),"")</f>
        <v/>
      </c>
    </row>
    <row r="936" spans="1:23">
      <c r="A936" s="125" t="str">
        <f t="shared" si="92"/>
        <v/>
      </c>
      <c r="O936" s="154"/>
      <c r="R936" s="127"/>
      <c r="T936" s="128">
        <f t="shared" si="93"/>
        <v>0</v>
      </c>
      <c r="U936" s="129" t="str">
        <f>IFERROR(VLOOKUP($S936,References!$B$3:$C$7,2,FALSE),"")</f>
        <v/>
      </c>
      <c r="V936" s="129" t="str">
        <f t="shared" si="94"/>
        <v/>
      </c>
      <c r="W936" s="74" t="str">
        <f>IFERROR(VLOOKUP($O936,'Customer List'!$A$1:$J$488,10,FALSE),"")</f>
        <v/>
      </c>
    </row>
    <row r="937" spans="1:23">
      <c r="A937" s="125" t="str">
        <f t="shared" si="92"/>
        <v/>
      </c>
      <c r="O937" s="154"/>
      <c r="R937" s="127"/>
      <c r="T937" s="128">
        <f t="shared" si="93"/>
        <v>0</v>
      </c>
      <c r="U937" s="129" t="str">
        <f>IFERROR(VLOOKUP($S937,References!$B$3:$C$7,2,FALSE),"")</f>
        <v/>
      </c>
      <c r="V937" s="129" t="str">
        <f t="shared" si="94"/>
        <v/>
      </c>
      <c r="W937" s="74" t="str">
        <f>IFERROR(VLOOKUP($O937,'Customer List'!$A$1:$J$488,10,FALSE),"")</f>
        <v/>
      </c>
    </row>
    <row r="938" spans="1:23">
      <c r="A938" s="125" t="str">
        <f t="shared" si="92"/>
        <v/>
      </c>
      <c r="O938" s="154"/>
      <c r="R938" s="127"/>
      <c r="T938" s="128">
        <f t="shared" si="93"/>
        <v>0</v>
      </c>
      <c r="U938" s="129" t="str">
        <f>IFERROR(VLOOKUP($S938,References!$B$3:$C$7,2,FALSE),"")</f>
        <v/>
      </c>
      <c r="V938" s="129" t="str">
        <f t="shared" si="94"/>
        <v/>
      </c>
      <c r="W938" s="74" t="str">
        <f>IFERROR(VLOOKUP($O938,'Customer List'!$A$1:$J$488,10,FALSE),"")</f>
        <v/>
      </c>
    </row>
    <row r="939" spans="1:23">
      <c r="A939" s="125" t="str">
        <f t="shared" si="92"/>
        <v/>
      </c>
      <c r="O939" s="154"/>
      <c r="R939" s="127"/>
      <c r="T939" s="128">
        <f t="shared" si="93"/>
        <v>0</v>
      </c>
      <c r="U939" s="129" t="str">
        <f>IFERROR(VLOOKUP($S939,References!$B$3:$C$7,2,FALSE),"")</f>
        <v/>
      </c>
      <c r="V939" s="129" t="str">
        <f t="shared" si="94"/>
        <v/>
      </c>
      <c r="W939" s="74" t="str">
        <f>IFERROR(VLOOKUP($O939,'Customer List'!$A$1:$J$488,10,FALSE),"")</f>
        <v/>
      </c>
    </row>
    <row r="940" spans="1:23">
      <c r="A940" s="125" t="str">
        <f t="shared" si="92"/>
        <v/>
      </c>
      <c r="O940" s="154"/>
      <c r="R940" s="127"/>
      <c r="T940" s="128">
        <f t="shared" si="93"/>
        <v>0</v>
      </c>
      <c r="U940" s="129" t="str">
        <f>IFERROR(VLOOKUP($S940,References!$B$3:$C$7,2,FALSE),"")</f>
        <v/>
      </c>
      <c r="V940" s="129" t="str">
        <f t="shared" si="94"/>
        <v/>
      </c>
      <c r="W940" s="74" t="str">
        <f>IFERROR(VLOOKUP($O940,'Customer List'!$A$1:$J$488,10,FALSE),"")</f>
        <v/>
      </c>
    </row>
    <row r="941" spans="1:23">
      <c r="A941" s="125" t="str">
        <f t="shared" si="92"/>
        <v/>
      </c>
      <c r="O941" s="154"/>
      <c r="R941" s="127"/>
      <c r="T941" s="128">
        <f t="shared" si="93"/>
        <v>0</v>
      </c>
      <c r="U941" s="129" t="str">
        <f>IFERROR(VLOOKUP($S941,References!$B$3:$C$7,2,FALSE),"")</f>
        <v/>
      </c>
      <c r="V941" s="129" t="str">
        <f t="shared" si="94"/>
        <v/>
      </c>
      <c r="W941" s="74" t="str">
        <f>IFERROR(VLOOKUP($O941,'Customer List'!$A$1:$J$488,10,FALSE),"")</f>
        <v/>
      </c>
    </row>
    <row r="942" spans="1:23">
      <c r="A942" s="125" t="str">
        <f t="shared" si="92"/>
        <v/>
      </c>
      <c r="O942" s="154"/>
      <c r="R942" s="127"/>
      <c r="T942" s="128">
        <f t="shared" si="93"/>
        <v>0</v>
      </c>
      <c r="U942" s="129" t="str">
        <f>IFERROR(VLOOKUP($S942,References!$B$3:$C$7,2,FALSE),"")</f>
        <v/>
      </c>
      <c r="V942" s="129" t="str">
        <f t="shared" si="94"/>
        <v/>
      </c>
      <c r="W942" s="74" t="str">
        <f>IFERROR(VLOOKUP($O942,'Customer List'!$A$1:$J$488,10,FALSE),"")</f>
        <v/>
      </c>
    </row>
    <row r="943" spans="1:23">
      <c r="A943" s="125" t="str">
        <f t="shared" si="92"/>
        <v/>
      </c>
      <c r="O943" s="154"/>
      <c r="R943" s="127"/>
      <c r="T943" s="128">
        <f t="shared" si="93"/>
        <v>0</v>
      </c>
      <c r="U943" s="129" t="str">
        <f>IFERROR(VLOOKUP($S943,References!$B$3:$C$7,2,FALSE),"")</f>
        <v/>
      </c>
      <c r="V943" s="129" t="str">
        <f t="shared" si="94"/>
        <v/>
      </c>
      <c r="W943" s="74" t="str">
        <f>IFERROR(VLOOKUP($O943,'Customer List'!$A$1:$J$488,10,FALSE),"")</f>
        <v/>
      </c>
    </row>
    <row r="944" spans="1:23">
      <c r="A944" s="125" t="str">
        <f t="shared" si="92"/>
        <v/>
      </c>
      <c r="O944" s="154"/>
      <c r="R944" s="127"/>
      <c r="T944" s="128">
        <f t="shared" si="93"/>
        <v>0</v>
      </c>
      <c r="U944" s="129" t="str">
        <f>IFERROR(VLOOKUP($S944,References!$B$3:$C$7,2,FALSE),"")</f>
        <v/>
      </c>
      <c r="V944" s="129" t="str">
        <f t="shared" si="94"/>
        <v/>
      </c>
      <c r="W944" s="74" t="str">
        <f>IFERROR(VLOOKUP($O944,'Customer List'!$A$1:$J$488,10,FALSE),"")</f>
        <v/>
      </c>
    </row>
    <row r="945" spans="1:23">
      <c r="A945" s="125" t="str">
        <f t="shared" si="92"/>
        <v/>
      </c>
      <c r="O945" s="154"/>
      <c r="R945" s="127"/>
      <c r="T945" s="128">
        <f t="shared" si="93"/>
        <v>0</v>
      </c>
      <c r="U945" s="129" t="str">
        <f>IFERROR(VLOOKUP($S945,References!$B$3:$C$7,2,FALSE),"")</f>
        <v/>
      </c>
      <c r="V945" s="129" t="str">
        <f t="shared" si="94"/>
        <v/>
      </c>
      <c r="W945" s="74" t="str">
        <f>IFERROR(VLOOKUP($O945,'Customer List'!$A$1:$J$488,10,FALSE),"")</f>
        <v/>
      </c>
    </row>
    <row r="946" spans="1:23">
      <c r="A946" s="125" t="str">
        <f t="shared" si="92"/>
        <v/>
      </c>
      <c r="O946" s="154"/>
      <c r="R946" s="127"/>
      <c r="T946" s="128">
        <f t="shared" si="93"/>
        <v>0</v>
      </c>
      <c r="U946" s="129" t="str">
        <f>IFERROR(VLOOKUP($S946,References!$B$3:$C$7,2,FALSE),"")</f>
        <v/>
      </c>
      <c r="V946" s="129" t="str">
        <f t="shared" si="94"/>
        <v/>
      </c>
      <c r="W946" s="74" t="str">
        <f>IFERROR(VLOOKUP($O946,'Customer List'!$A$1:$J$488,10,FALSE),"")</f>
        <v/>
      </c>
    </row>
    <row r="947" spans="1:23">
      <c r="A947" s="125" t="str">
        <f t="shared" si="92"/>
        <v/>
      </c>
      <c r="O947" s="154"/>
      <c r="R947" s="127"/>
      <c r="T947" s="128">
        <f t="shared" si="93"/>
        <v>0</v>
      </c>
      <c r="U947" s="129" t="str">
        <f>IFERROR(VLOOKUP($S947,References!$B$3:$C$7,2,FALSE),"")</f>
        <v/>
      </c>
      <c r="V947" s="129" t="str">
        <f t="shared" si="94"/>
        <v/>
      </c>
      <c r="W947" s="74" t="str">
        <f>IFERROR(VLOOKUP($O947,'Customer List'!$A$1:$J$488,10,FALSE),"")</f>
        <v/>
      </c>
    </row>
    <row r="948" spans="1:23">
      <c r="A948" s="125" t="str">
        <f t="shared" si="92"/>
        <v/>
      </c>
      <c r="O948" s="154"/>
      <c r="R948" s="127"/>
      <c r="T948" s="128">
        <f t="shared" si="93"/>
        <v>0</v>
      </c>
      <c r="U948" s="129" t="str">
        <f>IFERROR(VLOOKUP($S948,References!$B$3:$C$7,2,FALSE),"")</f>
        <v/>
      </c>
      <c r="V948" s="129" t="str">
        <f t="shared" si="94"/>
        <v/>
      </c>
      <c r="W948" s="74" t="str">
        <f>IFERROR(VLOOKUP($O948,'Customer List'!$A$1:$J$488,10,FALSE),"")</f>
        <v/>
      </c>
    </row>
    <row r="949" spans="1:23">
      <c r="A949" s="125" t="str">
        <f t="shared" si="92"/>
        <v/>
      </c>
      <c r="O949" s="154"/>
      <c r="R949" s="127"/>
      <c r="T949" s="128">
        <f t="shared" si="93"/>
        <v>0</v>
      </c>
      <c r="U949" s="129" t="str">
        <f>IFERROR(VLOOKUP($S949,References!$B$3:$C$7,2,FALSE),"")</f>
        <v/>
      </c>
      <c r="V949" s="129" t="str">
        <f t="shared" si="94"/>
        <v/>
      </c>
      <c r="W949" s="74" t="str">
        <f>IFERROR(VLOOKUP($O949,'Customer List'!$A$1:$J$488,10,FALSE),"")</f>
        <v/>
      </c>
    </row>
    <row r="950" spans="1:23">
      <c r="A950" s="125" t="str">
        <f t="shared" si="92"/>
        <v/>
      </c>
      <c r="O950" s="154"/>
      <c r="R950" s="127"/>
      <c r="T950" s="128">
        <f t="shared" si="93"/>
        <v>0</v>
      </c>
      <c r="U950" s="129" t="str">
        <f>IFERROR(VLOOKUP($S950,References!$B$3:$C$7,2,FALSE),"")</f>
        <v/>
      </c>
      <c r="V950" s="129" t="str">
        <f t="shared" si="94"/>
        <v/>
      </c>
      <c r="W950" s="74" t="str">
        <f>IFERROR(VLOOKUP($O950,'Customer List'!$A$1:$J$488,10,FALSE),"")</f>
        <v/>
      </c>
    </row>
    <row r="951" spans="1:23">
      <c r="A951" s="125" t="str">
        <f t="shared" si="92"/>
        <v/>
      </c>
      <c r="O951" s="154"/>
      <c r="R951" s="127"/>
      <c r="T951" s="128">
        <f t="shared" si="93"/>
        <v>0</v>
      </c>
      <c r="U951" s="129" t="str">
        <f>IFERROR(VLOOKUP($S951,References!$B$3:$C$7,2,FALSE),"")</f>
        <v/>
      </c>
      <c r="V951" s="129" t="str">
        <f t="shared" si="94"/>
        <v/>
      </c>
      <c r="W951" s="74" t="str">
        <f>IFERROR(VLOOKUP($O951,'Customer List'!$A$1:$J$488,10,FALSE),"")</f>
        <v/>
      </c>
    </row>
    <row r="952" spans="1:23">
      <c r="A952" s="125" t="str">
        <f t="shared" si="92"/>
        <v/>
      </c>
      <c r="O952" s="154"/>
      <c r="R952" s="127"/>
      <c r="T952" s="128">
        <f t="shared" si="93"/>
        <v>0</v>
      </c>
      <c r="U952" s="129" t="str">
        <f>IFERROR(VLOOKUP($S952,References!$B$3:$C$7,2,FALSE),"")</f>
        <v/>
      </c>
      <c r="V952" s="129" t="str">
        <f t="shared" si="94"/>
        <v/>
      </c>
      <c r="W952" s="74" t="str">
        <f>IFERROR(VLOOKUP($O952,'Customer List'!$A$1:$J$488,10,FALSE),"")</f>
        <v/>
      </c>
    </row>
    <row r="953" spans="1:23">
      <c r="A953" s="125" t="str">
        <f t="shared" si="92"/>
        <v/>
      </c>
      <c r="O953" s="154"/>
      <c r="R953" s="127"/>
      <c r="T953" s="128">
        <f t="shared" si="93"/>
        <v>0</v>
      </c>
      <c r="U953" s="129" t="str">
        <f>IFERROR(VLOOKUP($S953,References!$B$3:$C$7,2,FALSE),"")</f>
        <v/>
      </c>
      <c r="V953" s="129" t="str">
        <f t="shared" si="94"/>
        <v/>
      </c>
      <c r="W953" s="74" t="str">
        <f>IFERROR(VLOOKUP($O953,'Customer List'!$A$1:$J$488,10,FALSE),"")</f>
        <v/>
      </c>
    </row>
    <row r="954" spans="1:23">
      <c r="A954" s="125" t="str">
        <f t="shared" si="92"/>
        <v/>
      </c>
      <c r="O954" s="154"/>
      <c r="R954" s="127"/>
      <c r="T954" s="128">
        <f t="shared" si="93"/>
        <v>0</v>
      </c>
      <c r="U954" s="129" t="str">
        <f>IFERROR(VLOOKUP($S954,References!$B$3:$C$7,2,FALSE),"")</f>
        <v/>
      </c>
      <c r="V954" s="129" t="str">
        <f t="shared" si="94"/>
        <v/>
      </c>
      <c r="W954" s="74" t="str">
        <f>IFERROR(VLOOKUP($O954,'Customer List'!$A$1:$J$488,10,FALSE),"")</f>
        <v/>
      </c>
    </row>
    <row r="955" spans="1:23">
      <c r="A955" s="125" t="str">
        <f t="shared" si="92"/>
        <v/>
      </c>
      <c r="O955" s="154"/>
      <c r="R955" s="127"/>
      <c r="T955" s="128">
        <f t="shared" si="93"/>
        <v>0</v>
      </c>
      <c r="U955" s="129" t="str">
        <f>IFERROR(VLOOKUP($S955,References!$B$3:$C$7,2,FALSE),"")</f>
        <v/>
      </c>
      <c r="V955" s="129" t="str">
        <f t="shared" si="94"/>
        <v/>
      </c>
      <c r="W955" s="74" t="str">
        <f>IFERROR(VLOOKUP($O955,'Customer List'!$A$1:$J$488,10,FALSE),"")</f>
        <v/>
      </c>
    </row>
    <row r="956" spans="1:23">
      <c r="A956" s="125" t="str">
        <f t="shared" si="92"/>
        <v/>
      </c>
      <c r="O956" s="154"/>
      <c r="R956" s="127"/>
      <c r="T956" s="128">
        <f t="shared" si="93"/>
        <v>0</v>
      </c>
      <c r="U956" s="129" t="str">
        <f>IFERROR(VLOOKUP($S956,References!$B$3:$C$7,2,FALSE),"")</f>
        <v/>
      </c>
      <c r="V956" s="129" t="str">
        <f t="shared" si="94"/>
        <v/>
      </c>
      <c r="W956" s="74" t="str">
        <f>IFERROR(VLOOKUP($O956,'Customer List'!$A$1:$J$488,10,FALSE),"")</f>
        <v/>
      </c>
    </row>
    <row r="957" spans="1:23">
      <c r="A957" s="125" t="str">
        <f t="shared" si="92"/>
        <v/>
      </c>
      <c r="O957" s="154"/>
      <c r="R957" s="127"/>
      <c r="T957" s="128">
        <f t="shared" si="93"/>
        <v>0</v>
      </c>
      <c r="U957" s="129" t="str">
        <f>IFERROR(VLOOKUP($S957,References!$B$3:$C$7,2,FALSE),"")</f>
        <v/>
      </c>
      <c r="V957" s="129" t="str">
        <f t="shared" si="94"/>
        <v/>
      </c>
      <c r="W957" s="74" t="str">
        <f>IFERROR(VLOOKUP($O957,'Customer List'!$A$1:$J$488,10,FALSE),"")</f>
        <v/>
      </c>
    </row>
    <row r="958" spans="1:23">
      <c r="A958" s="125" t="str">
        <f t="shared" si="92"/>
        <v/>
      </c>
      <c r="O958" s="154"/>
      <c r="R958" s="127"/>
      <c r="T958" s="128">
        <f t="shared" si="93"/>
        <v>0</v>
      </c>
      <c r="U958" s="129" t="str">
        <f>IFERROR(VLOOKUP($S958,References!$B$3:$C$7,2,FALSE),"")</f>
        <v/>
      </c>
      <c r="V958" s="129" t="str">
        <f t="shared" si="94"/>
        <v/>
      </c>
      <c r="W958" s="74" t="str">
        <f>IFERROR(VLOOKUP($O958,'Customer List'!$A$1:$J$488,10,FALSE),"")</f>
        <v/>
      </c>
    </row>
    <row r="959" spans="1:23">
      <c r="A959" s="125" t="str">
        <f t="shared" si="92"/>
        <v/>
      </c>
      <c r="O959" s="154"/>
      <c r="R959" s="127"/>
      <c r="T959" s="128">
        <f t="shared" si="93"/>
        <v>0</v>
      </c>
      <c r="U959" s="129" t="str">
        <f>IFERROR(VLOOKUP($S959,References!$B$3:$C$7,2,FALSE),"")</f>
        <v/>
      </c>
      <c r="V959" s="129" t="str">
        <f t="shared" si="94"/>
        <v/>
      </c>
      <c r="W959" s="74" t="str">
        <f>IFERROR(VLOOKUP($O959,'Customer List'!$A$1:$J$488,10,FALSE),"")</f>
        <v/>
      </c>
    </row>
    <row r="960" spans="1:23">
      <c r="A960" s="125" t="str">
        <f t="shared" si="92"/>
        <v/>
      </c>
      <c r="O960" s="154"/>
      <c r="R960" s="127"/>
      <c r="T960" s="128">
        <f t="shared" si="93"/>
        <v>0</v>
      </c>
      <c r="U960" s="129" t="str">
        <f>IFERROR(VLOOKUP($S960,References!$B$3:$C$7,2,FALSE),"")</f>
        <v/>
      </c>
      <c r="V960" s="129" t="str">
        <f t="shared" si="94"/>
        <v/>
      </c>
      <c r="W960" s="74" t="str">
        <f>IFERROR(VLOOKUP($O960,'Customer List'!$A$1:$J$488,10,FALSE),"")</f>
        <v/>
      </c>
    </row>
    <row r="961" spans="1:23">
      <c r="A961" s="125" t="str">
        <f t="shared" si="92"/>
        <v/>
      </c>
      <c r="O961" s="154"/>
      <c r="R961" s="127"/>
      <c r="T961" s="128">
        <f t="shared" si="93"/>
        <v>0</v>
      </c>
      <c r="U961" s="129" t="str">
        <f>IFERROR(VLOOKUP($S961,References!$B$3:$C$7,2,FALSE),"")</f>
        <v/>
      </c>
      <c r="V961" s="129" t="str">
        <f t="shared" si="94"/>
        <v/>
      </c>
      <c r="W961" s="74" t="str">
        <f>IFERROR(VLOOKUP($O961,'Customer List'!$A$1:$J$488,10,FALSE),"")</f>
        <v/>
      </c>
    </row>
    <row r="962" spans="1:23">
      <c r="A962" s="125" t="str">
        <f t="shared" si="92"/>
        <v/>
      </c>
      <c r="O962" s="154"/>
      <c r="R962" s="127"/>
      <c r="T962" s="128">
        <f t="shared" si="93"/>
        <v>0</v>
      </c>
      <c r="U962" s="129" t="str">
        <f>IFERROR(VLOOKUP($S962,References!$B$3:$C$7,2,FALSE),"")</f>
        <v/>
      </c>
      <c r="V962" s="129" t="str">
        <f t="shared" si="94"/>
        <v/>
      </c>
      <c r="W962" s="74" t="str">
        <f>IFERROR(VLOOKUP($O962,'Customer List'!$A$1:$J$488,10,FALSE),"")</f>
        <v/>
      </c>
    </row>
    <row r="963" spans="1:23">
      <c r="A963" s="125" t="str">
        <f t="shared" si="92"/>
        <v/>
      </c>
      <c r="O963" s="154"/>
      <c r="R963" s="127"/>
      <c r="T963" s="128">
        <f t="shared" si="93"/>
        <v>0</v>
      </c>
      <c r="U963" s="129" t="str">
        <f>IFERROR(VLOOKUP($S963,References!$B$3:$C$7,2,FALSE),"")</f>
        <v/>
      </c>
      <c r="V963" s="129" t="str">
        <f t="shared" si="94"/>
        <v/>
      </c>
      <c r="W963" s="74" t="str">
        <f>IFERROR(VLOOKUP($O963,'Customer List'!$A$1:$J$488,10,FALSE),"")</f>
        <v/>
      </c>
    </row>
    <row r="964" spans="1:23">
      <c r="A964" s="125" t="str">
        <f t="shared" si="92"/>
        <v/>
      </c>
      <c r="O964" s="154"/>
      <c r="R964" s="127"/>
      <c r="T964" s="128">
        <f t="shared" si="93"/>
        <v>0</v>
      </c>
      <c r="U964" s="129" t="str">
        <f>IFERROR(VLOOKUP($S964,References!$B$3:$C$7,2,FALSE),"")</f>
        <v/>
      </c>
      <c r="V964" s="129" t="str">
        <f t="shared" si="94"/>
        <v/>
      </c>
      <c r="W964" s="74" t="str">
        <f>IFERROR(VLOOKUP($O964,'Customer List'!$A$1:$J$488,10,FALSE),"")</f>
        <v/>
      </c>
    </row>
    <row r="965" spans="1:23">
      <c r="A965" s="125" t="str">
        <f t="shared" si="92"/>
        <v/>
      </c>
      <c r="O965" s="154"/>
      <c r="R965" s="127"/>
      <c r="T965" s="128">
        <f t="shared" si="93"/>
        <v>0</v>
      </c>
      <c r="U965" s="129" t="str">
        <f>IFERROR(VLOOKUP($S965,References!$B$3:$C$7,2,FALSE),"")</f>
        <v/>
      </c>
      <c r="V965" s="129" t="str">
        <f t="shared" si="94"/>
        <v/>
      </c>
      <c r="W965" s="74" t="str">
        <f>IFERROR(VLOOKUP($O965,'Customer List'!$A$1:$J$488,10,FALSE),"")</f>
        <v/>
      </c>
    </row>
    <row r="966" spans="1:23">
      <c r="A966" s="125" t="str">
        <f t="shared" si="92"/>
        <v/>
      </c>
      <c r="O966" s="154"/>
      <c r="R966" s="127"/>
      <c r="T966" s="128">
        <f t="shared" si="93"/>
        <v>0</v>
      </c>
      <c r="U966" s="129" t="str">
        <f>IFERROR(VLOOKUP($S966,References!$B$3:$C$7,2,FALSE),"")</f>
        <v/>
      </c>
      <c r="V966" s="129" t="str">
        <f t="shared" si="94"/>
        <v/>
      </c>
      <c r="W966" s="74" t="str">
        <f>IFERROR(VLOOKUP($O966,'Customer List'!$A$1:$J$488,10,FALSE),"")</f>
        <v/>
      </c>
    </row>
    <row r="967" spans="1:23">
      <c r="A967" s="125" t="str">
        <f t="shared" si="92"/>
        <v/>
      </c>
      <c r="O967" s="154"/>
      <c r="R967" s="127"/>
      <c r="T967" s="128">
        <f t="shared" si="93"/>
        <v>0</v>
      </c>
      <c r="U967" s="129" t="str">
        <f>IFERROR(VLOOKUP($S967,References!$B$3:$C$7,2,FALSE),"")</f>
        <v/>
      </c>
      <c r="V967" s="129" t="str">
        <f t="shared" si="94"/>
        <v/>
      </c>
      <c r="W967" s="74" t="str">
        <f>IFERROR(VLOOKUP($O967,'Customer List'!$A$1:$J$488,10,FALSE),"")</f>
        <v/>
      </c>
    </row>
    <row r="968" spans="1:23">
      <c r="A968" s="125" t="str">
        <f t="shared" si="92"/>
        <v/>
      </c>
      <c r="O968" s="154"/>
      <c r="R968" s="127"/>
      <c r="T968" s="128">
        <f t="shared" si="93"/>
        <v>0</v>
      </c>
      <c r="U968" s="129" t="str">
        <f>IFERROR(VLOOKUP($S968,References!$B$3:$C$7,2,FALSE),"")</f>
        <v/>
      </c>
      <c r="V968" s="129" t="str">
        <f t="shared" si="94"/>
        <v/>
      </c>
      <c r="W968" s="74" t="str">
        <f>IFERROR(VLOOKUP($O968,'Customer List'!$A$1:$J$488,10,FALSE),"")</f>
        <v/>
      </c>
    </row>
    <row r="969" spans="1:23">
      <c r="A969" s="125" t="str">
        <f t="shared" ref="A969:A1004" si="95">O969&amp;S969</f>
        <v/>
      </c>
      <c r="O969" s="154"/>
      <c r="R969" s="127"/>
      <c r="T969" s="128">
        <f t="shared" si="93"/>
        <v>0</v>
      </c>
      <c r="U969" s="129" t="str">
        <f>IFERROR(VLOOKUP($S969,References!$B$3:$C$7,2,FALSE),"")</f>
        <v/>
      </c>
      <c r="V969" s="129" t="str">
        <f t="shared" si="94"/>
        <v/>
      </c>
      <c r="W969" s="74" t="str">
        <f>IFERROR(VLOOKUP($O969,'Customer List'!$A$1:$J$488,10,FALSE),"")</f>
        <v/>
      </c>
    </row>
    <row r="970" spans="1:23">
      <c r="A970" s="125" t="str">
        <f t="shared" si="95"/>
        <v/>
      </c>
      <c r="O970" s="148"/>
      <c r="R970" s="127"/>
      <c r="T970" s="128">
        <f t="shared" ref="T970:T1033" si="96">IF(S970="50 - Cleaning Fee",1,HOUR($R970)+MINUTE(R970)/60)</f>
        <v>0</v>
      </c>
      <c r="U970" s="129" t="str">
        <f>IFERROR(VLOOKUP($S970,References!$B$3:$C$7,2,FALSE),"")</f>
        <v/>
      </c>
      <c r="V970" s="129" t="str">
        <f t="shared" ref="V970:V1033" si="97">IF(T970&gt;=8,400,(IFERROR(T970*U970,"")))</f>
        <v/>
      </c>
      <c r="W970" s="74" t="str">
        <f>IFERROR(VLOOKUP($O970,'Customer List'!$A$1:$J$488,10,FALSE),"")</f>
        <v/>
      </c>
    </row>
    <row r="971" spans="1:23">
      <c r="A971" s="125" t="str">
        <f t="shared" si="95"/>
        <v/>
      </c>
      <c r="O971" s="148"/>
      <c r="R971" s="127"/>
      <c r="T971" s="128">
        <f t="shared" si="96"/>
        <v>0</v>
      </c>
      <c r="U971" s="129" t="str">
        <f>IFERROR(VLOOKUP($S971,References!$B$3:$C$7,2,FALSE),"")</f>
        <v/>
      </c>
      <c r="V971" s="129" t="str">
        <f t="shared" si="97"/>
        <v/>
      </c>
      <c r="W971" s="74" t="str">
        <f>IFERROR(VLOOKUP($O971,'Customer List'!$A$1:$J$488,10,FALSE),"")</f>
        <v/>
      </c>
    </row>
    <row r="972" spans="1:23">
      <c r="A972" s="125" t="str">
        <f t="shared" si="95"/>
        <v/>
      </c>
      <c r="O972" s="148"/>
      <c r="R972" s="127"/>
      <c r="T972" s="128">
        <f t="shared" si="96"/>
        <v>0</v>
      </c>
      <c r="U972" s="129" t="str">
        <f>IFERROR(VLOOKUP($S972,References!$B$3:$C$7,2,FALSE),"")</f>
        <v/>
      </c>
      <c r="V972" s="129" t="str">
        <f t="shared" si="97"/>
        <v/>
      </c>
      <c r="W972" s="74" t="str">
        <f>IFERROR(VLOOKUP($O972,'Customer List'!$A$1:$J$488,10,FALSE),"")</f>
        <v/>
      </c>
    </row>
    <row r="973" spans="1:23">
      <c r="A973" s="125" t="str">
        <f t="shared" si="95"/>
        <v/>
      </c>
      <c r="O973" s="148"/>
      <c r="R973" s="127"/>
      <c r="T973" s="128">
        <f t="shared" si="96"/>
        <v>0</v>
      </c>
      <c r="U973" s="129" t="str">
        <f>IFERROR(VLOOKUP($S973,References!$B$3:$C$7,2,FALSE),"")</f>
        <v/>
      </c>
      <c r="V973" s="129" t="str">
        <f t="shared" si="97"/>
        <v/>
      </c>
      <c r="W973" s="74" t="str">
        <f>IFERROR(VLOOKUP($O973,'Customer List'!$A$1:$J$488,10,FALSE),"")</f>
        <v/>
      </c>
    </row>
    <row r="974" spans="1:23">
      <c r="A974" s="125" t="str">
        <f t="shared" si="95"/>
        <v/>
      </c>
      <c r="O974" s="148"/>
      <c r="R974" s="127"/>
      <c r="T974" s="128">
        <f t="shared" si="96"/>
        <v>0</v>
      </c>
      <c r="U974" s="129" t="str">
        <f>IFERROR(VLOOKUP($S974,References!$B$3:$C$7,2,FALSE),"")</f>
        <v/>
      </c>
      <c r="V974" s="129" t="str">
        <f t="shared" si="97"/>
        <v/>
      </c>
      <c r="W974" s="74" t="str">
        <f>IFERROR(VLOOKUP($O974,'Customer List'!$A$1:$J$488,10,FALSE),"")</f>
        <v/>
      </c>
    </row>
    <row r="975" spans="1:23">
      <c r="A975" s="125" t="str">
        <f t="shared" si="95"/>
        <v/>
      </c>
      <c r="O975" s="148"/>
      <c r="R975" s="127"/>
      <c r="T975" s="128">
        <f t="shared" si="96"/>
        <v>0</v>
      </c>
      <c r="U975" s="129" t="str">
        <f>IFERROR(VLOOKUP($S975,References!$B$3:$C$7,2,FALSE),"")</f>
        <v/>
      </c>
      <c r="V975" s="129" t="str">
        <f t="shared" si="97"/>
        <v/>
      </c>
      <c r="W975" s="74" t="str">
        <f>IFERROR(VLOOKUP($O975,'Customer List'!$A$1:$J$488,10,FALSE),"")</f>
        <v/>
      </c>
    </row>
    <row r="976" spans="1:23">
      <c r="A976" s="125" t="str">
        <f t="shared" si="95"/>
        <v/>
      </c>
      <c r="O976" s="148"/>
      <c r="R976" s="127"/>
      <c r="T976" s="128">
        <f t="shared" si="96"/>
        <v>0</v>
      </c>
      <c r="U976" s="129" t="str">
        <f>IFERROR(VLOOKUP($S976,References!$B$3:$C$7,2,FALSE),"")</f>
        <v/>
      </c>
      <c r="V976" s="129" t="str">
        <f t="shared" si="97"/>
        <v/>
      </c>
      <c r="W976" s="74" t="str">
        <f>IFERROR(VLOOKUP($O976,'Customer List'!$A$1:$J$488,10,FALSE),"")</f>
        <v/>
      </c>
    </row>
    <row r="977" spans="1:23">
      <c r="A977" s="125" t="str">
        <f t="shared" si="95"/>
        <v/>
      </c>
      <c r="O977" s="148"/>
      <c r="R977" s="127"/>
      <c r="T977" s="128">
        <f t="shared" si="96"/>
        <v>0</v>
      </c>
      <c r="U977" s="129" t="str">
        <f>IFERROR(VLOOKUP($S977,References!$B$3:$C$7,2,FALSE),"")</f>
        <v/>
      </c>
      <c r="V977" s="129" t="str">
        <f t="shared" si="97"/>
        <v/>
      </c>
      <c r="W977" s="74" t="str">
        <f>IFERROR(VLOOKUP($O977,'Customer List'!$A$1:$J$488,10,FALSE),"")</f>
        <v/>
      </c>
    </row>
    <row r="978" spans="1:23">
      <c r="A978" s="125" t="str">
        <f t="shared" si="95"/>
        <v/>
      </c>
      <c r="O978" s="148"/>
      <c r="R978" s="127"/>
      <c r="T978" s="128">
        <f t="shared" si="96"/>
        <v>0</v>
      </c>
      <c r="U978" s="129" t="str">
        <f>IFERROR(VLOOKUP($S978,References!$B$3:$C$7,2,FALSE),"")</f>
        <v/>
      </c>
      <c r="V978" s="129" t="str">
        <f t="shared" si="97"/>
        <v/>
      </c>
      <c r="W978" s="74" t="str">
        <f>IFERROR(VLOOKUP($O978,'Customer List'!$A$1:$J$488,10,FALSE),"")</f>
        <v/>
      </c>
    </row>
    <row r="979" spans="1:23">
      <c r="A979" s="125" t="str">
        <f t="shared" si="95"/>
        <v/>
      </c>
      <c r="O979" s="148"/>
      <c r="R979" s="127"/>
      <c r="T979" s="128">
        <f t="shared" si="96"/>
        <v>0</v>
      </c>
      <c r="U979" s="129" t="str">
        <f>IFERROR(VLOOKUP($S979,References!$B$3:$C$7,2,FALSE),"")</f>
        <v/>
      </c>
      <c r="V979" s="129" t="str">
        <f t="shared" si="97"/>
        <v/>
      </c>
      <c r="W979" s="74" t="str">
        <f>IFERROR(VLOOKUP($O979,'Customer List'!$A$1:$J$488,10,FALSE),"")</f>
        <v/>
      </c>
    </row>
    <row r="980" spans="1:23">
      <c r="A980" s="125" t="str">
        <f t="shared" si="95"/>
        <v/>
      </c>
      <c r="O980" s="148"/>
      <c r="R980" s="127"/>
      <c r="T980" s="128">
        <f t="shared" si="96"/>
        <v>0</v>
      </c>
      <c r="U980" s="129" t="str">
        <f>IFERROR(VLOOKUP($S980,References!$B$3:$C$7,2,FALSE),"")</f>
        <v/>
      </c>
      <c r="V980" s="129" t="str">
        <f t="shared" si="97"/>
        <v/>
      </c>
      <c r="W980" s="74" t="str">
        <f>IFERROR(VLOOKUP($O980,'Customer List'!$A$1:$J$488,10,FALSE),"")</f>
        <v/>
      </c>
    </row>
    <row r="981" spans="1:23">
      <c r="A981" s="125" t="str">
        <f t="shared" si="95"/>
        <v/>
      </c>
      <c r="O981" s="148"/>
      <c r="R981" s="127"/>
      <c r="T981" s="128">
        <f t="shared" si="96"/>
        <v>0</v>
      </c>
      <c r="U981" s="129" t="str">
        <f>IFERROR(VLOOKUP($S981,References!$B$3:$C$7,2,FALSE),"")</f>
        <v/>
      </c>
      <c r="V981" s="129" t="str">
        <f t="shared" si="97"/>
        <v/>
      </c>
      <c r="W981" s="74" t="str">
        <f>IFERROR(VLOOKUP($O981,'Customer List'!$A$1:$J$488,10,FALSE),"")</f>
        <v/>
      </c>
    </row>
    <row r="982" spans="1:23">
      <c r="A982" s="125" t="str">
        <f t="shared" si="95"/>
        <v/>
      </c>
      <c r="O982" s="148"/>
      <c r="R982" s="127"/>
      <c r="T982" s="128">
        <f t="shared" si="96"/>
        <v>0</v>
      </c>
      <c r="U982" s="129" t="str">
        <f>IFERROR(VLOOKUP($S982,References!$B$3:$C$7,2,FALSE),"")</f>
        <v/>
      </c>
      <c r="V982" s="129" t="str">
        <f t="shared" si="97"/>
        <v/>
      </c>
      <c r="W982" s="74" t="str">
        <f>IFERROR(VLOOKUP($O982,'Customer List'!$A$1:$J$488,10,FALSE),"")</f>
        <v/>
      </c>
    </row>
    <row r="983" spans="1:23">
      <c r="A983" s="125" t="str">
        <f t="shared" si="95"/>
        <v/>
      </c>
      <c r="O983" s="148"/>
      <c r="R983" s="127"/>
      <c r="T983" s="128">
        <f t="shared" si="96"/>
        <v>0</v>
      </c>
      <c r="U983" s="129" t="str">
        <f>IFERROR(VLOOKUP($S983,References!$B$3:$C$7,2,FALSE),"")</f>
        <v/>
      </c>
      <c r="V983" s="129" t="str">
        <f t="shared" si="97"/>
        <v/>
      </c>
      <c r="W983" s="74" t="str">
        <f>IFERROR(VLOOKUP($O983,'Customer List'!$A$1:$J$488,10,FALSE),"")</f>
        <v/>
      </c>
    </row>
    <row r="984" spans="1:23">
      <c r="A984" s="125" t="str">
        <f t="shared" si="95"/>
        <v/>
      </c>
      <c r="O984" s="148"/>
      <c r="R984" s="127"/>
      <c r="T984" s="128">
        <f t="shared" si="96"/>
        <v>0</v>
      </c>
      <c r="U984" s="129" t="str">
        <f>IFERROR(VLOOKUP($S984,References!$B$3:$C$7,2,FALSE),"")</f>
        <v/>
      </c>
      <c r="V984" s="129" t="str">
        <f t="shared" si="97"/>
        <v/>
      </c>
      <c r="W984" s="74" t="str">
        <f>IFERROR(VLOOKUP($O984,'Customer List'!$A$1:$J$488,10,FALSE),"")</f>
        <v/>
      </c>
    </row>
    <row r="985" spans="1:23">
      <c r="A985" s="125" t="str">
        <f t="shared" si="95"/>
        <v/>
      </c>
      <c r="O985" s="148"/>
      <c r="R985" s="127"/>
      <c r="T985" s="128">
        <f t="shared" si="96"/>
        <v>0</v>
      </c>
      <c r="U985" s="129" t="str">
        <f>IFERROR(VLOOKUP($S985,References!$B$3:$C$7,2,FALSE),"")</f>
        <v/>
      </c>
      <c r="V985" s="129" t="str">
        <f t="shared" si="97"/>
        <v/>
      </c>
      <c r="W985" s="74" t="str">
        <f>IFERROR(VLOOKUP($O985,'Customer List'!$A$1:$J$488,10,FALSE),"")</f>
        <v/>
      </c>
    </row>
    <row r="986" spans="1:23">
      <c r="A986" s="125" t="str">
        <f t="shared" si="95"/>
        <v/>
      </c>
      <c r="O986" s="148"/>
      <c r="R986" s="127"/>
      <c r="T986" s="128">
        <f t="shared" si="96"/>
        <v>0</v>
      </c>
      <c r="U986" s="129" t="str">
        <f>IFERROR(VLOOKUP($S986,References!$B$3:$C$7,2,FALSE),"")</f>
        <v/>
      </c>
      <c r="V986" s="129" t="str">
        <f t="shared" si="97"/>
        <v/>
      </c>
      <c r="W986" s="74" t="str">
        <f>IFERROR(VLOOKUP($O986,'Customer List'!$A$1:$J$488,10,FALSE),"")</f>
        <v/>
      </c>
    </row>
    <row r="987" spans="1:23">
      <c r="A987" s="125" t="str">
        <f t="shared" si="95"/>
        <v/>
      </c>
      <c r="O987" s="148"/>
      <c r="R987" s="127"/>
      <c r="T987" s="128">
        <f t="shared" si="96"/>
        <v>0</v>
      </c>
      <c r="U987" s="129" t="str">
        <f>IFERROR(VLOOKUP($S987,References!$B$3:$C$7,2,FALSE),"")</f>
        <v/>
      </c>
      <c r="V987" s="129" t="str">
        <f t="shared" si="97"/>
        <v/>
      </c>
      <c r="W987" s="74" t="str">
        <f>IFERROR(VLOOKUP($O987,'Customer List'!$A$1:$J$488,10,FALSE),"")</f>
        <v/>
      </c>
    </row>
    <row r="988" spans="1:23">
      <c r="A988" s="125" t="str">
        <f t="shared" si="95"/>
        <v/>
      </c>
      <c r="O988" s="148"/>
      <c r="R988" s="127"/>
      <c r="T988" s="128">
        <f t="shared" si="96"/>
        <v>0</v>
      </c>
      <c r="U988" s="129" t="str">
        <f>IFERROR(VLOOKUP($S988,References!$B$3:$C$7,2,FALSE),"")</f>
        <v/>
      </c>
      <c r="V988" s="129" t="str">
        <f t="shared" si="97"/>
        <v/>
      </c>
      <c r="W988" s="74" t="str">
        <f>IFERROR(VLOOKUP($O988,'Customer List'!$A$1:$J$488,10,FALSE),"")</f>
        <v/>
      </c>
    </row>
    <row r="989" spans="1:23">
      <c r="A989" s="125" t="str">
        <f t="shared" si="95"/>
        <v/>
      </c>
      <c r="R989" s="127"/>
      <c r="T989" s="128">
        <f t="shared" si="96"/>
        <v>0</v>
      </c>
      <c r="U989" s="129" t="str">
        <f>IFERROR(VLOOKUP($S989,References!$B$3:$C$7,2,FALSE),"")</f>
        <v/>
      </c>
      <c r="V989" s="129" t="str">
        <f t="shared" si="97"/>
        <v/>
      </c>
      <c r="W989" s="74" t="str">
        <f>IFERROR(VLOOKUP($O989,'Customer List'!$A$1:$J$488,10,FALSE),"")</f>
        <v/>
      </c>
    </row>
    <row r="990" spans="1:23">
      <c r="A990" s="125" t="str">
        <f t="shared" si="95"/>
        <v/>
      </c>
      <c r="R990" s="127"/>
      <c r="T990" s="128">
        <f t="shared" si="96"/>
        <v>0</v>
      </c>
      <c r="U990" s="129" t="str">
        <f>IFERROR(VLOOKUP($S990,References!$B$3:$C$7,2,FALSE),"")</f>
        <v/>
      </c>
      <c r="V990" s="129" t="str">
        <f t="shared" si="97"/>
        <v/>
      </c>
      <c r="W990" s="74" t="str">
        <f>IFERROR(VLOOKUP($O990,'Customer List'!$A$1:$J$488,10,FALSE),"")</f>
        <v/>
      </c>
    </row>
    <row r="991" spans="1:23">
      <c r="A991" s="125" t="str">
        <f t="shared" si="95"/>
        <v/>
      </c>
      <c r="R991" s="127"/>
      <c r="T991" s="128">
        <f t="shared" si="96"/>
        <v>0</v>
      </c>
      <c r="U991" s="129" t="str">
        <f>IFERROR(VLOOKUP($S991,References!$B$3:$C$7,2,FALSE),"")</f>
        <v/>
      </c>
      <c r="V991" s="129" t="str">
        <f t="shared" si="97"/>
        <v/>
      </c>
      <c r="W991" s="74" t="str">
        <f>IFERROR(VLOOKUP($O991,'Customer List'!$A$1:$J$488,10,FALSE),"")</f>
        <v/>
      </c>
    </row>
    <row r="992" spans="1:23">
      <c r="A992" s="125" t="str">
        <f t="shared" si="95"/>
        <v/>
      </c>
      <c r="R992" s="127"/>
      <c r="T992" s="128">
        <f t="shared" si="96"/>
        <v>0</v>
      </c>
      <c r="U992" s="129" t="str">
        <f>IFERROR(VLOOKUP($S992,References!$B$3:$C$7,2,FALSE),"")</f>
        <v/>
      </c>
      <c r="V992" s="129" t="str">
        <f t="shared" si="97"/>
        <v/>
      </c>
      <c r="W992" s="74" t="str">
        <f>IFERROR(VLOOKUP($O992,'Customer List'!$A$1:$J$488,10,FALSE),"")</f>
        <v/>
      </c>
    </row>
    <row r="993" spans="1:23">
      <c r="A993" s="125" t="str">
        <f t="shared" si="95"/>
        <v/>
      </c>
      <c r="R993" s="127"/>
      <c r="T993" s="128">
        <f t="shared" si="96"/>
        <v>0</v>
      </c>
      <c r="U993" s="129" t="str">
        <f>IFERROR(VLOOKUP($S993,References!$B$3:$C$7,2,FALSE),"")</f>
        <v/>
      </c>
      <c r="V993" s="129" t="str">
        <f t="shared" si="97"/>
        <v/>
      </c>
      <c r="W993" s="74" t="str">
        <f>IFERROR(VLOOKUP($O993,'Customer List'!$A$1:$J$488,10,FALSE),"")</f>
        <v/>
      </c>
    </row>
    <row r="994" spans="1:23">
      <c r="A994" s="125" t="str">
        <f t="shared" si="95"/>
        <v/>
      </c>
      <c r="R994" s="127"/>
      <c r="T994" s="128">
        <f t="shared" si="96"/>
        <v>0</v>
      </c>
      <c r="U994" s="129" t="str">
        <f>IFERROR(VLOOKUP($S994,References!$B$3:$C$7,2,FALSE),"")</f>
        <v/>
      </c>
      <c r="V994" s="129" t="str">
        <f t="shared" si="97"/>
        <v/>
      </c>
      <c r="W994" s="74" t="str">
        <f>IFERROR(VLOOKUP($O994,'Customer List'!$A$1:$J$488,10,FALSE),"")</f>
        <v/>
      </c>
    </row>
    <row r="995" spans="1:23">
      <c r="A995" s="125" t="str">
        <f t="shared" si="95"/>
        <v/>
      </c>
      <c r="R995" s="127"/>
      <c r="T995" s="128">
        <f t="shared" si="96"/>
        <v>0</v>
      </c>
      <c r="U995" s="129" t="str">
        <f>IFERROR(VLOOKUP($S995,References!$B$3:$C$7,2,FALSE),"")</f>
        <v/>
      </c>
      <c r="V995" s="129" t="str">
        <f t="shared" si="97"/>
        <v/>
      </c>
      <c r="W995" s="74" t="str">
        <f>IFERROR(VLOOKUP($O995,'Customer List'!$A$1:$J$488,10,FALSE),"")</f>
        <v/>
      </c>
    </row>
    <row r="996" spans="1:23">
      <c r="A996" s="125" t="str">
        <f t="shared" si="95"/>
        <v/>
      </c>
      <c r="R996" s="127"/>
      <c r="T996" s="128">
        <f t="shared" si="96"/>
        <v>0</v>
      </c>
      <c r="U996" s="129" t="str">
        <f>IFERROR(VLOOKUP($S996,References!$B$3:$C$7,2,FALSE),"")</f>
        <v/>
      </c>
      <c r="V996" s="129" t="str">
        <f t="shared" si="97"/>
        <v/>
      </c>
      <c r="W996" s="74" t="str">
        <f>IFERROR(VLOOKUP($O996,'Customer List'!$A$1:$J$488,10,FALSE),"")</f>
        <v/>
      </c>
    </row>
    <row r="997" spans="1:23">
      <c r="A997" s="125" t="str">
        <f t="shared" si="95"/>
        <v/>
      </c>
      <c r="R997" s="127"/>
      <c r="T997" s="128">
        <f t="shared" si="96"/>
        <v>0</v>
      </c>
      <c r="U997" s="129" t="str">
        <f>IFERROR(VLOOKUP($S997,References!$B$3:$C$7,2,FALSE),"")</f>
        <v/>
      </c>
      <c r="V997" s="129" t="str">
        <f t="shared" si="97"/>
        <v/>
      </c>
      <c r="W997" s="74" t="str">
        <f>IFERROR(VLOOKUP($O997,'Customer List'!$A$1:$J$488,10,FALSE),"")</f>
        <v/>
      </c>
    </row>
    <row r="998" spans="1:23">
      <c r="A998" s="125" t="str">
        <f t="shared" si="95"/>
        <v/>
      </c>
      <c r="R998" s="127"/>
      <c r="T998" s="128">
        <f t="shared" si="96"/>
        <v>0</v>
      </c>
      <c r="U998" s="129" t="str">
        <f>IFERROR(VLOOKUP($S998,References!$B$3:$C$7,2,FALSE),"")</f>
        <v/>
      </c>
      <c r="V998" s="129" t="str">
        <f t="shared" si="97"/>
        <v/>
      </c>
      <c r="W998" s="74" t="str">
        <f>IFERROR(VLOOKUP($O998,'Customer List'!$A$1:$J$488,10,FALSE),"")</f>
        <v/>
      </c>
    </row>
    <row r="999" spans="1:23">
      <c r="A999" s="125" t="str">
        <f t="shared" si="95"/>
        <v/>
      </c>
      <c r="R999" s="127"/>
      <c r="T999" s="128">
        <f t="shared" si="96"/>
        <v>0</v>
      </c>
      <c r="U999" s="129" t="str">
        <f>IFERROR(VLOOKUP($S999,References!$B$3:$C$7,2,FALSE),"")</f>
        <v/>
      </c>
      <c r="V999" s="129" t="str">
        <f t="shared" si="97"/>
        <v/>
      </c>
      <c r="W999" s="74" t="str">
        <f>IFERROR(VLOOKUP($O999,'Customer List'!$A$1:$J$488,10,FALSE),"")</f>
        <v/>
      </c>
    </row>
    <row r="1000" spans="1:23">
      <c r="A1000" s="125" t="str">
        <f t="shared" si="95"/>
        <v/>
      </c>
      <c r="R1000" s="127"/>
      <c r="T1000" s="128">
        <f t="shared" si="96"/>
        <v>0</v>
      </c>
      <c r="U1000" s="129" t="str">
        <f>IFERROR(VLOOKUP($S1000,References!$B$3:$C$7,2,FALSE),"")</f>
        <v/>
      </c>
      <c r="V1000" s="129" t="str">
        <f t="shared" si="97"/>
        <v/>
      </c>
      <c r="W1000" s="74" t="str">
        <f>IFERROR(VLOOKUP($O1000,'Customer List'!$A$1:$J$488,10,FALSE),"")</f>
        <v/>
      </c>
    </row>
    <row r="1001" spans="1:23">
      <c r="A1001" s="125" t="str">
        <f t="shared" si="95"/>
        <v/>
      </c>
      <c r="R1001" s="127"/>
      <c r="T1001" s="128">
        <f t="shared" si="96"/>
        <v>0</v>
      </c>
      <c r="U1001" s="129" t="str">
        <f>IFERROR(VLOOKUP($S1001,References!$B$3:$C$7,2,FALSE),"")</f>
        <v/>
      </c>
      <c r="V1001" s="129" t="str">
        <f t="shared" si="97"/>
        <v/>
      </c>
      <c r="W1001" s="74" t="str">
        <f>IFERROR(VLOOKUP($O1001,'Customer List'!$A$1:$J$488,10,FALSE),"")</f>
        <v/>
      </c>
    </row>
    <row r="1002" spans="1:23">
      <c r="A1002" s="125" t="str">
        <f t="shared" si="95"/>
        <v/>
      </c>
      <c r="R1002" s="127"/>
      <c r="T1002" s="128">
        <f t="shared" si="96"/>
        <v>0</v>
      </c>
      <c r="U1002" s="129" t="str">
        <f>IFERROR(VLOOKUP($S1002,References!$B$3:$C$7,2,FALSE),"")</f>
        <v/>
      </c>
      <c r="V1002" s="129" t="str">
        <f t="shared" si="97"/>
        <v/>
      </c>
      <c r="W1002" s="74" t="str">
        <f>IFERROR(VLOOKUP($O1002,'Customer List'!$A$1:$J$488,10,FALSE),"")</f>
        <v/>
      </c>
    </row>
    <row r="1003" spans="1:23">
      <c r="A1003" s="125" t="str">
        <f t="shared" si="95"/>
        <v/>
      </c>
      <c r="R1003" s="127"/>
      <c r="T1003" s="128">
        <f t="shared" si="96"/>
        <v>0</v>
      </c>
      <c r="U1003" s="129" t="str">
        <f>IFERROR(VLOOKUP($S1003,References!$B$3:$C$7,2,FALSE),"")</f>
        <v/>
      </c>
      <c r="V1003" s="129" t="str">
        <f t="shared" si="97"/>
        <v/>
      </c>
      <c r="W1003" s="74" t="str">
        <f>IFERROR(VLOOKUP($O1003,'Customer List'!$A$1:$J$488,10,FALSE),"")</f>
        <v/>
      </c>
    </row>
    <row r="1004" spans="1:23">
      <c r="A1004" s="125" t="str">
        <f t="shared" si="95"/>
        <v/>
      </c>
      <c r="R1004" s="127"/>
      <c r="T1004" s="128">
        <f t="shared" si="96"/>
        <v>0</v>
      </c>
      <c r="U1004" s="129" t="str">
        <f>IFERROR(VLOOKUP($S1004,References!$B$3:$C$7,2,FALSE),"")</f>
        <v/>
      </c>
      <c r="V1004" s="129" t="str">
        <f t="shared" si="97"/>
        <v/>
      </c>
      <c r="W1004" s="74" t="str">
        <f>IFERROR(VLOOKUP($O1004,'Customer List'!$A$1:$J$488,10,FALSE),"")</f>
        <v/>
      </c>
    </row>
    <row r="1005" spans="1:23">
      <c r="R1005" s="127"/>
      <c r="T1005" s="128">
        <f t="shared" si="96"/>
        <v>0</v>
      </c>
      <c r="U1005" s="129" t="str">
        <f>IFERROR(VLOOKUP($S1005,References!$B$3:$C$7,2,FALSE),"")</f>
        <v/>
      </c>
      <c r="V1005" s="129" t="str">
        <f t="shared" si="97"/>
        <v/>
      </c>
      <c r="W1005" s="74" t="str">
        <f>IFERROR(VLOOKUP($O1005,'Customer List'!$A$1:$J$488,10,FALSE),"")</f>
        <v/>
      </c>
    </row>
    <row r="1006" spans="1:23">
      <c r="R1006" s="127"/>
      <c r="T1006" s="128">
        <f t="shared" si="96"/>
        <v>0</v>
      </c>
      <c r="U1006" s="129" t="str">
        <f>IFERROR(VLOOKUP($S1006,References!$B$3:$C$7,2,FALSE),"")</f>
        <v/>
      </c>
      <c r="V1006" s="129" t="str">
        <f t="shared" si="97"/>
        <v/>
      </c>
      <c r="W1006" s="74" t="str">
        <f>IFERROR(VLOOKUP($O1006,'Customer List'!$A$1:$J$488,10,FALSE),"")</f>
        <v/>
      </c>
    </row>
    <row r="1007" spans="1:23">
      <c r="R1007" s="127"/>
      <c r="T1007" s="128">
        <f t="shared" si="96"/>
        <v>0</v>
      </c>
      <c r="U1007" s="129" t="str">
        <f>IFERROR(VLOOKUP($S1007,References!$B$3:$C$7,2,FALSE),"")</f>
        <v/>
      </c>
      <c r="V1007" s="129" t="str">
        <f t="shared" si="97"/>
        <v/>
      </c>
      <c r="W1007" s="74" t="str">
        <f>IFERROR(VLOOKUP($O1007,'Customer List'!$A$1:$J$488,10,FALSE),"")</f>
        <v/>
      </c>
    </row>
    <row r="1008" spans="1:23">
      <c r="R1008" s="127"/>
      <c r="T1008" s="128">
        <f t="shared" si="96"/>
        <v>0</v>
      </c>
      <c r="U1008" s="129" t="str">
        <f>IFERROR(VLOOKUP($S1008,References!$B$3:$C$7,2,FALSE),"")</f>
        <v/>
      </c>
      <c r="V1008" s="129" t="str">
        <f t="shared" si="97"/>
        <v/>
      </c>
      <c r="W1008" s="74" t="str">
        <f>IFERROR(VLOOKUP($O1008,'Customer List'!$A$1:$J$488,10,FALSE),"")</f>
        <v/>
      </c>
    </row>
    <row r="1009" spans="18:23">
      <c r="R1009" s="127"/>
      <c r="T1009" s="128">
        <f t="shared" si="96"/>
        <v>0</v>
      </c>
      <c r="U1009" s="129" t="str">
        <f>IFERROR(VLOOKUP($S1009,References!$B$3:$C$7,2,FALSE),"")</f>
        <v/>
      </c>
      <c r="V1009" s="129" t="str">
        <f t="shared" si="97"/>
        <v/>
      </c>
      <c r="W1009" s="74" t="str">
        <f>IFERROR(VLOOKUP($O1009,'Customer List'!$A$1:$J$488,10,FALSE),"")</f>
        <v/>
      </c>
    </row>
    <row r="1010" spans="18:23">
      <c r="R1010" s="127"/>
      <c r="T1010" s="128">
        <f t="shared" si="96"/>
        <v>0</v>
      </c>
      <c r="U1010" s="129" t="str">
        <f>IFERROR(VLOOKUP($S1010,References!$B$3:$C$7,2,FALSE),"")</f>
        <v/>
      </c>
      <c r="V1010" s="129" t="str">
        <f t="shared" si="97"/>
        <v/>
      </c>
      <c r="W1010" s="74" t="str">
        <f>IFERROR(VLOOKUP($O1010,'Customer List'!$A$1:$J$488,10,FALSE),"")</f>
        <v/>
      </c>
    </row>
    <row r="1011" spans="18:23">
      <c r="R1011" s="127"/>
      <c r="T1011" s="128">
        <f t="shared" si="96"/>
        <v>0</v>
      </c>
      <c r="U1011" s="129" t="str">
        <f>IFERROR(VLOOKUP($S1011,References!$B$3:$C$7,2,FALSE),"")</f>
        <v/>
      </c>
      <c r="V1011" s="129" t="str">
        <f t="shared" si="97"/>
        <v/>
      </c>
      <c r="W1011" s="74" t="str">
        <f>IFERROR(VLOOKUP($O1011,'Customer List'!$A$1:$J$488,10,FALSE),"")</f>
        <v/>
      </c>
    </row>
    <row r="1012" spans="18:23">
      <c r="R1012" s="127"/>
      <c r="T1012" s="128">
        <f t="shared" si="96"/>
        <v>0</v>
      </c>
      <c r="U1012" s="129" t="str">
        <f>IFERROR(VLOOKUP($S1012,References!$B$3:$C$7,2,FALSE),"")</f>
        <v/>
      </c>
      <c r="V1012" s="129" t="str">
        <f t="shared" si="97"/>
        <v/>
      </c>
      <c r="W1012" s="74" t="str">
        <f>IFERROR(VLOOKUP($O1012,'Customer List'!$A$1:$J$488,10,FALSE),"")</f>
        <v/>
      </c>
    </row>
    <row r="1013" spans="18:23">
      <c r="R1013" s="127"/>
      <c r="T1013" s="128">
        <f t="shared" si="96"/>
        <v>0</v>
      </c>
      <c r="U1013" s="129" t="str">
        <f>IFERROR(VLOOKUP($S1013,References!$B$3:$C$7,2,FALSE),"")</f>
        <v/>
      </c>
      <c r="V1013" s="129" t="str">
        <f t="shared" si="97"/>
        <v/>
      </c>
      <c r="W1013" s="74" t="str">
        <f>IFERROR(VLOOKUP($O1013,'Customer List'!$A$1:$J$488,10,FALSE),"")</f>
        <v/>
      </c>
    </row>
    <row r="1014" spans="18:23">
      <c r="R1014" s="127"/>
      <c r="T1014" s="128">
        <f t="shared" si="96"/>
        <v>0</v>
      </c>
      <c r="U1014" s="129" t="str">
        <f>IFERROR(VLOOKUP($S1014,References!$B$3:$C$7,2,FALSE),"")</f>
        <v/>
      </c>
      <c r="V1014" s="129" t="str">
        <f t="shared" si="97"/>
        <v/>
      </c>
      <c r="W1014" s="74" t="str">
        <f>IFERROR(VLOOKUP($O1014,'Customer List'!$A$1:$J$488,10,FALSE),"")</f>
        <v/>
      </c>
    </row>
    <row r="1015" spans="18:23">
      <c r="R1015" s="127"/>
      <c r="T1015" s="128">
        <f t="shared" si="96"/>
        <v>0</v>
      </c>
      <c r="U1015" s="129" t="str">
        <f>IFERROR(VLOOKUP($S1015,References!$B$3:$C$7,2,FALSE),"")</f>
        <v/>
      </c>
      <c r="V1015" s="129" t="str">
        <f t="shared" si="97"/>
        <v/>
      </c>
      <c r="W1015" s="74" t="str">
        <f>IFERROR(VLOOKUP($O1015,'Customer List'!$A$1:$J$488,10,FALSE),"")</f>
        <v/>
      </c>
    </row>
    <row r="1016" spans="18:23">
      <c r="R1016" s="127"/>
      <c r="T1016" s="128">
        <f t="shared" si="96"/>
        <v>0</v>
      </c>
      <c r="U1016" s="129" t="str">
        <f>IFERROR(VLOOKUP($S1016,References!$B$3:$C$7,2,FALSE),"")</f>
        <v/>
      </c>
      <c r="V1016" s="129" t="str">
        <f t="shared" si="97"/>
        <v/>
      </c>
      <c r="W1016" s="74" t="str">
        <f>IFERROR(VLOOKUP($O1016,'Customer List'!$A$1:$J$488,10,FALSE),"")</f>
        <v/>
      </c>
    </row>
    <row r="1017" spans="18:23">
      <c r="R1017" s="127"/>
      <c r="T1017" s="128">
        <f t="shared" si="96"/>
        <v>0</v>
      </c>
      <c r="U1017" s="129" t="str">
        <f>IFERROR(VLOOKUP($S1017,References!$B$3:$C$7,2,FALSE),"")</f>
        <v/>
      </c>
      <c r="V1017" s="129" t="str">
        <f t="shared" si="97"/>
        <v/>
      </c>
      <c r="W1017" s="74" t="str">
        <f>IFERROR(VLOOKUP($O1017,'Customer List'!$A$1:$J$488,10,FALSE),"")</f>
        <v/>
      </c>
    </row>
    <row r="1018" spans="18:23">
      <c r="R1018" s="127"/>
      <c r="T1018" s="128">
        <f t="shared" si="96"/>
        <v>0</v>
      </c>
      <c r="U1018" s="129" t="str">
        <f>IFERROR(VLOOKUP($S1018,References!$B$3:$C$7,2,FALSE),"")</f>
        <v/>
      </c>
      <c r="V1018" s="129" t="str">
        <f t="shared" si="97"/>
        <v/>
      </c>
      <c r="W1018" s="74" t="str">
        <f>IFERROR(VLOOKUP($O1018,'Customer List'!$A$1:$J$488,10,FALSE),"")</f>
        <v/>
      </c>
    </row>
    <row r="1019" spans="18:23">
      <c r="R1019" s="127"/>
      <c r="T1019" s="128">
        <f t="shared" si="96"/>
        <v>0</v>
      </c>
      <c r="U1019" s="129" t="str">
        <f>IFERROR(VLOOKUP($S1019,References!$B$3:$C$7,2,FALSE),"")</f>
        <v/>
      </c>
      <c r="V1019" s="129" t="str">
        <f t="shared" si="97"/>
        <v/>
      </c>
      <c r="W1019" s="74" t="str">
        <f>IFERROR(VLOOKUP($O1019,'Customer List'!$A$1:$J$488,10,FALSE),"")</f>
        <v/>
      </c>
    </row>
    <row r="1020" spans="18:23">
      <c r="R1020" s="127"/>
      <c r="T1020" s="128">
        <f t="shared" si="96"/>
        <v>0</v>
      </c>
      <c r="U1020" s="129" t="str">
        <f>IFERROR(VLOOKUP($S1020,References!$B$3:$C$7,2,FALSE),"")</f>
        <v/>
      </c>
      <c r="V1020" s="129" t="str">
        <f t="shared" si="97"/>
        <v/>
      </c>
      <c r="W1020" s="74" t="str">
        <f>IFERROR(VLOOKUP($O1020,'Customer List'!$A$1:$J$488,10,FALSE),"")</f>
        <v/>
      </c>
    </row>
    <row r="1021" spans="18:23">
      <c r="R1021" s="127"/>
      <c r="T1021" s="128">
        <f t="shared" si="96"/>
        <v>0</v>
      </c>
      <c r="U1021" s="129" t="str">
        <f>IFERROR(VLOOKUP($S1021,References!$B$3:$C$7,2,FALSE),"")</f>
        <v/>
      </c>
      <c r="V1021" s="129" t="str">
        <f t="shared" si="97"/>
        <v/>
      </c>
      <c r="W1021" s="74" t="str">
        <f>IFERROR(VLOOKUP($O1021,'Customer List'!$A$1:$J$488,10,FALSE),"")</f>
        <v/>
      </c>
    </row>
    <row r="1022" spans="18:23">
      <c r="R1022" s="127"/>
      <c r="T1022" s="128">
        <f t="shared" si="96"/>
        <v>0</v>
      </c>
      <c r="U1022" s="129" t="str">
        <f>IFERROR(VLOOKUP($S1022,References!$B$3:$C$7,2,FALSE),"")</f>
        <v/>
      </c>
      <c r="V1022" s="129" t="str">
        <f t="shared" si="97"/>
        <v/>
      </c>
      <c r="W1022" s="74" t="str">
        <f>IFERROR(VLOOKUP($O1022,'Customer List'!$A$1:$J$488,10,FALSE),"")</f>
        <v/>
      </c>
    </row>
    <row r="1023" spans="18:23">
      <c r="R1023" s="127"/>
      <c r="T1023" s="128">
        <f t="shared" si="96"/>
        <v>0</v>
      </c>
      <c r="U1023" s="129" t="str">
        <f>IFERROR(VLOOKUP($S1023,References!$B$3:$C$7,2,FALSE),"")</f>
        <v/>
      </c>
      <c r="V1023" s="129" t="str">
        <f t="shared" si="97"/>
        <v/>
      </c>
      <c r="W1023" s="74" t="str">
        <f>IFERROR(VLOOKUP($O1023,'Customer List'!$A$1:$J$488,10,FALSE),"")</f>
        <v/>
      </c>
    </row>
    <row r="1024" spans="18:23">
      <c r="R1024" s="127"/>
      <c r="T1024" s="128">
        <f t="shared" si="96"/>
        <v>0</v>
      </c>
      <c r="U1024" s="129" t="str">
        <f>IFERROR(VLOOKUP($S1024,References!$B$3:$C$7,2,FALSE),"")</f>
        <v/>
      </c>
      <c r="V1024" s="129" t="str">
        <f t="shared" si="97"/>
        <v/>
      </c>
      <c r="W1024" s="74" t="str">
        <f>IFERROR(VLOOKUP($O1024,'Customer List'!$A$1:$J$488,10,FALSE),"")</f>
        <v/>
      </c>
    </row>
    <row r="1025" spans="18:23">
      <c r="R1025" s="127"/>
      <c r="T1025" s="128">
        <f t="shared" si="96"/>
        <v>0</v>
      </c>
      <c r="U1025" s="129" t="str">
        <f>IFERROR(VLOOKUP($S1025,References!$B$3:$C$7,2,FALSE),"")</f>
        <v/>
      </c>
      <c r="V1025" s="129" t="str">
        <f t="shared" si="97"/>
        <v/>
      </c>
      <c r="W1025" s="74" t="str">
        <f>IFERROR(VLOOKUP($O1025,'Customer List'!$A$1:$J$488,10,FALSE),"")</f>
        <v/>
      </c>
    </row>
    <row r="1026" spans="18:23">
      <c r="R1026" s="127"/>
      <c r="T1026" s="128">
        <f t="shared" si="96"/>
        <v>0</v>
      </c>
      <c r="U1026" s="129" t="str">
        <f>IFERROR(VLOOKUP($S1026,References!$B$3:$C$7,2,FALSE),"")</f>
        <v/>
      </c>
      <c r="V1026" s="129" t="str">
        <f t="shared" si="97"/>
        <v/>
      </c>
      <c r="W1026" s="74" t="str">
        <f>IFERROR(VLOOKUP($O1026,'Customer List'!$A$1:$J$488,10,FALSE),"")</f>
        <v/>
      </c>
    </row>
    <row r="1027" spans="18:23">
      <c r="R1027" s="127"/>
      <c r="T1027" s="128">
        <f t="shared" si="96"/>
        <v>0</v>
      </c>
      <c r="U1027" s="129" t="str">
        <f>IFERROR(VLOOKUP($S1027,References!$B$3:$C$7,2,FALSE),"")</f>
        <v/>
      </c>
      <c r="V1027" s="129" t="str">
        <f t="shared" si="97"/>
        <v/>
      </c>
      <c r="W1027" s="74" t="str">
        <f>IFERROR(VLOOKUP($O1027,'Customer List'!$A$1:$J$488,10,FALSE),"")</f>
        <v/>
      </c>
    </row>
    <row r="1028" spans="18:23">
      <c r="R1028" s="127"/>
      <c r="T1028" s="128">
        <f t="shared" si="96"/>
        <v>0</v>
      </c>
      <c r="U1028" s="129" t="str">
        <f>IFERROR(VLOOKUP($S1028,References!$B$3:$C$7,2,FALSE),"")</f>
        <v/>
      </c>
      <c r="V1028" s="129" t="str">
        <f t="shared" si="97"/>
        <v/>
      </c>
      <c r="W1028" s="74" t="str">
        <f>IFERROR(VLOOKUP($O1028,'Customer List'!$A$1:$J$488,10,FALSE),"")</f>
        <v/>
      </c>
    </row>
    <row r="1029" spans="18:23">
      <c r="R1029" s="127"/>
      <c r="T1029" s="128">
        <f t="shared" si="96"/>
        <v>0</v>
      </c>
      <c r="U1029" s="129" t="str">
        <f>IFERROR(VLOOKUP($S1029,References!$B$3:$C$7,2,FALSE),"")</f>
        <v/>
      </c>
      <c r="V1029" s="129" t="str">
        <f t="shared" si="97"/>
        <v/>
      </c>
      <c r="W1029" s="74" t="str">
        <f>IFERROR(VLOOKUP($O1029,'Customer List'!$A$1:$J$488,10,FALSE),"")</f>
        <v/>
      </c>
    </row>
    <row r="1030" spans="18:23">
      <c r="R1030" s="127"/>
      <c r="T1030" s="128">
        <f t="shared" si="96"/>
        <v>0</v>
      </c>
      <c r="U1030" s="129" t="str">
        <f>IFERROR(VLOOKUP($S1030,References!$B$3:$C$7,2,FALSE),"")</f>
        <v/>
      </c>
      <c r="V1030" s="129" t="str">
        <f t="shared" si="97"/>
        <v/>
      </c>
      <c r="W1030" s="74" t="str">
        <f>IFERROR(VLOOKUP($O1030,'Customer List'!$A$1:$J$488,10,FALSE),"")</f>
        <v/>
      </c>
    </row>
    <row r="1031" spans="18:23">
      <c r="R1031" s="127"/>
      <c r="T1031" s="128">
        <f t="shared" si="96"/>
        <v>0</v>
      </c>
      <c r="U1031" s="129" t="str">
        <f>IFERROR(VLOOKUP($S1031,References!$B$3:$C$7,2,FALSE),"")</f>
        <v/>
      </c>
      <c r="V1031" s="129" t="str">
        <f t="shared" si="97"/>
        <v/>
      </c>
      <c r="W1031" s="74" t="str">
        <f>IFERROR(VLOOKUP($O1031,'Customer List'!$A$1:$J$488,10,FALSE),"")</f>
        <v/>
      </c>
    </row>
    <row r="1032" spans="18:23">
      <c r="R1032" s="127"/>
      <c r="T1032" s="128">
        <f t="shared" si="96"/>
        <v>0</v>
      </c>
      <c r="U1032" s="129" t="str">
        <f>IFERROR(VLOOKUP($S1032,References!$B$3:$C$7,2,FALSE),"")</f>
        <v/>
      </c>
      <c r="V1032" s="129" t="str">
        <f t="shared" si="97"/>
        <v/>
      </c>
      <c r="W1032" s="74" t="str">
        <f>IFERROR(VLOOKUP($O1032,'Customer List'!$A$1:$J$488,10,FALSE),"")</f>
        <v/>
      </c>
    </row>
    <row r="1033" spans="18:23">
      <c r="R1033" s="127"/>
      <c r="T1033" s="128">
        <f t="shared" si="96"/>
        <v>0</v>
      </c>
      <c r="U1033" s="129" t="str">
        <f>IFERROR(VLOOKUP($S1033,References!$B$3:$C$7,2,FALSE),"")</f>
        <v/>
      </c>
      <c r="V1033" s="129" t="str">
        <f t="shared" si="97"/>
        <v/>
      </c>
      <c r="W1033" s="74" t="str">
        <f>IFERROR(VLOOKUP($O1033,'Customer List'!$A$1:$J$488,10,FALSE),"")</f>
        <v/>
      </c>
    </row>
    <row r="1034" spans="18:23">
      <c r="R1034" s="127"/>
      <c r="T1034" s="128">
        <f t="shared" ref="T1034:T1097" si="98">IF(S1034="50 - Cleaning Fee",1,HOUR($R1034)+MINUTE(R1034)/60)</f>
        <v>0</v>
      </c>
      <c r="U1034" s="129" t="str">
        <f>IFERROR(VLOOKUP($S1034,References!$B$3:$C$7,2,FALSE),"")</f>
        <v/>
      </c>
      <c r="V1034" s="129" t="str">
        <f t="shared" ref="V1034:V1071" si="99">IF(T1034&gt;=8,400,(IFERROR(T1034*U1034,"")))</f>
        <v/>
      </c>
      <c r="W1034" s="74" t="str">
        <f>IFERROR(VLOOKUP($O1034,'Customer List'!$A$1:$J$488,10,FALSE),"")</f>
        <v/>
      </c>
    </row>
    <row r="1035" spans="18:23">
      <c r="R1035" s="127"/>
      <c r="T1035" s="128">
        <f t="shared" si="98"/>
        <v>0</v>
      </c>
      <c r="U1035" s="129" t="str">
        <f>IFERROR(VLOOKUP($S1035,References!$B$3:$C$7,2,FALSE),"")</f>
        <v/>
      </c>
      <c r="V1035" s="129" t="str">
        <f t="shared" si="99"/>
        <v/>
      </c>
      <c r="W1035" s="74" t="str">
        <f>IFERROR(VLOOKUP($O1035,'Customer List'!$A$1:$J$488,10,FALSE),"")</f>
        <v/>
      </c>
    </row>
    <row r="1036" spans="18:23">
      <c r="R1036" s="127"/>
      <c r="T1036" s="128">
        <f t="shared" si="98"/>
        <v>0</v>
      </c>
      <c r="U1036" s="129" t="str">
        <f>IFERROR(VLOOKUP($S1036,References!$B$3:$C$7,2,FALSE),"")</f>
        <v/>
      </c>
      <c r="V1036" s="129" t="str">
        <f t="shared" si="99"/>
        <v/>
      </c>
      <c r="W1036" s="74" t="str">
        <f>IFERROR(VLOOKUP($O1036,'Customer List'!$A$1:$J$488,10,FALSE),"")</f>
        <v/>
      </c>
    </row>
    <row r="1037" spans="18:23">
      <c r="R1037" s="127"/>
      <c r="T1037" s="128">
        <f t="shared" si="98"/>
        <v>0</v>
      </c>
      <c r="U1037" s="129" t="str">
        <f>IFERROR(VLOOKUP($S1037,References!$B$3:$C$7,2,FALSE),"")</f>
        <v/>
      </c>
      <c r="V1037" s="129" t="str">
        <f t="shared" si="99"/>
        <v/>
      </c>
      <c r="W1037" s="74" t="str">
        <f>IFERROR(VLOOKUP($O1037,'Customer List'!$A$1:$J$488,10,FALSE),"")</f>
        <v/>
      </c>
    </row>
    <row r="1038" spans="18:23">
      <c r="R1038" s="127"/>
      <c r="T1038" s="128">
        <f t="shared" si="98"/>
        <v>0</v>
      </c>
      <c r="U1038" s="129" t="str">
        <f>IFERROR(VLOOKUP($S1038,References!$B$3:$C$7,2,FALSE),"")</f>
        <v/>
      </c>
      <c r="V1038" s="129" t="str">
        <f t="shared" si="99"/>
        <v/>
      </c>
      <c r="W1038" s="74" t="str">
        <f>IFERROR(VLOOKUP($O1038,'Customer List'!$A$1:$J$488,10,FALSE),"")</f>
        <v/>
      </c>
    </row>
    <row r="1039" spans="18:23">
      <c r="R1039" s="127"/>
      <c r="T1039" s="128">
        <f t="shared" si="98"/>
        <v>0</v>
      </c>
      <c r="U1039" s="129" t="str">
        <f>IFERROR(VLOOKUP($S1039,References!$B$3:$C$7,2,FALSE),"")</f>
        <v/>
      </c>
      <c r="V1039" s="129" t="str">
        <f t="shared" si="99"/>
        <v/>
      </c>
      <c r="W1039" s="74" t="str">
        <f>IFERROR(VLOOKUP($O1039,'Customer List'!$A$1:$J$488,10,FALSE),"")</f>
        <v/>
      </c>
    </row>
    <row r="1040" spans="18:23">
      <c r="R1040" s="127"/>
      <c r="T1040" s="128">
        <f t="shared" si="98"/>
        <v>0</v>
      </c>
      <c r="U1040" s="129" t="str">
        <f>IFERROR(VLOOKUP($S1040,References!$B$3:$C$7,2,FALSE),"")</f>
        <v/>
      </c>
      <c r="V1040" s="129" t="str">
        <f t="shared" si="99"/>
        <v/>
      </c>
      <c r="W1040" s="74" t="str">
        <f>IFERROR(VLOOKUP($O1040,'Customer List'!$A$1:$J$488,10,FALSE),"")</f>
        <v/>
      </c>
    </row>
    <row r="1041" spans="18:23">
      <c r="R1041" s="127"/>
      <c r="T1041" s="128">
        <f t="shared" si="98"/>
        <v>0</v>
      </c>
      <c r="U1041" s="129" t="str">
        <f>IFERROR(VLOOKUP($S1041,References!$B$3:$C$7,2,FALSE),"")</f>
        <v/>
      </c>
      <c r="V1041" s="129" t="str">
        <f t="shared" si="99"/>
        <v/>
      </c>
      <c r="W1041" s="74" t="str">
        <f>IFERROR(VLOOKUP($O1041,'Customer List'!$A$1:$J$488,10,FALSE),"")</f>
        <v/>
      </c>
    </row>
    <row r="1042" spans="18:23">
      <c r="R1042" s="127"/>
      <c r="T1042" s="128">
        <f t="shared" si="98"/>
        <v>0</v>
      </c>
      <c r="U1042" s="129" t="str">
        <f>IFERROR(VLOOKUP($S1042,References!$B$3:$C$7,2,FALSE),"")</f>
        <v/>
      </c>
      <c r="V1042" s="129" t="str">
        <f t="shared" si="99"/>
        <v/>
      </c>
      <c r="W1042" s="74" t="str">
        <f>IFERROR(VLOOKUP($O1042,'Customer List'!$A$1:$J$488,10,FALSE),"")</f>
        <v/>
      </c>
    </row>
    <row r="1043" spans="18:23">
      <c r="R1043" s="127"/>
      <c r="T1043" s="128">
        <f t="shared" si="98"/>
        <v>0</v>
      </c>
      <c r="U1043" s="129" t="str">
        <f>IFERROR(VLOOKUP($S1043,References!$B$3:$C$7,2,FALSE),"")</f>
        <v/>
      </c>
      <c r="V1043" s="129" t="str">
        <f t="shared" si="99"/>
        <v/>
      </c>
      <c r="W1043" s="74" t="str">
        <f>IFERROR(VLOOKUP($O1043,'Customer List'!$A$1:$J$488,10,FALSE),"")</f>
        <v/>
      </c>
    </row>
    <row r="1044" spans="18:23">
      <c r="R1044" s="127"/>
      <c r="T1044" s="128">
        <f t="shared" si="98"/>
        <v>0</v>
      </c>
      <c r="U1044" s="129" t="str">
        <f>IFERROR(VLOOKUP($S1044,References!$B$3:$C$7,2,FALSE),"")</f>
        <v/>
      </c>
      <c r="V1044" s="129" t="str">
        <f t="shared" si="99"/>
        <v/>
      </c>
      <c r="W1044" s="74" t="str">
        <f>IFERROR(VLOOKUP($O1044,'Customer List'!$A$1:$J$488,10,FALSE),"")</f>
        <v/>
      </c>
    </row>
    <row r="1045" spans="18:23">
      <c r="R1045" s="127"/>
      <c r="T1045" s="128">
        <f t="shared" si="98"/>
        <v>0</v>
      </c>
      <c r="U1045" s="129" t="str">
        <f>IFERROR(VLOOKUP($S1045,References!$B$3:$C$7,2,FALSE),"")</f>
        <v/>
      </c>
      <c r="V1045" s="129" t="str">
        <f t="shared" si="99"/>
        <v/>
      </c>
      <c r="W1045" s="74" t="str">
        <f>IFERROR(VLOOKUP($O1045,'Customer List'!$A$1:$J$488,10,FALSE),"")</f>
        <v/>
      </c>
    </row>
    <row r="1046" spans="18:23">
      <c r="R1046" s="127"/>
      <c r="T1046" s="128">
        <f t="shared" si="98"/>
        <v>0</v>
      </c>
      <c r="U1046" s="129" t="str">
        <f>IFERROR(VLOOKUP($S1046,References!$B$3:$C$7,2,FALSE),"")</f>
        <v/>
      </c>
      <c r="V1046" s="129" t="str">
        <f t="shared" si="99"/>
        <v/>
      </c>
      <c r="W1046" s="74" t="str">
        <f>IFERROR(VLOOKUP($O1046,'Customer List'!$A$1:$J$488,10,FALSE),"")</f>
        <v/>
      </c>
    </row>
    <row r="1047" spans="18:23">
      <c r="R1047" s="127"/>
      <c r="T1047" s="128">
        <f t="shared" si="98"/>
        <v>0</v>
      </c>
      <c r="U1047" s="129" t="str">
        <f>IFERROR(VLOOKUP($S1047,References!$B$3:$C$7,2,FALSE),"")</f>
        <v/>
      </c>
      <c r="V1047" s="129" t="str">
        <f t="shared" si="99"/>
        <v/>
      </c>
      <c r="W1047" s="74" t="str">
        <f>IFERROR(VLOOKUP($O1047,'Customer List'!$A$1:$J$488,10,FALSE),"")</f>
        <v/>
      </c>
    </row>
    <row r="1048" spans="18:23">
      <c r="R1048" s="127"/>
      <c r="T1048" s="128">
        <f t="shared" si="98"/>
        <v>0</v>
      </c>
      <c r="U1048" s="129" t="str">
        <f>IFERROR(VLOOKUP($S1048,References!$B$3:$C$7,2,FALSE),"")</f>
        <v/>
      </c>
      <c r="V1048" s="129" t="str">
        <f t="shared" si="99"/>
        <v/>
      </c>
      <c r="W1048" s="74" t="str">
        <f>IFERROR(VLOOKUP($O1048,'Customer List'!$A$1:$J$488,10,FALSE),"")</f>
        <v/>
      </c>
    </row>
    <row r="1049" spans="18:23">
      <c r="R1049" s="127"/>
      <c r="T1049" s="128">
        <f t="shared" si="98"/>
        <v>0</v>
      </c>
      <c r="U1049" s="129" t="str">
        <f>IFERROR(VLOOKUP($S1049,References!$B$3:$C$7,2,FALSE),"")</f>
        <v/>
      </c>
      <c r="V1049" s="129" t="str">
        <f t="shared" si="99"/>
        <v/>
      </c>
      <c r="W1049" s="74" t="str">
        <f>IFERROR(VLOOKUP($O1049,'Customer List'!$A$1:$J$488,10,FALSE),"")</f>
        <v/>
      </c>
    </row>
    <row r="1050" spans="18:23">
      <c r="R1050" s="127"/>
      <c r="T1050" s="128">
        <f t="shared" si="98"/>
        <v>0</v>
      </c>
      <c r="U1050" s="129" t="str">
        <f>IFERROR(VLOOKUP($S1050,References!$B$3:$C$7,2,FALSE),"")</f>
        <v/>
      </c>
      <c r="V1050" s="129" t="str">
        <f t="shared" si="99"/>
        <v/>
      </c>
      <c r="W1050" s="74" t="str">
        <f>IFERROR(VLOOKUP($O1050,'Customer List'!$A$1:$J$488,10,FALSE),"")</f>
        <v/>
      </c>
    </row>
    <row r="1051" spans="18:23">
      <c r="R1051" s="127"/>
      <c r="T1051" s="128">
        <f t="shared" si="98"/>
        <v>0</v>
      </c>
      <c r="U1051" s="129" t="str">
        <f>IFERROR(VLOOKUP($S1051,References!$B$3:$C$7,2,FALSE),"")</f>
        <v/>
      </c>
      <c r="V1051" s="129" t="str">
        <f t="shared" si="99"/>
        <v/>
      </c>
      <c r="W1051" s="74" t="str">
        <f>IFERROR(VLOOKUP($O1051,'Customer List'!$A$1:$J$488,10,FALSE),"")</f>
        <v/>
      </c>
    </row>
    <row r="1052" spans="18:23">
      <c r="R1052" s="127"/>
      <c r="T1052" s="128">
        <f t="shared" si="98"/>
        <v>0</v>
      </c>
      <c r="U1052" s="129" t="str">
        <f>IFERROR(VLOOKUP($S1052,References!$B$3:$C$7,2,FALSE),"")</f>
        <v/>
      </c>
      <c r="V1052" s="129" t="str">
        <f t="shared" si="99"/>
        <v/>
      </c>
      <c r="W1052" s="74" t="str">
        <f>IFERROR(VLOOKUP($O1052,'Customer List'!$A$1:$J$488,10,FALSE),"")</f>
        <v/>
      </c>
    </row>
    <row r="1053" spans="18:23">
      <c r="R1053" s="127"/>
      <c r="T1053" s="128">
        <f t="shared" si="98"/>
        <v>0</v>
      </c>
      <c r="U1053" s="129" t="str">
        <f>IFERROR(VLOOKUP($S1053,References!$B$3:$C$7,2,FALSE),"")</f>
        <v/>
      </c>
      <c r="V1053" s="129" t="str">
        <f t="shared" si="99"/>
        <v/>
      </c>
      <c r="W1053" s="74" t="str">
        <f>IFERROR(VLOOKUP($O1053,'Customer List'!$A$1:$J$488,10,FALSE),"")</f>
        <v/>
      </c>
    </row>
    <row r="1054" spans="18:23">
      <c r="R1054" s="127"/>
      <c r="T1054" s="128">
        <f t="shared" si="98"/>
        <v>0</v>
      </c>
      <c r="U1054" s="129" t="str">
        <f>IFERROR(VLOOKUP($S1054,References!$B$3:$C$7,2,FALSE),"")</f>
        <v/>
      </c>
      <c r="V1054" s="129" t="str">
        <f t="shared" si="99"/>
        <v/>
      </c>
      <c r="W1054" s="74" t="str">
        <f>IFERROR(VLOOKUP($O1054,'Customer List'!$A$1:$J$488,10,FALSE),"")</f>
        <v/>
      </c>
    </row>
    <row r="1055" spans="18:23">
      <c r="R1055" s="127"/>
      <c r="T1055" s="128">
        <f t="shared" si="98"/>
        <v>0</v>
      </c>
      <c r="U1055" s="129" t="str">
        <f>IFERROR(VLOOKUP($S1055,References!$B$3:$C$7,2,FALSE),"")</f>
        <v/>
      </c>
      <c r="V1055" s="129" t="str">
        <f t="shared" si="99"/>
        <v/>
      </c>
      <c r="W1055" s="74" t="str">
        <f>IFERROR(VLOOKUP($O1055,'Customer List'!$A$1:$J$488,10,FALSE),"")</f>
        <v/>
      </c>
    </row>
    <row r="1056" spans="18:23">
      <c r="R1056" s="127"/>
      <c r="T1056" s="128">
        <f t="shared" si="98"/>
        <v>0</v>
      </c>
      <c r="U1056" s="129" t="str">
        <f>IFERROR(VLOOKUP($S1056,References!$B$3:$C$7,2,FALSE),"")</f>
        <v/>
      </c>
      <c r="V1056" s="129" t="str">
        <f t="shared" si="99"/>
        <v/>
      </c>
      <c r="W1056" s="74" t="str">
        <f>IFERROR(VLOOKUP($O1056,'Customer List'!$A$1:$J$488,10,FALSE),"")</f>
        <v/>
      </c>
    </row>
    <row r="1057" spans="18:23">
      <c r="R1057" s="127"/>
      <c r="T1057" s="128">
        <f t="shared" si="98"/>
        <v>0</v>
      </c>
      <c r="U1057" s="129" t="str">
        <f>IFERROR(VLOOKUP($S1057,References!$B$3:$C$7,2,FALSE),"")</f>
        <v/>
      </c>
      <c r="V1057" s="129" t="str">
        <f t="shared" si="99"/>
        <v/>
      </c>
      <c r="W1057" s="74" t="str">
        <f>IFERROR(VLOOKUP($O1057,'Customer List'!$A$1:$J$488,10,FALSE),"")</f>
        <v/>
      </c>
    </row>
    <row r="1058" spans="18:23">
      <c r="R1058" s="127"/>
      <c r="T1058" s="128">
        <f t="shared" si="98"/>
        <v>0</v>
      </c>
      <c r="U1058" s="129" t="str">
        <f>IFERROR(VLOOKUP($S1058,References!$B$3:$C$7,2,FALSE),"")</f>
        <v/>
      </c>
      <c r="V1058" s="129" t="str">
        <f t="shared" si="99"/>
        <v/>
      </c>
      <c r="W1058" s="74" t="str">
        <f>IFERROR(VLOOKUP($O1058,'Customer List'!$A$1:$J$488,10,FALSE),"")</f>
        <v/>
      </c>
    </row>
    <row r="1059" spans="18:23">
      <c r="R1059" s="127"/>
      <c r="T1059" s="128">
        <f t="shared" si="98"/>
        <v>0</v>
      </c>
      <c r="U1059" s="129" t="str">
        <f>IFERROR(VLOOKUP($S1059,References!$B$3:$C$7,2,FALSE),"")</f>
        <v/>
      </c>
      <c r="V1059" s="129" t="str">
        <f t="shared" si="99"/>
        <v/>
      </c>
      <c r="W1059" s="74" t="str">
        <f>IFERROR(VLOOKUP($O1059,'Customer List'!$A$1:$J$488,10,FALSE),"")</f>
        <v/>
      </c>
    </row>
    <row r="1060" spans="18:23">
      <c r="R1060" s="127"/>
      <c r="T1060" s="128">
        <f t="shared" si="98"/>
        <v>0</v>
      </c>
      <c r="U1060" s="129" t="str">
        <f>IFERROR(VLOOKUP($S1060,References!$B$3:$C$7,2,FALSE),"")</f>
        <v/>
      </c>
      <c r="V1060" s="129" t="str">
        <f t="shared" si="99"/>
        <v/>
      </c>
      <c r="W1060" s="74" t="str">
        <f>IFERROR(VLOOKUP($O1060,'Customer List'!$A$1:$J$488,10,FALSE),"")</f>
        <v/>
      </c>
    </row>
    <row r="1061" spans="18:23">
      <c r="R1061" s="127"/>
      <c r="T1061" s="128">
        <f t="shared" si="98"/>
        <v>0</v>
      </c>
      <c r="U1061" s="129" t="str">
        <f>IFERROR(VLOOKUP($S1061,References!$B$3:$C$7,2,FALSE),"")</f>
        <v/>
      </c>
      <c r="V1061" s="129" t="str">
        <f t="shared" si="99"/>
        <v/>
      </c>
      <c r="W1061" s="74" t="str">
        <f>IFERROR(VLOOKUP($O1061,'Customer List'!$A$1:$J$488,10,FALSE),"")</f>
        <v/>
      </c>
    </row>
    <row r="1062" spans="18:23">
      <c r="R1062" s="127"/>
      <c r="T1062" s="128">
        <f t="shared" si="98"/>
        <v>0</v>
      </c>
      <c r="U1062" s="129" t="str">
        <f>IFERROR(VLOOKUP($S1062,References!$B$3:$C$7,2,FALSE),"")</f>
        <v/>
      </c>
      <c r="V1062" s="129" t="str">
        <f t="shared" si="99"/>
        <v/>
      </c>
      <c r="W1062" s="74" t="str">
        <f>IFERROR(VLOOKUP($O1062,'Customer List'!$A$1:$J$488,10,FALSE),"")</f>
        <v/>
      </c>
    </row>
    <row r="1063" spans="18:23">
      <c r="R1063" s="127"/>
      <c r="T1063" s="128">
        <f t="shared" si="98"/>
        <v>0</v>
      </c>
      <c r="U1063" s="129" t="str">
        <f>IFERROR(VLOOKUP($S1063,References!$B$3:$C$7,2,FALSE),"")</f>
        <v/>
      </c>
      <c r="V1063" s="129" t="str">
        <f t="shared" si="99"/>
        <v/>
      </c>
      <c r="W1063" s="74" t="str">
        <f>IFERROR(VLOOKUP($O1063,'Customer List'!$A$1:$J$488,10,FALSE),"")</f>
        <v/>
      </c>
    </row>
    <row r="1064" spans="18:23">
      <c r="R1064" s="127"/>
      <c r="T1064" s="128">
        <f t="shared" si="98"/>
        <v>0</v>
      </c>
      <c r="U1064" s="129" t="str">
        <f>IFERROR(VLOOKUP($S1064,References!$B$3:$C$7,2,FALSE),"")</f>
        <v/>
      </c>
      <c r="V1064" s="129" t="str">
        <f t="shared" si="99"/>
        <v/>
      </c>
      <c r="W1064" s="74" t="str">
        <f>IFERROR(VLOOKUP($O1064,'Customer List'!$A$1:$J$488,10,FALSE),"")</f>
        <v/>
      </c>
    </row>
    <row r="1065" spans="18:23">
      <c r="R1065" s="127"/>
      <c r="T1065" s="128">
        <f t="shared" si="98"/>
        <v>0</v>
      </c>
      <c r="U1065" s="129" t="str">
        <f>IFERROR(VLOOKUP($S1065,References!$B$3:$C$7,2,FALSE),"")</f>
        <v/>
      </c>
      <c r="V1065" s="129" t="str">
        <f t="shared" si="99"/>
        <v/>
      </c>
      <c r="W1065" s="74" t="str">
        <f>IFERROR(VLOOKUP($O1065,'Customer List'!$A$1:$J$488,10,FALSE),"")</f>
        <v/>
      </c>
    </row>
    <row r="1066" spans="18:23">
      <c r="R1066" s="127"/>
      <c r="T1066" s="128">
        <f t="shared" si="98"/>
        <v>0</v>
      </c>
      <c r="U1066" s="129" t="str">
        <f>IFERROR(VLOOKUP($S1066,References!$B$3:$C$7,2,FALSE),"")</f>
        <v/>
      </c>
      <c r="V1066" s="129" t="str">
        <f t="shared" si="99"/>
        <v/>
      </c>
      <c r="W1066" s="74" t="str">
        <f>IFERROR(VLOOKUP($O1066,'Customer List'!$A$1:$J$488,10,FALSE),"")</f>
        <v/>
      </c>
    </row>
    <row r="1067" spans="18:23">
      <c r="R1067" s="127"/>
      <c r="T1067" s="128">
        <f t="shared" si="98"/>
        <v>0</v>
      </c>
      <c r="U1067" s="129" t="str">
        <f>IFERROR(VLOOKUP($S1067,References!$B$3:$C$7,2,FALSE),"")</f>
        <v/>
      </c>
      <c r="V1067" s="129" t="str">
        <f t="shared" si="99"/>
        <v/>
      </c>
      <c r="W1067" s="74" t="str">
        <f>IFERROR(VLOOKUP($O1067,'Customer List'!$A$1:$J$488,10,FALSE),"")</f>
        <v/>
      </c>
    </row>
    <row r="1068" spans="18:23">
      <c r="R1068" s="127"/>
      <c r="T1068" s="128">
        <f t="shared" si="98"/>
        <v>0</v>
      </c>
      <c r="U1068" s="129" t="str">
        <f>IFERROR(VLOOKUP($S1068,References!$B$3:$C$7,2,FALSE),"")</f>
        <v/>
      </c>
      <c r="V1068" s="129" t="str">
        <f t="shared" si="99"/>
        <v/>
      </c>
      <c r="W1068" s="74" t="str">
        <f>IFERROR(VLOOKUP($O1068,'Customer List'!$A$1:$J$488,10,FALSE),"")</f>
        <v/>
      </c>
    </row>
    <row r="1069" spans="18:23">
      <c r="R1069" s="127"/>
      <c r="T1069" s="128">
        <f t="shared" si="98"/>
        <v>0</v>
      </c>
      <c r="U1069" s="129" t="str">
        <f>IFERROR(VLOOKUP($S1069,References!$B$3:$C$7,2,FALSE),"")</f>
        <v/>
      </c>
      <c r="V1069" s="129" t="str">
        <f t="shared" si="99"/>
        <v/>
      </c>
      <c r="W1069" s="74" t="str">
        <f>IFERROR(VLOOKUP($O1069,'Customer List'!$A$1:$J$488,10,FALSE),"")</f>
        <v/>
      </c>
    </row>
    <row r="1070" spans="18:23">
      <c r="R1070" s="127"/>
      <c r="T1070" s="128">
        <f t="shared" si="98"/>
        <v>0</v>
      </c>
      <c r="U1070" s="129" t="str">
        <f>IFERROR(VLOOKUP($S1070,References!$B$3:$C$7,2,FALSE),"")</f>
        <v/>
      </c>
      <c r="V1070" s="129" t="str">
        <f t="shared" si="99"/>
        <v/>
      </c>
      <c r="W1070" s="74" t="str">
        <f>IFERROR(VLOOKUP($O1070,'Customer List'!$A$1:$J$488,10,FALSE),"")</f>
        <v/>
      </c>
    </row>
    <row r="1071" spans="18:23">
      <c r="R1071" s="127"/>
      <c r="T1071" s="128">
        <f t="shared" si="98"/>
        <v>0</v>
      </c>
      <c r="U1071" s="129" t="str">
        <f>IFERROR(VLOOKUP($S1071,References!$B$3:$C$7,2,FALSE),"")</f>
        <v/>
      </c>
      <c r="V1071" s="129" t="str">
        <f t="shared" si="99"/>
        <v/>
      </c>
      <c r="W1071" s="74"/>
    </row>
    <row r="1072" spans="18:23">
      <c r="R1072" s="127"/>
      <c r="T1072" s="128">
        <f t="shared" si="98"/>
        <v>0</v>
      </c>
      <c r="U1072" s="129"/>
      <c r="V1072" s="129"/>
      <c r="W1072" s="74"/>
    </row>
    <row r="1073" spans="18:23">
      <c r="R1073" s="127"/>
      <c r="T1073" s="128">
        <f t="shared" si="98"/>
        <v>0</v>
      </c>
      <c r="U1073" s="129"/>
      <c r="V1073" s="129"/>
      <c r="W1073" s="74"/>
    </row>
    <row r="1074" spans="18:23">
      <c r="R1074" s="127"/>
      <c r="T1074" s="128">
        <f t="shared" si="98"/>
        <v>0</v>
      </c>
      <c r="U1074" s="129"/>
      <c r="V1074" s="129"/>
      <c r="W1074" s="74"/>
    </row>
    <row r="1075" spans="18:23">
      <c r="R1075" s="127"/>
      <c r="T1075" s="128">
        <f t="shared" si="98"/>
        <v>0</v>
      </c>
      <c r="U1075" s="129"/>
      <c r="V1075" s="129"/>
      <c r="W1075" s="74"/>
    </row>
    <row r="1076" spans="18:23">
      <c r="R1076" s="127"/>
      <c r="T1076" s="128">
        <f t="shared" si="98"/>
        <v>0</v>
      </c>
      <c r="U1076" s="129"/>
      <c r="V1076" s="129"/>
      <c r="W1076" s="74"/>
    </row>
    <row r="1077" spans="18:23">
      <c r="R1077" s="127"/>
      <c r="T1077" s="128">
        <f t="shared" si="98"/>
        <v>0</v>
      </c>
      <c r="U1077" s="129"/>
      <c r="V1077" s="129"/>
      <c r="W1077" s="74"/>
    </row>
    <row r="1078" spans="18:23">
      <c r="R1078" s="127"/>
      <c r="T1078" s="128">
        <f t="shared" si="98"/>
        <v>0</v>
      </c>
      <c r="U1078" s="129"/>
      <c r="V1078" s="129"/>
      <c r="W1078" s="74"/>
    </row>
    <row r="1079" spans="18:23">
      <c r="R1079" s="127"/>
      <c r="T1079" s="128">
        <f t="shared" si="98"/>
        <v>0</v>
      </c>
      <c r="U1079" s="129"/>
      <c r="V1079" s="129"/>
      <c r="W1079" s="74"/>
    </row>
    <row r="1080" spans="18:23">
      <c r="R1080" s="127"/>
      <c r="T1080" s="128">
        <f t="shared" si="98"/>
        <v>0</v>
      </c>
      <c r="U1080" s="129"/>
      <c r="V1080" s="129"/>
      <c r="W1080" s="74"/>
    </row>
    <row r="1081" spans="18:23">
      <c r="R1081" s="127"/>
      <c r="T1081" s="128">
        <f t="shared" si="98"/>
        <v>0</v>
      </c>
      <c r="U1081" s="129"/>
      <c r="V1081" s="129"/>
      <c r="W1081" s="74"/>
    </row>
    <row r="1082" spans="18:23">
      <c r="R1082" s="127"/>
      <c r="T1082" s="128">
        <f t="shared" si="98"/>
        <v>0</v>
      </c>
      <c r="U1082" s="129"/>
      <c r="V1082" s="129"/>
      <c r="W1082" s="74"/>
    </row>
    <row r="1083" spans="18:23">
      <c r="R1083" s="127"/>
      <c r="T1083" s="128">
        <f t="shared" si="98"/>
        <v>0</v>
      </c>
      <c r="U1083" s="129"/>
      <c r="V1083" s="129"/>
      <c r="W1083" s="74"/>
    </row>
    <row r="1084" spans="18:23">
      <c r="R1084" s="127"/>
      <c r="T1084" s="128">
        <f t="shared" si="98"/>
        <v>0</v>
      </c>
      <c r="U1084" s="129"/>
      <c r="V1084" s="129"/>
      <c r="W1084" s="74"/>
    </row>
    <row r="1085" spans="18:23">
      <c r="R1085" s="127"/>
      <c r="T1085" s="128">
        <f t="shared" si="98"/>
        <v>0</v>
      </c>
      <c r="U1085" s="129"/>
      <c r="V1085" s="129"/>
      <c r="W1085" s="74"/>
    </row>
    <row r="1086" spans="18:23">
      <c r="R1086" s="127"/>
      <c r="T1086" s="128">
        <f t="shared" si="98"/>
        <v>0</v>
      </c>
      <c r="U1086" s="129"/>
      <c r="V1086" s="129"/>
      <c r="W1086" s="74"/>
    </row>
    <row r="1087" spans="18:23">
      <c r="R1087" s="127"/>
      <c r="T1087" s="128">
        <f t="shared" si="98"/>
        <v>0</v>
      </c>
      <c r="U1087" s="129"/>
      <c r="V1087" s="129"/>
      <c r="W1087" s="74"/>
    </row>
    <row r="1088" spans="18:23">
      <c r="R1088" s="127"/>
      <c r="T1088" s="128">
        <f t="shared" si="98"/>
        <v>0</v>
      </c>
      <c r="U1088" s="129"/>
      <c r="V1088" s="129"/>
      <c r="W1088" s="74"/>
    </row>
    <row r="1089" spans="18:23">
      <c r="R1089" s="127"/>
      <c r="T1089" s="128">
        <f t="shared" si="98"/>
        <v>0</v>
      </c>
      <c r="U1089" s="129"/>
      <c r="V1089" s="129"/>
      <c r="W1089" s="74"/>
    </row>
    <row r="1090" spans="18:23">
      <c r="R1090" s="127"/>
      <c r="T1090" s="128">
        <f t="shared" si="98"/>
        <v>0</v>
      </c>
      <c r="U1090" s="129"/>
      <c r="V1090" s="129"/>
      <c r="W1090" s="74"/>
    </row>
    <row r="1091" spans="18:23">
      <c r="R1091" s="127"/>
      <c r="T1091" s="128">
        <f t="shared" si="98"/>
        <v>0</v>
      </c>
      <c r="U1091" s="129"/>
      <c r="V1091" s="129"/>
      <c r="W1091" s="74"/>
    </row>
    <row r="1092" spans="18:23">
      <c r="R1092" s="127"/>
      <c r="T1092" s="128">
        <f t="shared" si="98"/>
        <v>0</v>
      </c>
      <c r="U1092" s="129"/>
      <c r="V1092" s="129"/>
      <c r="W1092" s="74"/>
    </row>
    <row r="1093" spans="18:23">
      <c r="R1093" s="127"/>
      <c r="T1093" s="128">
        <f t="shared" si="98"/>
        <v>0</v>
      </c>
      <c r="U1093" s="129"/>
      <c r="V1093" s="129"/>
      <c r="W1093" s="74"/>
    </row>
    <row r="1094" spans="18:23">
      <c r="R1094" s="127"/>
      <c r="T1094" s="128">
        <f t="shared" si="98"/>
        <v>0</v>
      </c>
      <c r="U1094" s="129"/>
      <c r="V1094" s="129"/>
      <c r="W1094" s="74"/>
    </row>
    <row r="1095" spans="18:23">
      <c r="R1095" s="127"/>
      <c r="T1095" s="128">
        <f t="shared" si="98"/>
        <v>0</v>
      </c>
      <c r="U1095" s="129"/>
      <c r="V1095" s="129"/>
      <c r="W1095" s="74"/>
    </row>
    <row r="1096" spans="18:23">
      <c r="R1096" s="127"/>
      <c r="T1096" s="128">
        <f t="shared" si="98"/>
        <v>0</v>
      </c>
      <c r="U1096" s="129"/>
      <c r="V1096" s="129"/>
      <c r="W1096" s="74"/>
    </row>
    <row r="1097" spans="18:23">
      <c r="R1097" s="127"/>
      <c r="T1097" s="128">
        <f t="shared" si="98"/>
        <v>0</v>
      </c>
      <c r="U1097" s="129"/>
      <c r="V1097" s="129"/>
      <c r="W1097" s="74"/>
    </row>
    <row r="1098" spans="18:23">
      <c r="R1098" s="127"/>
      <c r="T1098" s="128">
        <f t="shared" ref="T1098:T1161" si="100">IF(S1098="50 - Cleaning Fee",1,HOUR($R1098)+MINUTE(R1098)/60)</f>
        <v>0</v>
      </c>
      <c r="U1098" s="129"/>
      <c r="V1098" s="129"/>
      <c r="W1098" s="74"/>
    </row>
    <row r="1099" spans="18:23">
      <c r="R1099" s="127"/>
      <c r="T1099" s="128">
        <f t="shared" si="100"/>
        <v>0</v>
      </c>
      <c r="U1099" s="129"/>
      <c r="V1099" s="129"/>
      <c r="W1099" s="74"/>
    </row>
    <row r="1100" spans="18:23">
      <c r="R1100" s="127"/>
      <c r="T1100" s="128">
        <f t="shared" si="100"/>
        <v>0</v>
      </c>
      <c r="U1100" s="129"/>
      <c r="V1100" s="129"/>
      <c r="W1100" s="74"/>
    </row>
    <row r="1101" spans="18:23">
      <c r="R1101" s="127"/>
      <c r="T1101" s="128">
        <f t="shared" si="100"/>
        <v>0</v>
      </c>
      <c r="U1101" s="129"/>
      <c r="V1101" s="129"/>
      <c r="W1101" s="74"/>
    </row>
    <row r="1102" spans="18:23">
      <c r="R1102" s="127"/>
      <c r="T1102" s="128">
        <f t="shared" si="100"/>
        <v>0</v>
      </c>
      <c r="U1102" s="129"/>
      <c r="V1102" s="129"/>
      <c r="W1102" s="74"/>
    </row>
    <row r="1103" spans="18:23">
      <c r="R1103" s="127"/>
      <c r="T1103" s="128">
        <f t="shared" si="100"/>
        <v>0</v>
      </c>
      <c r="U1103" s="129"/>
      <c r="V1103" s="129"/>
      <c r="W1103" s="74"/>
    </row>
    <row r="1104" spans="18:23">
      <c r="R1104" s="127"/>
      <c r="T1104" s="128">
        <f t="shared" si="100"/>
        <v>0</v>
      </c>
      <c r="U1104" s="129"/>
      <c r="V1104" s="129"/>
      <c r="W1104" s="74"/>
    </row>
    <row r="1105" spans="18:23">
      <c r="R1105" s="127"/>
      <c r="T1105" s="128">
        <f t="shared" si="100"/>
        <v>0</v>
      </c>
      <c r="U1105" s="129"/>
      <c r="V1105" s="129"/>
      <c r="W1105" s="74"/>
    </row>
    <row r="1106" spans="18:23">
      <c r="R1106" s="127"/>
      <c r="T1106" s="128">
        <f t="shared" si="100"/>
        <v>0</v>
      </c>
      <c r="U1106" s="129"/>
      <c r="V1106" s="129"/>
      <c r="W1106" s="74"/>
    </row>
    <row r="1107" spans="18:23">
      <c r="R1107" s="127"/>
      <c r="T1107" s="128">
        <f t="shared" si="100"/>
        <v>0</v>
      </c>
      <c r="U1107" s="129"/>
      <c r="V1107" s="129"/>
      <c r="W1107" s="74"/>
    </row>
    <row r="1108" spans="18:23">
      <c r="R1108" s="127"/>
      <c r="T1108" s="128">
        <f t="shared" si="100"/>
        <v>0</v>
      </c>
      <c r="U1108" s="129"/>
      <c r="V1108" s="129"/>
      <c r="W1108" s="74"/>
    </row>
    <row r="1109" spans="18:23">
      <c r="R1109" s="127"/>
      <c r="T1109" s="128">
        <f t="shared" si="100"/>
        <v>0</v>
      </c>
      <c r="U1109" s="129"/>
      <c r="V1109" s="129"/>
      <c r="W1109" s="74"/>
    </row>
    <row r="1110" spans="18:23">
      <c r="R1110" s="127"/>
      <c r="T1110" s="128">
        <f t="shared" si="100"/>
        <v>0</v>
      </c>
      <c r="U1110" s="129"/>
      <c r="V1110" s="129"/>
      <c r="W1110" s="74"/>
    </row>
    <row r="1111" spans="18:23">
      <c r="R1111" s="127"/>
      <c r="T1111" s="128">
        <f t="shared" si="100"/>
        <v>0</v>
      </c>
      <c r="U1111" s="129"/>
      <c r="V1111" s="129"/>
      <c r="W1111" s="74"/>
    </row>
    <row r="1112" spans="18:23">
      <c r="R1112" s="127"/>
      <c r="T1112" s="128">
        <f t="shared" si="100"/>
        <v>0</v>
      </c>
      <c r="U1112" s="129"/>
      <c r="V1112" s="129"/>
      <c r="W1112" s="74"/>
    </row>
    <row r="1113" spans="18:23">
      <c r="R1113" s="127"/>
      <c r="T1113" s="128">
        <f t="shared" si="100"/>
        <v>0</v>
      </c>
      <c r="U1113" s="129"/>
      <c r="V1113" s="129"/>
      <c r="W1113" s="74"/>
    </row>
    <row r="1114" spans="18:23">
      <c r="R1114" s="127"/>
      <c r="T1114" s="128">
        <f t="shared" si="100"/>
        <v>0</v>
      </c>
      <c r="U1114" s="129"/>
      <c r="V1114" s="129"/>
      <c r="W1114" s="74"/>
    </row>
    <row r="1115" spans="18:23">
      <c r="R1115" s="127"/>
      <c r="T1115" s="128">
        <f t="shared" si="100"/>
        <v>0</v>
      </c>
      <c r="U1115" s="129"/>
      <c r="V1115" s="129"/>
      <c r="W1115" s="74"/>
    </row>
    <row r="1116" spans="18:23">
      <c r="R1116" s="127"/>
      <c r="T1116" s="128">
        <f t="shared" si="100"/>
        <v>0</v>
      </c>
      <c r="U1116" s="129"/>
      <c r="V1116" s="129"/>
      <c r="W1116" s="74"/>
    </row>
    <row r="1117" spans="18:23">
      <c r="R1117" s="127"/>
      <c r="T1117" s="128">
        <f t="shared" si="100"/>
        <v>0</v>
      </c>
      <c r="U1117" s="129"/>
      <c r="V1117" s="129"/>
      <c r="W1117" s="74"/>
    </row>
    <row r="1118" spans="18:23">
      <c r="R1118" s="127"/>
      <c r="T1118" s="128">
        <f t="shared" si="100"/>
        <v>0</v>
      </c>
      <c r="U1118" s="129"/>
      <c r="V1118" s="129"/>
      <c r="W1118" s="74"/>
    </row>
    <row r="1119" spans="18:23">
      <c r="R1119" s="127"/>
      <c r="T1119" s="128">
        <f t="shared" si="100"/>
        <v>0</v>
      </c>
      <c r="U1119" s="129"/>
      <c r="V1119" s="129"/>
      <c r="W1119" s="74"/>
    </row>
    <row r="1120" spans="18:23">
      <c r="R1120" s="127"/>
      <c r="T1120" s="128">
        <f t="shared" si="100"/>
        <v>0</v>
      </c>
      <c r="U1120" s="129"/>
      <c r="V1120" s="129"/>
      <c r="W1120" s="74"/>
    </row>
    <row r="1121" spans="18:23">
      <c r="R1121" s="127"/>
      <c r="T1121" s="128">
        <f t="shared" si="100"/>
        <v>0</v>
      </c>
      <c r="U1121" s="129"/>
      <c r="V1121" s="129"/>
      <c r="W1121" s="74"/>
    </row>
    <row r="1122" spans="18:23">
      <c r="R1122" s="127"/>
      <c r="T1122" s="128">
        <f t="shared" si="100"/>
        <v>0</v>
      </c>
      <c r="U1122" s="129"/>
      <c r="V1122" s="129"/>
      <c r="W1122" s="74"/>
    </row>
    <row r="1123" spans="18:23">
      <c r="R1123" s="127"/>
      <c r="T1123" s="128">
        <f t="shared" si="100"/>
        <v>0</v>
      </c>
      <c r="U1123" s="129"/>
      <c r="V1123" s="129"/>
      <c r="W1123" s="74"/>
    </row>
    <row r="1124" spans="18:23">
      <c r="R1124" s="127"/>
      <c r="T1124" s="128">
        <f t="shared" si="100"/>
        <v>0</v>
      </c>
      <c r="U1124" s="129"/>
      <c r="V1124" s="129"/>
      <c r="W1124" s="74"/>
    </row>
    <row r="1125" spans="18:23">
      <c r="R1125" s="127"/>
      <c r="T1125" s="128">
        <f t="shared" si="100"/>
        <v>0</v>
      </c>
      <c r="U1125" s="129"/>
      <c r="V1125" s="129"/>
      <c r="W1125" s="74"/>
    </row>
    <row r="1126" spans="18:23">
      <c r="R1126" s="127"/>
      <c r="T1126" s="128">
        <f t="shared" si="100"/>
        <v>0</v>
      </c>
      <c r="U1126" s="129"/>
      <c r="V1126" s="129"/>
      <c r="W1126" s="74"/>
    </row>
    <row r="1127" spans="18:23">
      <c r="R1127" s="127"/>
      <c r="T1127" s="128">
        <f t="shared" si="100"/>
        <v>0</v>
      </c>
      <c r="U1127" s="129"/>
      <c r="V1127" s="129"/>
      <c r="W1127" s="74"/>
    </row>
    <row r="1128" spans="18:23">
      <c r="R1128" s="127"/>
      <c r="T1128" s="128">
        <f t="shared" si="100"/>
        <v>0</v>
      </c>
      <c r="U1128" s="129"/>
      <c r="V1128" s="129"/>
      <c r="W1128" s="74"/>
    </row>
    <row r="1129" spans="18:23">
      <c r="R1129" s="127"/>
      <c r="T1129" s="128">
        <f t="shared" si="100"/>
        <v>0</v>
      </c>
      <c r="U1129" s="129"/>
      <c r="V1129" s="129"/>
      <c r="W1129" s="74"/>
    </row>
    <row r="1130" spans="18:23">
      <c r="R1130" s="127"/>
      <c r="T1130" s="128">
        <f t="shared" si="100"/>
        <v>0</v>
      </c>
      <c r="U1130" s="129"/>
      <c r="V1130" s="129"/>
      <c r="W1130" s="74"/>
    </row>
    <row r="1131" spans="18:23">
      <c r="R1131" s="127"/>
      <c r="T1131" s="128">
        <f t="shared" si="100"/>
        <v>0</v>
      </c>
      <c r="U1131" s="129"/>
      <c r="V1131" s="129"/>
      <c r="W1131" s="74"/>
    </row>
    <row r="1132" spans="18:23">
      <c r="R1132" s="127"/>
      <c r="T1132" s="128">
        <f t="shared" si="100"/>
        <v>0</v>
      </c>
      <c r="U1132" s="129"/>
      <c r="V1132" s="129"/>
      <c r="W1132" s="74"/>
    </row>
    <row r="1133" spans="18:23">
      <c r="R1133" s="127"/>
      <c r="T1133" s="128">
        <f t="shared" si="100"/>
        <v>0</v>
      </c>
      <c r="U1133" s="129"/>
      <c r="V1133" s="129"/>
      <c r="W1133" s="74"/>
    </row>
    <row r="1134" spans="18:23">
      <c r="R1134" s="127"/>
      <c r="T1134" s="128">
        <f t="shared" si="100"/>
        <v>0</v>
      </c>
      <c r="U1134" s="129"/>
      <c r="V1134" s="129"/>
      <c r="W1134" s="74"/>
    </row>
    <row r="1135" spans="18:23">
      <c r="R1135" s="127"/>
      <c r="T1135" s="128">
        <f t="shared" si="100"/>
        <v>0</v>
      </c>
      <c r="U1135" s="129"/>
      <c r="V1135" s="129"/>
      <c r="W1135" s="74"/>
    </row>
    <row r="1136" spans="18:23">
      <c r="R1136" s="127"/>
      <c r="T1136" s="128">
        <f t="shared" si="100"/>
        <v>0</v>
      </c>
      <c r="U1136" s="129"/>
      <c r="V1136" s="129"/>
      <c r="W1136" s="74"/>
    </row>
    <row r="1137" spans="18:23">
      <c r="R1137" s="127"/>
      <c r="T1137" s="128">
        <f t="shared" si="100"/>
        <v>0</v>
      </c>
      <c r="U1137" s="129"/>
      <c r="V1137" s="129"/>
      <c r="W1137" s="74"/>
    </row>
    <row r="1138" spans="18:23">
      <c r="R1138" s="127"/>
      <c r="T1138" s="128">
        <f t="shared" si="100"/>
        <v>0</v>
      </c>
      <c r="U1138" s="129"/>
      <c r="V1138" s="129"/>
      <c r="W1138" s="74"/>
    </row>
    <row r="1139" spans="18:23">
      <c r="R1139" s="127"/>
      <c r="T1139" s="128">
        <f t="shared" si="100"/>
        <v>0</v>
      </c>
      <c r="U1139" s="129"/>
      <c r="V1139" s="129"/>
      <c r="W1139" s="74"/>
    </row>
    <row r="1140" spans="18:23">
      <c r="R1140" s="127"/>
      <c r="T1140" s="128">
        <f t="shared" si="100"/>
        <v>0</v>
      </c>
      <c r="U1140" s="129"/>
      <c r="V1140" s="129"/>
      <c r="W1140" s="74"/>
    </row>
    <row r="1141" spans="18:23">
      <c r="R1141" s="127"/>
      <c r="T1141" s="128">
        <f t="shared" si="100"/>
        <v>0</v>
      </c>
      <c r="U1141" s="129"/>
      <c r="V1141" s="129"/>
      <c r="W1141" s="74"/>
    </row>
    <row r="1142" spans="18:23">
      <c r="R1142" s="127"/>
      <c r="T1142" s="128">
        <f t="shared" si="100"/>
        <v>0</v>
      </c>
      <c r="U1142" s="129"/>
      <c r="V1142" s="129"/>
      <c r="W1142" s="74"/>
    </row>
    <row r="1143" spans="18:23">
      <c r="R1143" s="127"/>
      <c r="T1143" s="128">
        <f t="shared" si="100"/>
        <v>0</v>
      </c>
      <c r="U1143" s="129"/>
      <c r="V1143" s="129"/>
      <c r="W1143" s="74"/>
    </row>
    <row r="1144" spans="18:23">
      <c r="R1144" s="127"/>
      <c r="T1144" s="128">
        <f t="shared" si="100"/>
        <v>0</v>
      </c>
      <c r="U1144" s="129"/>
      <c r="V1144" s="129"/>
      <c r="W1144" s="74"/>
    </row>
    <row r="1145" spans="18:23">
      <c r="R1145" s="127"/>
      <c r="T1145" s="128">
        <f t="shared" si="100"/>
        <v>0</v>
      </c>
      <c r="U1145" s="129"/>
      <c r="V1145" s="129"/>
      <c r="W1145" s="74"/>
    </row>
    <row r="1146" spans="18:23">
      <c r="R1146" s="127"/>
      <c r="T1146" s="128">
        <f t="shared" si="100"/>
        <v>0</v>
      </c>
      <c r="U1146" s="129"/>
      <c r="V1146" s="129"/>
      <c r="W1146" s="74"/>
    </row>
    <row r="1147" spans="18:23">
      <c r="R1147" s="127"/>
      <c r="T1147" s="128">
        <f t="shared" si="100"/>
        <v>0</v>
      </c>
      <c r="U1147" s="129"/>
      <c r="V1147" s="129"/>
      <c r="W1147" s="74"/>
    </row>
    <row r="1148" spans="18:23">
      <c r="R1148" s="127"/>
      <c r="T1148" s="128">
        <f t="shared" si="100"/>
        <v>0</v>
      </c>
      <c r="U1148" s="129"/>
      <c r="V1148" s="129"/>
      <c r="W1148" s="74"/>
    </row>
    <row r="1149" spans="18:23">
      <c r="R1149" s="127"/>
      <c r="T1149" s="128">
        <f t="shared" si="100"/>
        <v>0</v>
      </c>
      <c r="U1149" s="129"/>
      <c r="V1149" s="129"/>
      <c r="W1149" s="74"/>
    </row>
    <row r="1150" spans="18:23">
      <c r="R1150" s="127"/>
      <c r="T1150" s="128">
        <f t="shared" si="100"/>
        <v>0</v>
      </c>
      <c r="U1150" s="129"/>
      <c r="V1150" s="129"/>
      <c r="W1150" s="74"/>
    </row>
    <row r="1151" spans="18:23">
      <c r="R1151" s="127"/>
      <c r="T1151" s="128">
        <f t="shared" si="100"/>
        <v>0</v>
      </c>
      <c r="U1151" s="129"/>
      <c r="V1151" s="129"/>
      <c r="W1151" s="74"/>
    </row>
    <row r="1152" spans="18:23">
      <c r="R1152" s="127"/>
      <c r="T1152" s="128">
        <f t="shared" si="100"/>
        <v>0</v>
      </c>
      <c r="U1152" s="129"/>
      <c r="V1152" s="129"/>
      <c r="W1152" s="74"/>
    </row>
    <row r="1153" spans="18:23">
      <c r="R1153" s="127"/>
      <c r="T1153" s="128">
        <f t="shared" si="100"/>
        <v>0</v>
      </c>
      <c r="U1153" s="129"/>
      <c r="V1153" s="129"/>
      <c r="W1153" s="74"/>
    </row>
    <row r="1154" spans="18:23">
      <c r="R1154" s="127"/>
      <c r="T1154" s="128">
        <f t="shared" si="100"/>
        <v>0</v>
      </c>
      <c r="U1154" s="129"/>
      <c r="V1154" s="129"/>
      <c r="W1154" s="74"/>
    </row>
    <row r="1155" spans="18:23">
      <c r="R1155" s="127"/>
      <c r="T1155" s="128">
        <f t="shared" si="100"/>
        <v>0</v>
      </c>
      <c r="U1155" s="129"/>
      <c r="V1155" s="129"/>
      <c r="W1155" s="74"/>
    </row>
    <row r="1156" spans="18:23">
      <c r="R1156" s="127"/>
      <c r="T1156" s="128">
        <f t="shared" si="100"/>
        <v>0</v>
      </c>
      <c r="U1156" s="129"/>
      <c r="V1156" s="129"/>
      <c r="W1156" s="74"/>
    </row>
    <row r="1157" spans="18:23">
      <c r="R1157" s="127"/>
      <c r="T1157" s="128">
        <f t="shared" si="100"/>
        <v>0</v>
      </c>
      <c r="U1157" s="129"/>
      <c r="V1157" s="129"/>
      <c r="W1157" s="74"/>
    </row>
    <row r="1158" spans="18:23">
      <c r="R1158" s="127"/>
      <c r="T1158" s="128">
        <f t="shared" si="100"/>
        <v>0</v>
      </c>
      <c r="U1158" s="129"/>
      <c r="V1158" s="129"/>
      <c r="W1158" s="74"/>
    </row>
    <row r="1159" spans="18:23">
      <c r="R1159" s="127"/>
      <c r="T1159" s="128">
        <f t="shared" si="100"/>
        <v>0</v>
      </c>
      <c r="U1159" s="129"/>
      <c r="V1159" s="129"/>
      <c r="W1159" s="74"/>
    </row>
    <row r="1160" spans="18:23">
      <c r="R1160" s="127"/>
      <c r="T1160" s="128">
        <f t="shared" si="100"/>
        <v>0</v>
      </c>
      <c r="U1160" s="129"/>
      <c r="V1160" s="129"/>
      <c r="W1160" s="74"/>
    </row>
    <row r="1161" spans="18:23">
      <c r="R1161" s="127"/>
      <c r="T1161" s="128">
        <f t="shared" si="100"/>
        <v>0</v>
      </c>
      <c r="U1161" s="129"/>
      <c r="V1161" s="129"/>
      <c r="W1161" s="74"/>
    </row>
    <row r="1162" spans="18:23">
      <c r="R1162" s="127"/>
      <c r="T1162" s="128">
        <f t="shared" ref="T1162:T1225" si="101">IF(S1162="50 - Cleaning Fee",1,HOUR($R1162)+MINUTE(R1162)/60)</f>
        <v>0</v>
      </c>
      <c r="U1162" s="129"/>
      <c r="V1162" s="129"/>
      <c r="W1162" s="74"/>
    </row>
    <row r="1163" spans="18:23">
      <c r="R1163" s="127"/>
      <c r="T1163" s="128">
        <f t="shared" si="101"/>
        <v>0</v>
      </c>
      <c r="U1163" s="129"/>
      <c r="V1163" s="129"/>
      <c r="W1163" s="74"/>
    </row>
    <row r="1164" spans="18:23">
      <c r="R1164" s="127"/>
      <c r="T1164" s="128">
        <f t="shared" si="101"/>
        <v>0</v>
      </c>
      <c r="U1164" s="129"/>
      <c r="V1164" s="129"/>
      <c r="W1164" s="74"/>
    </row>
    <row r="1165" spans="18:23">
      <c r="R1165" s="127"/>
      <c r="T1165" s="128">
        <f t="shared" si="101"/>
        <v>0</v>
      </c>
      <c r="U1165" s="129"/>
      <c r="V1165" s="129"/>
      <c r="W1165" s="74"/>
    </row>
    <row r="1166" spans="18:23">
      <c r="R1166" s="127"/>
      <c r="T1166" s="128">
        <f t="shared" si="101"/>
        <v>0</v>
      </c>
      <c r="U1166" s="129"/>
      <c r="V1166" s="129"/>
      <c r="W1166" s="74"/>
    </row>
    <row r="1167" spans="18:23">
      <c r="R1167" s="127"/>
      <c r="T1167" s="128">
        <f t="shared" si="101"/>
        <v>0</v>
      </c>
      <c r="U1167" s="129"/>
      <c r="V1167" s="129"/>
      <c r="W1167" s="74"/>
    </row>
    <row r="1168" spans="18:23">
      <c r="R1168" s="127"/>
      <c r="T1168" s="128">
        <f t="shared" si="101"/>
        <v>0</v>
      </c>
      <c r="U1168" s="129"/>
      <c r="V1168" s="129"/>
      <c r="W1168" s="74"/>
    </row>
    <row r="1169" spans="18:23">
      <c r="R1169" s="127"/>
      <c r="T1169" s="128">
        <f t="shared" si="101"/>
        <v>0</v>
      </c>
      <c r="U1169" s="129"/>
      <c r="V1169" s="129"/>
      <c r="W1169" s="74"/>
    </row>
    <row r="1170" spans="18:23">
      <c r="R1170" s="127"/>
      <c r="T1170" s="128">
        <f t="shared" si="101"/>
        <v>0</v>
      </c>
      <c r="U1170" s="129"/>
      <c r="V1170" s="129"/>
      <c r="W1170" s="74"/>
    </row>
    <row r="1171" spans="18:23">
      <c r="R1171" s="127"/>
      <c r="T1171" s="128">
        <f t="shared" si="101"/>
        <v>0</v>
      </c>
      <c r="U1171" s="129"/>
      <c r="V1171" s="129"/>
      <c r="W1171" s="74"/>
    </row>
    <row r="1172" spans="18:23">
      <c r="R1172" s="127"/>
      <c r="T1172" s="128">
        <f t="shared" si="101"/>
        <v>0</v>
      </c>
      <c r="U1172" s="129"/>
      <c r="V1172" s="129"/>
      <c r="W1172" s="74"/>
    </row>
    <row r="1173" spans="18:23">
      <c r="R1173" s="127"/>
      <c r="T1173" s="128">
        <f t="shared" si="101"/>
        <v>0</v>
      </c>
      <c r="U1173" s="129"/>
      <c r="V1173" s="129"/>
      <c r="W1173" s="74"/>
    </row>
    <row r="1174" spans="18:23">
      <c r="R1174" s="127"/>
      <c r="T1174" s="128">
        <f t="shared" si="101"/>
        <v>0</v>
      </c>
      <c r="U1174" s="129"/>
      <c r="V1174" s="129"/>
      <c r="W1174" s="74"/>
    </row>
    <row r="1175" spans="18:23">
      <c r="R1175" s="127"/>
      <c r="T1175" s="128">
        <f t="shared" si="101"/>
        <v>0</v>
      </c>
      <c r="U1175" s="129"/>
      <c r="V1175" s="129"/>
      <c r="W1175" s="74"/>
    </row>
    <row r="1176" spans="18:23">
      <c r="R1176" s="127"/>
      <c r="T1176" s="128">
        <f t="shared" si="101"/>
        <v>0</v>
      </c>
      <c r="U1176" s="129"/>
      <c r="V1176" s="129"/>
      <c r="W1176" s="74"/>
    </row>
    <row r="1177" spans="18:23">
      <c r="R1177" s="127"/>
      <c r="T1177" s="128">
        <f t="shared" si="101"/>
        <v>0</v>
      </c>
      <c r="U1177" s="129"/>
      <c r="V1177" s="129"/>
      <c r="W1177" s="74"/>
    </row>
    <row r="1178" spans="18:23">
      <c r="R1178" s="127"/>
      <c r="T1178" s="128">
        <f t="shared" si="101"/>
        <v>0</v>
      </c>
      <c r="U1178" s="129"/>
      <c r="V1178" s="129"/>
      <c r="W1178" s="74"/>
    </row>
    <row r="1179" spans="18:23">
      <c r="R1179" s="127"/>
      <c r="T1179" s="128">
        <f t="shared" si="101"/>
        <v>0</v>
      </c>
      <c r="U1179" s="129"/>
      <c r="V1179" s="129"/>
      <c r="W1179" s="74"/>
    </row>
    <row r="1180" spans="18:23">
      <c r="R1180" s="127"/>
      <c r="T1180" s="128">
        <f t="shared" si="101"/>
        <v>0</v>
      </c>
      <c r="U1180" s="129"/>
      <c r="V1180" s="129"/>
      <c r="W1180" s="74"/>
    </row>
    <row r="1181" spans="18:23">
      <c r="R1181" s="127"/>
      <c r="T1181" s="128">
        <f t="shared" si="101"/>
        <v>0</v>
      </c>
      <c r="U1181" s="129"/>
      <c r="V1181" s="129"/>
      <c r="W1181" s="74"/>
    </row>
    <row r="1182" spans="18:23">
      <c r="R1182" s="127"/>
      <c r="T1182" s="128">
        <f t="shared" si="101"/>
        <v>0</v>
      </c>
      <c r="U1182" s="129"/>
      <c r="V1182" s="129"/>
      <c r="W1182" s="74"/>
    </row>
    <row r="1183" spans="18:23">
      <c r="R1183" s="127"/>
      <c r="T1183" s="128">
        <f t="shared" si="101"/>
        <v>0</v>
      </c>
      <c r="U1183" s="129"/>
      <c r="V1183" s="129"/>
      <c r="W1183" s="74"/>
    </row>
    <row r="1184" spans="18:23">
      <c r="R1184" s="127"/>
      <c r="T1184" s="128">
        <f t="shared" si="101"/>
        <v>0</v>
      </c>
      <c r="U1184" s="129"/>
      <c r="V1184" s="129"/>
      <c r="W1184" s="74"/>
    </row>
    <row r="1185" spans="1:23">
      <c r="R1185" s="127"/>
      <c r="T1185" s="128">
        <f t="shared" si="101"/>
        <v>0</v>
      </c>
      <c r="U1185" s="129"/>
      <c r="V1185" s="129"/>
      <c r="W1185" s="74"/>
    </row>
    <row r="1186" spans="1:23">
      <c r="R1186" s="127"/>
      <c r="T1186" s="128">
        <f t="shared" si="101"/>
        <v>0</v>
      </c>
      <c r="U1186" s="129"/>
      <c r="V1186" s="129"/>
      <c r="W1186" s="74"/>
    </row>
    <row r="1187" spans="1:23">
      <c r="R1187" s="127"/>
      <c r="T1187" s="128">
        <f t="shared" si="101"/>
        <v>0</v>
      </c>
      <c r="U1187" s="129"/>
      <c r="V1187" s="129"/>
      <c r="W1187" s="74"/>
    </row>
    <row r="1188" spans="1:23">
      <c r="R1188" s="127"/>
      <c r="T1188" s="128">
        <f t="shared" si="101"/>
        <v>0</v>
      </c>
      <c r="U1188" s="129"/>
      <c r="V1188" s="129"/>
      <c r="W1188" s="74"/>
    </row>
    <row r="1189" spans="1:23">
      <c r="R1189" s="127"/>
      <c r="T1189" s="128">
        <f t="shared" si="101"/>
        <v>0</v>
      </c>
      <c r="U1189" s="129"/>
      <c r="V1189" s="129"/>
      <c r="W1189" s="74"/>
    </row>
    <row r="1190" spans="1:23">
      <c r="A1190" s="120" t="str">
        <f t="shared" ref="A1190:A1253" si="102">O1190&amp;S1190</f>
        <v/>
      </c>
      <c r="R1190" s="127">
        <f t="shared" ref="R1190:R1253" si="103">L1190-K1190</f>
        <v>0</v>
      </c>
      <c r="T1190" s="128">
        <f t="shared" si="101"/>
        <v>0</v>
      </c>
      <c r="U1190" s="129" t="str">
        <f>IFERROR(IF(#REF!="S",VLOOKUP('Raw Data'!A1190,References!#REF!,2,FALSE),(VLOOKUP($S1190,References!$B$3:$C$7,2,FALSE))),"")</f>
        <v/>
      </c>
      <c r="V1190" s="129" t="str">
        <f t="shared" ref="V1190:V1191" si="104">IFERROR(T1190*U1190,"")</f>
        <v/>
      </c>
      <c r="W1190" s="74" t="str">
        <f>IFERROR(VLOOKUP($O1190,'Customer List'!$A$1:$J$488,10,FALSE),"")</f>
        <v/>
      </c>
    </row>
    <row r="1191" spans="1:23">
      <c r="A1191" s="120" t="str">
        <f t="shared" si="102"/>
        <v/>
      </c>
      <c r="R1191" s="127">
        <f t="shared" si="103"/>
        <v>0</v>
      </c>
      <c r="T1191" s="128">
        <f t="shared" si="101"/>
        <v>0</v>
      </c>
      <c r="U1191" s="129" t="str">
        <f>IFERROR(IF(#REF!="S",VLOOKUP('Raw Data'!A1191,References!#REF!,2,FALSE),(VLOOKUP($S1191,References!$B$3:$C$7,2,FALSE))),"")</f>
        <v/>
      </c>
      <c r="V1191" s="129" t="str">
        <f t="shared" si="104"/>
        <v/>
      </c>
      <c r="W1191" s="74" t="str">
        <f>IFERROR(VLOOKUP($O1191,'Customer List'!$A$1:$J$488,10,FALSE),"")</f>
        <v/>
      </c>
    </row>
    <row r="1192" spans="1:23">
      <c r="A1192" s="120" t="str">
        <f t="shared" si="102"/>
        <v/>
      </c>
      <c r="R1192" s="127">
        <f t="shared" si="103"/>
        <v>0</v>
      </c>
      <c r="T1192" s="128">
        <f t="shared" si="101"/>
        <v>0</v>
      </c>
      <c r="U1192" s="129" t="str">
        <f>IFERROR(IF(#REF!="S",VLOOKUP('Raw Data'!A1192,References!#REF!,2,FALSE),(VLOOKUP($S1192,References!$B$3:$C$7,2,FALSE))),"")</f>
        <v/>
      </c>
      <c r="V1192" s="129" t="str">
        <f t="shared" ref="V1192:V1255" si="105">IFERROR(T1192*U1192,"")</f>
        <v/>
      </c>
      <c r="W1192" s="74" t="str">
        <f>IFERROR(VLOOKUP($O1192,'Customer List'!$A$1:$J$488,10,FALSE),"")</f>
        <v/>
      </c>
    </row>
    <row r="1193" spans="1:23">
      <c r="A1193" s="120" t="str">
        <f t="shared" si="102"/>
        <v/>
      </c>
      <c r="R1193" s="127">
        <f t="shared" si="103"/>
        <v>0</v>
      </c>
      <c r="T1193" s="128">
        <f t="shared" si="101"/>
        <v>0</v>
      </c>
      <c r="U1193" s="129" t="str">
        <f>IFERROR(IF(#REF!="S",VLOOKUP('Raw Data'!A1193,References!#REF!,2,FALSE),(VLOOKUP($S1193,References!$B$3:$C$7,2,FALSE))),"")</f>
        <v/>
      </c>
      <c r="V1193" s="129" t="str">
        <f t="shared" si="105"/>
        <v/>
      </c>
      <c r="W1193" s="74" t="str">
        <f>IFERROR(VLOOKUP($O1193,'Customer List'!$A$1:$J$488,10,FALSE),"")</f>
        <v/>
      </c>
    </row>
    <row r="1194" spans="1:23">
      <c r="A1194" s="120" t="str">
        <f t="shared" si="102"/>
        <v/>
      </c>
      <c r="R1194" s="127">
        <f t="shared" si="103"/>
        <v>0</v>
      </c>
      <c r="T1194" s="128">
        <f t="shared" si="101"/>
        <v>0</v>
      </c>
      <c r="U1194" s="129" t="str">
        <f>IFERROR(IF(#REF!="S",VLOOKUP('Raw Data'!A1194,References!#REF!,2,FALSE),(VLOOKUP($S1194,References!$B$3:$C$7,2,FALSE))),"")</f>
        <v/>
      </c>
      <c r="V1194" s="129" t="str">
        <f t="shared" si="105"/>
        <v/>
      </c>
      <c r="W1194" s="74" t="str">
        <f>IFERROR(VLOOKUP($O1194,'Customer List'!$A$1:$J$488,10,FALSE),"")</f>
        <v/>
      </c>
    </row>
    <row r="1195" spans="1:23">
      <c r="A1195" s="120" t="str">
        <f t="shared" si="102"/>
        <v/>
      </c>
      <c r="R1195" s="127">
        <f t="shared" si="103"/>
        <v>0</v>
      </c>
      <c r="T1195" s="128">
        <f t="shared" si="101"/>
        <v>0</v>
      </c>
      <c r="U1195" s="129" t="str">
        <f>IFERROR(IF(#REF!="S",VLOOKUP('Raw Data'!A1195,References!#REF!,2,FALSE),(VLOOKUP($S1195,References!$B$3:$C$7,2,FALSE))),"")</f>
        <v/>
      </c>
      <c r="V1195" s="129" t="str">
        <f t="shared" si="105"/>
        <v/>
      </c>
      <c r="W1195" s="74" t="str">
        <f>IFERROR(VLOOKUP($O1195,'Customer List'!$A$1:$J$488,10,FALSE),"")</f>
        <v/>
      </c>
    </row>
    <row r="1196" spans="1:23">
      <c r="A1196" s="120" t="str">
        <f t="shared" si="102"/>
        <v/>
      </c>
      <c r="R1196" s="127">
        <f t="shared" si="103"/>
        <v>0</v>
      </c>
      <c r="T1196" s="128">
        <f t="shared" si="101"/>
        <v>0</v>
      </c>
      <c r="U1196" s="129" t="str">
        <f>IFERROR(IF(#REF!="S",VLOOKUP('Raw Data'!A1196,References!#REF!,2,FALSE),(VLOOKUP($S1196,References!$B$3:$C$7,2,FALSE))),"")</f>
        <v/>
      </c>
      <c r="V1196" s="129" t="str">
        <f t="shared" si="105"/>
        <v/>
      </c>
      <c r="W1196" s="74" t="str">
        <f>IFERROR(VLOOKUP($O1196,'Customer List'!$A$1:$J$488,10,FALSE),"")</f>
        <v/>
      </c>
    </row>
    <row r="1197" spans="1:23">
      <c r="A1197" s="120" t="str">
        <f t="shared" si="102"/>
        <v/>
      </c>
      <c r="R1197" s="127">
        <f t="shared" si="103"/>
        <v>0</v>
      </c>
      <c r="T1197" s="128">
        <f t="shared" si="101"/>
        <v>0</v>
      </c>
      <c r="U1197" s="129" t="str">
        <f>IFERROR(IF(#REF!="S",VLOOKUP('Raw Data'!A1197,References!#REF!,2,FALSE),(VLOOKUP($S1197,References!$B$3:$C$7,2,FALSE))),"")</f>
        <v/>
      </c>
      <c r="V1197" s="129" t="str">
        <f t="shared" si="105"/>
        <v/>
      </c>
      <c r="W1197" s="74" t="str">
        <f>IFERROR(VLOOKUP($O1197,'Customer List'!$A$1:$J$488,10,FALSE),"")</f>
        <v/>
      </c>
    </row>
    <row r="1198" spans="1:23">
      <c r="A1198" s="120" t="str">
        <f t="shared" si="102"/>
        <v/>
      </c>
      <c r="R1198" s="127">
        <f t="shared" si="103"/>
        <v>0</v>
      </c>
      <c r="T1198" s="128">
        <f t="shared" si="101"/>
        <v>0</v>
      </c>
      <c r="U1198" s="129" t="str">
        <f>IFERROR(IF(#REF!="S",VLOOKUP('Raw Data'!A1198,References!#REF!,2,FALSE),(VLOOKUP($S1198,References!$B$3:$C$7,2,FALSE))),"")</f>
        <v/>
      </c>
      <c r="V1198" s="129" t="str">
        <f t="shared" si="105"/>
        <v/>
      </c>
      <c r="W1198" s="74" t="str">
        <f>IFERROR(VLOOKUP($O1198,'Customer List'!$A$1:$J$488,10,FALSE),"")</f>
        <v/>
      </c>
    </row>
    <row r="1199" spans="1:23">
      <c r="A1199" s="120" t="str">
        <f t="shared" si="102"/>
        <v/>
      </c>
      <c r="R1199" s="127">
        <f t="shared" si="103"/>
        <v>0</v>
      </c>
      <c r="T1199" s="128">
        <f t="shared" si="101"/>
        <v>0</v>
      </c>
      <c r="U1199" s="129" t="str">
        <f>IFERROR(IF(#REF!="S",VLOOKUP('Raw Data'!A1199,References!#REF!,2,FALSE),(VLOOKUP($S1199,References!$B$3:$C$7,2,FALSE))),"")</f>
        <v/>
      </c>
      <c r="V1199" s="129" t="str">
        <f t="shared" si="105"/>
        <v/>
      </c>
      <c r="W1199" s="74" t="str">
        <f>IFERROR(VLOOKUP($O1199,'Customer List'!$A$1:$J$488,10,FALSE),"")</f>
        <v/>
      </c>
    </row>
    <row r="1200" spans="1:23">
      <c r="A1200" s="120" t="str">
        <f t="shared" si="102"/>
        <v/>
      </c>
      <c r="R1200" s="127">
        <f t="shared" si="103"/>
        <v>0</v>
      </c>
      <c r="T1200" s="128">
        <f t="shared" si="101"/>
        <v>0</v>
      </c>
      <c r="U1200" s="129" t="str">
        <f>IFERROR(IF(#REF!="S",VLOOKUP('Raw Data'!A1200,References!#REF!,2,FALSE),(VLOOKUP($S1200,References!$B$3:$C$7,2,FALSE))),"")</f>
        <v/>
      </c>
      <c r="V1200" s="129" t="str">
        <f t="shared" si="105"/>
        <v/>
      </c>
      <c r="W1200" s="74" t="str">
        <f>IFERROR(VLOOKUP($O1200,'Customer List'!$A$1:$J$488,10,FALSE),"")</f>
        <v/>
      </c>
    </row>
    <row r="1201" spans="1:23">
      <c r="A1201" s="120" t="str">
        <f t="shared" si="102"/>
        <v/>
      </c>
      <c r="R1201" s="127">
        <f t="shared" si="103"/>
        <v>0</v>
      </c>
      <c r="T1201" s="128">
        <f t="shared" si="101"/>
        <v>0</v>
      </c>
      <c r="U1201" s="129" t="str">
        <f>IFERROR(IF(#REF!="S",VLOOKUP('Raw Data'!A1201,References!#REF!,2,FALSE),(VLOOKUP($S1201,References!$B$3:$C$7,2,FALSE))),"")</f>
        <v/>
      </c>
      <c r="V1201" s="129" t="str">
        <f t="shared" si="105"/>
        <v/>
      </c>
      <c r="W1201" s="74" t="str">
        <f>IFERROR(VLOOKUP($O1201,'Customer List'!$A$1:$J$488,10,FALSE),"")</f>
        <v/>
      </c>
    </row>
    <row r="1202" spans="1:23">
      <c r="A1202" s="120" t="str">
        <f t="shared" si="102"/>
        <v/>
      </c>
      <c r="R1202" s="127">
        <f t="shared" si="103"/>
        <v>0</v>
      </c>
      <c r="T1202" s="128">
        <f t="shared" si="101"/>
        <v>0</v>
      </c>
      <c r="U1202" s="129" t="str">
        <f>IFERROR(IF(#REF!="S",VLOOKUP('Raw Data'!A1202,References!#REF!,2,FALSE),(VLOOKUP($S1202,References!$B$3:$C$7,2,FALSE))),"")</f>
        <v/>
      </c>
      <c r="V1202" s="129" t="str">
        <f t="shared" si="105"/>
        <v/>
      </c>
      <c r="W1202" s="74" t="str">
        <f>IFERROR(VLOOKUP($O1202,'Customer List'!$A$1:$J$488,10,FALSE),"")</f>
        <v/>
      </c>
    </row>
    <row r="1203" spans="1:23">
      <c r="A1203" s="120" t="str">
        <f t="shared" si="102"/>
        <v/>
      </c>
      <c r="R1203" s="127">
        <f t="shared" si="103"/>
        <v>0</v>
      </c>
      <c r="T1203" s="128">
        <f t="shared" si="101"/>
        <v>0</v>
      </c>
      <c r="U1203" s="129" t="str">
        <f>IFERROR(IF(#REF!="S",VLOOKUP('Raw Data'!A1203,References!#REF!,2,FALSE),(VLOOKUP($S1203,References!$B$3:$C$7,2,FALSE))),"")</f>
        <v/>
      </c>
      <c r="V1203" s="129" t="str">
        <f t="shared" si="105"/>
        <v/>
      </c>
      <c r="W1203" s="74" t="str">
        <f>IFERROR(VLOOKUP($O1203,'Customer List'!$A$1:$J$488,10,FALSE),"")</f>
        <v/>
      </c>
    </row>
    <row r="1204" spans="1:23">
      <c r="A1204" s="120" t="str">
        <f t="shared" si="102"/>
        <v/>
      </c>
      <c r="R1204" s="127">
        <f t="shared" si="103"/>
        <v>0</v>
      </c>
      <c r="T1204" s="128">
        <f t="shared" si="101"/>
        <v>0</v>
      </c>
      <c r="U1204" s="129" t="str">
        <f>IFERROR(IF(#REF!="S",VLOOKUP('Raw Data'!A1204,References!#REF!,2,FALSE),(VLOOKUP($S1204,References!$B$3:$C$7,2,FALSE))),"")</f>
        <v/>
      </c>
      <c r="V1204" s="129" t="str">
        <f t="shared" si="105"/>
        <v/>
      </c>
      <c r="W1204" s="74" t="str">
        <f>IFERROR(VLOOKUP($O1204,'Customer List'!$A$1:$J$488,10,FALSE),"")</f>
        <v/>
      </c>
    </row>
    <row r="1205" spans="1:23">
      <c r="A1205" s="120" t="str">
        <f t="shared" si="102"/>
        <v/>
      </c>
      <c r="R1205" s="127">
        <f t="shared" si="103"/>
        <v>0</v>
      </c>
      <c r="T1205" s="128">
        <f t="shared" si="101"/>
        <v>0</v>
      </c>
      <c r="U1205" s="129" t="str">
        <f>IFERROR(IF(#REF!="S",VLOOKUP('Raw Data'!A1205,References!#REF!,2,FALSE),(VLOOKUP($S1205,References!$B$3:$C$7,2,FALSE))),"")</f>
        <v/>
      </c>
      <c r="V1205" s="129" t="str">
        <f t="shared" si="105"/>
        <v/>
      </c>
      <c r="W1205" s="74" t="str">
        <f>IFERROR(VLOOKUP($O1205,'Customer List'!$A$1:$J$488,10,FALSE),"")</f>
        <v/>
      </c>
    </row>
    <row r="1206" spans="1:23">
      <c r="A1206" s="120" t="str">
        <f t="shared" si="102"/>
        <v/>
      </c>
      <c r="R1206" s="127">
        <f t="shared" si="103"/>
        <v>0</v>
      </c>
      <c r="T1206" s="128">
        <f t="shared" si="101"/>
        <v>0</v>
      </c>
      <c r="U1206" s="129" t="str">
        <f>IFERROR(IF(#REF!="S",VLOOKUP('Raw Data'!A1206,References!#REF!,2,FALSE),(VLOOKUP($S1206,References!$B$3:$C$7,2,FALSE))),"")</f>
        <v/>
      </c>
      <c r="V1206" s="129" t="str">
        <f t="shared" si="105"/>
        <v/>
      </c>
      <c r="W1206" s="74" t="str">
        <f>IFERROR(VLOOKUP($O1206,'Customer List'!$A$1:$J$488,10,FALSE),"")</f>
        <v/>
      </c>
    </row>
    <row r="1207" spans="1:23">
      <c r="A1207" s="120" t="str">
        <f t="shared" si="102"/>
        <v/>
      </c>
      <c r="R1207" s="127">
        <f t="shared" si="103"/>
        <v>0</v>
      </c>
      <c r="T1207" s="128">
        <f t="shared" si="101"/>
        <v>0</v>
      </c>
      <c r="U1207" s="129" t="str">
        <f>IFERROR(IF(#REF!="S",VLOOKUP('Raw Data'!A1207,References!#REF!,2,FALSE),(VLOOKUP($S1207,References!$B$3:$C$7,2,FALSE))),"")</f>
        <v/>
      </c>
      <c r="V1207" s="129" t="str">
        <f t="shared" si="105"/>
        <v/>
      </c>
      <c r="W1207" s="74" t="str">
        <f>IFERROR(VLOOKUP($O1207,'Customer List'!$A$1:$J$488,10,FALSE),"")</f>
        <v/>
      </c>
    </row>
    <row r="1208" spans="1:23">
      <c r="A1208" s="120" t="str">
        <f t="shared" si="102"/>
        <v/>
      </c>
      <c r="R1208" s="127">
        <f t="shared" si="103"/>
        <v>0</v>
      </c>
      <c r="T1208" s="128">
        <f t="shared" si="101"/>
        <v>0</v>
      </c>
      <c r="U1208" s="129" t="str">
        <f>IFERROR(IF(#REF!="S",VLOOKUP('Raw Data'!A1208,References!#REF!,2,FALSE),(VLOOKUP($S1208,References!$B$3:$C$7,2,FALSE))),"")</f>
        <v/>
      </c>
      <c r="V1208" s="129" t="str">
        <f t="shared" si="105"/>
        <v/>
      </c>
      <c r="W1208" s="74" t="str">
        <f>IFERROR(VLOOKUP($O1208,'Customer List'!$A$1:$J$488,10,FALSE),"")</f>
        <v/>
      </c>
    </row>
    <row r="1209" spans="1:23">
      <c r="A1209" s="120" t="str">
        <f t="shared" si="102"/>
        <v/>
      </c>
      <c r="R1209" s="127">
        <f t="shared" si="103"/>
        <v>0</v>
      </c>
      <c r="T1209" s="128">
        <f t="shared" si="101"/>
        <v>0</v>
      </c>
      <c r="U1209" s="129" t="str">
        <f>IFERROR(IF(#REF!="S",VLOOKUP('Raw Data'!A1209,References!#REF!,2,FALSE),(VLOOKUP($S1209,References!$B$3:$C$7,2,FALSE))),"")</f>
        <v/>
      </c>
      <c r="V1209" s="129" t="str">
        <f t="shared" si="105"/>
        <v/>
      </c>
      <c r="W1209" s="74" t="str">
        <f>IFERROR(VLOOKUP($O1209,'Customer List'!$A$1:$J$488,10,FALSE),"")</f>
        <v/>
      </c>
    </row>
    <row r="1210" spans="1:23">
      <c r="A1210" s="120" t="str">
        <f t="shared" si="102"/>
        <v/>
      </c>
      <c r="R1210" s="127">
        <f t="shared" si="103"/>
        <v>0</v>
      </c>
      <c r="T1210" s="128">
        <f t="shared" si="101"/>
        <v>0</v>
      </c>
      <c r="U1210" s="129" t="str">
        <f>IFERROR(IF(#REF!="S",VLOOKUP('Raw Data'!A1210,References!#REF!,2,FALSE),(VLOOKUP($S1210,References!$B$3:$C$7,2,FALSE))),"")</f>
        <v/>
      </c>
      <c r="V1210" s="129" t="str">
        <f t="shared" si="105"/>
        <v/>
      </c>
      <c r="W1210" s="74" t="str">
        <f>IFERROR(VLOOKUP($O1210,'Customer List'!$A$1:$J$488,10,FALSE),"")</f>
        <v/>
      </c>
    </row>
    <row r="1211" spans="1:23">
      <c r="A1211" s="120" t="str">
        <f t="shared" si="102"/>
        <v/>
      </c>
      <c r="R1211" s="127">
        <f t="shared" si="103"/>
        <v>0</v>
      </c>
      <c r="T1211" s="128">
        <f t="shared" si="101"/>
        <v>0</v>
      </c>
      <c r="U1211" s="129" t="str">
        <f>IFERROR(IF(#REF!="S",VLOOKUP('Raw Data'!A1211,References!#REF!,2,FALSE),(VLOOKUP($S1211,References!$B$3:$C$7,2,FALSE))),"")</f>
        <v/>
      </c>
      <c r="V1211" s="129" t="str">
        <f t="shared" si="105"/>
        <v/>
      </c>
      <c r="W1211" s="74" t="str">
        <f>IFERROR(VLOOKUP($O1211,'Customer List'!$A$1:$J$488,10,FALSE),"")</f>
        <v/>
      </c>
    </row>
    <row r="1212" spans="1:23">
      <c r="A1212" s="120" t="str">
        <f t="shared" si="102"/>
        <v/>
      </c>
      <c r="R1212" s="127">
        <f t="shared" si="103"/>
        <v>0</v>
      </c>
      <c r="T1212" s="128">
        <f t="shared" si="101"/>
        <v>0</v>
      </c>
      <c r="U1212" s="129" t="str">
        <f>IFERROR(IF(#REF!="S",VLOOKUP('Raw Data'!A1212,References!#REF!,2,FALSE),(VLOOKUP($S1212,References!$B$3:$C$7,2,FALSE))),"")</f>
        <v/>
      </c>
      <c r="V1212" s="129" t="str">
        <f t="shared" si="105"/>
        <v/>
      </c>
      <c r="W1212" s="74" t="str">
        <f>IFERROR(VLOOKUP($O1212,'Customer List'!$A$1:$J$488,10,FALSE),"")</f>
        <v/>
      </c>
    </row>
    <row r="1213" spans="1:23">
      <c r="A1213" s="120" t="str">
        <f t="shared" si="102"/>
        <v/>
      </c>
      <c r="R1213" s="127">
        <f t="shared" si="103"/>
        <v>0</v>
      </c>
      <c r="T1213" s="128">
        <f t="shared" si="101"/>
        <v>0</v>
      </c>
      <c r="U1213" s="129" t="str">
        <f>IFERROR(IF(#REF!="S",VLOOKUP('Raw Data'!A1213,References!#REF!,2,FALSE),(VLOOKUP($S1213,References!$B$3:$C$7,2,FALSE))),"")</f>
        <v/>
      </c>
      <c r="V1213" s="129" t="str">
        <f t="shared" si="105"/>
        <v/>
      </c>
      <c r="W1213" s="74" t="str">
        <f>IFERROR(VLOOKUP($O1213,'Customer List'!$A$1:$J$488,10,FALSE),"")</f>
        <v/>
      </c>
    </row>
    <row r="1214" spans="1:23">
      <c r="A1214" s="120" t="str">
        <f t="shared" si="102"/>
        <v/>
      </c>
      <c r="R1214" s="127">
        <f t="shared" si="103"/>
        <v>0</v>
      </c>
      <c r="T1214" s="128">
        <f t="shared" si="101"/>
        <v>0</v>
      </c>
      <c r="U1214" s="129" t="str">
        <f>IFERROR(IF(#REF!="S",VLOOKUP('Raw Data'!A1214,References!#REF!,2,FALSE),(VLOOKUP($S1214,References!$B$3:$C$7,2,FALSE))),"")</f>
        <v/>
      </c>
      <c r="V1214" s="129" t="str">
        <f t="shared" si="105"/>
        <v/>
      </c>
      <c r="W1214" s="74" t="str">
        <f>IFERROR(VLOOKUP($O1214,'Customer List'!$A$1:$J$488,10,FALSE),"")</f>
        <v/>
      </c>
    </row>
    <row r="1215" spans="1:23">
      <c r="A1215" s="120" t="str">
        <f t="shared" si="102"/>
        <v/>
      </c>
      <c r="R1215" s="127">
        <f t="shared" si="103"/>
        <v>0</v>
      </c>
      <c r="T1215" s="128">
        <f t="shared" si="101"/>
        <v>0</v>
      </c>
      <c r="U1215" s="129" t="str">
        <f>IFERROR(IF(#REF!="S",VLOOKUP('Raw Data'!A1215,References!#REF!,2,FALSE),(VLOOKUP($S1215,References!$B$3:$C$7,2,FALSE))),"")</f>
        <v/>
      </c>
      <c r="V1215" s="129" t="str">
        <f t="shared" si="105"/>
        <v/>
      </c>
      <c r="W1215" s="74" t="str">
        <f>IFERROR(VLOOKUP($O1215,'Customer List'!$A$1:$J$488,10,FALSE),"")</f>
        <v/>
      </c>
    </row>
    <row r="1216" spans="1:23">
      <c r="A1216" s="120" t="str">
        <f t="shared" si="102"/>
        <v/>
      </c>
      <c r="R1216" s="127">
        <f t="shared" si="103"/>
        <v>0</v>
      </c>
      <c r="T1216" s="128">
        <f t="shared" si="101"/>
        <v>0</v>
      </c>
      <c r="U1216" s="129" t="str">
        <f>IFERROR(IF(#REF!="S",VLOOKUP('Raw Data'!A1216,References!#REF!,2,FALSE),(VLOOKUP($S1216,References!$B$3:$C$7,2,FALSE))),"")</f>
        <v/>
      </c>
      <c r="V1216" s="129" t="str">
        <f t="shared" si="105"/>
        <v/>
      </c>
      <c r="W1216" s="74" t="str">
        <f>IFERROR(VLOOKUP($O1216,'Customer List'!$A$1:$J$488,10,FALSE),"")</f>
        <v/>
      </c>
    </row>
    <row r="1217" spans="1:23">
      <c r="A1217" s="120" t="str">
        <f t="shared" si="102"/>
        <v/>
      </c>
      <c r="R1217" s="127">
        <f t="shared" si="103"/>
        <v>0</v>
      </c>
      <c r="T1217" s="128">
        <f t="shared" si="101"/>
        <v>0</v>
      </c>
      <c r="U1217" s="129" t="str">
        <f>IFERROR(IF(#REF!="S",VLOOKUP('Raw Data'!A1217,References!#REF!,2,FALSE),(VLOOKUP($S1217,References!$B$3:$C$7,2,FALSE))),"")</f>
        <v/>
      </c>
      <c r="V1217" s="129" t="str">
        <f t="shared" si="105"/>
        <v/>
      </c>
      <c r="W1217" s="74" t="str">
        <f>IFERROR(VLOOKUP($O1217,'Customer List'!$A$1:$J$488,10,FALSE),"")</f>
        <v/>
      </c>
    </row>
    <row r="1218" spans="1:23">
      <c r="A1218" s="120" t="str">
        <f t="shared" si="102"/>
        <v/>
      </c>
      <c r="R1218" s="127">
        <f t="shared" si="103"/>
        <v>0</v>
      </c>
      <c r="T1218" s="128">
        <f t="shared" si="101"/>
        <v>0</v>
      </c>
      <c r="U1218" s="129" t="str">
        <f>IFERROR(IF(#REF!="S",VLOOKUP('Raw Data'!A1218,References!#REF!,2,FALSE),(VLOOKUP($S1218,References!$B$3:$C$7,2,FALSE))),"")</f>
        <v/>
      </c>
      <c r="V1218" s="129" t="str">
        <f t="shared" si="105"/>
        <v/>
      </c>
      <c r="W1218" s="74" t="str">
        <f>IFERROR(VLOOKUP($O1218,'Customer List'!$A$1:$J$488,10,FALSE),"")</f>
        <v/>
      </c>
    </row>
    <row r="1219" spans="1:23">
      <c r="A1219" s="120" t="str">
        <f t="shared" si="102"/>
        <v/>
      </c>
      <c r="R1219" s="127">
        <f t="shared" si="103"/>
        <v>0</v>
      </c>
      <c r="T1219" s="128">
        <f t="shared" si="101"/>
        <v>0</v>
      </c>
      <c r="U1219" s="129" t="str">
        <f>IFERROR(IF(#REF!="S",VLOOKUP('Raw Data'!A1219,References!#REF!,2,FALSE),(VLOOKUP($S1219,References!$B$3:$C$7,2,FALSE))),"")</f>
        <v/>
      </c>
      <c r="V1219" s="129" t="str">
        <f t="shared" si="105"/>
        <v/>
      </c>
      <c r="W1219" s="74" t="str">
        <f>IFERROR(VLOOKUP($O1219,'Customer List'!$A$1:$J$488,10,FALSE),"")</f>
        <v/>
      </c>
    </row>
    <row r="1220" spans="1:23">
      <c r="A1220" s="120" t="str">
        <f t="shared" si="102"/>
        <v/>
      </c>
      <c r="R1220" s="127">
        <f t="shared" si="103"/>
        <v>0</v>
      </c>
      <c r="T1220" s="128">
        <f t="shared" si="101"/>
        <v>0</v>
      </c>
      <c r="U1220" s="129" t="str">
        <f>IFERROR(IF(#REF!="S",VLOOKUP('Raw Data'!A1220,References!#REF!,2,FALSE),(VLOOKUP($S1220,References!$B$3:$C$7,2,FALSE))),"")</f>
        <v/>
      </c>
      <c r="V1220" s="129" t="str">
        <f t="shared" si="105"/>
        <v/>
      </c>
      <c r="W1220" s="74" t="str">
        <f>IFERROR(VLOOKUP($O1220,'Customer List'!$A$1:$J$488,10,FALSE),"")</f>
        <v/>
      </c>
    </row>
    <row r="1221" spans="1:23">
      <c r="A1221" s="120" t="str">
        <f t="shared" si="102"/>
        <v/>
      </c>
      <c r="R1221" s="127">
        <f t="shared" si="103"/>
        <v>0</v>
      </c>
      <c r="T1221" s="128">
        <f t="shared" si="101"/>
        <v>0</v>
      </c>
      <c r="U1221" s="129" t="str">
        <f>IFERROR(IF(#REF!="S",VLOOKUP('Raw Data'!A1221,References!#REF!,2,FALSE),(VLOOKUP($S1221,References!$B$3:$C$7,2,FALSE))),"")</f>
        <v/>
      </c>
      <c r="V1221" s="129" t="str">
        <f t="shared" si="105"/>
        <v/>
      </c>
      <c r="W1221" s="74" t="str">
        <f>IFERROR(VLOOKUP($O1221,'Customer List'!$A$1:$J$488,10,FALSE),"")</f>
        <v/>
      </c>
    </row>
    <row r="1222" spans="1:23">
      <c r="A1222" s="120" t="str">
        <f t="shared" si="102"/>
        <v/>
      </c>
      <c r="R1222" s="127">
        <f t="shared" si="103"/>
        <v>0</v>
      </c>
      <c r="T1222" s="128">
        <f t="shared" si="101"/>
        <v>0</v>
      </c>
      <c r="U1222" s="129" t="str">
        <f>IFERROR(IF(#REF!="S",VLOOKUP('Raw Data'!A1222,References!#REF!,2,FALSE),(VLOOKUP($S1222,References!$B$3:$C$7,2,FALSE))),"")</f>
        <v/>
      </c>
      <c r="V1222" s="129" t="str">
        <f t="shared" si="105"/>
        <v/>
      </c>
      <c r="W1222" s="74" t="str">
        <f>IFERROR(VLOOKUP($O1222,'Customer List'!$A$1:$J$488,10,FALSE),"")</f>
        <v/>
      </c>
    </row>
    <row r="1223" spans="1:23">
      <c r="A1223" s="120" t="str">
        <f t="shared" si="102"/>
        <v/>
      </c>
      <c r="R1223" s="127">
        <f t="shared" si="103"/>
        <v>0</v>
      </c>
      <c r="T1223" s="128">
        <f t="shared" si="101"/>
        <v>0</v>
      </c>
      <c r="U1223" s="129" t="str">
        <f>IFERROR(IF(#REF!="S",VLOOKUP('Raw Data'!A1223,References!#REF!,2,FALSE),(VLOOKUP($S1223,References!$B$3:$C$7,2,FALSE))),"")</f>
        <v/>
      </c>
      <c r="V1223" s="129" t="str">
        <f t="shared" si="105"/>
        <v/>
      </c>
      <c r="W1223" s="74" t="str">
        <f>IFERROR(VLOOKUP($O1223,'Customer List'!$A$1:$J$488,10,FALSE),"")</f>
        <v/>
      </c>
    </row>
    <row r="1224" spans="1:23">
      <c r="A1224" s="120" t="str">
        <f t="shared" si="102"/>
        <v/>
      </c>
      <c r="R1224" s="127">
        <f t="shared" si="103"/>
        <v>0</v>
      </c>
      <c r="T1224" s="128">
        <f t="shared" si="101"/>
        <v>0</v>
      </c>
      <c r="U1224" s="129" t="str">
        <f>IFERROR(IF(#REF!="S",VLOOKUP('Raw Data'!A1224,References!#REF!,2,FALSE),(VLOOKUP($S1224,References!$B$3:$C$7,2,FALSE))),"")</f>
        <v/>
      </c>
      <c r="V1224" s="129" t="str">
        <f t="shared" si="105"/>
        <v/>
      </c>
      <c r="W1224" s="74" t="str">
        <f>IFERROR(VLOOKUP($O1224,'Customer List'!$A$1:$J$488,10,FALSE),"")</f>
        <v/>
      </c>
    </row>
    <row r="1225" spans="1:23">
      <c r="A1225" s="120" t="str">
        <f t="shared" si="102"/>
        <v/>
      </c>
      <c r="R1225" s="127">
        <f t="shared" si="103"/>
        <v>0</v>
      </c>
      <c r="T1225" s="128">
        <f t="shared" si="101"/>
        <v>0</v>
      </c>
      <c r="U1225" s="129" t="str">
        <f>IFERROR(IF(#REF!="S",VLOOKUP('Raw Data'!A1225,References!#REF!,2,FALSE),(VLOOKUP($S1225,References!$B$3:$C$7,2,FALSE))),"")</f>
        <v/>
      </c>
      <c r="V1225" s="129" t="str">
        <f t="shared" si="105"/>
        <v/>
      </c>
      <c r="W1225" s="74" t="str">
        <f>IFERROR(VLOOKUP($O1225,'Customer List'!$A$1:$J$488,10,FALSE),"")</f>
        <v/>
      </c>
    </row>
    <row r="1226" spans="1:23">
      <c r="A1226" s="120" t="str">
        <f t="shared" si="102"/>
        <v/>
      </c>
      <c r="R1226" s="127">
        <f t="shared" si="103"/>
        <v>0</v>
      </c>
      <c r="T1226" s="128">
        <f t="shared" ref="T1226:T1289" si="106">IF(S1226="50 - Cleaning Fee",1,HOUR($R1226)+MINUTE(R1226)/60)</f>
        <v>0</v>
      </c>
      <c r="U1226" s="129" t="str">
        <f>IFERROR(IF(#REF!="S",VLOOKUP('Raw Data'!A1226,References!#REF!,2,FALSE),(VLOOKUP($S1226,References!$B$3:$C$7,2,FALSE))),"")</f>
        <v/>
      </c>
      <c r="V1226" s="129" t="str">
        <f t="shared" si="105"/>
        <v/>
      </c>
      <c r="W1226" s="74" t="str">
        <f>IFERROR(VLOOKUP($O1226,'Customer List'!$A$1:$J$488,10,FALSE),"")</f>
        <v/>
      </c>
    </row>
    <row r="1227" spans="1:23">
      <c r="A1227" s="120" t="str">
        <f t="shared" si="102"/>
        <v/>
      </c>
      <c r="R1227" s="127">
        <f t="shared" si="103"/>
        <v>0</v>
      </c>
      <c r="T1227" s="128">
        <f t="shared" si="106"/>
        <v>0</v>
      </c>
      <c r="U1227" s="129" t="str">
        <f>IFERROR(IF(#REF!="S",VLOOKUP('Raw Data'!A1227,References!#REF!,2,FALSE),(VLOOKUP($S1227,References!$B$3:$C$7,2,FALSE))),"")</f>
        <v/>
      </c>
      <c r="V1227" s="129" t="str">
        <f t="shared" si="105"/>
        <v/>
      </c>
      <c r="W1227" s="74" t="str">
        <f>IFERROR(VLOOKUP($O1227,'Customer List'!$A$1:$J$488,10,FALSE),"")</f>
        <v/>
      </c>
    </row>
    <row r="1228" spans="1:23">
      <c r="A1228" s="120" t="str">
        <f t="shared" si="102"/>
        <v/>
      </c>
      <c r="R1228" s="127">
        <f t="shared" si="103"/>
        <v>0</v>
      </c>
      <c r="T1228" s="128">
        <f t="shared" si="106"/>
        <v>0</v>
      </c>
      <c r="U1228" s="129" t="str">
        <f>IFERROR(IF(#REF!="S",VLOOKUP('Raw Data'!A1228,References!#REF!,2,FALSE),(VLOOKUP($S1228,References!$B$3:$C$7,2,FALSE))),"")</f>
        <v/>
      </c>
      <c r="V1228" s="129" t="str">
        <f t="shared" si="105"/>
        <v/>
      </c>
      <c r="W1228" s="74" t="str">
        <f>IFERROR(VLOOKUP($O1228,'Customer List'!$A$1:$J$488,10,FALSE),"")</f>
        <v/>
      </c>
    </row>
    <row r="1229" spans="1:23">
      <c r="A1229" s="120" t="str">
        <f t="shared" si="102"/>
        <v/>
      </c>
      <c r="R1229" s="127">
        <f t="shared" si="103"/>
        <v>0</v>
      </c>
      <c r="T1229" s="128">
        <f t="shared" si="106"/>
        <v>0</v>
      </c>
      <c r="U1229" s="129" t="str">
        <f>IFERROR(IF(#REF!="S",VLOOKUP('Raw Data'!A1229,References!#REF!,2,FALSE),(VLOOKUP($S1229,References!$B$3:$C$7,2,FALSE))),"")</f>
        <v/>
      </c>
      <c r="V1229" s="129" t="str">
        <f t="shared" si="105"/>
        <v/>
      </c>
      <c r="W1229" s="74" t="str">
        <f>IFERROR(VLOOKUP($O1229,'Customer List'!$A$1:$J$488,10,FALSE),"")</f>
        <v/>
      </c>
    </row>
    <row r="1230" spans="1:23">
      <c r="A1230" s="120" t="str">
        <f t="shared" si="102"/>
        <v/>
      </c>
      <c r="R1230" s="127">
        <f t="shared" si="103"/>
        <v>0</v>
      </c>
      <c r="T1230" s="128">
        <f t="shared" si="106"/>
        <v>0</v>
      </c>
      <c r="U1230" s="129" t="str">
        <f>IFERROR(IF(#REF!="S",VLOOKUP('Raw Data'!A1230,References!#REF!,2,FALSE),(VLOOKUP($S1230,References!$B$3:$C$7,2,FALSE))),"")</f>
        <v/>
      </c>
      <c r="V1230" s="129" t="str">
        <f t="shared" si="105"/>
        <v/>
      </c>
      <c r="W1230" s="74" t="str">
        <f>IFERROR(VLOOKUP($O1230,'Customer List'!$A$1:$J$488,10,FALSE),"")</f>
        <v/>
      </c>
    </row>
    <row r="1231" spans="1:23">
      <c r="A1231" s="120" t="str">
        <f t="shared" si="102"/>
        <v/>
      </c>
      <c r="R1231" s="127">
        <f t="shared" si="103"/>
        <v>0</v>
      </c>
      <c r="T1231" s="128">
        <f t="shared" si="106"/>
        <v>0</v>
      </c>
      <c r="U1231" s="129" t="str">
        <f>IFERROR(IF(#REF!="S",VLOOKUP('Raw Data'!A1231,References!#REF!,2,FALSE),(VLOOKUP($S1231,References!$B$3:$C$7,2,FALSE))),"")</f>
        <v/>
      </c>
      <c r="V1231" s="129" t="str">
        <f t="shared" si="105"/>
        <v/>
      </c>
      <c r="W1231" s="74" t="str">
        <f>IFERROR(VLOOKUP($O1231,'Customer List'!$A$1:$J$488,10,FALSE),"")</f>
        <v/>
      </c>
    </row>
    <row r="1232" spans="1:23">
      <c r="A1232" s="120" t="str">
        <f t="shared" si="102"/>
        <v/>
      </c>
      <c r="R1232" s="127">
        <f t="shared" si="103"/>
        <v>0</v>
      </c>
      <c r="T1232" s="128">
        <f t="shared" si="106"/>
        <v>0</v>
      </c>
      <c r="U1232" s="129" t="str">
        <f>IFERROR(IF(#REF!="S",VLOOKUP('Raw Data'!A1232,References!#REF!,2,FALSE),(VLOOKUP($S1232,References!$B$3:$C$7,2,FALSE))),"")</f>
        <v/>
      </c>
      <c r="V1232" s="129" t="str">
        <f t="shared" si="105"/>
        <v/>
      </c>
      <c r="W1232" s="74" t="str">
        <f>IFERROR(VLOOKUP($O1232,'Customer List'!$A$1:$J$488,10,FALSE),"")</f>
        <v/>
      </c>
    </row>
    <row r="1233" spans="1:23">
      <c r="A1233" s="120" t="str">
        <f t="shared" si="102"/>
        <v/>
      </c>
      <c r="R1233" s="127">
        <f t="shared" si="103"/>
        <v>0</v>
      </c>
      <c r="T1233" s="128">
        <f t="shared" si="106"/>
        <v>0</v>
      </c>
      <c r="U1233" s="129" t="str">
        <f>IFERROR(IF(#REF!="S",VLOOKUP('Raw Data'!A1233,References!#REF!,2,FALSE),(VLOOKUP($S1233,References!$B$3:$C$7,2,FALSE))),"")</f>
        <v/>
      </c>
      <c r="V1233" s="129" t="str">
        <f t="shared" si="105"/>
        <v/>
      </c>
      <c r="W1233" s="74" t="str">
        <f>IFERROR(VLOOKUP($O1233,'Customer List'!$A$1:$J$488,10,FALSE),"")</f>
        <v/>
      </c>
    </row>
    <row r="1234" spans="1:23">
      <c r="A1234" s="120" t="str">
        <f t="shared" si="102"/>
        <v/>
      </c>
      <c r="R1234" s="127">
        <f t="shared" si="103"/>
        <v>0</v>
      </c>
      <c r="T1234" s="128">
        <f t="shared" si="106"/>
        <v>0</v>
      </c>
      <c r="U1234" s="129" t="str">
        <f>IFERROR(IF(#REF!="S",VLOOKUP('Raw Data'!A1234,References!#REF!,2,FALSE),(VLOOKUP($S1234,References!$B$3:$C$7,2,FALSE))),"")</f>
        <v/>
      </c>
      <c r="V1234" s="129" t="str">
        <f t="shared" si="105"/>
        <v/>
      </c>
      <c r="W1234" s="74" t="str">
        <f>IFERROR(VLOOKUP($O1234,'Customer List'!$A$1:$J$488,10,FALSE),"")</f>
        <v/>
      </c>
    </row>
    <row r="1235" spans="1:23">
      <c r="A1235" s="120" t="str">
        <f t="shared" si="102"/>
        <v/>
      </c>
      <c r="R1235" s="127">
        <f t="shared" si="103"/>
        <v>0</v>
      </c>
      <c r="T1235" s="128">
        <f t="shared" si="106"/>
        <v>0</v>
      </c>
      <c r="U1235" s="129" t="str">
        <f>IFERROR(IF(#REF!="S",VLOOKUP('Raw Data'!A1235,References!#REF!,2,FALSE),(VLOOKUP($S1235,References!$B$3:$C$7,2,FALSE))),"")</f>
        <v/>
      </c>
      <c r="V1235" s="129" t="str">
        <f t="shared" si="105"/>
        <v/>
      </c>
      <c r="W1235" s="74" t="str">
        <f>IFERROR(VLOOKUP($O1235,'Customer List'!$A$1:$J$488,10,FALSE),"")</f>
        <v/>
      </c>
    </row>
    <row r="1236" spans="1:23">
      <c r="A1236" s="120" t="str">
        <f t="shared" si="102"/>
        <v/>
      </c>
      <c r="R1236" s="127">
        <f t="shared" si="103"/>
        <v>0</v>
      </c>
      <c r="T1236" s="128">
        <f t="shared" si="106"/>
        <v>0</v>
      </c>
      <c r="U1236" s="129" t="str">
        <f>IFERROR(IF(#REF!="S",VLOOKUP('Raw Data'!A1236,References!#REF!,2,FALSE),(VLOOKUP($S1236,References!$B$3:$C$7,2,FALSE))),"")</f>
        <v/>
      </c>
      <c r="V1236" s="129" t="str">
        <f t="shared" si="105"/>
        <v/>
      </c>
      <c r="W1236" s="74" t="str">
        <f>IFERROR(VLOOKUP($O1236,'Customer List'!$A$1:$J$488,10,FALSE),"")</f>
        <v/>
      </c>
    </row>
    <row r="1237" spans="1:23">
      <c r="A1237" s="120" t="str">
        <f t="shared" si="102"/>
        <v/>
      </c>
      <c r="R1237" s="127">
        <f t="shared" si="103"/>
        <v>0</v>
      </c>
      <c r="T1237" s="128">
        <f t="shared" si="106"/>
        <v>0</v>
      </c>
      <c r="U1237" s="129" t="str">
        <f>IFERROR(IF(#REF!="S",VLOOKUP('Raw Data'!A1237,References!#REF!,2,FALSE),(VLOOKUP($S1237,References!$B$3:$C$7,2,FALSE))),"")</f>
        <v/>
      </c>
      <c r="V1237" s="129" t="str">
        <f t="shared" si="105"/>
        <v/>
      </c>
      <c r="W1237" s="74" t="str">
        <f>IFERROR(VLOOKUP($O1237,'Customer List'!$A$1:$J$488,10,FALSE),"")</f>
        <v/>
      </c>
    </row>
    <row r="1238" spans="1:23">
      <c r="A1238" s="120" t="str">
        <f t="shared" si="102"/>
        <v/>
      </c>
      <c r="R1238" s="127">
        <f t="shared" si="103"/>
        <v>0</v>
      </c>
      <c r="T1238" s="128">
        <f t="shared" si="106"/>
        <v>0</v>
      </c>
      <c r="U1238" s="129" t="str">
        <f>IFERROR(IF(#REF!="S",VLOOKUP('Raw Data'!A1238,References!#REF!,2,FALSE),(VLOOKUP($S1238,References!$B$3:$C$7,2,FALSE))),"")</f>
        <v/>
      </c>
      <c r="V1238" s="129" t="str">
        <f t="shared" si="105"/>
        <v/>
      </c>
      <c r="W1238" s="74" t="str">
        <f>IFERROR(VLOOKUP($O1238,'Customer List'!$A$1:$J$488,10,FALSE),"")</f>
        <v/>
      </c>
    </row>
    <row r="1239" spans="1:23">
      <c r="A1239" s="120" t="str">
        <f t="shared" si="102"/>
        <v/>
      </c>
      <c r="R1239" s="127">
        <f t="shared" si="103"/>
        <v>0</v>
      </c>
      <c r="T1239" s="128">
        <f t="shared" si="106"/>
        <v>0</v>
      </c>
      <c r="U1239" s="129" t="str">
        <f>IFERROR(IF(#REF!="S",VLOOKUP('Raw Data'!A1239,References!#REF!,2,FALSE),(VLOOKUP($S1239,References!$B$3:$C$7,2,FALSE))),"")</f>
        <v/>
      </c>
      <c r="V1239" s="129" t="str">
        <f t="shared" si="105"/>
        <v/>
      </c>
      <c r="W1239" s="74" t="str">
        <f>IFERROR(VLOOKUP($O1239,'Customer List'!$A$1:$J$488,10,FALSE),"")</f>
        <v/>
      </c>
    </row>
    <row r="1240" spans="1:23">
      <c r="A1240" s="120" t="str">
        <f t="shared" si="102"/>
        <v/>
      </c>
      <c r="R1240" s="127">
        <f t="shared" si="103"/>
        <v>0</v>
      </c>
      <c r="T1240" s="128">
        <f t="shared" si="106"/>
        <v>0</v>
      </c>
      <c r="U1240" s="129" t="str">
        <f>IFERROR(IF(#REF!="S",VLOOKUP('Raw Data'!A1240,References!#REF!,2,FALSE),(VLOOKUP($S1240,References!$B$3:$C$7,2,FALSE))),"")</f>
        <v/>
      </c>
      <c r="V1240" s="129" t="str">
        <f t="shared" si="105"/>
        <v/>
      </c>
      <c r="W1240" s="74" t="str">
        <f>IFERROR(VLOOKUP($O1240,'Customer List'!$A$1:$J$488,10,FALSE),"")</f>
        <v/>
      </c>
    </row>
    <row r="1241" spans="1:23">
      <c r="A1241" s="120" t="str">
        <f t="shared" si="102"/>
        <v/>
      </c>
      <c r="R1241" s="127">
        <f t="shared" si="103"/>
        <v>0</v>
      </c>
      <c r="T1241" s="128">
        <f t="shared" si="106"/>
        <v>0</v>
      </c>
      <c r="U1241" s="129" t="str">
        <f>IFERROR(IF(#REF!="S",VLOOKUP('Raw Data'!A1241,References!#REF!,2,FALSE),(VLOOKUP($S1241,References!$B$3:$C$7,2,FALSE))),"")</f>
        <v/>
      </c>
      <c r="V1241" s="129" t="str">
        <f t="shared" si="105"/>
        <v/>
      </c>
      <c r="W1241" s="74" t="str">
        <f>IFERROR(VLOOKUP($O1241,'Customer List'!$A$1:$J$488,10,FALSE),"")</f>
        <v/>
      </c>
    </row>
    <row r="1242" spans="1:23">
      <c r="A1242" s="120" t="str">
        <f t="shared" si="102"/>
        <v/>
      </c>
      <c r="R1242" s="127">
        <f t="shared" si="103"/>
        <v>0</v>
      </c>
      <c r="T1242" s="128">
        <f t="shared" si="106"/>
        <v>0</v>
      </c>
      <c r="U1242" s="129" t="str">
        <f>IFERROR(IF(#REF!="S",VLOOKUP('Raw Data'!A1242,References!#REF!,2,FALSE),(VLOOKUP($S1242,References!$B$3:$C$7,2,FALSE))),"")</f>
        <v/>
      </c>
      <c r="V1242" s="129" t="str">
        <f t="shared" si="105"/>
        <v/>
      </c>
      <c r="W1242" s="74" t="str">
        <f>IFERROR(VLOOKUP($O1242,'Customer List'!$A$1:$J$488,10,FALSE),"")</f>
        <v/>
      </c>
    </row>
    <row r="1243" spans="1:23">
      <c r="A1243" s="120" t="str">
        <f t="shared" si="102"/>
        <v/>
      </c>
      <c r="R1243" s="127">
        <f t="shared" si="103"/>
        <v>0</v>
      </c>
      <c r="T1243" s="128">
        <f t="shared" si="106"/>
        <v>0</v>
      </c>
      <c r="U1243" s="129" t="str">
        <f>IFERROR(IF(#REF!="S",VLOOKUP('Raw Data'!A1243,References!#REF!,2,FALSE),(VLOOKUP($S1243,References!$B$3:$C$7,2,FALSE))),"")</f>
        <v/>
      </c>
      <c r="V1243" s="129" t="str">
        <f t="shared" si="105"/>
        <v/>
      </c>
      <c r="W1243" s="74" t="str">
        <f>IFERROR(VLOOKUP($O1243,'Customer List'!$A$1:$J$488,10,FALSE),"")</f>
        <v/>
      </c>
    </row>
    <row r="1244" spans="1:23">
      <c r="A1244" s="120" t="str">
        <f t="shared" si="102"/>
        <v/>
      </c>
      <c r="R1244" s="127">
        <f t="shared" si="103"/>
        <v>0</v>
      </c>
      <c r="T1244" s="128">
        <f t="shared" si="106"/>
        <v>0</v>
      </c>
      <c r="U1244" s="129" t="str">
        <f>IFERROR(IF(#REF!="S",VLOOKUP('Raw Data'!A1244,References!#REF!,2,FALSE),(VLOOKUP($S1244,References!$B$3:$C$7,2,FALSE))),"")</f>
        <v/>
      </c>
      <c r="V1244" s="129" t="str">
        <f t="shared" si="105"/>
        <v/>
      </c>
      <c r="W1244" s="74" t="str">
        <f>IFERROR(VLOOKUP($O1244,'Customer List'!$A$1:$J$488,10,FALSE),"")</f>
        <v/>
      </c>
    </row>
    <row r="1245" spans="1:23">
      <c r="A1245" s="120" t="str">
        <f t="shared" si="102"/>
        <v/>
      </c>
      <c r="R1245" s="127">
        <f t="shared" si="103"/>
        <v>0</v>
      </c>
      <c r="T1245" s="128">
        <f t="shared" si="106"/>
        <v>0</v>
      </c>
      <c r="U1245" s="129" t="str">
        <f>IFERROR(IF(#REF!="S",VLOOKUP('Raw Data'!A1245,References!#REF!,2,FALSE),(VLOOKUP($S1245,References!$B$3:$C$7,2,FALSE))),"")</f>
        <v/>
      </c>
      <c r="V1245" s="129" t="str">
        <f t="shared" si="105"/>
        <v/>
      </c>
      <c r="W1245" s="74" t="str">
        <f>IFERROR(VLOOKUP($O1245,'Customer List'!$A$1:$J$488,10,FALSE),"")</f>
        <v/>
      </c>
    </row>
    <row r="1246" spans="1:23">
      <c r="A1246" s="120" t="str">
        <f t="shared" si="102"/>
        <v/>
      </c>
      <c r="R1246" s="127">
        <f t="shared" si="103"/>
        <v>0</v>
      </c>
      <c r="T1246" s="128">
        <f t="shared" si="106"/>
        <v>0</v>
      </c>
      <c r="U1246" s="129" t="str">
        <f>IFERROR(IF(#REF!="S",VLOOKUP('Raw Data'!A1246,References!#REF!,2,FALSE),(VLOOKUP($S1246,References!$B$3:$C$7,2,FALSE))),"")</f>
        <v/>
      </c>
      <c r="V1246" s="129" t="str">
        <f t="shared" si="105"/>
        <v/>
      </c>
      <c r="W1246" s="74" t="str">
        <f>IFERROR(VLOOKUP($O1246,'Customer List'!$A$1:$J$488,10,FALSE),"")</f>
        <v/>
      </c>
    </row>
    <row r="1247" spans="1:23">
      <c r="A1247" s="120" t="str">
        <f t="shared" si="102"/>
        <v/>
      </c>
      <c r="R1247" s="127">
        <f t="shared" si="103"/>
        <v>0</v>
      </c>
      <c r="T1247" s="128">
        <f t="shared" si="106"/>
        <v>0</v>
      </c>
      <c r="U1247" s="129" t="str">
        <f>IFERROR(IF(#REF!="S",VLOOKUP('Raw Data'!A1247,References!#REF!,2,FALSE),(VLOOKUP($S1247,References!$B$3:$C$7,2,FALSE))),"")</f>
        <v/>
      </c>
      <c r="V1247" s="129" t="str">
        <f t="shared" si="105"/>
        <v/>
      </c>
      <c r="W1247" s="74" t="str">
        <f>IFERROR(VLOOKUP($O1247,'Customer List'!$A$1:$J$488,10,FALSE),"")</f>
        <v/>
      </c>
    </row>
    <row r="1248" spans="1:23">
      <c r="A1248" s="120" t="str">
        <f t="shared" si="102"/>
        <v/>
      </c>
      <c r="R1248" s="127">
        <f t="shared" si="103"/>
        <v>0</v>
      </c>
      <c r="T1248" s="128">
        <f t="shared" si="106"/>
        <v>0</v>
      </c>
      <c r="U1248" s="129" t="str">
        <f>IFERROR(IF(#REF!="S",VLOOKUP('Raw Data'!A1248,References!#REF!,2,FALSE),(VLOOKUP($S1248,References!$B$3:$C$7,2,FALSE))),"")</f>
        <v/>
      </c>
      <c r="V1248" s="129" t="str">
        <f t="shared" si="105"/>
        <v/>
      </c>
      <c r="W1248" s="74" t="str">
        <f>IFERROR(VLOOKUP($O1248,'Customer List'!$A$1:$J$488,10,FALSE),"")</f>
        <v/>
      </c>
    </row>
    <row r="1249" spans="1:23">
      <c r="A1249" s="120" t="str">
        <f t="shared" si="102"/>
        <v/>
      </c>
      <c r="R1249" s="127">
        <f t="shared" si="103"/>
        <v>0</v>
      </c>
      <c r="T1249" s="128">
        <f t="shared" si="106"/>
        <v>0</v>
      </c>
      <c r="U1249" s="129" t="str">
        <f>IFERROR(IF(#REF!="S",VLOOKUP('Raw Data'!A1249,References!#REF!,2,FALSE),(VLOOKUP($S1249,References!$B$3:$C$7,2,FALSE))),"")</f>
        <v/>
      </c>
      <c r="V1249" s="129" t="str">
        <f t="shared" si="105"/>
        <v/>
      </c>
      <c r="W1249" s="74" t="str">
        <f>IFERROR(VLOOKUP($O1249,'Customer List'!$A$1:$J$488,10,FALSE),"")</f>
        <v/>
      </c>
    </row>
    <row r="1250" spans="1:23">
      <c r="A1250" s="120" t="str">
        <f t="shared" si="102"/>
        <v/>
      </c>
      <c r="R1250" s="127">
        <f t="shared" si="103"/>
        <v>0</v>
      </c>
      <c r="T1250" s="128">
        <f t="shared" si="106"/>
        <v>0</v>
      </c>
      <c r="U1250" s="129" t="str">
        <f>IFERROR(IF(#REF!="S",VLOOKUP('Raw Data'!A1250,References!#REF!,2,FALSE),(VLOOKUP($S1250,References!$B$3:$C$7,2,FALSE))),"")</f>
        <v/>
      </c>
      <c r="V1250" s="129" t="str">
        <f t="shared" si="105"/>
        <v/>
      </c>
      <c r="W1250" s="74" t="str">
        <f>IFERROR(VLOOKUP($O1250,'Customer List'!$A$1:$J$488,10,FALSE),"")</f>
        <v/>
      </c>
    </row>
    <row r="1251" spans="1:23">
      <c r="A1251" s="120" t="str">
        <f t="shared" si="102"/>
        <v/>
      </c>
      <c r="R1251" s="127">
        <f t="shared" si="103"/>
        <v>0</v>
      </c>
      <c r="T1251" s="128">
        <f t="shared" si="106"/>
        <v>0</v>
      </c>
      <c r="U1251" s="129" t="str">
        <f>IFERROR(IF(#REF!="S",VLOOKUP('Raw Data'!A1251,References!#REF!,2,FALSE),(VLOOKUP($S1251,References!$B$3:$C$7,2,FALSE))),"")</f>
        <v/>
      </c>
      <c r="V1251" s="129" t="str">
        <f t="shared" si="105"/>
        <v/>
      </c>
      <c r="W1251" s="74" t="str">
        <f>IFERROR(VLOOKUP($O1251,'Customer List'!$A$1:$J$488,10,FALSE),"")</f>
        <v/>
      </c>
    </row>
    <row r="1252" spans="1:23">
      <c r="A1252" s="120" t="str">
        <f t="shared" si="102"/>
        <v/>
      </c>
      <c r="R1252" s="127">
        <f t="shared" si="103"/>
        <v>0</v>
      </c>
      <c r="T1252" s="128">
        <f t="shared" si="106"/>
        <v>0</v>
      </c>
      <c r="U1252" s="129" t="str">
        <f>IFERROR(IF(#REF!="S",VLOOKUP('Raw Data'!A1252,References!#REF!,2,FALSE),(VLOOKUP($S1252,References!$B$3:$C$7,2,FALSE))),"")</f>
        <v/>
      </c>
      <c r="V1252" s="129" t="str">
        <f t="shared" si="105"/>
        <v/>
      </c>
      <c r="W1252" s="74" t="str">
        <f>IFERROR(VLOOKUP($O1252,'Customer List'!$A$1:$J$488,10,FALSE),"")</f>
        <v/>
      </c>
    </row>
    <row r="1253" spans="1:23">
      <c r="A1253" s="120" t="str">
        <f t="shared" si="102"/>
        <v/>
      </c>
      <c r="R1253" s="127">
        <f t="shared" si="103"/>
        <v>0</v>
      </c>
      <c r="T1253" s="128">
        <f t="shared" si="106"/>
        <v>0</v>
      </c>
      <c r="U1253" s="129" t="str">
        <f>IFERROR(IF(#REF!="S",VLOOKUP('Raw Data'!A1253,References!#REF!,2,FALSE),(VLOOKUP($S1253,References!$B$3:$C$7,2,FALSE))),"")</f>
        <v/>
      </c>
      <c r="V1253" s="129" t="str">
        <f t="shared" si="105"/>
        <v/>
      </c>
      <c r="W1253" s="74" t="str">
        <f>IFERROR(VLOOKUP($O1253,'Customer List'!$A$1:$J$488,10,FALSE),"")</f>
        <v/>
      </c>
    </row>
    <row r="1254" spans="1:23">
      <c r="A1254" s="120" t="str">
        <f t="shared" ref="A1254:A1317" si="107">O1254&amp;S1254</f>
        <v/>
      </c>
      <c r="R1254" s="127">
        <f t="shared" ref="R1254:R1317" si="108">L1254-K1254</f>
        <v>0</v>
      </c>
      <c r="T1254" s="128">
        <f t="shared" si="106"/>
        <v>0</v>
      </c>
      <c r="U1254" s="129" t="str">
        <f>IFERROR(IF(#REF!="S",VLOOKUP('Raw Data'!A1254,References!#REF!,2,FALSE),(VLOOKUP($S1254,References!$B$3:$C$7,2,FALSE))),"")</f>
        <v/>
      </c>
      <c r="V1254" s="129" t="str">
        <f t="shared" si="105"/>
        <v/>
      </c>
      <c r="W1254" s="74" t="str">
        <f>IFERROR(VLOOKUP($O1254,'Customer List'!$A$1:$J$488,10,FALSE),"")</f>
        <v/>
      </c>
    </row>
    <row r="1255" spans="1:23">
      <c r="A1255" s="120" t="str">
        <f t="shared" si="107"/>
        <v/>
      </c>
      <c r="R1255" s="127">
        <f t="shared" si="108"/>
        <v>0</v>
      </c>
      <c r="T1255" s="128">
        <f t="shared" si="106"/>
        <v>0</v>
      </c>
      <c r="U1255" s="129" t="str">
        <f>IFERROR(IF(#REF!="S",VLOOKUP('Raw Data'!A1255,References!#REF!,2,FALSE),(VLOOKUP($S1255,References!$B$3:$C$7,2,FALSE))),"")</f>
        <v/>
      </c>
      <c r="V1255" s="129" t="str">
        <f t="shared" si="105"/>
        <v/>
      </c>
      <c r="W1255" s="74" t="str">
        <f>IFERROR(VLOOKUP($O1255,'Customer List'!$A$1:$J$488,10,FALSE),"")</f>
        <v/>
      </c>
    </row>
    <row r="1256" spans="1:23">
      <c r="A1256" s="120" t="str">
        <f t="shared" si="107"/>
        <v/>
      </c>
      <c r="R1256" s="127">
        <f t="shared" si="108"/>
        <v>0</v>
      </c>
      <c r="T1256" s="128">
        <f t="shared" si="106"/>
        <v>0</v>
      </c>
      <c r="U1256" s="129" t="str">
        <f>IFERROR(IF(#REF!="S",VLOOKUP('Raw Data'!A1256,References!#REF!,2,FALSE),(VLOOKUP($S1256,References!$B$3:$C$7,2,FALSE))),"")</f>
        <v/>
      </c>
      <c r="V1256" s="129" t="str">
        <f t="shared" ref="V1256:V1319" si="109">IFERROR(T1256*U1256,"")</f>
        <v/>
      </c>
      <c r="W1256" s="74" t="str">
        <f>IFERROR(VLOOKUP($O1256,'Customer List'!$A$1:$J$488,10,FALSE),"")</f>
        <v/>
      </c>
    </row>
    <row r="1257" spans="1:23">
      <c r="A1257" s="120" t="str">
        <f t="shared" si="107"/>
        <v/>
      </c>
      <c r="R1257" s="127">
        <f t="shared" si="108"/>
        <v>0</v>
      </c>
      <c r="T1257" s="128">
        <f t="shared" si="106"/>
        <v>0</v>
      </c>
      <c r="U1257" s="129" t="str">
        <f>IFERROR(IF(#REF!="S",VLOOKUP('Raw Data'!A1257,References!#REF!,2,FALSE),(VLOOKUP($S1257,References!$B$3:$C$7,2,FALSE))),"")</f>
        <v/>
      </c>
      <c r="V1257" s="129" t="str">
        <f t="shared" si="109"/>
        <v/>
      </c>
      <c r="W1257" s="74" t="str">
        <f>IFERROR(VLOOKUP($O1257,'Customer List'!$A$1:$J$488,10,FALSE),"")</f>
        <v/>
      </c>
    </row>
    <row r="1258" spans="1:23">
      <c r="A1258" s="120" t="str">
        <f t="shared" si="107"/>
        <v/>
      </c>
      <c r="R1258" s="127">
        <f t="shared" si="108"/>
        <v>0</v>
      </c>
      <c r="T1258" s="128">
        <f t="shared" si="106"/>
        <v>0</v>
      </c>
      <c r="U1258" s="129" t="str">
        <f>IFERROR(IF(#REF!="S",VLOOKUP('Raw Data'!A1258,References!#REF!,2,FALSE),(VLOOKUP($S1258,References!$B$3:$C$7,2,FALSE))),"")</f>
        <v/>
      </c>
      <c r="V1258" s="129" t="str">
        <f t="shared" si="109"/>
        <v/>
      </c>
      <c r="W1258" s="74" t="str">
        <f>IFERROR(VLOOKUP($O1258,'Customer List'!$A$1:$J$488,10,FALSE),"")</f>
        <v/>
      </c>
    </row>
    <row r="1259" spans="1:23">
      <c r="A1259" s="120" t="str">
        <f t="shared" si="107"/>
        <v/>
      </c>
      <c r="R1259" s="127">
        <f t="shared" si="108"/>
        <v>0</v>
      </c>
      <c r="T1259" s="128">
        <f t="shared" si="106"/>
        <v>0</v>
      </c>
      <c r="U1259" s="129" t="str">
        <f>IFERROR(IF(#REF!="S",VLOOKUP('Raw Data'!A1259,References!#REF!,2,FALSE),(VLOOKUP($S1259,References!$B$3:$C$7,2,FALSE))),"")</f>
        <v/>
      </c>
      <c r="V1259" s="129" t="str">
        <f t="shared" si="109"/>
        <v/>
      </c>
      <c r="W1259" s="74" t="str">
        <f>IFERROR(VLOOKUP($O1259,'Customer List'!$A$1:$J$488,10,FALSE),"")</f>
        <v/>
      </c>
    </row>
    <row r="1260" spans="1:23">
      <c r="A1260" s="120" t="str">
        <f t="shared" si="107"/>
        <v/>
      </c>
      <c r="R1260" s="127">
        <f t="shared" si="108"/>
        <v>0</v>
      </c>
      <c r="T1260" s="128">
        <f t="shared" si="106"/>
        <v>0</v>
      </c>
      <c r="U1260" s="129" t="str">
        <f>IFERROR(IF(#REF!="S",VLOOKUP('Raw Data'!A1260,References!#REF!,2,FALSE),(VLOOKUP($S1260,References!$B$3:$C$7,2,FALSE))),"")</f>
        <v/>
      </c>
      <c r="V1260" s="129" t="str">
        <f t="shared" si="109"/>
        <v/>
      </c>
      <c r="W1260" s="74" t="str">
        <f>IFERROR(VLOOKUP($O1260,'Customer List'!$A$1:$J$488,10,FALSE),"")</f>
        <v/>
      </c>
    </row>
    <row r="1261" spans="1:23">
      <c r="A1261" s="120" t="str">
        <f t="shared" si="107"/>
        <v/>
      </c>
      <c r="R1261" s="127">
        <f t="shared" si="108"/>
        <v>0</v>
      </c>
      <c r="T1261" s="128">
        <f t="shared" si="106"/>
        <v>0</v>
      </c>
      <c r="U1261" s="129" t="str">
        <f>IFERROR(IF(#REF!="S",VLOOKUP('Raw Data'!A1261,References!#REF!,2,FALSE),(VLOOKUP($S1261,References!$B$3:$C$7,2,FALSE))),"")</f>
        <v/>
      </c>
      <c r="V1261" s="129" t="str">
        <f t="shared" si="109"/>
        <v/>
      </c>
      <c r="W1261" s="74" t="str">
        <f>IFERROR(VLOOKUP($O1261,'Customer List'!$A$1:$J$488,10,FALSE),"")</f>
        <v/>
      </c>
    </row>
    <row r="1262" spans="1:23">
      <c r="A1262" s="120" t="str">
        <f t="shared" si="107"/>
        <v/>
      </c>
      <c r="R1262" s="127">
        <f t="shared" si="108"/>
        <v>0</v>
      </c>
      <c r="T1262" s="128">
        <f t="shared" si="106"/>
        <v>0</v>
      </c>
      <c r="U1262" s="129" t="str">
        <f>IFERROR(IF(#REF!="S",VLOOKUP('Raw Data'!A1262,References!#REF!,2,FALSE),(VLOOKUP($S1262,References!$B$3:$C$7,2,FALSE))),"")</f>
        <v/>
      </c>
      <c r="V1262" s="129" t="str">
        <f t="shared" si="109"/>
        <v/>
      </c>
      <c r="W1262" s="74" t="str">
        <f>IFERROR(VLOOKUP($O1262,'Customer List'!$A$1:$J$488,10,FALSE),"")</f>
        <v/>
      </c>
    </row>
    <row r="1263" spans="1:23">
      <c r="A1263" s="120" t="str">
        <f t="shared" si="107"/>
        <v/>
      </c>
      <c r="R1263" s="127">
        <f t="shared" si="108"/>
        <v>0</v>
      </c>
      <c r="T1263" s="128">
        <f t="shared" si="106"/>
        <v>0</v>
      </c>
      <c r="U1263" s="129" t="str">
        <f>IFERROR(IF(#REF!="S",VLOOKUP('Raw Data'!A1263,References!#REF!,2,FALSE),(VLOOKUP($S1263,References!$B$3:$C$7,2,FALSE))),"")</f>
        <v/>
      </c>
      <c r="V1263" s="129" t="str">
        <f t="shared" si="109"/>
        <v/>
      </c>
      <c r="W1263" s="74" t="str">
        <f>IFERROR(VLOOKUP($O1263,'Customer List'!$A$1:$J$488,10,FALSE),"")</f>
        <v/>
      </c>
    </row>
    <row r="1264" spans="1:23">
      <c r="A1264" s="120" t="str">
        <f t="shared" si="107"/>
        <v/>
      </c>
      <c r="R1264" s="127">
        <f t="shared" si="108"/>
        <v>0</v>
      </c>
      <c r="T1264" s="128">
        <f t="shared" si="106"/>
        <v>0</v>
      </c>
      <c r="U1264" s="129" t="str">
        <f>IFERROR(IF(#REF!="S",VLOOKUP('Raw Data'!A1264,References!#REF!,2,FALSE),(VLOOKUP($S1264,References!$B$3:$C$7,2,FALSE))),"")</f>
        <v/>
      </c>
      <c r="V1264" s="129" t="str">
        <f t="shared" si="109"/>
        <v/>
      </c>
      <c r="W1264" s="74" t="str">
        <f>IFERROR(VLOOKUP($O1264,'Customer List'!$A$1:$J$488,10,FALSE),"")</f>
        <v/>
      </c>
    </row>
    <row r="1265" spans="1:23">
      <c r="A1265" s="120" t="str">
        <f t="shared" si="107"/>
        <v/>
      </c>
      <c r="R1265" s="127">
        <f t="shared" si="108"/>
        <v>0</v>
      </c>
      <c r="T1265" s="128">
        <f t="shared" si="106"/>
        <v>0</v>
      </c>
      <c r="U1265" s="129" t="str">
        <f>IFERROR(IF(#REF!="S",VLOOKUP('Raw Data'!A1265,References!#REF!,2,FALSE),(VLOOKUP($S1265,References!$B$3:$C$7,2,FALSE))),"")</f>
        <v/>
      </c>
      <c r="V1265" s="129" t="str">
        <f t="shared" si="109"/>
        <v/>
      </c>
      <c r="W1265" s="74" t="str">
        <f>IFERROR(VLOOKUP($O1265,'Customer List'!$A$1:$J$488,10,FALSE),"")</f>
        <v/>
      </c>
    </row>
    <row r="1266" spans="1:23">
      <c r="A1266" s="120" t="str">
        <f t="shared" si="107"/>
        <v/>
      </c>
      <c r="R1266" s="127">
        <f t="shared" si="108"/>
        <v>0</v>
      </c>
      <c r="T1266" s="128">
        <f t="shared" si="106"/>
        <v>0</v>
      </c>
      <c r="U1266" s="129" t="str">
        <f>IFERROR(IF(#REF!="S",VLOOKUP('Raw Data'!A1266,References!#REF!,2,FALSE),(VLOOKUP($S1266,References!$B$3:$C$7,2,FALSE))),"")</f>
        <v/>
      </c>
      <c r="V1266" s="129" t="str">
        <f t="shared" si="109"/>
        <v/>
      </c>
      <c r="W1266" s="74" t="str">
        <f>IFERROR(VLOOKUP($O1266,'Customer List'!$A$1:$J$488,10,FALSE),"")</f>
        <v/>
      </c>
    </row>
    <row r="1267" spans="1:23">
      <c r="A1267" s="120" t="str">
        <f t="shared" si="107"/>
        <v/>
      </c>
      <c r="R1267" s="127">
        <f t="shared" si="108"/>
        <v>0</v>
      </c>
      <c r="T1267" s="128">
        <f t="shared" si="106"/>
        <v>0</v>
      </c>
      <c r="U1267" s="129" t="str">
        <f>IFERROR(IF(#REF!="S",VLOOKUP('Raw Data'!A1267,References!#REF!,2,FALSE),(VLOOKUP($S1267,References!$B$3:$C$7,2,FALSE))),"")</f>
        <v/>
      </c>
      <c r="V1267" s="129" t="str">
        <f t="shared" si="109"/>
        <v/>
      </c>
      <c r="W1267" s="74" t="str">
        <f>IFERROR(VLOOKUP($O1267,'Customer List'!$A$1:$J$488,10,FALSE),"")</f>
        <v/>
      </c>
    </row>
    <row r="1268" spans="1:23">
      <c r="A1268" s="120" t="str">
        <f t="shared" si="107"/>
        <v/>
      </c>
      <c r="R1268" s="127">
        <f t="shared" si="108"/>
        <v>0</v>
      </c>
      <c r="T1268" s="128">
        <f t="shared" si="106"/>
        <v>0</v>
      </c>
      <c r="U1268" s="129" t="str">
        <f>IFERROR(IF(#REF!="S",VLOOKUP('Raw Data'!A1268,References!#REF!,2,FALSE),(VLOOKUP($S1268,References!$B$3:$C$7,2,FALSE))),"")</f>
        <v/>
      </c>
      <c r="V1268" s="129" t="str">
        <f t="shared" si="109"/>
        <v/>
      </c>
      <c r="W1268" s="74" t="str">
        <f>IFERROR(VLOOKUP($O1268,'Customer List'!$A$1:$J$488,10,FALSE),"")</f>
        <v/>
      </c>
    </row>
    <row r="1269" spans="1:23">
      <c r="A1269" s="120" t="str">
        <f t="shared" si="107"/>
        <v/>
      </c>
      <c r="R1269" s="127">
        <f t="shared" si="108"/>
        <v>0</v>
      </c>
      <c r="T1269" s="128">
        <f t="shared" si="106"/>
        <v>0</v>
      </c>
      <c r="U1269" s="129" t="str">
        <f>IFERROR(IF(#REF!="S",VLOOKUP('Raw Data'!A1269,References!#REF!,2,FALSE),(VLOOKUP($S1269,References!$B$3:$C$7,2,FALSE))),"")</f>
        <v/>
      </c>
      <c r="V1269" s="129" t="str">
        <f t="shared" si="109"/>
        <v/>
      </c>
      <c r="W1269" s="74" t="str">
        <f>IFERROR(VLOOKUP($O1269,'Customer List'!$A$1:$J$488,10,FALSE),"")</f>
        <v/>
      </c>
    </row>
    <row r="1270" spans="1:23">
      <c r="A1270" s="120" t="str">
        <f t="shared" si="107"/>
        <v/>
      </c>
      <c r="R1270" s="127">
        <f t="shared" si="108"/>
        <v>0</v>
      </c>
      <c r="T1270" s="128">
        <f t="shared" si="106"/>
        <v>0</v>
      </c>
      <c r="U1270" s="129" t="str">
        <f>IFERROR(IF(#REF!="S",VLOOKUP('Raw Data'!A1270,References!#REF!,2,FALSE),(VLOOKUP($S1270,References!$B$3:$C$7,2,FALSE))),"")</f>
        <v/>
      </c>
      <c r="V1270" s="129" t="str">
        <f t="shared" si="109"/>
        <v/>
      </c>
      <c r="W1270" s="74" t="str">
        <f>IFERROR(VLOOKUP($O1270,'Customer List'!$A$1:$J$488,10,FALSE),"")</f>
        <v/>
      </c>
    </row>
    <row r="1271" spans="1:23">
      <c r="A1271" s="120" t="str">
        <f t="shared" si="107"/>
        <v/>
      </c>
      <c r="R1271" s="127">
        <f t="shared" si="108"/>
        <v>0</v>
      </c>
      <c r="T1271" s="128">
        <f t="shared" si="106"/>
        <v>0</v>
      </c>
      <c r="U1271" s="129" t="str">
        <f>IFERROR(IF(#REF!="S",VLOOKUP('Raw Data'!A1271,References!#REF!,2,FALSE),(VLOOKUP($S1271,References!$B$3:$C$7,2,FALSE))),"")</f>
        <v/>
      </c>
      <c r="V1271" s="129" t="str">
        <f t="shared" si="109"/>
        <v/>
      </c>
      <c r="W1271" s="74" t="str">
        <f>IFERROR(VLOOKUP($O1271,'Customer List'!$A$1:$J$488,10,FALSE),"")</f>
        <v/>
      </c>
    </row>
    <row r="1272" spans="1:23">
      <c r="A1272" s="120" t="str">
        <f t="shared" si="107"/>
        <v/>
      </c>
      <c r="R1272" s="127">
        <f t="shared" si="108"/>
        <v>0</v>
      </c>
      <c r="T1272" s="128">
        <f t="shared" si="106"/>
        <v>0</v>
      </c>
      <c r="U1272" s="129" t="str">
        <f>IFERROR(IF(#REF!="S",VLOOKUP('Raw Data'!A1272,References!#REF!,2,FALSE),(VLOOKUP($S1272,References!$B$3:$C$7,2,FALSE))),"")</f>
        <v/>
      </c>
      <c r="V1272" s="129" t="str">
        <f t="shared" si="109"/>
        <v/>
      </c>
      <c r="W1272" s="74" t="str">
        <f>IFERROR(VLOOKUP($O1272,'Customer List'!$A$1:$J$488,10,FALSE),"")</f>
        <v/>
      </c>
    </row>
    <row r="1273" spans="1:23">
      <c r="A1273" s="120" t="str">
        <f t="shared" si="107"/>
        <v/>
      </c>
      <c r="R1273" s="127">
        <f t="shared" si="108"/>
        <v>0</v>
      </c>
      <c r="T1273" s="128">
        <f t="shared" si="106"/>
        <v>0</v>
      </c>
      <c r="U1273" s="129" t="str">
        <f>IFERROR(IF(#REF!="S",VLOOKUP('Raw Data'!A1273,References!#REF!,2,FALSE),(VLOOKUP($S1273,References!$B$3:$C$7,2,FALSE))),"")</f>
        <v/>
      </c>
      <c r="V1273" s="129" t="str">
        <f t="shared" si="109"/>
        <v/>
      </c>
      <c r="W1273" s="74" t="str">
        <f>IFERROR(VLOOKUP($O1273,'Customer List'!$A$1:$J$488,10,FALSE),"")</f>
        <v/>
      </c>
    </row>
    <row r="1274" spans="1:23">
      <c r="A1274" s="120" t="str">
        <f t="shared" si="107"/>
        <v/>
      </c>
      <c r="R1274" s="127">
        <f t="shared" si="108"/>
        <v>0</v>
      </c>
      <c r="T1274" s="128">
        <f t="shared" si="106"/>
        <v>0</v>
      </c>
      <c r="U1274" s="129" t="str">
        <f>IFERROR(IF(#REF!="S",VLOOKUP('Raw Data'!A1274,References!#REF!,2,FALSE),(VLOOKUP($S1274,References!$B$3:$C$7,2,FALSE))),"")</f>
        <v/>
      </c>
      <c r="V1274" s="129" t="str">
        <f t="shared" si="109"/>
        <v/>
      </c>
      <c r="W1274" s="74" t="str">
        <f>IFERROR(VLOOKUP($O1274,'Customer List'!$A$1:$J$488,10,FALSE),"")</f>
        <v/>
      </c>
    </row>
    <row r="1275" spans="1:23">
      <c r="A1275" s="120" t="str">
        <f t="shared" si="107"/>
        <v/>
      </c>
      <c r="R1275" s="127">
        <f t="shared" si="108"/>
        <v>0</v>
      </c>
      <c r="T1275" s="128">
        <f t="shared" si="106"/>
        <v>0</v>
      </c>
      <c r="U1275" s="129" t="str">
        <f>IFERROR(IF(#REF!="S",VLOOKUP('Raw Data'!A1275,References!#REF!,2,FALSE),(VLOOKUP($S1275,References!$B$3:$C$7,2,FALSE))),"")</f>
        <v/>
      </c>
      <c r="V1275" s="129" t="str">
        <f t="shared" si="109"/>
        <v/>
      </c>
      <c r="W1275" s="74" t="str">
        <f>IFERROR(VLOOKUP($O1275,'Customer List'!$A$1:$J$488,10,FALSE),"")</f>
        <v/>
      </c>
    </row>
    <row r="1276" spans="1:23">
      <c r="A1276" s="120" t="str">
        <f t="shared" si="107"/>
        <v/>
      </c>
      <c r="R1276" s="127">
        <f t="shared" si="108"/>
        <v>0</v>
      </c>
      <c r="T1276" s="128">
        <f t="shared" si="106"/>
        <v>0</v>
      </c>
      <c r="U1276" s="129" t="str">
        <f>IFERROR(IF(#REF!="S",VLOOKUP('Raw Data'!A1276,References!#REF!,2,FALSE),(VLOOKUP($S1276,References!$B$3:$C$7,2,FALSE))),"")</f>
        <v/>
      </c>
      <c r="V1276" s="129" t="str">
        <f t="shared" si="109"/>
        <v/>
      </c>
      <c r="W1276" s="74" t="str">
        <f>IFERROR(VLOOKUP($O1276,'Customer List'!$A$1:$J$488,10,FALSE),"")</f>
        <v/>
      </c>
    </row>
    <row r="1277" spans="1:23">
      <c r="A1277" s="120" t="str">
        <f t="shared" si="107"/>
        <v/>
      </c>
      <c r="R1277" s="127">
        <f t="shared" si="108"/>
        <v>0</v>
      </c>
      <c r="T1277" s="128">
        <f t="shared" si="106"/>
        <v>0</v>
      </c>
      <c r="U1277" s="129" t="str">
        <f>IFERROR(IF(#REF!="S",VLOOKUP('Raw Data'!A1277,References!#REF!,2,FALSE),(VLOOKUP($S1277,References!$B$3:$C$7,2,FALSE))),"")</f>
        <v/>
      </c>
      <c r="V1277" s="129" t="str">
        <f t="shared" si="109"/>
        <v/>
      </c>
      <c r="W1277" s="74" t="str">
        <f>IFERROR(VLOOKUP($O1277,'Customer List'!$A$1:$J$488,10,FALSE),"")</f>
        <v/>
      </c>
    </row>
    <row r="1278" spans="1:23">
      <c r="A1278" s="120" t="str">
        <f t="shared" si="107"/>
        <v/>
      </c>
      <c r="R1278" s="127">
        <f t="shared" si="108"/>
        <v>0</v>
      </c>
      <c r="T1278" s="128">
        <f t="shared" si="106"/>
        <v>0</v>
      </c>
      <c r="U1278" s="129" t="str">
        <f>IFERROR(IF(#REF!="S",VLOOKUP('Raw Data'!A1278,References!#REF!,2,FALSE),(VLOOKUP($S1278,References!$B$3:$C$7,2,FALSE))),"")</f>
        <v/>
      </c>
      <c r="V1278" s="129" t="str">
        <f t="shared" si="109"/>
        <v/>
      </c>
      <c r="W1278" s="74" t="str">
        <f>IFERROR(VLOOKUP($O1278,'Customer List'!$A$1:$J$488,10,FALSE),"")</f>
        <v/>
      </c>
    </row>
    <row r="1279" spans="1:23">
      <c r="A1279" s="120" t="str">
        <f t="shared" si="107"/>
        <v/>
      </c>
      <c r="R1279" s="127">
        <f t="shared" si="108"/>
        <v>0</v>
      </c>
      <c r="T1279" s="128">
        <f t="shared" si="106"/>
        <v>0</v>
      </c>
      <c r="U1279" s="129" t="str">
        <f>IFERROR(IF(#REF!="S",VLOOKUP('Raw Data'!A1279,References!#REF!,2,FALSE),(VLOOKUP($S1279,References!$B$3:$C$7,2,FALSE))),"")</f>
        <v/>
      </c>
      <c r="V1279" s="129" t="str">
        <f t="shared" si="109"/>
        <v/>
      </c>
      <c r="W1279" s="74" t="str">
        <f>IFERROR(VLOOKUP($O1279,'Customer List'!$A$1:$J$488,10,FALSE),"")</f>
        <v/>
      </c>
    </row>
    <row r="1280" spans="1:23">
      <c r="A1280" s="120" t="str">
        <f t="shared" si="107"/>
        <v/>
      </c>
      <c r="R1280" s="127">
        <f t="shared" si="108"/>
        <v>0</v>
      </c>
      <c r="T1280" s="128">
        <f t="shared" si="106"/>
        <v>0</v>
      </c>
      <c r="U1280" s="129" t="str">
        <f>IFERROR(IF(#REF!="S",VLOOKUP('Raw Data'!A1280,References!#REF!,2,FALSE),(VLOOKUP($S1280,References!$B$3:$C$7,2,FALSE))),"")</f>
        <v/>
      </c>
      <c r="V1280" s="129" t="str">
        <f t="shared" si="109"/>
        <v/>
      </c>
      <c r="W1280" s="74" t="str">
        <f>IFERROR(VLOOKUP($O1280,'Customer List'!$A$1:$J$488,10,FALSE),"")</f>
        <v/>
      </c>
    </row>
    <row r="1281" spans="1:23">
      <c r="A1281" s="120" t="str">
        <f t="shared" si="107"/>
        <v/>
      </c>
      <c r="R1281" s="127">
        <f t="shared" si="108"/>
        <v>0</v>
      </c>
      <c r="T1281" s="128">
        <f t="shared" si="106"/>
        <v>0</v>
      </c>
      <c r="U1281" s="129" t="str">
        <f>IFERROR(IF(#REF!="S",VLOOKUP('Raw Data'!A1281,References!#REF!,2,FALSE),(VLOOKUP($S1281,References!$B$3:$C$7,2,FALSE))),"")</f>
        <v/>
      </c>
      <c r="V1281" s="129" t="str">
        <f t="shared" si="109"/>
        <v/>
      </c>
      <c r="W1281" s="74" t="str">
        <f>IFERROR(VLOOKUP($O1281,'Customer List'!$A$1:$J$488,10,FALSE),"")</f>
        <v/>
      </c>
    </row>
    <row r="1282" spans="1:23">
      <c r="A1282" s="120" t="str">
        <f t="shared" si="107"/>
        <v/>
      </c>
      <c r="R1282" s="127">
        <f t="shared" si="108"/>
        <v>0</v>
      </c>
      <c r="T1282" s="128">
        <f t="shared" si="106"/>
        <v>0</v>
      </c>
      <c r="U1282" s="129" t="str">
        <f>IFERROR(IF(#REF!="S",VLOOKUP('Raw Data'!A1282,References!#REF!,2,FALSE),(VLOOKUP($S1282,References!$B$3:$C$7,2,FALSE))),"")</f>
        <v/>
      </c>
      <c r="V1282" s="129" t="str">
        <f t="shared" si="109"/>
        <v/>
      </c>
      <c r="W1282" s="74" t="str">
        <f>IFERROR(VLOOKUP($O1282,'Customer List'!$A$1:$J$488,10,FALSE),"")</f>
        <v/>
      </c>
    </row>
    <row r="1283" spans="1:23">
      <c r="A1283" s="120" t="str">
        <f t="shared" si="107"/>
        <v/>
      </c>
      <c r="R1283" s="127">
        <f t="shared" si="108"/>
        <v>0</v>
      </c>
      <c r="T1283" s="128">
        <f t="shared" si="106"/>
        <v>0</v>
      </c>
      <c r="U1283" s="129" t="str">
        <f>IFERROR(IF(#REF!="S",VLOOKUP('Raw Data'!A1283,References!#REF!,2,FALSE),(VLOOKUP($S1283,References!$B$3:$C$7,2,FALSE))),"")</f>
        <v/>
      </c>
      <c r="V1283" s="129" t="str">
        <f t="shared" si="109"/>
        <v/>
      </c>
      <c r="W1283" s="74" t="str">
        <f>IFERROR(VLOOKUP($O1283,'Customer List'!$A$1:$J$488,10,FALSE),"")</f>
        <v/>
      </c>
    </row>
    <row r="1284" spans="1:23">
      <c r="A1284" s="120" t="str">
        <f t="shared" si="107"/>
        <v/>
      </c>
      <c r="R1284" s="127">
        <f t="shared" si="108"/>
        <v>0</v>
      </c>
      <c r="T1284" s="128">
        <f t="shared" si="106"/>
        <v>0</v>
      </c>
      <c r="U1284" s="129" t="str">
        <f>IFERROR(IF(#REF!="S",VLOOKUP('Raw Data'!A1284,References!#REF!,2,FALSE),(VLOOKUP($S1284,References!$B$3:$C$7,2,FALSE))),"")</f>
        <v/>
      </c>
      <c r="V1284" s="129" t="str">
        <f t="shared" si="109"/>
        <v/>
      </c>
      <c r="W1284" s="74" t="str">
        <f>IFERROR(VLOOKUP($O1284,'Customer List'!$A$1:$J$488,10,FALSE),"")</f>
        <v/>
      </c>
    </row>
    <row r="1285" spans="1:23">
      <c r="A1285" s="120" t="str">
        <f t="shared" si="107"/>
        <v/>
      </c>
      <c r="R1285" s="127">
        <f t="shared" si="108"/>
        <v>0</v>
      </c>
      <c r="T1285" s="128">
        <f t="shared" si="106"/>
        <v>0</v>
      </c>
      <c r="U1285" s="129" t="str">
        <f>IFERROR(IF(#REF!="S",VLOOKUP('Raw Data'!A1285,References!#REF!,2,FALSE),(VLOOKUP($S1285,References!$B$3:$C$7,2,FALSE))),"")</f>
        <v/>
      </c>
      <c r="V1285" s="129" t="str">
        <f t="shared" si="109"/>
        <v/>
      </c>
      <c r="W1285" s="74" t="str">
        <f>IFERROR(VLOOKUP($O1285,'Customer List'!$A$1:$J$488,10,FALSE),"")</f>
        <v/>
      </c>
    </row>
    <row r="1286" spans="1:23">
      <c r="A1286" s="120" t="str">
        <f t="shared" si="107"/>
        <v/>
      </c>
      <c r="R1286" s="127">
        <f t="shared" si="108"/>
        <v>0</v>
      </c>
      <c r="T1286" s="128">
        <f t="shared" si="106"/>
        <v>0</v>
      </c>
      <c r="U1286" s="129" t="str">
        <f>IFERROR(IF(#REF!="S",VLOOKUP('Raw Data'!A1286,References!#REF!,2,FALSE),(VLOOKUP($S1286,References!$B$3:$C$7,2,FALSE))),"")</f>
        <v/>
      </c>
      <c r="V1286" s="129" t="str">
        <f t="shared" si="109"/>
        <v/>
      </c>
      <c r="W1286" s="74" t="str">
        <f>IFERROR(VLOOKUP($O1286,'Customer List'!$A$1:$J$488,10,FALSE),"")</f>
        <v/>
      </c>
    </row>
    <row r="1287" spans="1:23">
      <c r="A1287" s="120" t="str">
        <f t="shared" si="107"/>
        <v/>
      </c>
      <c r="R1287" s="127">
        <f t="shared" si="108"/>
        <v>0</v>
      </c>
      <c r="T1287" s="128">
        <f t="shared" si="106"/>
        <v>0</v>
      </c>
      <c r="U1287" s="129" t="str">
        <f>IFERROR(IF(#REF!="S",VLOOKUP('Raw Data'!A1287,References!#REF!,2,FALSE),(VLOOKUP($S1287,References!$B$3:$C$7,2,FALSE))),"")</f>
        <v/>
      </c>
      <c r="V1287" s="129" t="str">
        <f t="shared" si="109"/>
        <v/>
      </c>
      <c r="W1287" s="74" t="str">
        <f>IFERROR(VLOOKUP($O1287,'Customer List'!$A$1:$J$488,10,FALSE),"")</f>
        <v/>
      </c>
    </row>
    <row r="1288" spans="1:23">
      <c r="A1288" s="120" t="str">
        <f t="shared" si="107"/>
        <v/>
      </c>
      <c r="R1288" s="127">
        <f t="shared" si="108"/>
        <v>0</v>
      </c>
      <c r="T1288" s="128">
        <f t="shared" si="106"/>
        <v>0</v>
      </c>
      <c r="U1288" s="129" t="str">
        <f>IFERROR(IF(#REF!="S",VLOOKUP('Raw Data'!A1288,References!#REF!,2,FALSE),(VLOOKUP($S1288,References!$B$3:$C$7,2,FALSE))),"")</f>
        <v/>
      </c>
      <c r="V1288" s="129" t="str">
        <f t="shared" si="109"/>
        <v/>
      </c>
      <c r="W1288" s="74" t="str">
        <f>IFERROR(VLOOKUP($O1288,'Customer List'!$A$1:$J$488,10,FALSE),"")</f>
        <v/>
      </c>
    </row>
    <row r="1289" spans="1:23">
      <c r="A1289" s="120" t="str">
        <f t="shared" si="107"/>
        <v/>
      </c>
      <c r="R1289" s="127">
        <f t="shared" si="108"/>
        <v>0</v>
      </c>
      <c r="T1289" s="128">
        <f t="shared" si="106"/>
        <v>0</v>
      </c>
      <c r="U1289" s="129" t="str">
        <f>IFERROR(IF(#REF!="S",VLOOKUP('Raw Data'!A1289,References!#REF!,2,FALSE),(VLOOKUP($S1289,References!$B$3:$C$7,2,FALSE))),"")</f>
        <v/>
      </c>
      <c r="V1289" s="129" t="str">
        <f t="shared" si="109"/>
        <v/>
      </c>
      <c r="W1289" s="74" t="str">
        <f>IFERROR(VLOOKUP($O1289,'Customer List'!$A$1:$J$488,10,FALSE),"")</f>
        <v/>
      </c>
    </row>
    <row r="1290" spans="1:23">
      <c r="A1290" s="120" t="str">
        <f t="shared" si="107"/>
        <v/>
      </c>
      <c r="R1290" s="127">
        <f t="shared" si="108"/>
        <v>0</v>
      </c>
      <c r="T1290" s="128">
        <f t="shared" ref="T1290:T1353" si="110">IF(S1290="50 - Cleaning Fee",1,HOUR($R1290)+MINUTE(R1290)/60)</f>
        <v>0</v>
      </c>
      <c r="U1290" s="129" t="str">
        <f>IFERROR(IF(#REF!="S",VLOOKUP('Raw Data'!A1290,References!#REF!,2,FALSE),(VLOOKUP($S1290,References!$B$3:$C$7,2,FALSE))),"")</f>
        <v/>
      </c>
      <c r="V1290" s="129" t="str">
        <f t="shared" si="109"/>
        <v/>
      </c>
      <c r="W1290" s="74" t="str">
        <f>IFERROR(VLOOKUP($O1290,'Customer List'!$A$1:$J$488,10,FALSE),"")</f>
        <v/>
      </c>
    </row>
    <row r="1291" spans="1:23">
      <c r="A1291" s="120" t="str">
        <f t="shared" si="107"/>
        <v/>
      </c>
      <c r="R1291" s="127">
        <f t="shared" si="108"/>
        <v>0</v>
      </c>
      <c r="T1291" s="128">
        <f t="shared" si="110"/>
        <v>0</v>
      </c>
      <c r="U1291" s="129" t="str">
        <f>IFERROR(IF(#REF!="S",VLOOKUP('Raw Data'!A1291,References!#REF!,2,FALSE),(VLOOKUP($S1291,References!$B$3:$C$7,2,FALSE))),"")</f>
        <v/>
      </c>
      <c r="V1291" s="129" t="str">
        <f t="shared" si="109"/>
        <v/>
      </c>
      <c r="W1291" s="74" t="str">
        <f>IFERROR(VLOOKUP($O1291,'Customer List'!$A$1:$J$488,10,FALSE),"")</f>
        <v/>
      </c>
    </row>
    <row r="1292" spans="1:23">
      <c r="A1292" s="120" t="str">
        <f t="shared" si="107"/>
        <v/>
      </c>
      <c r="R1292" s="127">
        <f t="shared" si="108"/>
        <v>0</v>
      </c>
      <c r="T1292" s="128">
        <f t="shared" si="110"/>
        <v>0</v>
      </c>
      <c r="U1292" s="129" t="str">
        <f>IFERROR(IF(#REF!="S",VLOOKUP('Raw Data'!A1292,References!#REF!,2,FALSE),(VLOOKUP($S1292,References!$B$3:$C$7,2,FALSE))),"")</f>
        <v/>
      </c>
      <c r="V1292" s="129" t="str">
        <f t="shared" si="109"/>
        <v/>
      </c>
      <c r="W1292" s="74" t="str">
        <f>IFERROR(VLOOKUP($O1292,'Customer List'!$A$1:$J$488,10,FALSE),"")</f>
        <v/>
      </c>
    </row>
    <row r="1293" spans="1:23">
      <c r="A1293" s="120" t="str">
        <f t="shared" si="107"/>
        <v/>
      </c>
      <c r="R1293" s="127">
        <f t="shared" si="108"/>
        <v>0</v>
      </c>
      <c r="T1293" s="128">
        <f t="shared" si="110"/>
        <v>0</v>
      </c>
      <c r="U1293" s="129" t="str">
        <f>IFERROR(IF(#REF!="S",VLOOKUP('Raw Data'!A1293,References!#REF!,2,FALSE),(VLOOKUP($S1293,References!$B$3:$C$7,2,FALSE))),"")</f>
        <v/>
      </c>
      <c r="V1293" s="129" t="str">
        <f t="shared" si="109"/>
        <v/>
      </c>
      <c r="W1293" s="74" t="str">
        <f>IFERROR(VLOOKUP($O1293,'Customer List'!$A$1:$J$488,10,FALSE),"")</f>
        <v/>
      </c>
    </row>
    <row r="1294" spans="1:23">
      <c r="A1294" s="120" t="str">
        <f t="shared" si="107"/>
        <v/>
      </c>
      <c r="R1294" s="127">
        <f t="shared" si="108"/>
        <v>0</v>
      </c>
      <c r="T1294" s="128">
        <f t="shared" si="110"/>
        <v>0</v>
      </c>
      <c r="U1294" s="129" t="str">
        <f>IFERROR(IF(#REF!="S",VLOOKUP('Raw Data'!A1294,References!#REF!,2,FALSE),(VLOOKUP($S1294,References!$B$3:$C$7,2,FALSE))),"")</f>
        <v/>
      </c>
      <c r="V1294" s="129" t="str">
        <f t="shared" si="109"/>
        <v/>
      </c>
      <c r="W1294" s="74" t="str">
        <f>IFERROR(VLOOKUP($O1294,'Customer List'!$A$1:$J$488,10,FALSE),"")</f>
        <v/>
      </c>
    </row>
    <row r="1295" spans="1:23">
      <c r="A1295" s="120" t="str">
        <f t="shared" si="107"/>
        <v/>
      </c>
      <c r="R1295" s="127">
        <f t="shared" si="108"/>
        <v>0</v>
      </c>
      <c r="T1295" s="128">
        <f t="shared" si="110"/>
        <v>0</v>
      </c>
      <c r="U1295" s="129" t="str">
        <f>IFERROR(IF(#REF!="S",VLOOKUP('Raw Data'!A1295,References!#REF!,2,FALSE),(VLOOKUP($S1295,References!$B$3:$C$7,2,FALSE))),"")</f>
        <v/>
      </c>
      <c r="V1295" s="129" t="str">
        <f t="shared" si="109"/>
        <v/>
      </c>
      <c r="W1295" s="74" t="str">
        <f>IFERROR(VLOOKUP($O1295,'Customer List'!$A$1:$J$488,10,FALSE),"")</f>
        <v/>
      </c>
    </row>
    <row r="1296" spans="1:23">
      <c r="A1296" s="120" t="str">
        <f t="shared" si="107"/>
        <v/>
      </c>
      <c r="R1296" s="127">
        <f t="shared" si="108"/>
        <v>0</v>
      </c>
      <c r="T1296" s="128">
        <f t="shared" si="110"/>
        <v>0</v>
      </c>
      <c r="U1296" s="129" t="str">
        <f>IFERROR(IF(#REF!="S",VLOOKUP('Raw Data'!A1296,References!#REF!,2,FALSE),(VLOOKUP($S1296,References!$B$3:$C$7,2,FALSE))),"")</f>
        <v/>
      </c>
      <c r="V1296" s="129" t="str">
        <f t="shared" si="109"/>
        <v/>
      </c>
      <c r="W1296" s="74" t="str">
        <f>IFERROR(VLOOKUP($O1296,'Customer List'!$A$1:$J$488,10,FALSE),"")</f>
        <v/>
      </c>
    </row>
    <row r="1297" spans="1:23">
      <c r="A1297" s="120" t="str">
        <f t="shared" si="107"/>
        <v/>
      </c>
      <c r="R1297" s="127">
        <f t="shared" si="108"/>
        <v>0</v>
      </c>
      <c r="T1297" s="128">
        <f t="shared" si="110"/>
        <v>0</v>
      </c>
      <c r="U1297" s="129" t="str">
        <f>IFERROR(IF(#REF!="S",VLOOKUP('Raw Data'!A1297,References!#REF!,2,FALSE),(VLOOKUP($S1297,References!$B$3:$C$7,2,FALSE))),"")</f>
        <v/>
      </c>
      <c r="V1297" s="129" t="str">
        <f t="shared" si="109"/>
        <v/>
      </c>
      <c r="W1297" s="74" t="str">
        <f>IFERROR(VLOOKUP($O1297,'Customer List'!$A$1:$J$488,10,FALSE),"")</f>
        <v/>
      </c>
    </row>
    <row r="1298" spans="1:23">
      <c r="A1298" s="120" t="str">
        <f t="shared" si="107"/>
        <v/>
      </c>
      <c r="R1298" s="127">
        <f t="shared" si="108"/>
        <v>0</v>
      </c>
      <c r="T1298" s="128">
        <f t="shared" si="110"/>
        <v>0</v>
      </c>
      <c r="U1298" s="129" t="str">
        <f>IFERROR(IF(#REF!="S",VLOOKUP('Raw Data'!A1298,References!#REF!,2,FALSE),(VLOOKUP($S1298,References!$B$3:$C$7,2,FALSE))),"")</f>
        <v/>
      </c>
      <c r="V1298" s="129" t="str">
        <f t="shared" si="109"/>
        <v/>
      </c>
      <c r="W1298" s="74" t="str">
        <f>IFERROR(VLOOKUP($O1298,'Customer List'!$A$1:$J$488,10,FALSE),"")</f>
        <v/>
      </c>
    </row>
    <row r="1299" spans="1:23">
      <c r="A1299" s="120" t="str">
        <f t="shared" si="107"/>
        <v/>
      </c>
      <c r="R1299" s="127">
        <f t="shared" si="108"/>
        <v>0</v>
      </c>
      <c r="T1299" s="128">
        <f t="shared" si="110"/>
        <v>0</v>
      </c>
      <c r="U1299" s="129" t="str">
        <f>IFERROR(IF(#REF!="S",VLOOKUP('Raw Data'!A1299,References!#REF!,2,FALSE),(VLOOKUP($S1299,References!$B$3:$C$7,2,FALSE))),"")</f>
        <v/>
      </c>
      <c r="V1299" s="129" t="str">
        <f t="shared" si="109"/>
        <v/>
      </c>
      <c r="W1299" s="74" t="str">
        <f>IFERROR(VLOOKUP($O1299,'Customer List'!$A$1:$J$488,10,FALSE),"")</f>
        <v/>
      </c>
    </row>
    <row r="1300" spans="1:23">
      <c r="A1300" s="120" t="str">
        <f t="shared" si="107"/>
        <v/>
      </c>
      <c r="R1300" s="127">
        <f t="shared" si="108"/>
        <v>0</v>
      </c>
      <c r="T1300" s="128">
        <f t="shared" si="110"/>
        <v>0</v>
      </c>
      <c r="U1300" s="129" t="str">
        <f>IFERROR(IF(#REF!="S",VLOOKUP('Raw Data'!A1300,References!#REF!,2,FALSE),(VLOOKUP($S1300,References!$B$3:$C$7,2,FALSE))),"")</f>
        <v/>
      </c>
      <c r="V1300" s="129" t="str">
        <f t="shared" si="109"/>
        <v/>
      </c>
      <c r="W1300" s="74" t="str">
        <f>IFERROR(VLOOKUP($O1300,'Customer List'!$A$1:$J$488,10,FALSE),"")</f>
        <v/>
      </c>
    </row>
    <row r="1301" spans="1:23">
      <c r="A1301" s="120" t="str">
        <f t="shared" si="107"/>
        <v/>
      </c>
      <c r="R1301" s="127">
        <f t="shared" si="108"/>
        <v>0</v>
      </c>
      <c r="T1301" s="128">
        <f t="shared" si="110"/>
        <v>0</v>
      </c>
      <c r="U1301" s="129" t="str">
        <f>IFERROR(IF(#REF!="S",VLOOKUP('Raw Data'!A1301,References!#REF!,2,FALSE),(VLOOKUP($S1301,References!$B$3:$C$7,2,FALSE))),"")</f>
        <v/>
      </c>
      <c r="V1301" s="129" t="str">
        <f t="shared" si="109"/>
        <v/>
      </c>
      <c r="W1301" s="74" t="str">
        <f>IFERROR(VLOOKUP($O1301,'Customer List'!$A$1:$J$488,10,FALSE),"")</f>
        <v/>
      </c>
    </row>
    <row r="1302" spans="1:23">
      <c r="A1302" s="120" t="str">
        <f t="shared" si="107"/>
        <v/>
      </c>
      <c r="R1302" s="127">
        <f t="shared" si="108"/>
        <v>0</v>
      </c>
      <c r="T1302" s="128">
        <f t="shared" si="110"/>
        <v>0</v>
      </c>
      <c r="U1302" s="129" t="str">
        <f>IFERROR(IF(#REF!="S",VLOOKUP('Raw Data'!A1302,References!#REF!,2,FALSE),(VLOOKUP($S1302,References!$B$3:$C$7,2,FALSE))),"")</f>
        <v/>
      </c>
      <c r="V1302" s="129" t="str">
        <f t="shared" si="109"/>
        <v/>
      </c>
      <c r="W1302" s="74" t="str">
        <f>IFERROR(VLOOKUP($O1302,'Customer List'!$A$1:$J$488,10,FALSE),"")</f>
        <v/>
      </c>
    </row>
    <row r="1303" spans="1:23">
      <c r="A1303" s="120" t="str">
        <f t="shared" si="107"/>
        <v/>
      </c>
      <c r="R1303" s="127">
        <f t="shared" si="108"/>
        <v>0</v>
      </c>
      <c r="T1303" s="128">
        <f t="shared" si="110"/>
        <v>0</v>
      </c>
      <c r="U1303" s="129" t="str">
        <f>IFERROR(IF(#REF!="S",VLOOKUP('Raw Data'!A1303,References!#REF!,2,FALSE),(VLOOKUP($S1303,References!$B$3:$C$7,2,FALSE))),"")</f>
        <v/>
      </c>
      <c r="V1303" s="129" t="str">
        <f t="shared" si="109"/>
        <v/>
      </c>
      <c r="W1303" s="74" t="str">
        <f>IFERROR(VLOOKUP($O1303,'Customer List'!$A$1:$J$488,10,FALSE),"")</f>
        <v/>
      </c>
    </row>
    <row r="1304" spans="1:23">
      <c r="A1304" s="120" t="str">
        <f t="shared" si="107"/>
        <v/>
      </c>
      <c r="R1304" s="127">
        <f t="shared" si="108"/>
        <v>0</v>
      </c>
      <c r="T1304" s="128">
        <f t="shared" si="110"/>
        <v>0</v>
      </c>
      <c r="U1304" s="129" t="str">
        <f>IFERROR(IF(#REF!="S",VLOOKUP('Raw Data'!A1304,References!#REF!,2,FALSE),(VLOOKUP($S1304,References!$B$3:$C$7,2,FALSE))),"")</f>
        <v/>
      </c>
      <c r="V1304" s="129" t="str">
        <f t="shared" si="109"/>
        <v/>
      </c>
      <c r="W1304" s="74" t="str">
        <f>IFERROR(VLOOKUP($O1304,'Customer List'!$A$1:$J$488,10,FALSE),"")</f>
        <v/>
      </c>
    </row>
    <row r="1305" spans="1:23">
      <c r="A1305" s="120" t="str">
        <f t="shared" si="107"/>
        <v/>
      </c>
      <c r="R1305" s="127">
        <f t="shared" si="108"/>
        <v>0</v>
      </c>
      <c r="T1305" s="128">
        <f t="shared" si="110"/>
        <v>0</v>
      </c>
      <c r="U1305" s="129" t="str">
        <f>IFERROR(IF(#REF!="S",VLOOKUP('Raw Data'!A1305,References!#REF!,2,FALSE),(VLOOKUP($S1305,References!$B$3:$C$7,2,FALSE))),"")</f>
        <v/>
      </c>
      <c r="V1305" s="129" t="str">
        <f t="shared" si="109"/>
        <v/>
      </c>
      <c r="W1305" s="74" t="str">
        <f>IFERROR(VLOOKUP($O1305,'Customer List'!$A$1:$J$488,10,FALSE),"")</f>
        <v/>
      </c>
    </row>
    <row r="1306" spans="1:23">
      <c r="A1306" s="120" t="str">
        <f t="shared" si="107"/>
        <v/>
      </c>
      <c r="R1306" s="127">
        <f t="shared" si="108"/>
        <v>0</v>
      </c>
      <c r="T1306" s="128">
        <f t="shared" si="110"/>
        <v>0</v>
      </c>
      <c r="U1306" s="129" t="str">
        <f>IFERROR(IF(#REF!="S",VLOOKUP('Raw Data'!A1306,References!#REF!,2,FALSE),(VLOOKUP($S1306,References!$B$3:$C$7,2,FALSE))),"")</f>
        <v/>
      </c>
      <c r="V1306" s="129" t="str">
        <f t="shared" si="109"/>
        <v/>
      </c>
      <c r="W1306" s="74" t="str">
        <f>IFERROR(VLOOKUP($O1306,'Customer List'!$A$1:$J$488,10,FALSE),"")</f>
        <v/>
      </c>
    </row>
    <row r="1307" spans="1:23">
      <c r="A1307" s="120" t="str">
        <f t="shared" si="107"/>
        <v/>
      </c>
      <c r="R1307" s="127">
        <f t="shared" si="108"/>
        <v>0</v>
      </c>
      <c r="T1307" s="128">
        <f t="shared" si="110"/>
        <v>0</v>
      </c>
      <c r="U1307" s="129" t="str">
        <f>IFERROR(IF(#REF!="S",VLOOKUP('Raw Data'!A1307,References!#REF!,2,FALSE),(VLOOKUP($S1307,References!$B$3:$C$7,2,FALSE))),"")</f>
        <v/>
      </c>
      <c r="V1307" s="129" t="str">
        <f t="shared" si="109"/>
        <v/>
      </c>
      <c r="W1307" s="74" t="str">
        <f>IFERROR(VLOOKUP($O1307,'Customer List'!$A$1:$J$488,10,FALSE),"")</f>
        <v/>
      </c>
    </row>
    <row r="1308" spans="1:23">
      <c r="A1308" s="120" t="str">
        <f t="shared" si="107"/>
        <v/>
      </c>
      <c r="R1308" s="127">
        <f t="shared" si="108"/>
        <v>0</v>
      </c>
      <c r="T1308" s="128">
        <f t="shared" si="110"/>
        <v>0</v>
      </c>
      <c r="U1308" s="129" t="str">
        <f>IFERROR(IF(#REF!="S",VLOOKUP('Raw Data'!A1308,References!#REF!,2,FALSE),(VLOOKUP($S1308,References!$B$3:$C$7,2,FALSE))),"")</f>
        <v/>
      </c>
      <c r="V1308" s="129" t="str">
        <f t="shared" si="109"/>
        <v/>
      </c>
      <c r="W1308" s="74" t="str">
        <f>IFERROR(VLOOKUP($O1308,'Customer List'!$A$1:$J$488,10,FALSE),"")</f>
        <v/>
      </c>
    </row>
    <row r="1309" spans="1:23">
      <c r="A1309" s="120" t="str">
        <f t="shared" si="107"/>
        <v/>
      </c>
      <c r="R1309" s="127">
        <f t="shared" si="108"/>
        <v>0</v>
      </c>
      <c r="T1309" s="128">
        <f t="shared" si="110"/>
        <v>0</v>
      </c>
      <c r="U1309" s="129" t="str">
        <f>IFERROR(IF(#REF!="S",VLOOKUP('Raw Data'!A1309,References!#REF!,2,FALSE),(VLOOKUP($S1309,References!$B$3:$C$7,2,FALSE))),"")</f>
        <v/>
      </c>
      <c r="V1309" s="129" t="str">
        <f t="shared" si="109"/>
        <v/>
      </c>
      <c r="W1309" s="74" t="str">
        <f>IFERROR(VLOOKUP($O1309,'Customer List'!$A$1:$J$488,10,FALSE),"")</f>
        <v/>
      </c>
    </row>
    <row r="1310" spans="1:23">
      <c r="A1310" s="120" t="str">
        <f t="shared" si="107"/>
        <v/>
      </c>
      <c r="R1310" s="127">
        <f t="shared" si="108"/>
        <v>0</v>
      </c>
      <c r="T1310" s="128">
        <f t="shared" si="110"/>
        <v>0</v>
      </c>
      <c r="U1310" s="129" t="str">
        <f>IFERROR(IF(#REF!="S",VLOOKUP('Raw Data'!A1310,References!#REF!,2,FALSE),(VLOOKUP($S1310,References!$B$3:$C$7,2,FALSE))),"")</f>
        <v/>
      </c>
      <c r="V1310" s="129" t="str">
        <f t="shared" si="109"/>
        <v/>
      </c>
      <c r="W1310" s="74" t="str">
        <f>IFERROR(VLOOKUP($O1310,'Customer List'!$A$1:$J$488,10,FALSE),"")</f>
        <v/>
      </c>
    </row>
    <row r="1311" spans="1:23">
      <c r="A1311" s="120" t="str">
        <f t="shared" si="107"/>
        <v/>
      </c>
      <c r="R1311" s="127">
        <f t="shared" si="108"/>
        <v>0</v>
      </c>
      <c r="T1311" s="128">
        <f t="shared" si="110"/>
        <v>0</v>
      </c>
      <c r="U1311" s="129" t="str">
        <f>IFERROR(IF(#REF!="S",VLOOKUP('Raw Data'!A1311,References!#REF!,2,FALSE),(VLOOKUP($S1311,References!$B$3:$C$7,2,FALSE))),"")</f>
        <v/>
      </c>
      <c r="V1311" s="129" t="str">
        <f t="shared" si="109"/>
        <v/>
      </c>
      <c r="W1311" s="74" t="str">
        <f>IFERROR(VLOOKUP($O1311,'Customer List'!$A$1:$J$488,10,FALSE),"")</f>
        <v/>
      </c>
    </row>
    <row r="1312" spans="1:23">
      <c r="A1312" s="120" t="str">
        <f t="shared" si="107"/>
        <v/>
      </c>
      <c r="R1312" s="127">
        <f t="shared" si="108"/>
        <v>0</v>
      </c>
      <c r="T1312" s="128">
        <f t="shared" si="110"/>
        <v>0</v>
      </c>
      <c r="U1312" s="129" t="str">
        <f>IFERROR(IF(#REF!="S",VLOOKUP('Raw Data'!A1312,References!#REF!,2,FALSE),(VLOOKUP($S1312,References!$B$3:$C$7,2,FALSE))),"")</f>
        <v/>
      </c>
      <c r="V1312" s="129" t="str">
        <f t="shared" si="109"/>
        <v/>
      </c>
      <c r="W1312" s="74" t="str">
        <f>IFERROR(VLOOKUP($O1312,'Customer List'!$A$1:$J$488,10,FALSE),"")</f>
        <v/>
      </c>
    </row>
    <row r="1313" spans="1:23">
      <c r="A1313" s="120" t="str">
        <f t="shared" si="107"/>
        <v/>
      </c>
      <c r="R1313" s="127">
        <f t="shared" si="108"/>
        <v>0</v>
      </c>
      <c r="T1313" s="128">
        <f t="shared" si="110"/>
        <v>0</v>
      </c>
      <c r="U1313" s="129" t="str">
        <f>IFERROR(IF(#REF!="S",VLOOKUP('Raw Data'!A1313,References!#REF!,2,FALSE),(VLOOKUP($S1313,References!$B$3:$C$7,2,FALSE))),"")</f>
        <v/>
      </c>
      <c r="V1313" s="129" t="str">
        <f t="shared" si="109"/>
        <v/>
      </c>
      <c r="W1313" s="74" t="str">
        <f>IFERROR(VLOOKUP($O1313,'Customer List'!$A$1:$J$488,10,FALSE),"")</f>
        <v/>
      </c>
    </row>
    <row r="1314" spans="1:23">
      <c r="A1314" s="120" t="str">
        <f t="shared" si="107"/>
        <v/>
      </c>
      <c r="R1314" s="127">
        <f t="shared" si="108"/>
        <v>0</v>
      </c>
      <c r="T1314" s="128">
        <f t="shared" si="110"/>
        <v>0</v>
      </c>
      <c r="U1314" s="129" t="str">
        <f>IFERROR(IF(#REF!="S",VLOOKUP('Raw Data'!A1314,References!#REF!,2,FALSE),(VLOOKUP($S1314,References!$B$3:$C$7,2,FALSE))),"")</f>
        <v/>
      </c>
      <c r="V1314" s="129" t="str">
        <f t="shared" si="109"/>
        <v/>
      </c>
      <c r="W1314" s="74" t="str">
        <f>IFERROR(VLOOKUP($O1314,'Customer List'!$A$1:$J$488,10,FALSE),"")</f>
        <v/>
      </c>
    </row>
    <row r="1315" spans="1:23">
      <c r="A1315" s="120" t="str">
        <f t="shared" si="107"/>
        <v/>
      </c>
      <c r="R1315" s="127">
        <f t="shared" si="108"/>
        <v>0</v>
      </c>
      <c r="T1315" s="128">
        <f t="shared" si="110"/>
        <v>0</v>
      </c>
      <c r="U1315" s="129" t="str">
        <f>IFERROR(IF(#REF!="S",VLOOKUP('Raw Data'!A1315,References!#REF!,2,FALSE),(VLOOKUP($S1315,References!$B$3:$C$7,2,FALSE))),"")</f>
        <v/>
      </c>
      <c r="V1315" s="129" t="str">
        <f t="shared" si="109"/>
        <v/>
      </c>
      <c r="W1315" s="74" t="str">
        <f>IFERROR(VLOOKUP($O1315,'Customer List'!$A$1:$J$488,10,FALSE),"")</f>
        <v/>
      </c>
    </row>
    <row r="1316" spans="1:23">
      <c r="A1316" s="120" t="str">
        <f t="shared" si="107"/>
        <v/>
      </c>
      <c r="R1316" s="127">
        <f t="shared" si="108"/>
        <v>0</v>
      </c>
      <c r="T1316" s="128">
        <f t="shared" si="110"/>
        <v>0</v>
      </c>
      <c r="U1316" s="129" t="str">
        <f>IFERROR(IF(#REF!="S",VLOOKUP('Raw Data'!A1316,References!#REF!,2,FALSE),(VLOOKUP($S1316,References!$B$3:$C$7,2,FALSE))),"")</f>
        <v/>
      </c>
      <c r="V1316" s="129" t="str">
        <f t="shared" si="109"/>
        <v/>
      </c>
      <c r="W1316" s="74" t="str">
        <f>IFERROR(VLOOKUP($O1316,'Customer List'!$A$1:$J$488,10,FALSE),"")</f>
        <v/>
      </c>
    </row>
    <row r="1317" spans="1:23">
      <c r="A1317" s="120" t="str">
        <f t="shared" si="107"/>
        <v/>
      </c>
      <c r="R1317" s="127">
        <f t="shared" si="108"/>
        <v>0</v>
      </c>
      <c r="T1317" s="128">
        <f t="shared" si="110"/>
        <v>0</v>
      </c>
      <c r="U1317" s="129" t="str">
        <f>IFERROR(IF(#REF!="S",VLOOKUP('Raw Data'!A1317,References!#REF!,2,FALSE),(VLOOKUP($S1317,References!$B$3:$C$7,2,FALSE))),"")</f>
        <v/>
      </c>
      <c r="V1317" s="129" t="str">
        <f t="shared" si="109"/>
        <v/>
      </c>
      <c r="W1317" s="74" t="str">
        <f>IFERROR(VLOOKUP($O1317,'Customer List'!$A$1:$J$488,10,FALSE),"")</f>
        <v/>
      </c>
    </row>
    <row r="1318" spans="1:23">
      <c r="A1318" s="120" t="str">
        <f t="shared" ref="A1318:A1381" si="111">O1318&amp;S1318</f>
        <v/>
      </c>
      <c r="R1318" s="127">
        <f t="shared" ref="R1318:R1381" si="112">L1318-K1318</f>
        <v>0</v>
      </c>
      <c r="T1318" s="128">
        <f t="shared" si="110"/>
        <v>0</v>
      </c>
      <c r="U1318" s="129" t="str">
        <f>IFERROR(IF(#REF!="S",VLOOKUP('Raw Data'!A1318,References!#REF!,2,FALSE),(VLOOKUP($S1318,References!$B$3:$C$7,2,FALSE))),"")</f>
        <v/>
      </c>
      <c r="V1318" s="129" t="str">
        <f t="shared" si="109"/>
        <v/>
      </c>
      <c r="W1318" s="74" t="str">
        <f>IFERROR(VLOOKUP($O1318,'Customer List'!$A$1:$J$488,10,FALSE),"")</f>
        <v/>
      </c>
    </row>
    <row r="1319" spans="1:23">
      <c r="A1319" s="120" t="str">
        <f t="shared" si="111"/>
        <v/>
      </c>
      <c r="R1319" s="127">
        <f t="shared" si="112"/>
        <v>0</v>
      </c>
      <c r="T1319" s="128">
        <f t="shared" si="110"/>
        <v>0</v>
      </c>
      <c r="U1319" s="129" t="str">
        <f>IFERROR(IF(#REF!="S",VLOOKUP('Raw Data'!A1319,References!#REF!,2,FALSE),(VLOOKUP($S1319,References!$B$3:$C$7,2,FALSE))),"")</f>
        <v/>
      </c>
      <c r="V1319" s="129" t="str">
        <f t="shared" si="109"/>
        <v/>
      </c>
      <c r="W1319" s="74" t="str">
        <f>IFERROR(VLOOKUP($O1319,'Customer List'!$A$1:$J$488,10,FALSE),"")</f>
        <v/>
      </c>
    </row>
    <row r="1320" spans="1:23">
      <c r="A1320" s="120" t="str">
        <f t="shared" si="111"/>
        <v/>
      </c>
      <c r="R1320" s="127">
        <f t="shared" si="112"/>
        <v>0</v>
      </c>
      <c r="T1320" s="128">
        <f t="shared" si="110"/>
        <v>0</v>
      </c>
      <c r="U1320" s="129" t="str">
        <f>IFERROR(IF(#REF!="S",VLOOKUP('Raw Data'!A1320,References!#REF!,2,FALSE),(VLOOKUP($S1320,References!$B$3:$C$7,2,FALSE))),"")</f>
        <v/>
      </c>
      <c r="V1320" s="129" t="str">
        <f t="shared" ref="V1320:V1383" si="113">IFERROR(T1320*U1320,"")</f>
        <v/>
      </c>
      <c r="W1320" s="74" t="str">
        <f>IFERROR(VLOOKUP($O1320,'Customer List'!$A$1:$J$488,10,FALSE),"")</f>
        <v/>
      </c>
    </row>
    <row r="1321" spans="1:23">
      <c r="A1321" s="120" t="str">
        <f t="shared" si="111"/>
        <v/>
      </c>
      <c r="R1321" s="127">
        <f t="shared" si="112"/>
        <v>0</v>
      </c>
      <c r="T1321" s="128">
        <f t="shared" si="110"/>
        <v>0</v>
      </c>
      <c r="U1321" s="129" t="str">
        <f>IFERROR(IF(#REF!="S",VLOOKUP('Raw Data'!A1321,References!#REF!,2,FALSE),(VLOOKUP($S1321,References!$B$3:$C$7,2,FALSE))),"")</f>
        <v/>
      </c>
      <c r="V1321" s="129" t="str">
        <f t="shared" si="113"/>
        <v/>
      </c>
      <c r="W1321" s="74" t="str">
        <f>IFERROR(VLOOKUP($O1321,'Customer List'!$A$1:$J$488,10,FALSE),"")</f>
        <v/>
      </c>
    </row>
    <row r="1322" spans="1:23">
      <c r="A1322" s="120" t="str">
        <f t="shared" si="111"/>
        <v/>
      </c>
      <c r="R1322" s="127">
        <f t="shared" si="112"/>
        <v>0</v>
      </c>
      <c r="T1322" s="128">
        <f t="shared" si="110"/>
        <v>0</v>
      </c>
      <c r="U1322" s="129" t="str">
        <f>IFERROR(IF(#REF!="S",VLOOKUP('Raw Data'!A1322,References!#REF!,2,FALSE),(VLOOKUP($S1322,References!$B$3:$C$7,2,FALSE))),"")</f>
        <v/>
      </c>
      <c r="V1322" s="129" t="str">
        <f t="shared" si="113"/>
        <v/>
      </c>
      <c r="W1322" s="74" t="str">
        <f>IFERROR(VLOOKUP($O1322,'Customer List'!$A$1:$J$488,10,FALSE),"")</f>
        <v/>
      </c>
    </row>
    <row r="1323" spans="1:23">
      <c r="A1323" s="120" t="str">
        <f t="shared" si="111"/>
        <v/>
      </c>
      <c r="R1323" s="127">
        <f t="shared" si="112"/>
        <v>0</v>
      </c>
      <c r="T1323" s="128">
        <f t="shared" si="110"/>
        <v>0</v>
      </c>
      <c r="U1323" s="129" t="str">
        <f>IFERROR(IF(#REF!="S",VLOOKUP('Raw Data'!A1323,References!#REF!,2,FALSE),(VLOOKUP($S1323,References!$B$3:$C$7,2,FALSE))),"")</f>
        <v/>
      </c>
      <c r="V1323" s="129" t="str">
        <f t="shared" si="113"/>
        <v/>
      </c>
      <c r="W1323" s="74" t="str">
        <f>IFERROR(VLOOKUP($O1323,'Customer List'!$A$1:$J$488,10,FALSE),"")</f>
        <v/>
      </c>
    </row>
    <row r="1324" spans="1:23">
      <c r="A1324" s="120" t="str">
        <f t="shared" si="111"/>
        <v/>
      </c>
      <c r="R1324" s="127">
        <f t="shared" si="112"/>
        <v>0</v>
      </c>
      <c r="T1324" s="128">
        <f t="shared" si="110"/>
        <v>0</v>
      </c>
      <c r="U1324" s="129" t="str">
        <f>IFERROR(IF(#REF!="S",VLOOKUP('Raw Data'!A1324,References!#REF!,2,FALSE),(VLOOKUP($S1324,References!$B$3:$C$7,2,FALSE))),"")</f>
        <v/>
      </c>
      <c r="V1324" s="129" t="str">
        <f t="shared" si="113"/>
        <v/>
      </c>
      <c r="W1324" s="74" t="str">
        <f>IFERROR(VLOOKUP($O1324,'Customer List'!$A$1:$J$488,10,FALSE),"")</f>
        <v/>
      </c>
    </row>
    <row r="1325" spans="1:23">
      <c r="A1325" s="120" t="str">
        <f t="shared" si="111"/>
        <v/>
      </c>
      <c r="R1325" s="127">
        <f t="shared" si="112"/>
        <v>0</v>
      </c>
      <c r="T1325" s="128">
        <f t="shared" si="110"/>
        <v>0</v>
      </c>
      <c r="U1325" s="129" t="str">
        <f>IFERROR(IF(#REF!="S",VLOOKUP('Raw Data'!A1325,References!#REF!,2,FALSE),(VLOOKUP($S1325,References!$B$3:$C$7,2,FALSE))),"")</f>
        <v/>
      </c>
      <c r="V1325" s="129" t="str">
        <f t="shared" si="113"/>
        <v/>
      </c>
      <c r="W1325" s="74" t="str">
        <f>IFERROR(VLOOKUP($O1325,'Customer List'!$A$1:$J$488,10,FALSE),"")</f>
        <v/>
      </c>
    </row>
    <row r="1326" spans="1:23">
      <c r="A1326" s="120" t="str">
        <f t="shared" si="111"/>
        <v/>
      </c>
      <c r="R1326" s="127">
        <f t="shared" si="112"/>
        <v>0</v>
      </c>
      <c r="T1326" s="128">
        <f t="shared" si="110"/>
        <v>0</v>
      </c>
      <c r="U1326" s="129" t="str">
        <f>IFERROR(IF(#REF!="S",VLOOKUP('Raw Data'!A1326,References!#REF!,2,FALSE),(VLOOKUP($S1326,References!$B$3:$C$7,2,FALSE))),"")</f>
        <v/>
      </c>
      <c r="V1326" s="129" t="str">
        <f t="shared" si="113"/>
        <v/>
      </c>
      <c r="W1326" s="74" t="str">
        <f>IFERROR(VLOOKUP($O1326,'Customer List'!$A$1:$J$488,10,FALSE),"")</f>
        <v/>
      </c>
    </row>
    <row r="1327" spans="1:23">
      <c r="A1327" s="120" t="str">
        <f t="shared" si="111"/>
        <v/>
      </c>
      <c r="R1327" s="127">
        <f t="shared" si="112"/>
        <v>0</v>
      </c>
      <c r="T1327" s="128">
        <f t="shared" si="110"/>
        <v>0</v>
      </c>
      <c r="U1327" s="129" t="str">
        <f>IFERROR(IF(#REF!="S",VLOOKUP('Raw Data'!A1327,References!#REF!,2,FALSE),(VLOOKUP($S1327,References!$B$3:$C$7,2,FALSE))),"")</f>
        <v/>
      </c>
      <c r="V1327" s="129" t="str">
        <f t="shared" si="113"/>
        <v/>
      </c>
      <c r="W1327" s="74" t="str">
        <f>IFERROR(VLOOKUP($O1327,'Customer List'!$A$1:$J$488,10,FALSE),"")</f>
        <v/>
      </c>
    </row>
    <row r="1328" spans="1:23">
      <c r="A1328" s="120" t="str">
        <f t="shared" si="111"/>
        <v/>
      </c>
      <c r="R1328" s="127">
        <f t="shared" si="112"/>
        <v>0</v>
      </c>
      <c r="T1328" s="128">
        <f t="shared" si="110"/>
        <v>0</v>
      </c>
      <c r="U1328" s="129" t="str">
        <f>IFERROR(IF(#REF!="S",VLOOKUP('Raw Data'!A1328,References!#REF!,2,FALSE),(VLOOKUP($S1328,References!$B$3:$C$7,2,FALSE))),"")</f>
        <v/>
      </c>
      <c r="V1328" s="129" t="str">
        <f t="shared" si="113"/>
        <v/>
      </c>
      <c r="W1328" s="74" t="str">
        <f>IFERROR(VLOOKUP($O1328,'Customer List'!$A$1:$J$488,10,FALSE),"")</f>
        <v/>
      </c>
    </row>
    <row r="1329" spans="1:23">
      <c r="A1329" s="120" t="str">
        <f t="shared" si="111"/>
        <v/>
      </c>
      <c r="R1329" s="127">
        <f t="shared" si="112"/>
        <v>0</v>
      </c>
      <c r="T1329" s="128">
        <f t="shared" si="110"/>
        <v>0</v>
      </c>
      <c r="U1329" s="129" t="str">
        <f>IFERROR(IF(#REF!="S",VLOOKUP('Raw Data'!A1329,References!#REF!,2,FALSE),(VLOOKUP($S1329,References!$B$3:$C$7,2,FALSE))),"")</f>
        <v/>
      </c>
      <c r="V1329" s="129" t="str">
        <f t="shared" si="113"/>
        <v/>
      </c>
      <c r="W1329" s="74" t="str">
        <f>IFERROR(VLOOKUP($O1329,'Customer List'!$A$1:$J$488,10,FALSE),"")</f>
        <v/>
      </c>
    </row>
    <row r="1330" spans="1:23">
      <c r="A1330" s="120" t="str">
        <f t="shared" si="111"/>
        <v/>
      </c>
      <c r="R1330" s="127">
        <f t="shared" si="112"/>
        <v>0</v>
      </c>
      <c r="T1330" s="128">
        <f t="shared" si="110"/>
        <v>0</v>
      </c>
      <c r="U1330" s="129" t="str">
        <f>IFERROR(IF(#REF!="S",VLOOKUP('Raw Data'!A1330,References!#REF!,2,FALSE),(VLOOKUP($S1330,References!$B$3:$C$7,2,FALSE))),"")</f>
        <v/>
      </c>
      <c r="V1330" s="129" t="str">
        <f t="shared" si="113"/>
        <v/>
      </c>
      <c r="W1330" s="74" t="str">
        <f>IFERROR(VLOOKUP($O1330,'Customer List'!$A$1:$J$488,10,FALSE),"")</f>
        <v/>
      </c>
    </row>
    <row r="1331" spans="1:23">
      <c r="A1331" s="120" t="str">
        <f t="shared" si="111"/>
        <v/>
      </c>
      <c r="R1331" s="127">
        <f t="shared" si="112"/>
        <v>0</v>
      </c>
      <c r="T1331" s="128">
        <f t="shared" si="110"/>
        <v>0</v>
      </c>
      <c r="U1331" s="129" t="str">
        <f>IFERROR(IF(#REF!="S",VLOOKUP('Raw Data'!A1331,References!#REF!,2,FALSE),(VLOOKUP($S1331,References!$B$3:$C$7,2,FALSE))),"")</f>
        <v/>
      </c>
      <c r="V1331" s="129" t="str">
        <f t="shared" si="113"/>
        <v/>
      </c>
      <c r="W1331" s="74" t="str">
        <f>IFERROR(VLOOKUP($O1331,'Customer List'!$A$1:$J$488,10,FALSE),"")</f>
        <v/>
      </c>
    </row>
    <row r="1332" spans="1:23">
      <c r="A1332" s="120" t="str">
        <f t="shared" si="111"/>
        <v/>
      </c>
      <c r="R1332" s="127">
        <f t="shared" si="112"/>
        <v>0</v>
      </c>
      <c r="T1332" s="128">
        <f t="shared" si="110"/>
        <v>0</v>
      </c>
      <c r="U1332" s="129" t="str">
        <f>IFERROR(IF(#REF!="S",VLOOKUP('Raw Data'!A1332,References!#REF!,2,FALSE),(VLOOKUP($S1332,References!$B$3:$C$7,2,FALSE))),"")</f>
        <v/>
      </c>
      <c r="V1332" s="129" t="str">
        <f t="shared" si="113"/>
        <v/>
      </c>
      <c r="W1332" s="74" t="str">
        <f>IFERROR(VLOOKUP($O1332,'Customer List'!$A$1:$J$488,10,FALSE),"")</f>
        <v/>
      </c>
    </row>
    <row r="1333" spans="1:23">
      <c r="A1333" s="120" t="str">
        <f t="shared" si="111"/>
        <v/>
      </c>
      <c r="R1333" s="127">
        <f t="shared" si="112"/>
        <v>0</v>
      </c>
      <c r="T1333" s="128">
        <f t="shared" si="110"/>
        <v>0</v>
      </c>
      <c r="U1333" s="129" t="str">
        <f>IFERROR(IF(#REF!="S",VLOOKUP('Raw Data'!A1333,References!#REF!,2,FALSE),(VLOOKUP($S1333,References!$B$3:$C$7,2,FALSE))),"")</f>
        <v/>
      </c>
      <c r="V1333" s="129" t="str">
        <f t="shared" si="113"/>
        <v/>
      </c>
      <c r="W1333" s="74" t="str">
        <f>IFERROR(VLOOKUP($O1333,'Customer List'!$A$1:$J$488,10,FALSE),"")</f>
        <v/>
      </c>
    </row>
    <row r="1334" spans="1:23">
      <c r="A1334" s="120" t="str">
        <f t="shared" si="111"/>
        <v/>
      </c>
      <c r="R1334" s="127">
        <f t="shared" si="112"/>
        <v>0</v>
      </c>
      <c r="T1334" s="128">
        <f t="shared" si="110"/>
        <v>0</v>
      </c>
      <c r="U1334" s="129" t="str">
        <f>IFERROR(IF(#REF!="S",VLOOKUP('Raw Data'!A1334,References!#REF!,2,FALSE),(VLOOKUP($S1334,References!$B$3:$C$7,2,FALSE))),"")</f>
        <v/>
      </c>
      <c r="V1334" s="129" t="str">
        <f t="shared" si="113"/>
        <v/>
      </c>
      <c r="W1334" s="74" t="str">
        <f>IFERROR(VLOOKUP($O1334,'Customer List'!$A$1:$J$488,10,FALSE),"")</f>
        <v/>
      </c>
    </row>
    <row r="1335" spans="1:23">
      <c r="A1335" s="120" t="str">
        <f t="shared" si="111"/>
        <v/>
      </c>
      <c r="R1335" s="127">
        <f t="shared" si="112"/>
        <v>0</v>
      </c>
      <c r="T1335" s="128">
        <f t="shared" si="110"/>
        <v>0</v>
      </c>
      <c r="U1335" s="129" t="str">
        <f>IFERROR(IF(#REF!="S",VLOOKUP('Raw Data'!A1335,References!#REF!,2,FALSE),(VLOOKUP($S1335,References!$B$3:$C$7,2,FALSE))),"")</f>
        <v/>
      </c>
      <c r="V1335" s="129" t="str">
        <f t="shared" si="113"/>
        <v/>
      </c>
      <c r="W1335" s="74" t="str">
        <f>IFERROR(VLOOKUP($O1335,'Customer List'!$A$1:$J$488,10,FALSE),"")</f>
        <v/>
      </c>
    </row>
    <row r="1336" spans="1:23">
      <c r="A1336" s="120" t="str">
        <f t="shared" si="111"/>
        <v/>
      </c>
      <c r="R1336" s="127">
        <f t="shared" si="112"/>
        <v>0</v>
      </c>
      <c r="T1336" s="128">
        <f t="shared" si="110"/>
        <v>0</v>
      </c>
      <c r="U1336" s="129" t="str">
        <f>IFERROR(IF(#REF!="S",VLOOKUP('Raw Data'!A1336,References!#REF!,2,FALSE),(VLOOKUP($S1336,References!$B$3:$C$7,2,FALSE))),"")</f>
        <v/>
      </c>
      <c r="V1336" s="129" t="str">
        <f t="shared" si="113"/>
        <v/>
      </c>
      <c r="W1336" s="74" t="str">
        <f>IFERROR(VLOOKUP($O1336,'Customer List'!$A$1:$J$488,10,FALSE),"")</f>
        <v/>
      </c>
    </row>
    <row r="1337" spans="1:23">
      <c r="A1337" s="120" t="str">
        <f t="shared" si="111"/>
        <v/>
      </c>
      <c r="R1337" s="127">
        <f t="shared" si="112"/>
        <v>0</v>
      </c>
      <c r="T1337" s="128">
        <f t="shared" si="110"/>
        <v>0</v>
      </c>
      <c r="U1337" s="129" t="str">
        <f>IFERROR(IF(#REF!="S",VLOOKUP('Raw Data'!A1337,References!#REF!,2,FALSE),(VLOOKUP($S1337,References!$B$3:$C$7,2,FALSE))),"")</f>
        <v/>
      </c>
      <c r="V1337" s="129" t="str">
        <f t="shared" si="113"/>
        <v/>
      </c>
      <c r="W1337" s="74" t="str">
        <f>IFERROR(VLOOKUP($O1337,'Customer List'!$A$1:$J$488,10,FALSE),"")</f>
        <v/>
      </c>
    </row>
    <row r="1338" spans="1:23">
      <c r="A1338" s="120" t="str">
        <f t="shared" si="111"/>
        <v/>
      </c>
      <c r="R1338" s="127">
        <f t="shared" si="112"/>
        <v>0</v>
      </c>
      <c r="T1338" s="128">
        <f t="shared" si="110"/>
        <v>0</v>
      </c>
      <c r="U1338" s="129" t="str">
        <f>IFERROR(IF(#REF!="S",VLOOKUP('Raw Data'!A1338,References!#REF!,2,FALSE),(VLOOKUP($S1338,References!$B$3:$C$7,2,FALSE))),"")</f>
        <v/>
      </c>
      <c r="V1338" s="129" t="str">
        <f t="shared" si="113"/>
        <v/>
      </c>
      <c r="W1338" s="74" t="str">
        <f>IFERROR(VLOOKUP($O1338,'Customer List'!$A$1:$J$488,10,FALSE),"")</f>
        <v/>
      </c>
    </row>
    <row r="1339" spans="1:23">
      <c r="A1339" s="120" t="str">
        <f t="shared" si="111"/>
        <v/>
      </c>
      <c r="R1339" s="127">
        <f t="shared" si="112"/>
        <v>0</v>
      </c>
      <c r="T1339" s="128">
        <f t="shared" si="110"/>
        <v>0</v>
      </c>
      <c r="U1339" s="129" t="str">
        <f>IFERROR(IF(#REF!="S",VLOOKUP('Raw Data'!A1339,References!#REF!,2,FALSE),(VLOOKUP($S1339,References!$B$3:$C$7,2,FALSE))),"")</f>
        <v/>
      </c>
      <c r="V1339" s="129" t="str">
        <f t="shared" si="113"/>
        <v/>
      </c>
      <c r="W1339" s="74" t="str">
        <f>IFERROR(VLOOKUP($O1339,'Customer List'!$A$1:$J$488,10,FALSE),"")</f>
        <v/>
      </c>
    </row>
    <row r="1340" spans="1:23">
      <c r="A1340" s="120" t="str">
        <f t="shared" si="111"/>
        <v/>
      </c>
      <c r="R1340" s="127">
        <f t="shared" si="112"/>
        <v>0</v>
      </c>
      <c r="T1340" s="128">
        <f t="shared" si="110"/>
        <v>0</v>
      </c>
      <c r="U1340" s="129" t="str">
        <f>IFERROR(IF(#REF!="S",VLOOKUP('Raw Data'!A1340,References!#REF!,2,FALSE),(VLOOKUP($S1340,References!$B$3:$C$7,2,FALSE))),"")</f>
        <v/>
      </c>
      <c r="V1340" s="129" t="str">
        <f t="shared" si="113"/>
        <v/>
      </c>
      <c r="W1340" s="74" t="str">
        <f>IFERROR(VLOOKUP($O1340,'Customer List'!$A$1:$J$488,10,FALSE),"")</f>
        <v/>
      </c>
    </row>
    <row r="1341" spans="1:23">
      <c r="A1341" s="120" t="str">
        <f t="shared" si="111"/>
        <v/>
      </c>
      <c r="R1341" s="127">
        <f t="shared" si="112"/>
        <v>0</v>
      </c>
      <c r="T1341" s="128">
        <f t="shared" si="110"/>
        <v>0</v>
      </c>
      <c r="U1341" s="129" t="str">
        <f>IFERROR(IF(#REF!="S",VLOOKUP('Raw Data'!A1341,References!#REF!,2,FALSE),(VLOOKUP($S1341,References!$B$3:$C$7,2,FALSE))),"")</f>
        <v/>
      </c>
      <c r="V1341" s="129" t="str">
        <f t="shared" si="113"/>
        <v/>
      </c>
      <c r="W1341" s="74" t="str">
        <f>IFERROR(VLOOKUP($O1341,'Customer List'!$A$1:$J$488,10,FALSE),"")</f>
        <v/>
      </c>
    </row>
    <row r="1342" spans="1:23">
      <c r="A1342" s="120" t="str">
        <f t="shared" si="111"/>
        <v/>
      </c>
      <c r="R1342" s="127">
        <f t="shared" si="112"/>
        <v>0</v>
      </c>
      <c r="T1342" s="128">
        <f t="shared" si="110"/>
        <v>0</v>
      </c>
      <c r="U1342" s="129" t="str">
        <f>IFERROR(IF(#REF!="S",VLOOKUP('Raw Data'!A1342,References!#REF!,2,FALSE),(VLOOKUP($S1342,References!$B$3:$C$7,2,FALSE))),"")</f>
        <v/>
      </c>
      <c r="V1342" s="129" t="str">
        <f t="shared" si="113"/>
        <v/>
      </c>
      <c r="W1342" s="74" t="str">
        <f>IFERROR(VLOOKUP($O1342,'Customer List'!$A$1:$J$488,10,FALSE),"")</f>
        <v/>
      </c>
    </row>
    <row r="1343" spans="1:23">
      <c r="A1343" s="120" t="str">
        <f t="shared" si="111"/>
        <v/>
      </c>
      <c r="R1343" s="127">
        <f t="shared" si="112"/>
        <v>0</v>
      </c>
      <c r="T1343" s="128">
        <f t="shared" si="110"/>
        <v>0</v>
      </c>
      <c r="U1343" s="129" t="str">
        <f>IFERROR(IF(#REF!="S",VLOOKUP('Raw Data'!A1343,References!#REF!,2,FALSE),(VLOOKUP($S1343,References!$B$3:$C$7,2,FALSE))),"")</f>
        <v/>
      </c>
      <c r="V1343" s="129" t="str">
        <f t="shared" si="113"/>
        <v/>
      </c>
      <c r="W1343" s="74" t="str">
        <f>IFERROR(VLOOKUP($O1343,'Customer List'!$A$1:$J$488,10,FALSE),"")</f>
        <v/>
      </c>
    </row>
    <row r="1344" spans="1:23">
      <c r="A1344" s="120" t="str">
        <f t="shared" si="111"/>
        <v/>
      </c>
      <c r="R1344" s="127">
        <f t="shared" si="112"/>
        <v>0</v>
      </c>
      <c r="T1344" s="128">
        <f t="shared" si="110"/>
        <v>0</v>
      </c>
      <c r="U1344" s="129" t="str">
        <f>IFERROR(IF(#REF!="S",VLOOKUP('Raw Data'!A1344,References!#REF!,2,FALSE),(VLOOKUP($S1344,References!$B$3:$C$7,2,FALSE))),"")</f>
        <v/>
      </c>
      <c r="V1344" s="129" t="str">
        <f t="shared" si="113"/>
        <v/>
      </c>
      <c r="W1344" s="74" t="str">
        <f>IFERROR(VLOOKUP($O1344,'Customer List'!$A$1:$J$488,10,FALSE),"")</f>
        <v/>
      </c>
    </row>
    <row r="1345" spans="1:23">
      <c r="A1345" s="120" t="str">
        <f t="shared" si="111"/>
        <v/>
      </c>
      <c r="R1345" s="127">
        <f t="shared" si="112"/>
        <v>0</v>
      </c>
      <c r="T1345" s="128">
        <f t="shared" si="110"/>
        <v>0</v>
      </c>
      <c r="U1345" s="129" t="str">
        <f>IFERROR(IF(#REF!="S",VLOOKUP('Raw Data'!A1345,References!#REF!,2,FALSE),(VLOOKUP($S1345,References!$B$3:$C$7,2,FALSE))),"")</f>
        <v/>
      </c>
      <c r="V1345" s="129" t="str">
        <f t="shared" si="113"/>
        <v/>
      </c>
      <c r="W1345" s="74" t="str">
        <f>IFERROR(VLOOKUP($O1345,'Customer List'!$A$1:$J$488,10,FALSE),"")</f>
        <v/>
      </c>
    </row>
    <row r="1346" spans="1:23">
      <c r="A1346" s="120" t="str">
        <f t="shared" si="111"/>
        <v/>
      </c>
      <c r="R1346" s="127">
        <f t="shared" si="112"/>
        <v>0</v>
      </c>
      <c r="T1346" s="128">
        <f t="shared" si="110"/>
        <v>0</v>
      </c>
      <c r="U1346" s="129" t="str">
        <f>IFERROR(IF(#REF!="S",VLOOKUP('Raw Data'!A1346,References!#REF!,2,FALSE),(VLOOKUP($S1346,References!$B$3:$C$7,2,FALSE))),"")</f>
        <v/>
      </c>
      <c r="V1346" s="129" t="str">
        <f t="shared" si="113"/>
        <v/>
      </c>
      <c r="W1346" s="74" t="str">
        <f>IFERROR(VLOOKUP($O1346,'Customer List'!$A$1:$J$488,10,FALSE),"")</f>
        <v/>
      </c>
    </row>
    <row r="1347" spans="1:23">
      <c r="A1347" s="120" t="str">
        <f t="shared" si="111"/>
        <v/>
      </c>
      <c r="R1347" s="127">
        <f t="shared" si="112"/>
        <v>0</v>
      </c>
      <c r="T1347" s="128">
        <f t="shared" si="110"/>
        <v>0</v>
      </c>
      <c r="U1347" s="129" t="str">
        <f>IFERROR(IF(#REF!="S",VLOOKUP('Raw Data'!A1347,References!#REF!,2,FALSE),(VLOOKUP($S1347,References!$B$3:$C$7,2,FALSE))),"")</f>
        <v/>
      </c>
      <c r="V1347" s="129" t="str">
        <f t="shared" si="113"/>
        <v/>
      </c>
      <c r="W1347" s="74" t="str">
        <f>IFERROR(VLOOKUP($O1347,'Customer List'!$A$1:$J$488,10,FALSE),"")</f>
        <v/>
      </c>
    </row>
    <row r="1348" spans="1:23">
      <c r="A1348" s="120" t="str">
        <f t="shared" si="111"/>
        <v/>
      </c>
      <c r="R1348" s="127">
        <f t="shared" si="112"/>
        <v>0</v>
      </c>
      <c r="T1348" s="128">
        <f t="shared" si="110"/>
        <v>0</v>
      </c>
      <c r="U1348" s="129" t="str">
        <f>IFERROR(IF(#REF!="S",VLOOKUP('Raw Data'!A1348,References!#REF!,2,FALSE),(VLOOKUP($S1348,References!$B$3:$C$7,2,FALSE))),"")</f>
        <v/>
      </c>
      <c r="V1348" s="129" t="str">
        <f t="shared" si="113"/>
        <v/>
      </c>
      <c r="W1348" s="74" t="str">
        <f>IFERROR(VLOOKUP($O1348,'Customer List'!$A$1:$J$488,10,FALSE),"")</f>
        <v/>
      </c>
    </row>
    <row r="1349" spans="1:23">
      <c r="A1349" s="120" t="str">
        <f t="shared" si="111"/>
        <v/>
      </c>
      <c r="R1349" s="127">
        <f t="shared" si="112"/>
        <v>0</v>
      </c>
      <c r="T1349" s="128">
        <f t="shared" si="110"/>
        <v>0</v>
      </c>
      <c r="U1349" s="129" t="str">
        <f>IFERROR(IF(#REF!="S",VLOOKUP('Raw Data'!A1349,References!#REF!,2,FALSE),(VLOOKUP($S1349,References!$B$3:$C$7,2,FALSE))),"")</f>
        <v/>
      </c>
      <c r="V1349" s="129" t="str">
        <f t="shared" si="113"/>
        <v/>
      </c>
      <c r="W1349" s="74" t="str">
        <f>IFERROR(VLOOKUP($O1349,'Customer List'!$A$1:$J$488,10,FALSE),"")</f>
        <v/>
      </c>
    </row>
    <row r="1350" spans="1:23">
      <c r="A1350" s="120" t="str">
        <f t="shared" si="111"/>
        <v/>
      </c>
      <c r="R1350" s="127">
        <f t="shared" si="112"/>
        <v>0</v>
      </c>
      <c r="T1350" s="128">
        <f t="shared" si="110"/>
        <v>0</v>
      </c>
      <c r="U1350" s="129" t="str">
        <f>IFERROR(IF(#REF!="S",VLOOKUP('Raw Data'!A1350,References!#REF!,2,FALSE),(VLOOKUP($S1350,References!$B$3:$C$7,2,FALSE))),"")</f>
        <v/>
      </c>
      <c r="V1350" s="129" t="str">
        <f t="shared" si="113"/>
        <v/>
      </c>
      <c r="W1350" s="74" t="str">
        <f>IFERROR(VLOOKUP($O1350,'Customer List'!$A$1:$J$488,10,FALSE),"")</f>
        <v/>
      </c>
    </row>
    <row r="1351" spans="1:23">
      <c r="A1351" s="120" t="str">
        <f t="shared" si="111"/>
        <v/>
      </c>
      <c r="R1351" s="127">
        <f t="shared" si="112"/>
        <v>0</v>
      </c>
      <c r="T1351" s="128">
        <f t="shared" si="110"/>
        <v>0</v>
      </c>
      <c r="U1351" s="129" t="str">
        <f>IFERROR(IF(#REF!="S",VLOOKUP('Raw Data'!A1351,References!#REF!,2,FALSE),(VLOOKUP($S1351,References!$B$3:$C$7,2,FALSE))),"")</f>
        <v/>
      </c>
      <c r="V1351" s="129" t="str">
        <f t="shared" si="113"/>
        <v/>
      </c>
      <c r="W1351" s="74" t="str">
        <f>IFERROR(VLOOKUP($O1351,'Customer List'!$A$1:$J$488,10,FALSE),"")</f>
        <v/>
      </c>
    </row>
    <row r="1352" spans="1:23">
      <c r="A1352" s="120" t="str">
        <f t="shared" si="111"/>
        <v/>
      </c>
      <c r="R1352" s="127">
        <f t="shared" si="112"/>
        <v>0</v>
      </c>
      <c r="T1352" s="128">
        <f t="shared" si="110"/>
        <v>0</v>
      </c>
      <c r="U1352" s="129" t="str">
        <f>IFERROR(IF(#REF!="S",VLOOKUP('Raw Data'!A1352,References!#REF!,2,FALSE),(VLOOKUP($S1352,References!$B$3:$C$7,2,FALSE))),"")</f>
        <v/>
      </c>
      <c r="V1352" s="129" t="str">
        <f t="shared" si="113"/>
        <v/>
      </c>
      <c r="W1352" s="74" t="str">
        <f>IFERROR(VLOOKUP($O1352,'Customer List'!$A$1:$J$488,10,FALSE),"")</f>
        <v/>
      </c>
    </row>
    <row r="1353" spans="1:23">
      <c r="A1353" s="120" t="str">
        <f t="shared" si="111"/>
        <v/>
      </c>
      <c r="R1353" s="127">
        <f t="shared" si="112"/>
        <v>0</v>
      </c>
      <c r="T1353" s="128">
        <f t="shared" si="110"/>
        <v>0</v>
      </c>
      <c r="U1353" s="129" t="str">
        <f>IFERROR(IF(#REF!="S",VLOOKUP('Raw Data'!A1353,References!#REF!,2,FALSE),(VLOOKUP($S1353,References!$B$3:$C$7,2,FALSE))),"")</f>
        <v/>
      </c>
      <c r="V1353" s="129" t="str">
        <f t="shared" si="113"/>
        <v/>
      </c>
      <c r="W1353" s="74" t="str">
        <f>IFERROR(VLOOKUP($O1353,'Customer List'!$A$1:$J$488,10,FALSE),"")</f>
        <v/>
      </c>
    </row>
    <row r="1354" spans="1:23">
      <c r="A1354" s="120" t="str">
        <f t="shared" si="111"/>
        <v/>
      </c>
      <c r="R1354" s="127">
        <f t="shared" si="112"/>
        <v>0</v>
      </c>
      <c r="T1354" s="128">
        <f t="shared" ref="T1354:T1417" si="114">IF(S1354="50 - Cleaning Fee",1,HOUR($R1354)+MINUTE(R1354)/60)</f>
        <v>0</v>
      </c>
      <c r="U1354" s="129" t="str">
        <f>IFERROR(IF(#REF!="S",VLOOKUP('Raw Data'!A1354,References!#REF!,2,FALSE),(VLOOKUP($S1354,References!$B$3:$C$7,2,FALSE))),"")</f>
        <v/>
      </c>
      <c r="V1354" s="129" t="str">
        <f t="shared" si="113"/>
        <v/>
      </c>
      <c r="W1354" s="74" t="str">
        <f>IFERROR(VLOOKUP($O1354,'Customer List'!$A$1:$J$488,10,FALSE),"")</f>
        <v/>
      </c>
    </row>
    <row r="1355" spans="1:23">
      <c r="A1355" s="120" t="str">
        <f t="shared" si="111"/>
        <v/>
      </c>
      <c r="R1355" s="127">
        <f t="shared" si="112"/>
        <v>0</v>
      </c>
      <c r="T1355" s="128">
        <f t="shared" si="114"/>
        <v>0</v>
      </c>
      <c r="U1355" s="129" t="str">
        <f>IFERROR(IF(#REF!="S",VLOOKUP('Raw Data'!A1355,References!#REF!,2,FALSE),(VLOOKUP($S1355,References!$B$3:$C$7,2,FALSE))),"")</f>
        <v/>
      </c>
      <c r="V1355" s="129" t="str">
        <f t="shared" si="113"/>
        <v/>
      </c>
      <c r="W1355" s="74" t="str">
        <f>IFERROR(VLOOKUP($O1355,'Customer List'!$A$1:$J$488,10,FALSE),"")</f>
        <v/>
      </c>
    </row>
    <row r="1356" spans="1:23">
      <c r="A1356" s="120" t="str">
        <f t="shared" si="111"/>
        <v/>
      </c>
      <c r="R1356" s="127">
        <f t="shared" si="112"/>
        <v>0</v>
      </c>
      <c r="T1356" s="128">
        <f t="shared" si="114"/>
        <v>0</v>
      </c>
      <c r="U1356" s="129" t="str">
        <f>IFERROR(IF(#REF!="S",VLOOKUP('Raw Data'!A1356,References!#REF!,2,FALSE),(VLOOKUP($S1356,References!$B$3:$C$7,2,FALSE))),"")</f>
        <v/>
      </c>
      <c r="V1356" s="129" t="str">
        <f t="shared" si="113"/>
        <v/>
      </c>
      <c r="W1356" s="74" t="str">
        <f>IFERROR(VLOOKUP($O1356,'Customer List'!$A$1:$J$488,10,FALSE),"")</f>
        <v/>
      </c>
    </row>
    <row r="1357" spans="1:23">
      <c r="A1357" s="120" t="str">
        <f t="shared" si="111"/>
        <v/>
      </c>
      <c r="R1357" s="127">
        <f t="shared" si="112"/>
        <v>0</v>
      </c>
      <c r="T1357" s="128">
        <f t="shared" si="114"/>
        <v>0</v>
      </c>
      <c r="U1357" s="129" t="str">
        <f>IFERROR(IF(#REF!="S",VLOOKUP('Raw Data'!A1357,References!#REF!,2,FALSE),(VLOOKUP($S1357,References!$B$3:$C$7,2,FALSE))),"")</f>
        <v/>
      </c>
      <c r="V1357" s="129" t="str">
        <f t="shared" si="113"/>
        <v/>
      </c>
      <c r="W1357" s="74" t="str">
        <f>IFERROR(VLOOKUP($O1357,'Customer List'!$A$1:$J$488,10,FALSE),"")</f>
        <v/>
      </c>
    </row>
    <row r="1358" spans="1:23">
      <c r="A1358" s="120" t="str">
        <f t="shared" si="111"/>
        <v/>
      </c>
      <c r="R1358" s="127">
        <f t="shared" si="112"/>
        <v>0</v>
      </c>
      <c r="T1358" s="128">
        <f t="shared" si="114"/>
        <v>0</v>
      </c>
      <c r="U1358" s="129" t="str">
        <f>IFERROR(IF(#REF!="S",VLOOKUP('Raw Data'!A1358,References!#REF!,2,FALSE),(VLOOKUP($S1358,References!$B$3:$C$7,2,FALSE))),"")</f>
        <v/>
      </c>
      <c r="V1358" s="129" t="str">
        <f t="shared" si="113"/>
        <v/>
      </c>
      <c r="W1358" s="74" t="str">
        <f>IFERROR(VLOOKUP($O1358,'Customer List'!$A$1:$J$488,10,FALSE),"")</f>
        <v/>
      </c>
    </row>
    <row r="1359" spans="1:23">
      <c r="A1359" s="120" t="str">
        <f t="shared" si="111"/>
        <v/>
      </c>
      <c r="R1359" s="127">
        <f t="shared" si="112"/>
        <v>0</v>
      </c>
      <c r="T1359" s="128">
        <f t="shared" si="114"/>
        <v>0</v>
      </c>
      <c r="U1359" s="129" t="str">
        <f>IFERROR(IF(#REF!="S",VLOOKUP('Raw Data'!A1359,References!#REF!,2,FALSE),(VLOOKUP($S1359,References!$B$3:$C$7,2,FALSE))),"")</f>
        <v/>
      </c>
      <c r="V1359" s="129" t="str">
        <f t="shared" si="113"/>
        <v/>
      </c>
      <c r="W1359" s="74" t="str">
        <f>IFERROR(VLOOKUP($O1359,'Customer List'!$A$1:$J$488,10,FALSE),"")</f>
        <v/>
      </c>
    </row>
    <row r="1360" spans="1:23">
      <c r="A1360" s="120" t="str">
        <f t="shared" si="111"/>
        <v/>
      </c>
      <c r="R1360" s="127">
        <f t="shared" si="112"/>
        <v>0</v>
      </c>
      <c r="T1360" s="128">
        <f t="shared" si="114"/>
        <v>0</v>
      </c>
      <c r="U1360" s="129" t="str">
        <f>IFERROR(IF(#REF!="S",VLOOKUP('Raw Data'!A1360,References!#REF!,2,FALSE),(VLOOKUP($S1360,References!$B$3:$C$7,2,FALSE))),"")</f>
        <v/>
      </c>
      <c r="V1360" s="129" t="str">
        <f t="shared" si="113"/>
        <v/>
      </c>
      <c r="W1360" s="74" t="str">
        <f>IFERROR(VLOOKUP($O1360,'Customer List'!$A$1:$J$488,10,FALSE),"")</f>
        <v/>
      </c>
    </row>
    <row r="1361" spans="1:23">
      <c r="A1361" s="120" t="str">
        <f t="shared" si="111"/>
        <v/>
      </c>
      <c r="R1361" s="127">
        <f t="shared" si="112"/>
        <v>0</v>
      </c>
      <c r="T1361" s="128">
        <f t="shared" si="114"/>
        <v>0</v>
      </c>
      <c r="U1361" s="129" t="str">
        <f>IFERROR(IF(#REF!="S",VLOOKUP('Raw Data'!A1361,References!#REF!,2,FALSE),(VLOOKUP($S1361,References!$B$3:$C$7,2,FALSE))),"")</f>
        <v/>
      </c>
      <c r="V1361" s="129" t="str">
        <f t="shared" si="113"/>
        <v/>
      </c>
      <c r="W1361" s="74" t="str">
        <f>IFERROR(VLOOKUP($O1361,'Customer List'!$A$1:$J$488,10,FALSE),"")</f>
        <v/>
      </c>
    </row>
    <row r="1362" spans="1:23">
      <c r="A1362" s="120" t="str">
        <f t="shared" si="111"/>
        <v/>
      </c>
      <c r="R1362" s="127">
        <f t="shared" si="112"/>
        <v>0</v>
      </c>
      <c r="T1362" s="128">
        <f t="shared" si="114"/>
        <v>0</v>
      </c>
      <c r="U1362" s="129" t="str">
        <f>IFERROR(IF(#REF!="S",VLOOKUP('Raw Data'!A1362,References!#REF!,2,FALSE),(VLOOKUP($S1362,References!$B$3:$C$7,2,FALSE))),"")</f>
        <v/>
      </c>
      <c r="V1362" s="129" t="str">
        <f t="shared" si="113"/>
        <v/>
      </c>
      <c r="W1362" s="74" t="str">
        <f>IFERROR(VLOOKUP($O1362,'Customer List'!$A$1:$J$488,10,FALSE),"")</f>
        <v/>
      </c>
    </row>
    <row r="1363" spans="1:23">
      <c r="A1363" s="120" t="str">
        <f t="shared" si="111"/>
        <v/>
      </c>
      <c r="R1363" s="127">
        <f t="shared" si="112"/>
        <v>0</v>
      </c>
      <c r="T1363" s="128">
        <f t="shared" si="114"/>
        <v>0</v>
      </c>
      <c r="U1363" s="129" t="str">
        <f>IFERROR(IF(#REF!="S",VLOOKUP('Raw Data'!A1363,References!#REF!,2,FALSE),(VLOOKUP($S1363,References!$B$3:$C$7,2,FALSE))),"")</f>
        <v/>
      </c>
      <c r="V1363" s="129" t="str">
        <f t="shared" si="113"/>
        <v/>
      </c>
      <c r="W1363" s="74" t="str">
        <f>IFERROR(VLOOKUP($O1363,'Customer List'!$A$1:$J$488,10,FALSE),"")</f>
        <v/>
      </c>
    </row>
    <row r="1364" spans="1:23">
      <c r="A1364" s="120" t="str">
        <f t="shared" si="111"/>
        <v/>
      </c>
      <c r="R1364" s="127">
        <f t="shared" si="112"/>
        <v>0</v>
      </c>
      <c r="T1364" s="128">
        <f t="shared" si="114"/>
        <v>0</v>
      </c>
      <c r="U1364" s="129" t="str">
        <f>IFERROR(IF(#REF!="S",VLOOKUP('Raw Data'!A1364,References!#REF!,2,FALSE),(VLOOKUP($S1364,References!$B$3:$C$7,2,FALSE))),"")</f>
        <v/>
      </c>
      <c r="V1364" s="129" t="str">
        <f t="shared" si="113"/>
        <v/>
      </c>
      <c r="W1364" s="74" t="str">
        <f>IFERROR(VLOOKUP($O1364,'Customer List'!$A$1:$J$488,10,FALSE),"")</f>
        <v/>
      </c>
    </row>
    <row r="1365" spans="1:23">
      <c r="A1365" s="120" t="str">
        <f t="shared" si="111"/>
        <v/>
      </c>
      <c r="R1365" s="127">
        <f t="shared" si="112"/>
        <v>0</v>
      </c>
      <c r="T1365" s="128">
        <f t="shared" si="114"/>
        <v>0</v>
      </c>
      <c r="U1365" s="129" t="str">
        <f>IFERROR(IF(#REF!="S",VLOOKUP('Raw Data'!A1365,References!#REF!,2,FALSE),(VLOOKUP($S1365,References!$B$3:$C$7,2,FALSE))),"")</f>
        <v/>
      </c>
      <c r="V1365" s="129" t="str">
        <f t="shared" si="113"/>
        <v/>
      </c>
      <c r="W1365" s="74" t="str">
        <f>IFERROR(VLOOKUP($O1365,'Customer List'!$A$1:$J$488,10,FALSE),"")</f>
        <v/>
      </c>
    </row>
    <row r="1366" spans="1:23">
      <c r="A1366" s="120" t="str">
        <f t="shared" si="111"/>
        <v/>
      </c>
      <c r="R1366" s="127">
        <f t="shared" si="112"/>
        <v>0</v>
      </c>
      <c r="T1366" s="128">
        <f t="shared" si="114"/>
        <v>0</v>
      </c>
      <c r="U1366" s="129" t="str">
        <f>IFERROR(IF(#REF!="S",VLOOKUP('Raw Data'!A1366,References!#REF!,2,FALSE),(VLOOKUP($S1366,References!$B$3:$C$7,2,FALSE))),"")</f>
        <v/>
      </c>
      <c r="V1366" s="129" t="str">
        <f t="shared" si="113"/>
        <v/>
      </c>
      <c r="W1366" s="74" t="str">
        <f>IFERROR(VLOOKUP($O1366,'Customer List'!$A$1:$J$488,10,FALSE),"")</f>
        <v/>
      </c>
    </row>
    <row r="1367" spans="1:23">
      <c r="A1367" s="120" t="str">
        <f t="shared" si="111"/>
        <v/>
      </c>
      <c r="R1367" s="127">
        <f t="shared" si="112"/>
        <v>0</v>
      </c>
      <c r="T1367" s="128">
        <f t="shared" si="114"/>
        <v>0</v>
      </c>
      <c r="U1367" s="129" t="str">
        <f>IFERROR(IF(#REF!="S",VLOOKUP('Raw Data'!A1367,References!#REF!,2,FALSE),(VLOOKUP($S1367,References!$B$3:$C$7,2,FALSE))),"")</f>
        <v/>
      </c>
      <c r="V1367" s="129" t="str">
        <f t="shared" si="113"/>
        <v/>
      </c>
      <c r="W1367" s="74" t="str">
        <f>IFERROR(VLOOKUP($O1367,'Customer List'!$A$1:$J$488,10,FALSE),"")</f>
        <v/>
      </c>
    </row>
    <row r="1368" spans="1:23">
      <c r="A1368" s="120" t="str">
        <f t="shared" si="111"/>
        <v/>
      </c>
      <c r="R1368" s="127">
        <f t="shared" si="112"/>
        <v>0</v>
      </c>
      <c r="T1368" s="128">
        <f t="shared" si="114"/>
        <v>0</v>
      </c>
      <c r="U1368" s="129" t="str">
        <f>IFERROR(IF(#REF!="S",VLOOKUP('Raw Data'!A1368,References!#REF!,2,FALSE),(VLOOKUP($S1368,References!$B$3:$C$7,2,FALSE))),"")</f>
        <v/>
      </c>
      <c r="V1368" s="129" t="str">
        <f t="shared" si="113"/>
        <v/>
      </c>
      <c r="W1368" s="74" t="str">
        <f>IFERROR(VLOOKUP($O1368,'Customer List'!$A$1:$J$488,10,FALSE),"")</f>
        <v/>
      </c>
    </row>
    <row r="1369" spans="1:23">
      <c r="A1369" s="120" t="str">
        <f t="shared" si="111"/>
        <v/>
      </c>
      <c r="R1369" s="127">
        <f t="shared" si="112"/>
        <v>0</v>
      </c>
      <c r="T1369" s="128">
        <f t="shared" si="114"/>
        <v>0</v>
      </c>
      <c r="U1369" s="129" t="str">
        <f>IFERROR(IF(#REF!="S",VLOOKUP('Raw Data'!A1369,References!#REF!,2,FALSE),(VLOOKUP($S1369,References!$B$3:$C$7,2,FALSE))),"")</f>
        <v/>
      </c>
      <c r="V1369" s="129" t="str">
        <f t="shared" si="113"/>
        <v/>
      </c>
      <c r="W1369" s="74" t="str">
        <f>IFERROR(VLOOKUP($O1369,'Customer List'!$A$1:$J$488,10,FALSE),"")</f>
        <v/>
      </c>
    </row>
    <row r="1370" spans="1:23">
      <c r="A1370" s="120" t="str">
        <f t="shared" si="111"/>
        <v/>
      </c>
      <c r="R1370" s="127">
        <f t="shared" si="112"/>
        <v>0</v>
      </c>
      <c r="T1370" s="128">
        <f t="shared" si="114"/>
        <v>0</v>
      </c>
      <c r="U1370" s="129" t="str">
        <f>IFERROR(IF(#REF!="S",VLOOKUP('Raw Data'!A1370,References!#REF!,2,FALSE),(VLOOKUP($S1370,References!$B$3:$C$7,2,FALSE))),"")</f>
        <v/>
      </c>
      <c r="V1370" s="129" t="str">
        <f t="shared" si="113"/>
        <v/>
      </c>
      <c r="W1370" s="74" t="str">
        <f>IFERROR(VLOOKUP($O1370,'Customer List'!$A$1:$J$488,10,FALSE),"")</f>
        <v/>
      </c>
    </row>
    <row r="1371" spans="1:23">
      <c r="A1371" s="120" t="str">
        <f t="shared" si="111"/>
        <v/>
      </c>
      <c r="R1371" s="127">
        <f t="shared" si="112"/>
        <v>0</v>
      </c>
      <c r="T1371" s="128">
        <f t="shared" si="114"/>
        <v>0</v>
      </c>
      <c r="U1371" s="129" t="str">
        <f>IFERROR(IF(#REF!="S",VLOOKUP('Raw Data'!A1371,References!#REF!,2,FALSE),(VLOOKUP($S1371,References!$B$3:$C$7,2,FALSE))),"")</f>
        <v/>
      </c>
      <c r="V1371" s="129" t="str">
        <f t="shared" si="113"/>
        <v/>
      </c>
      <c r="W1371" s="74" t="str">
        <f>IFERROR(VLOOKUP($O1371,'Customer List'!$A$1:$J$488,10,FALSE),"")</f>
        <v/>
      </c>
    </row>
    <row r="1372" spans="1:23">
      <c r="A1372" s="120" t="str">
        <f t="shared" si="111"/>
        <v/>
      </c>
      <c r="R1372" s="127">
        <f t="shared" si="112"/>
        <v>0</v>
      </c>
      <c r="T1372" s="128">
        <f t="shared" si="114"/>
        <v>0</v>
      </c>
      <c r="U1372" s="129" t="str">
        <f>IFERROR(IF(#REF!="S",VLOOKUP('Raw Data'!A1372,References!#REF!,2,FALSE),(VLOOKUP($S1372,References!$B$3:$C$7,2,FALSE))),"")</f>
        <v/>
      </c>
      <c r="V1372" s="129" t="str">
        <f t="shared" si="113"/>
        <v/>
      </c>
      <c r="W1372" s="74" t="str">
        <f>IFERROR(VLOOKUP($O1372,'Customer List'!$A$1:$J$488,10,FALSE),"")</f>
        <v/>
      </c>
    </row>
    <row r="1373" spans="1:23">
      <c r="A1373" s="120" t="str">
        <f t="shared" si="111"/>
        <v/>
      </c>
      <c r="R1373" s="127">
        <f t="shared" si="112"/>
        <v>0</v>
      </c>
      <c r="T1373" s="128">
        <f t="shared" si="114"/>
        <v>0</v>
      </c>
      <c r="U1373" s="129" t="str">
        <f>IFERROR(IF(#REF!="S",VLOOKUP('Raw Data'!A1373,References!#REF!,2,FALSE),(VLOOKUP($S1373,References!$B$3:$C$7,2,FALSE))),"")</f>
        <v/>
      </c>
      <c r="V1373" s="129" t="str">
        <f t="shared" si="113"/>
        <v/>
      </c>
      <c r="W1373" s="74" t="str">
        <f>IFERROR(VLOOKUP($O1373,'Customer List'!$A$1:$J$488,10,FALSE),"")</f>
        <v/>
      </c>
    </row>
    <row r="1374" spans="1:23">
      <c r="A1374" s="120" t="str">
        <f t="shared" si="111"/>
        <v/>
      </c>
      <c r="R1374" s="127">
        <f t="shared" si="112"/>
        <v>0</v>
      </c>
      <c r="T1374" s="128">
        <f t="shared" si="114"/>
        <v>0</v>
      </c>
      <c r="U1374" s="129" t="str">
        <f>IFERROR(IF(#REF!="S",VLOOKUP('Raw Data'!A1374,References!#REF!,2,FALSE),(VLOOKUP($S1374,References!$B$3:$C$7,2,FALSE))),"")</f>
        <v/>
      </c>
      <c r="V1374" s="129" t="str">
        <f t="shared" si="113"/>
        <v/>
      </c>
      <c r="W1374" s="74" t="str">
        <f>IFERROR(VLOOKUP($O1374,'Customer List'!$A$1:$J$488,10,FALSE),"")</f>
        <v/>
      </c>
    </row>
    <row r="1375" spans="1:23">
      <c r="A1375" s="120" t="str">
        <f t="shared" si="111"/>
        <v/>
      </c>
      <c r="R1375" s="127">
        <f t="shared" si="112"/>
        <v>0</v>
      </c>
      <c r="T1375" s="128">
        <f t="shared" si="114"/>
        <v>0</v>
      </c>
      <c r="U1375" s="129" t="str">
        <f>IFERROR(IF(#REF!="S",VLOOKUP('Raw Data'!A1375,References!#REF!,2,FALSE),(VLOOKUP($S1375,References!$B$3:$C$7,2,FALSE))),"")</f>
        <v/>
      </c>
      <c r="V1375" s="129" t="str">
        <f t="shared" si="113"/>
        <v/>
      </c>
      <c r="W1375" s="74" t="str">
        <f>IFERROR(VLOOKUP($O1375,'Customer List'!$A$1:$J$488,10,FALSE),"")</f>
        <v/>
      </c>
    </row>
    <row r="1376" spans="1:23">
      <c r="A1376" s="120" t="str">
        <f t="shared" si="111"/>
        <v/>
      </c>
      <c r="R1376" s="127">
        <f t="shared" si="112"/>
        <v>0</v>
      </c>
      <c r="T1376" s="128">
        <f t="shared" si="114"/>
        <v>0</v>
      </c>
      <c r="U1376" s="129" t="str">
        <f>IFERROR(IF(#REF!="S",VLOOKUP('Raw Data'!A1376,References!#REF!,2,FALSE),(VLOOKUP($S1376,References!$B$3:$C$7,2,FALSE))),"")</f>
        <v/>
      </c>
      <c r="V1376" s="129" t="str">
        <f t="shared" si="113"/>
        <v/>
      </c>
      <c r="W1376" s="74" t="str">
        <f>IFERROR(VLOOKUP($O1376,'Customer List'!$A$1:$J$488,10,FALSE),"")</f>
        <v/>
      </c>
    </row>
    <row r="1377" spans="1:23">
      <c r="A1377" s="120" t="str">
        <f t="shared" si="111"/>
        <v/>
      </c>
      <c r="R1377" s="127">
        <f t="shared" si="112"/>
        <v>0</v>
      </c>
      <c r="T1377" s="128">
        <f t="shared" si="114"/>
        <v>0</v>
      </c>
      <c r="U1377" s="129" t="str">
        <f>IFERROR(IF(#REF!="S",VLOOKUP('Raw Data'!A1377,References!#REF!,2,FALSE),(VLOOKUP($S1377,References!$B$3:$C$7,2,FALSE))),"")</f>
        <v/>
      </c>
      <c r="V1377" s="129" t="str">
        <f t="shared" si="113"/>
        <v/>
      </c>
      <c r="W1377" s="74" t="str">
        <f>IFERROR(VLOOKUP($O1377,'Customer List'!$A$1:$J$488,10,FALSE),"")</f>
        <v/>
      </c>
    </row>
    <row r="1378" spans="1:23">
      <c r="A1378" s="120" t="str">
        <f t="shared" si="111"/>
        <v/>
      </c>
      <c r="R1378" s="127">
        <f t="shared" si="112"/>
        <v>0</v>
      </c>
      <c r="T1378" s="128">
        <f t="shared" si="114"/>
        <v>0</v>
      </c>
      <c r="U1378" s="129" t="str">
        <f>IFERROR(IF(#REF!="S",VLOOKUP('Raw Data'!A1378,References!#REF!,2,FALSE),(VLOOKUP($S1378,References!$B$3:$C$7,2,FALSE))),"")</f>
        <v/>
      </c>
      <c r="V1378" s="129" t="str">
        <f t="shared" si="113"/>
        <v/>
      </c>
      <c r="W1378" s="74" t="str">
        <f>IFERROR(VLOOKUP($O1378,'Customer List'!$A$1:$J$488,10,FALSE),"")</f>
        <v/>
      </c>
    </row>
    <row r="1379" spans="1:23">
      <c r="A1379" s="120" t="str">
        <f t="shared" si="111"/>
        <v/>
      </c>
      <c r="R1379" s="127">
        <f t="shared" si="112"/>
        <v>0</v>
      </c>
      <c r="T1379" s="128">
        <f t="shared" si="114"/>
        <v>0</v>
      </c>
      <c r="U1379" s="129" t="str">
        <f>IFERROR(IF(#REF!="S",VLOOKUP('Raw Data'!A1379,References!#REF!,2,FALSE),(VLOOKUP($S1379,References!$B$3:$C$7,2,FALSE))),"")</f>
        <v/>
      </c>
      <c r="V1379" s="129" t="str">
        <f t="shared" si="113"/>
        <v/>
      </c>
      <c r="W1379" s="74" t="str">
        <f>IFERROR(VLOOKUP($O1379,'Customer List'!$A$1:$J$488,10,FALSE),"")</f>
        <v/>
      </c>
    </row>
    <row r="1380" spans="1:23">
      <c r="A1380" s="120" t="str">
        <f t="shared" si="111"/>
        <v/>
      </c>
      <c r="R1380" s="127">
        <f t="shared" si="112"/>
        <v>0</v>
      </c>
      <c r="T1380" s="128">
        <f t="shared" si="114"/>
        <v>0</v>
      </c>
      <c r="U1380" s="129" t="str">
        <f>IFERROR(IF(#REF!="S",VLOOKUP('Raw Data'!A1380,References!#REF!,2,FALSE),(VLOOKUP($S1380,References!$B$3:$C$7,2,FALSE))),"")</f>
        <v/>
      </c>
      <c r="V1380" s="129" t="str">
        <f t="shared" si="113"/>
        <v/>
      </c>
      <c r="W1380" s="74" t="str">
        <f>IFERROR(VLOOKUP($O1380,'Customer List'!$A$1:$J$488,10,FALSE),"")</f>
        <v/>
      </c>
    </row>
    <row r="1381" spans="1:23">
      <c r="A1381" s="120" t="str">
        <f t="shared" si="111"/>
        <v/>
      </c>
      <c r="R1381" s="127">
        <f t="shared" si="112"/>
        <v>0</v>
      </c>
      <c r="T1381" s="128">
        <f t="shared" si="114"/>
        <v>0</v>
      </c>
      <c r="U1381" s="129" t="str">
        <f>IFERROR(IF(#REF!="S",VLOOKUP('Raw Data'!A1381,References!#REF!,2,FALSE),(VLOOKUP($S1381,References!$B$3:$C$7,2,FALSE))),"")</f>
        <v/>
      </c>
      <c r="V1381" s="129" t="str">
        <f t="shared" si="113"/>
        <v/>
      </c>
      <c r="W1381" s="74" t="str">
        <f>IFERROR(VLOOKUP($O1381,'Customer List'!$A$1:$J$488,10,FALSE),"")</f>
        <v/>
      </c>
    </row>
    <row r="1382" spans="1:23">
      <c r="A1382" s="120" t="str">
        <f t="shared" ref="A1382:A1400" si="115">O1382&amp;S1382</f>
        <v/>
      </c>
      <c r="R1382" s="127">
        <f t="shared" ref="R1382:R1445" si="116">L1382-K1382</f>
        <v>0</v>
      </c>
      <c r="T1382" s="128">
        <f t="shared" si="114"/>
        <v>0</v>
      </c>
      <c r="U1382" s="129" t="str">
        <f>IFERROR(IF(#REF!="S",VLOOKUP('Raw Data'!A1382,References!#REF!,2,FALSE),(VLOOKUP($S1382,References!$B$3:$C$7,2,FALSE))),"")</f>
        <v/>
      </c>
      <c r="V1382" s="129" t="str">
        <f t="shared" si="113"/>
        <v/>
      </c>
      <c r="W1382" s="74" t="str">
        <f>IFERROR(VLOOKUP($O1382,'Customer List'!$A$1:$J$488,10,FALSE),"")</f>
        <v/>
      </c>
    </row>
    <row r="1383" spans="1:23">
      <c r="A1383" s="120" t="str">
        <f t="shared" si="115"/>
        <v/>
      </c>
      <c r="R1383" s="127">
        <f t="shared" si="116"/>
        <v>0</v>
      </c>
      <c r="T1383" s="128">
        <f t="shared" si="114"/>
        <v>0</v>
      </c>
      <c r="U1383" s="129" t="str">
        <f>IFERROR(IF(#REF!="S",VLOOKUP('Raw Data'!A1383,References!#REF!,2,FALSE),(VLOOKUP($S1383,References!$B$3:$C$7,2,FALSE))),"")</f>
        <v/>
      </c>
      <c r="V1383" s="129" t="str">
        <f t="shared" si="113"/>
        <v/>
      </c>
      <c r="W1383" s="74" t="str">
        <f>IFERROR(VLOOKUP($O1383,'Customer List'!$A$1:$J$488,10,FALSE),"")</f>
        <v/>
      </c>
    </row>
    <row r="1384" spans="1:23">
      <c r="A1384" s="120" t="str">
        <f t="shared" si="115"/>
        <v/>
      </c>
      <c r="R1384" s="127">
        <f t="shared" si="116"/>
        <v>0</v>
      </c>
      <c r="T1384" s="128">
        <f t="shared" si="114"/>
        <v>0</v>
      </c>
      <c r="U1384" s="129" t="str">
        <f>IFERROR(IF(#REF!="S",VLOOKUP('Raw Data'!A1384,References!#REF!,2,FALSE),(VLOOKUP($S1384,References!$B$3:$C$7,2,FALSE))),"")</f>
        <v/>
      </c>
      <c r="V1384" s="129" t="str">
        <f t="shared" ref="V1384:V1447" si="117">IFERROR(T1384*U1384,"")</f>
        <v/>
      </c>
      <c r="W1384" s="74" t="str">
        <f>IFERROR(VLOOKUP($O1384,'Customer List'!$A$1:$J$488,10,FALSE),"")</f>
        <v/>
      </c>
    </row>
    <row r="1385" spans="1:23">
      <c r="A1385" s="120" t="str">
        <f t="shared" si="115"/>
        <v/>
      </c>
      <c r="R1385" s="127">
        <f t="shared" si="116"/>
        <v>0</v>
      </c>
      <c r="T1385" s="128">
        <f t="shared" si="114"/>
        <v>0</v>
      </c>
      <c r="U1385" s="129" t="str">
        <f>IFERROR(IF(#REF!="S",VLOOKUP('Raw Data'!A1385,References!#REF!,2,FALSE),(VLOOKUP($S1385,References!$B$3:$C$7,2,FALSE))),"")</f>
        <v/>
      </c>
      <c r="V1385" s="129" t="str">
        <f t="shared" si="117"/>
        <v/>
      </c>
      <c r="W1385" s="74" t="str">
        <f>IFERROR(VLOOKUP($O1385,'Customer List'!$A$1:$J$488,10,FALSE),"")</f>
        <v/>
      </c>
    </row>
    <row r="1386" spans="1:23">
      <c r="A1386" s="120" t="str">
        <f t="shared" si="115"/>
        <v/>
      </c>
      <c r="R1386" s="127">
        <f t="shared" si="116"/>
        <v>0</v>
      </c>
      <c r="T1386" s="128">
        <f t="shared" si="114"/>
        <v>0</v>
      </c>
      <c r="U1386" s="129" t="str">
        <f>IFERROR(IF(#REF!="S",VLOOKUP('Raw Data'!A1386,References!#REF!,2,FALSE),(VLOOKUP($S1386,References!$B$3:$C$7,2,FALSE))),"")</f>
        <v/>
      </c>
      <c r="V1386" s="129" t="str">
        <f t="shared" si="117"/>
        <v/>
      </c>
      <c r="W1386" s="74" t="str">
        <f>IFERROR(VLOOKUP($O1386,'Customer List'!$A$1:$J$488,10,FALSE),"")</f>
        <v/>
      </c>
    </row>
    <row r="1387" spans="1:23">
      <c r="A1387" s="120" t="str">
        <f t="shared" si="115"/>
        <v/>
      </c>
      <c r="R1387" s="127">
        <f t="shared" si="116"/>
        <v>0</v>
      </c>
      <c r="T1387" s="128">
        <f t="shared" si="114"/>
        <v>0</v>
      </c>
      <c r="U1387" s="129" t="str">
        <f>IFERROR(IF(#REF!="S",VLOOKUP('Raw Data'!A1387,References!#REF!,2,FALSE),(VLOOKUP($S1387,References!$B$3:$C$7,2,FALSE))),"")</f>
        <v/>
      </c>
      <c r="V1387" s="129" t="str">
        <f t="shared" si="117"/>
        <v/>
      </c>
      <c r="W1387" s="74" t="str">
        <f>IFERROR(VLOOKUP($O1387,'Customer List'!$A$1:$J$488,10,FALSE),"")</f>
        <v/>
      </c>
    </row>
    <row r="1388" spans="1:23">
      <c r="A1388" s="120" t="str">
        <f t="shared" si="115"/>
        <v/>
      </c>
      <c r="R1388" s="127">
        <f t="shared" si="116"/>
        <v>0</v>
      </c>
      <c r="T1388" s="128">
        <f t="shared" si="114"/>
        <v>0</v>
      </c>
      <c r="U1388" s="129" t="str">
        <f>IFERROR(IF(#REF!="S",VLOOKUP('Raw Data'!A1388,References!#REF!,2,FALSE),(VLOOKUP($S1388,References!$B$3:$C$7,2,FALSE))),"")</f>
        <v/>
      </c>
      <c r="V1388" s="129" t="str">
        <f t="shared" si="117"/>
        <v/>
      </c>
      <c r="W1388" s="74" t="str">
        <f>IFERROR(VLOOKUP($O1388,'Customer List'!$A$1:$J$488,10,FALSE),"")</f>
        <v/>
      </c>
    </row>
    <row r="1389" spans="1:23">
      <c r="A1389" s="120" t="str">
        <f t="shared" si="115"/>
        <v/>
      </c>
      <c r="R1389" s="127">
        <f t="shared" si="116"/>
        <v>0</v>
      </c>
      <c r="T1389" s="128">
        <f t="shared" si="114"/>
        <v>0</v>
      </c>
      <c r="U1389" s="129" t="str">
        <f>IFERROR(IF(#REF!="S",VLOOKUP('Raw Data'!A1389,References!#REF!,2,FALSE),(VLOOKUP($S1389,References!$B$3:$C$7,2,FALSE))),"")</f>
        <v/>
      </c>
      <c r="V1389" s="129" t="str">
        <f t="shared" si="117"/>
        <v/>
      </c>
      <c r="W1389" s="74" t="str">
        <f>IFERROR(VLOOKUP($O1389,'Customer List'!$A$1:$J$488,10,FALSE),"")</f>
        <v/>
      </c>
    </row>
    <row r="1390" spans="1:23">
      <c r="A1390" s="120" t="str">
        <f t="shared" si="115"/>
        <v/>
      </c>
      <c r="R1390" s="127">
        <f t="shared" si="116"/>
        <v>0</v>
      </c>
      <c r="T1390" s="128">
        <f t="shared" si="114"/>
        <v>0</v>
      </c>
      <c r="U1390" s="129" t="str">
        <f>IFERROR(IF(#REF!="S",VLOOKUP('Raw Data'!A1390,References!#REF!,2,FALSE),(VLOOKUP($S1390,References!$B$3:$C$7,2,FALSE))),"")</f>
        <v/>
      </c>
      <c r="V1390" s="129" t="str">
        <f t="shared" si="117"/>
        <v/>
      </c>
      <c r="W1390" s="74" t="str">
        <f>IFERROR(VLOOKUP($O1390,'Customer List'!$A$1:$J$488,10,FALSE),"")</f>
        <v/>
      </c>
    </row>
    <row r="1391" spans="1:23">
      <c r="A1391" s="120" t="str">
        <f t="shared" si="115"/>
        <v/>
      </c>
      <c r="R1391" s="127">
        <f t="shared" si="116"/>
        <v>0</v>
      </c>
      <c r="T1391" s="128">
        <f t="shared" si="114"/>
        <v>0</v>
      </c>
      <c r="U1391" s="129" t="str">
        <f>IFERROR(IF(#REF!="S",VLOOKUP('Raw Data'!A1391,References!#REF!,2,FALSE),(VLOOKUP($S1391,References!$B$3:$C$7,2,FALSE))),"")</f>
        <v/>
      </c>
      <c r="V1391" s="129" t="str">
        <f t="shared" si="117"/>
        <v/>
      </c>
      <c r="W1391" s="74" t="str">
        <f>IFERROR(VLOOKUP($O1391,'Customer List'!$A$1:$J$488,10,FALSE),"")</f>
        <v/>
      </c>
    </row>
    <row r="1392" spans="1:23">
      <c r="A1392" s="120" t="str">
        <f t="shared" si="115"/>
        <v/>
      </c>
      <c r="R1392" s="127">
        <f t="shared" si="116"/>
        <v>0</v>
      </c>
      <c r="T1392" s="128">
        <f t="shared" si="114"/>
        <v>0</v>
      </c>
      <c r="U1392" s="129" t="str">
        <f>IFERROR(IF(#REF!="S",VLOOKUP('Raw Data'!A1392,References!#REF!,2,FALSE),(VLOOKUP($S1392,References!$B$3:$C$7,2,FALSE))),"")</f>
        <v/>
      </c>
      <c r="V1392" s="129" t="str">
        <f t="shared" si="117"/>
        <v/>
      </c>
      <c r="W1392" s="74" t="str">
        <f>IFERROR(VLOOKUP($O1392,'Customer List'!$A$1:$J$488,10,FALSE),"")</f>
        <v/>
      </c>
    </row>
    <row r="1393" spans="1:23">
      <c r="A1393" s="120" t="str">
        <f t="shared" si="115"/>
        <v/>
      </c>
      <c r="R1393" s="127">
        <f t="shared" si="116"/>
        <v>0</v>
      </c>
      <c r="T1393" s="128">
        <f t="shared" si="114"/>
        <v>0</v>
      </c>
      <c r="U1393" s="129" t="str">
        <f>IFERROR(IF(#REF!="S",VLOOKUP('Raw Data'!A1393,References!#REF!,2,FALSE),(VLOOKUP($S1393,References!$B$3:$C$7,2,FALSE))),"")</f>
        <v/>
      </c>
      <c r="V1393" s="129" t="str">
        <f t="shared" si="117"/>
        <v/>
      </c>
      <c r="W1393" s="74" t="str">
        <f>IFERROR(VLOOKUP($O1393,'Customer List'!$A$1:$J$488,10,FALSE),"")</f>
        <v/>
      </c>
    </row>
    <row r="1394" spans="1:23">
      <c r="A1394" s="120" t="str">
        <f t="shared" si="115"/>
        <v/>
      </c>
      <c r="R1394" s="127">
        <f t="shared" si="116"/>
        <v>0</v>
      </c>
      <c r="T1394" s="128">
        <f t="shared" si="114"/>
        <v>0</v>
      </c>
      <c r="U1394" s="129" t="str">
        <f>IFERROR(IF(#REF!="S",VLOOKUP('Raw Data'!A1394,References!#REF!,2,FALSE),(VLOOKUP($S1394,References!$B$3:$C$7,2,FALSE))),"")</f>
        <v/>
      </c>
      <c r="V1394" s="129" t="str">
        <f t="shared" si="117"/>
        <v/>
      </c>
      <c r="W1394" s="74" t="str">
        <f>IFERROR(VLOOKUP($O1394,'Customer List'!$A$1:$J$488,10,FALSE),"")</f>
        <v/>
      </c>
    </row>
    <row r="1395" spans="1:23">
      <c r="A1395" s="120" t="str">
        <f t="shared" si="115"/>
        <v/>
      </c>
      <c r="R1395" s="127">
        <f t="shared" si="116"/>
        <v>0</v>
      </c>
      <c r="T1395" s="128">
        <f t="shared" si="114"/>
        <v>0</v>
      </c>
      <c r="U1395" s="129" t="str">
        <f>IFERROR(IF(#REF!="S",VLOOKUP('Raw Data'!A1395,References!#REF!,2,FALSE),(VLOOKUP($S1395,References!$B$3:$C$7,2,FALSE))),"")</f>
        <v/>
      </c>
      <c r="V1395" s="129" t="str">
        <f t="shared" si="117"/>
        <v/>
      </c>
      <c r="W1395" s="74" t="str">
        <f>IFERROR(VLOOKUP($O1395,'Customer List'!$A$1:$J$488,10,FALSE),"")</f>
        <v/>
      </c>
    </row>
    <row r="1396" spans="1:23">
      <c r="A1396" s="120" t="str">
        <f t="shared" si="115"/>
        <v/>
      </c>
      <c r="R1396" s="127">
        <f t="shared" si="116"/>
        <v>0</v>
      </c>
      <c r="T1396" s="128">
        <f t="shared" si="114"/>
        <v>0</v>
      </c>
      <c r="U1396" s="129" t="str">
        <f>IFERROR(IF(#REF!="S",VLOOKUP('Raw Data'!A1396,References!#REF!,2,FALSE),(VLOOKUP($S1396,References!$B$3:$C$7,2,FALSE))),"")</f>
        <v/>
      </c>
      <c r="V1396" s="129" t="str">
        <f t="shared" si="117"/>
        <v/>
      </c>
      <c r="W1396" s="74" t="str">
        <f>IFERROR(VLOOKUP($O1396,'Customer List'!$A$1:$J$488,10,FALSE),"")</f>
        <v/>
      </c>
    </row>
    <row r="1397" spans="1:23">
      <c r="A1397" s="120" t="str">
        <f t="shared" si="115"/>
        <v/>
      </c>
      <c r="R1397" s="127">
        <f t="shared" si="116"/>
        <v>0</v>
      </c>
      <c r="T1397" s="128">
        <f t="shared" si="114"/>
        <v>0</v>
      </c>
      <c r="U1397" s="129" t="str">
        <f>IFERROR(IF(#REF!="S",VLOOKUP('Raw Data'!A1397,References!#REF!,2,FALSE),(VLOOKUP($S1397,References!$B$3:$C$7,2,FALSE))),"")</f>
        <v/>
      </c>
      <c r="V1397" s="129" t="str">
        <f t="shared" si="117"/>
        <v/>
      </c>
      <c r="W1397" s="74" t="str">
        <f>IFERROR(VLOOKUP($O1397,'Customer List'!$A$1:$J$488,10,FALSE),"")</f>
        <v/>
      </c>
    </row>
    <row r="1398" spans="1:23">
      <c r="A1398" s="120" t="str">
        <f t="shared" si="115"/>
        <v/>
      </c>
      <c r="R1398" s="127">
        <f t="shared" si="116"/>
        <v>0</v>
      </c>
      <c r="T1398" s="128">
        <f t="shared" si="114"/>
        <v>0</v>
      </c>
      <c r="U1398" s="129" t="str">
        <f>IFERROR(IF(#REF!="S",VLOOKUP('Raw Data'!A1398,References!#REF!,2,FALSE),(VLOOKUP($S1398,References!$B$3:$C$7,2,FALSE))),"")</f>
        <v/>
      </c>
      <c r="V1398" s="129" t="str">
        <f t="shared" si="117"/>
        <v/>
      </c>
      <c r="W1398" s="74" t="str">
        <f>IFERROR(VLOOKUP($O1398,'Customer List'!$A$1:$J$488,10,FALSE),"")</f>
        <v/>
      </c>
    </row>
    <row r="1399" spans="1:23">
      <c r="A1399" s="120" t="str">
        <f t="shared" si="115"/>
        <v/>
      </c>
      <c r="R1399" s="127">
        <f t="shared" si="116"/>
        <v>0</v>
      </c>
      <c r="T1399" s="128">
        <f t="shared" si="114"/>
        <v>0</v>
      </c>
      <c r="U1399" s="129" t="str">
        <f>IFERROR(IF(#REF!="S",VLOOKUP('Raw Data'!A1399,References!#REF!,2,FALSE),(VLOOKUP($S1399,References!$B$3:$C$7,2,FALSE))),"")</f>
        <v/>
      </c>
      <c r="V1399" s="129" t="str">
        <f t="shared" si="117"/>
        <v/>
      </c>
      <c r="W1399" s="74" t="str">
        <f>IFERROR(VLOOKUP($O1399,'Customer List'!$A$1:$J$488,10,FALSE),"")</f>
        <v/>
      </c>
    </row>
    <row r="1400" spans="1:23">
      <c r="A1400" s="120" t="str">
        <f t="shared" si="115"/>
        <v/>
      </c>
      <c r="R1400" s="127">
        <f t="shared" si="116"/>
        <v>0</v>
      </c>
      <c r="T1400" s="128">
        <f t="shared" si="114"/>
        <v>0</v>
      </c>
      <c r="U1400" s="129" t="str">
        <f>IFERROR(IF(#REF!="S",VLOOKUP('Raw Data'!A1400,References!#REF!,2,FALSE),(VLOOKUP($S1400,References!$B$3:$C$7,2,FALSE))),"")</f>
        <v/>
      </c>
      <c r="V1400" s="129" t="str">
        <f t="shared" si="117"/>
        <v/>
      </c>
      <c r="W1400" s="74" t="str">
        <f>IFERROR(VLOOKUP($O1400,'Customer List'!$A$1:$J$488,10,FALSE),"")</f>
        <v/>
      </c>
    </row>
    <row r="1401" spans="1:23">
      <c r="R1401" s="127">
        <f t="shared" si="116"/>
        <v>0</v>
      </c>
      <c r="T1401" s="128">
        <f t="shared" si="114"/>
        <v>0</v>
      </c>
      <c r="U1401" s="129" t="str">
        <f>IFERROR(IF(#REF!="S",VLOOKUP('Raw Data'!A1401,References!#REF!,2,FALSE),(VLOOKUP($S1401,References!$B$3:$C$7,2,FALSE))),"")</f>
        <v/>
      </c>
      <c r="V1401" s="129" t="str">
        <f t="shared" si="117"/>
        <v/>
      </c>
      <c r="W1401" s="74" t="str">
        <f>IFERROR(VLOOKUP($O1401,'Customer List'!$A$1:$J$488,10,FALSE),"")</f>
        <v/>
      </c>
    </row>
    <row r="1402" spans="1:23">
      <c r="R1402" s="127">
        <f t="shared" si="116"/>
        <v>0</v>
      </c>
      <c r="T1402" s="128">
        <f t="shared" si="114"/>
        <v>0</v>
      </c>
      <c r="U1402" s="129" t="str">
        <f>IFERROR(IF(#REF!="S",VLOOKUP('Raw Data'!A1402,References!#REF!,2,FALSE),(VLOOKUP($S1402,References!$B$3:$C$7,2,FALSE))),"")</f>
        <v/>
      </c>
      <c r="V1402" s="129" t="str">
        <f t="shared" si="117"/>
        <v/>
      </c>
      <c r="W1402" s="74" t="str">
        <f>IFERROR(VLOOKUP($O1402,'Customer List'!$A$1:$J$488,10,FALSE),"")</f>
        <v/>
      </c>
    </row>
    <row r="1403" spans="1:23">
      <c r="R1403" s="127">
        <f t="shared" si="116"/>
        <v>0</v>
      </c>
      <c r="T1403" s="128">
        <f t="shared" si="114"/>
        <v>0</v>
      </c>
      <c r="U1403" s="129" t="str">
        <f>IFERROR(IF(#REF!="S",VLOOKUP('Raw Data'!A1403,References!#REF!,2,FALSE),(VLOOKUP($S1403,References!$B$3:$C$7,2,FALSE))),"")</f>
        <v/>
      </c>
      <c r="V1403" s="129" t="str">
        <f t="shared" si="117"/>
        <v/>
      </c>
      <c r="W1403" s="74" t="str">
        <f>IFERROR(VLOOKUP($O1403,'Customer List'!$A$1:$J$488,10,FALSE),"")</f>
        <v/>
      </c>
    </row>
    <row r="1404" spans="1:23">
      <c r="R1404" s="127">
        <f t="shared" si="116"/>
        <v>0</v>
      </c>
      <c r="T1404" s="128">
        <f t="shared" si="114"/>
        <v>0</v>
      </c>
      <c r="U1404" s="129" t="str">
        <f>IFERROR(IF(#REF!="S",VLOOKUP('Raw Data'!A1404,References!#REF!,2,FALSE),(VLOOKUP($S1404,References!$B$3:$C$7,2,FALSE))),"")</f>
        <v/>
      </c>
      <c r="V1404" s="129" t="str">
        <f t="shared" si="117"/>
        <v/>
      </c>
      <c r="W1404" s="74" t="str">
        <f>IFERROR(VLOOKUP($O1404,'Customer List'!$A$1:$J$488,10,FALSE),"")</f>
        <v/>
      </c>
    </row>
    <row r="1405" spans="1:23">
      <c r="R1405" s="127">
        <f t="shared" si="116"/>
        <v>0</v>
      </c>
      <c r="T1405" s="128">
        <f t="shared" si="114"/>
        <v>0</v>
      </c>
      <c r="U1405" s="129" t="str">
        <f>IFERROR(IF(#REF!="S",VLOOKUP('Raw Data'!A1405,References!#REF!,2,FALSE),(VLOOKUP($S1405,References!$B$3:$C$7,2,FALSE))),"")</f>
        <v/>
      </c>
      <c r="V1405" s="129" t="str">
        <f t="shared" si="117"/>
        <v/>
      </c>
      <c r="W1405" s="74" t="str">
        <f>IFERROR(VLOOKUP($O1405,'Customer List'!$A$1:$J$488,10,FALSE),"")</f>
        <v/>
      </c>
    </row>
    <row r="1406" spans="1:23">
      <c r="R1406" s="127">
        <f t="shared" si="116"/>
        <v>0</v>
      </c>
      <c r="T1406" s="128">
        <f t="shared" si="114"/>
        <v>0</v>
      </c>
      <c r="U1406" s="129" t="str">
        <f>IFERROR(IF(#REF!="S",VLOOKUP('Raw Data'!A1406,References!#REF!,2,FALSE),(VLOOKUP($S1406,References!$B$3:$C$7,2,FALSE))),"")</f>
        <v/>
      </c>
      <c r="V1406" s="129" t="str">
        <f t="shared" si="117"/>
        <v/>
      </c>
      <c r="W1406" s="74" t="str">
        <f>IFERROR(VLOOKUP($O1406,'Customer List'!$A$1:$J$488,10,FALSE),"")</f>
        <v/>
      </c>
    </row>
    <row r="1407" spans="1:23">
      <c r="R1407" s="127">
        <f t="shared" si="116"/>
        <v>0</v>
      </c>
      <c r="T1407" s="128">
        <f t="shared" si="114"/>
        <v>0</v>
      </c>
      <c r="U1407" s="129" t="str">
        <f>IFERROR(IF(#REF!="S",VLOOKUP('Raw Data'!A1407,References!#REF!,2,FALSE),(VLOOKUP($S1407,References!$B$3:$C$7,2,FALSE))),"")</f>
        <v/>
      </c>
      <c r="V1407" s="129" t="str">
        <f t="shared" si="117"/>
        <v/>
      </c>
      <c r="W1407" s="74" t="str">
        <f>IFERROR(VLOOKUP($O1407,'Customer List'!$A$1:$J$488,10,FALSE),"")</f>
        <v/>
      </c>
    </row>
    <row r="1408" spans="1:23">
      <c r="R1408" s="127">
        <f t="shared" si="116"/>
        <v>0</v>
      </c>
      <c r="T1408" s="128">
        <f t="shared" si="114"/>
        <v>0</v>
      </c>
      <c r="U1408" s="129" t="str">
        <f>IFERROR(IF(#REF!="S",VLOOKUP('Raw Data'!A1408,References!#REF!,2,FALSE),(VLOOKUP($S1408,References!$B$3:$C$7,2,FALSE))),"")</f>
        <v/>
      </c>
      <c r="V1408" s="129" t="str">
        <f t="shared" si="117"/>
        <v/>
      </c>
      <c r="W1408" s="74" t="str">
        <f>IFERROR(VLOOKUP($O1408,'Customer List'!$A$1:$J$488,10,FALSE),"")</f>
        <v/>
      </c>
    </row>
    <row r="1409" spans="18:23">
      <c r="R1409" s="127">
        <f t="shared" si="116"/>
        <v>0</v>
      </c>
      <c r="T1409" s="128">
        <f t="shared" si="114"/>
        <v>0</v>
      </c>
      <c r="U1409" s="129" t="str">
        <f>IFERROR(IF(#REF!="S",VLOOKUP('Raw Data'!A1409,References!#REF!,2,FALSE),(VLOOKUP($S1409,References!$B$3:$C$7,2,FALSE))),"")</f>
        <v/>
      </c>
      <c r="V1409" s="129" t="str">
        <f t="shared" si="117"/>
        <v/>
      </c>
      <c r="W1409" s="74" t="str">
        <f>IFERROR(VLOOKUP($O1409,'Customer List'!$A$1:$J$488,10,FALSE),"")</f>
        <v/>
      </c>
    </row>
    <row r="1410" spans="18:23">
      <c r="R1410" s="127">
        <f t="shared" si="116"/>
        <v>0</v>
      </c>
      <c r="T1410" s="128">
        <f t="shared" si="114"/>
        <v>0</v>
      </c>
      <c r="U1410" s="129" t="str">
        <f>IFERROR(IF(#REF!="S",VLOOKUP('Raw Data'!A1410,References!#REF!,2,FALSE),(VLOOKUP($S1410,References!$B$3:$C$7,2,FALSE))),"")</f>
        <v/>
      </c>
      <c r="V1410" s="129" t="str">
        <f t="shared" si="117"/>
        <v/>
      </c>
      <c r="W1410" s="74" t="str">
        <f>IFERROR(VLOOKUP($O1410,'Customer List'!$A$1:$J$488,10,FALSE),"")</f>
        <v/>
      </c>
    </row>
    <row r="1411" spans="18:23">
      <c r="R1411" s="127">
        <f t="shared" si="116"/>
        <v>0</v>
      </c>
      <c r="T1411" s="128">
        <f t="shared" si="114"/>
        <v>0</v>
      </c>
      <c r="U1411" s="129" t="str">
        <f>IFERROR(IF(#REF!="S",VLOOKUP('Raw Data'!A1411,References!#REF!,2,FALSE),(VLOOKUP($S1411,References!$B$3:$C$7,2,FALSE))),"")</f>
        <v/>
      </c>
      <c r="V1411" s="129" t="str">
        <f t="shared" si="117"/>
        <v/>
      </c>
      <c r="W1411" s="74" t="str">
        <f>IFERROR(VLOOKUP($O1411,'Customer List'!$A$1:$J$488,10,FALSE),"")</f>
        <v/>
      </c>
    </row>
    <row r="1412" spans="18:23">
      <c r="R1412" s="127">
        <f t="shared" si="116"/>
        <v>0</v>
      </c>
      <c r="T1412" s="128">
        <f t="shared" si="114"/>
        <v>0</v>
      </c>
      <c r="U1412" s="129" t="str">
        <f>IFERROR(IF(#REF!="S",VLOOKUP('Raw Data'!A1412,References!#REF!,2,FALSE),(VLOOKUP($S1412,References!$B$3:$C$7,2,FALSE))),"")</f>
        <v/>
      </c>
      <c r="V1412" s="129" t="str">
        <f t="shared" si="117"/>
        <v/>
      </c>
      <c r="W1412" s="74" t="str">
        <f>IFERROR(VLOOKUP($O1412,'Customer List'!$A$1:$J$488,10,FALSE),"")</f>
        <v/>
      </c>
    </row>
    <row r="1413" spans="18:23">
      <c r="R1413" s="127">
        <f t="shared" si="116"/>
        <v>0</v>
      </c>
      <c r="T1413" s="128">
        <f t="shared" si="114"/>
        <v>0</v>
      </c>
      <c r="U1413" s="129" t="str">
        <f>IFERROR(IF(#REF!="S",VLOOKUP('Raw Data'!A1413,References!#REF!,2,FALSE),(VLOOKUP($S1413,References!$B$3:$C$7,2,FALSE))),"")</f>
        <v/>
      </c>
      <c r="V1413" s="129" t="str">
        <f t="shared" si="117"/>
        <v/>
      </c>
      <c r="W1413" s="74" t="str">
        <f>IFERROR(VLOOKUP($O1413,'Customer List'!$A$1:$J$488,10,FALSE),"")</f>
        <v/>
      </c>
    </row>
    <row r="1414" spans="18:23">
      <c r="R1414" s="127">
        <f t="shared" si="116"/>
        <v>0</v>
      </c>
      <c r="T1414" s="128">
        <f t="shared" si="114"/>
        <v>0</v>
      </c>
      <c r="U1414" s="129" t="str">
        <f>IFERROR(IF(#REF!="S",VLOOKUP('Raw Data'!A1414,References!#REF!,2,FALSE),(VLOOKUP($S1414,References!$B$3:$C$7,2,FALSE))),"")</f>
        <v/>
      </c>
      <c r="V1414" s="129" t="str">
        <f t="shared" si="117"/>
        <v/>
      </c>
      <c r="W1414" s="74" t="str">
        <f>IFERROR(VLOOKUP($O1414,'Customer List'!$A$1:$J$488,10,FALSE),"")</f>
        <v/>
      </c>
    </row>
    <row r="1415" spans="18:23">
      <c r="R1415" s="127">
        <f t="shared" si="116"/>
        <v>0</v>
      </c>
      <c r="T1415" s="128">
        <f t="shared" si="114"/>
        <v>0</v>
      </c>
      <c r="U1415" s="129" t="str">
        <f>IFERROR(IF(#REF!="S",VLOOKUP('Raw Data'!A1415,References!#REF!,2,FALSE),(VLOOKUP($S1415,References!$B$3:$C$7,2,FALSE))),"")</f>
        <v/>
      </c>
      <c r="V1415" s="129" t="str">
        <f t="shared" si="117"/>
        <v/>
      </c>
      <c r="W1415" s="74" t="str">
        <f>IFERROR(VLOOKUP($O1415,'Customer List'!$A$1:$J$488,10,FALSE),"")</f>
        <v/>
      </c>
    </row>
    <row r="1416" spans="18:23">
      <c r="R1416" s="127">
        <f t="shared" si="116"/>
        <v>0</v>
      </c>
      <c r="T1416" s="128">
        <f t="shared" si="114"/>
        <v>0</v>
      </c>
      <c r="U1416" s="129" t="str">
        <f>IFERROR(IF(#REF!="S",VLOOKUP('Raw Data'!A1416,References!#REF!,2,FALSE),(VLOOKUP($S1416,References!$B$3:$C$7,2,FALSE))),"")</f>
        <v/>
      </c>
      <c r="V1416" s="129" t="str">
        <f t="shared" si="117"/>
        <v/>
      </c>
      <c r="W1416" s="74" t="str">
        <f>IFERROR(VLOOKUP($O1416,'Customer List'!$A$1:$J$488,10,FALSE),"")</f>
        <v/>
      </c>
    </row>
    <row r="1417" spans="18:23">
      <c r="R1417" s="127">
        <f t="shared" si="116"/>
        <v>0</v>
      </c>
      <c r="T1417" s="128">
        <f t="shared" si="114"/>
        <v>0</v>
      </c>
      <c r="U1417" s="129" t="str">
        <f>IFERROR(IF(#REF!="S",VLOOKUP('Raw Data'!A1417,References!#REF!,2,FALSE),(VLOOKUP($S1417,References!$B$3:$C$7,2,FALSE))),"")</f>
        <v/>
      </c>
      <c r="V1417" s="129" t="str">
        <f t="shared" si="117"/>
        <v/>
      </c>
      <c r="W1417" s="74" t="str">
        <f>IFERROR(VLOOKUP($O1417,'Customer List'!$A$1:$J$488,10,FALSE),"")</f>
        <v/>
      </c>
    </row>
    <row r="1418" spans="18:23">
      <c r="R1418" s="127">
        <f t="shared" si="116"/>
        <v>0</v>
      </c>
      <c r="T1418" s="128">
        <f t="shared" ref="T1418:T1481" si="118">IF(S1418="50 - Cleaning Fee",1,HOUR($R1418)+MINUTE(R1418)/60)</f>
        <v>0</v>
      </c>
      <c r="U1418" s="129" t="str">
        <f>IFERROR(IF(#REF!="S",VLOOKUP('Raw Data'!A1418,References!#REF!,2,FALSE),(VLOOKUP($S1418,References!$B$3:$C$7,2,FALSE))),"")</f>
        <v/>
      </c>
      <c r="V1418" s="129" t="str">
        <f t="shared" si="117"/>
        <v/>
      </c>
      <c r="W1418" s="74" t="str">
        <f>IFERROR(VLOOKUP($O1418,'Customer List'!$A$1:$J$488,10,FALSE),"")</f>
        <v/>
      </c>
    </row>
    <row r="1419" spans="18:23">
      <c r="R1419" s="127">
        <f t="shared" si="116"/>
        <v>0</v>
      </c>
      <c r="T1419" s="128">
        <f t="shared" si="118"/>
        <v>0</v>
      </c>
      <c r="U1419" s="129" t="str">
        <f>IFERROR(IF(#REF!="S",VLOOKUP('Raw Data'!A1419,References!#REF!,2,FALSE),(VLOOKUP($S1419,References!$B$3:$C$7,2,FALSE))),"")</f>
        <v/>
      </c>
      <c r="V1419" s="129" t="str">
        <f t="shared" si="117"/>
        <v/>
      </c>
      <c r="W1419" s="74" t="str">
        <f>IFERROR(VLOOKUP($O1419,'Customer List'!$A$1:$J$488,10,FALSE),"")</f>
        <v/>
      </c>
    </row>
    <row r="1420" spans="18:23">
      <c r="R1420" s="127">
        <f t="shared" si="116"/>
        <v>0</v>
      </c>
      <c r="T1420" s="128">
        <f t="shared" si="118"/>
        <v>0</v>
      </c>
      <c r="U1420" s="129" t="str">
        <f>IFERROR(IF(#REF!="S",VLOOKUP('Raw Data'!A1420,References!#REF!,2,FALSE),(VLOOKUP($S1420,References!$B$3:$C$7,2,FALSE))),"")</f>
        <v/>
      </c>
      <c r="V1420" s="129" t="str">
        <f t="shared" si="117"/>
        <v/>
      </c>
      <c r="W1420" s="74" t="str">
        <f>IFERROR(VLOOKUP($O1420,'Customer List'!$A$1:$J$488,10,FALSE),"")</f>
        <v/>
      </c>
    </row>
    <row r="1421" spans="18:23">
      <c r="R1421" s="127">
        <f t="shared" si="116"/>
        <v>0</v>
      </c>
      <c r="T1421" s="128">
        <f t="shared" si="118"/>
        <v>0</v>
      </c>
      <c r="U1421" s="129" t="str">
        <f>IFERROR(IF(#REF!="S",VLOOKUP('Raw Data'!A1421,References!#REF!,2,FALSE),(VLOOKUP($S1421,References!$B$3:$C$7,2,FALSE))),"")</f>
        <v/>
      </c>
      <c r="V1421" s="129" t="str">
        <f t="shared" si="117"/>
        <v/>
      </c>
      <c r="W1421" s="74" t="str">
        <f>IFERROR(VLOOKUP($O1421,'Customer List'!$A$1:$J$488,10,FALSE),"")</f>
        <v/>
      </c>
    </row>
    <row r="1422" spans="18:23">
      <c r="R1422" s="127">
        <f t="shared" si="116"/>
        <v>0</v>
      </c>
      <c r="T1422" s="128">
        <f t="shared" si="118"/>
        <v>0</v>
      </c>
      <c r="U1422" s="129" t="str">
        <f>IFERROR(IF(#REF!="S",VLOOKUP('Raw Data'!A1422,References!#REF!,2,FALSE),(VLOOKUP($S1422,References!$B$3:$C$7,2,FALSE))),"")</f>
        <v/>
      </c>
      <c r="V1422" s="129" t="str">
        <f t="shared" si="117"/>
        <v/>
      </c>
      <c r="W1422" s="74" t="str">
        <f>IFERROR(VLOOKUP($O1422,'Customer List'!$A$1:$J$488,10,FALSE),"")</f>
        <v/>
      </c>
    </row>
    <row r="1423" spans="18:23">
      <c r="R1423" s="127">
        <f t="shared" si="116"/>
        <v>0</v>
      </c>
      <c r="T1423" s="128">
        <f t="shared" si="118"/>
        <v>0</v>
      </c>
      <c r="U1423" s="129" t="str">
        <f>IFERROR(IF(#REF!="S",VLOOKUP('Raw Data'!A1423,References!#REF!,2,FALSE),(VLOOKUP($S1423,References!$B$3:$C$7,2,FALSE))),"")</f>
        <v/>
      </c>
      <c r="V1423" s="129" t="str">
        <f t="shared" si="117"/>
        <v/>
      </c>
      <c r="W1423" s="74" t="str">
        <f>IFERROR(VLOOKUP($O1423,'Customer List'!$A$1:$J$488,10,FALSE),"")</f>
        <v/>
      </c>
    </row>
    <row r="1424" spans="18:23">
      <c r="R1424" s="127">
        <f t="shared" si="116"/>
        <v>0</v>
      </c>
      <c r="T1424" s="128">
        <f t="shared" si="118"/>
        <v>0</v>
      </c>
      <c r="U1424" s="129" t="str">
        <f>IFERROR(IF(#REF!="S",VLOOKUP('Raw Data'!A1424,References!#REF!,2,FALSE),(VLOOKUP($S1424,References!$B$3:$C$7,2,FALSE))),"")</f>
        <v/>
      </c>
      <c r="V1424" s="129" t="str">
        <f t="shared" si="117"/>
        <v/>
      </c>
      <c r="W1424" s="74" t="str">
        <f>IFERROR(VLOOKUP($O1424,'Customer List'!$A$1:$J$488,10,FALSE),"")</f>
        <v/>
      </c>
    </row>
    <row r="1425" spans="18:23">
      <c r="R1425" s="127">
        <f t="shared" si="116"/>
        <v>0</v>
      </c>
      <c r="T1425" s="128">
        <f t="shared" si="118"/>
        <v>0</v>
      </c>
      <c r="U1425" s="129" t="str">
        <f>IFERROR(IF(#REF!="S",VLOOKUP('Raw Data'!A1425,References!#REF!,2,FALSE),(VLOOKUP($S1425,References!$B$3:$C$7,2,FALSE))),"")</f>
        <v/>
      </c>
      <c r="V1425" s="129" t="str">
        <f t="shared" si="117"/>
        <v/>
      </c>
      <c r="W1425" s="74" t="str">
        <f>IFERROR(VLOOKUP($O1425,'Customer List'!$A$1:$J$488,10,FALSE),"")</f>
        <v/>
      </c>
    </row>
    <row r="1426" spans="18:23">
      <c r="R1426" s="127">
        <f t="shared" si="116"/>
        <v>0</v>
      </c>
      <c r="T1426" s="128">
        <f t="shared" si="118"/>
        <v>0</v>
      </c>
      <c r="U1426" s="129" t="str">
        <f>IFERROR(IF(#REF!="S",VLOOKUP('Raw Data'!A1426,References!#REF!,2,FALSE),(VLOOKUP($S1426,References!$B$3:$C$7,2,FALSE))),"")</f>
        <v/>
      </c>
      <c r="V1426" s="129" t="str">
        <f t="shared" si="117"/>
        <v/>
      </c>
      <c r="W1426" s="74" t="str">
        <f>IFERROR(VLOOKUP($O1426,'Customer List'!$A$1:$J$488,10,FALSE),"")</f>
        <v/>
      </c>
    </row>
    <row r="1427" spans="18:23">
      <c r="R1427" s="127">
        <f t="shared" si="116"/>
        <v>0</v>
      </c>
      <c r="T1427" s="128">
        <f t="shared" si="118"/>
        <v>0</v>
      </c>
      <c r="U1427" s="129" t="str">
        <f>IFERROR(IF(#REF!="S",VLOOKUP('Raw Data'!A1427,References!#REF!,2,FALSE),(VLOOKUP($S1427,References!$B$3:$C$7,2,FALSE))),"")</f>
        <v/>
      </c>
      <c r="V1427" s="129" t="str">
        <f t="shared" si="117"/>
        <v/>
      </c>
      <c r="W1427" s="74" t="str">
        <f>IFERROR(VLOOKUP($O1427,'Customer List'!$A$1:$J$488,10,FALSE),"")</f>
        <v/>
      </c>
    </row>
    <row r="1428" spans="18:23">
      <c r="R1428" s="127">
        <f t="shared" si="116"/>
        <v>0</v>
      </c>
      <c r="T1428" s="128">
        <f t="shared" si="118"/>
        <v>0</v>
      </c>
      <c r="U1428" s="129" t="str">
        <f>IFERROR(IF(#REF!="S",VLOOKUP('Raw Data'!A1428,References!#REF!,2,FALSE),(VLOOKUP($S1428,References!$B$3:$C$7,2,FALSE))),"")</f>
        <v/>
      </c>
      <c r="V1428" s="129" t="str">
        <f t="shared" si="117"/>
        <v/>
      </c>
      <c r="W1428" s="74" t="str">
        <f>IFERROR(VLOOKUP($O1428,'Customer List'!$A$1:$J$488,10,FALSE),"")</f>
        <v/>
      </c>
    </row>
    <row r="1429" spans="18:23">
      <c r="R1429" s="127">
        <f t="shared" si="116"/>
        <v>0</v>
      </c>
      <c r="T1429" s="128">
        <f t="shared" si="118"/>
        <v>0</v>
      </c>
      <c r="U1429" s="129" t="str">
        <f>IFERROR(IF(#REF!="S",VLOOKUP('Raw Data'!A1429,References!#REF!,2,FALSE),(VLOOKUP($S1429,References!$B$3:$C$7,2,FALSE))),"")</f>
        <v/>
      </c>
      <c r="V1429" s="129" t="str">
        <f t="shared" si="117"/>
        <v/>
      </c>
      <c r="W1429" s="74" t="str">
        <f>IFERROR(VLOOKUP($O1429,'Customer List'!$A$1:$J$488,10,FALSE),"")</f>
        <v/>
      </c>
    </row>
    <row r="1430" spans="18:23">
      <c r="R1430" s="127">
        <f t="shared" si="116"/>
        <v>0</v>
      </c>
      <c r="T1430" s="128">
        <f t="shared" si="118"/>
        <v>0</v>
      </c>
      <c r="U1430" s="129" t="str">
        <f>IFERROR(IF(#REF!="S",VLOOKUP('Raw Data'!A1430,References!#REF!,2,FALSE),(VLOOKUP($S1430,References!$B$3:$C$7,2,FALSE))),"")</f>
        <v/>
      </c>
      <c r="V1430" s="129" t="str">
        <f t="shared" si="117"/>
        <v/>
      </c>
      <c r="W1430" s="74" t="str">
        <f>IFERROR(VLOOKUP($O1430,'Customer List'!$A$1:$J$488,10,FALSE),"")</f>
        <v/>
      </c>
    </row>
    <row r="1431" spans="18:23">
      <c r="R1431" s="127">
        <f t="shared" si="116"/>
        <v>0</v>
      </c>
      <c r="T1431" s="128">
        <f t="shared" si="118"/>
        <v>0</v>
      </c>
      <c r="U1431" s="129" t="str">
        <f>IFERROR(IF(#REF!="S",VLOOKUP('Raw Data'!A1431,References!#REF!,2,FALSE),(VLOOKUP($S1431,References!$B$3:$C$7,2,FALSE))),"")</f>
        <v/>
      </c>
      <c r="V1431" s="129" t="str">
        <f t="shared" si="117"/>
        <v/>
      </c>
      <c r="W1431" s="74" t="str">
        <f>IFERROR(VLOOKUP($O1431,'Customer List'!$A$1:$J$488,10,FALSE),"")</f>
        <v/>
      </c>
    </row>
    <row r="1432" spans="18:23">
      <c r="R1432" s="127">
        <f t="shared" si="116"/>
        <v>0</v>
      </c>
      <c r="T1432" s="128">
        <f t="shared" si="118"/>
        <v>0</v>
      </c>
      <c r="U1432" s="129" t="str">
        <f>IFERROR(IF(#REF!="S",VLOOKUP('Raw Data'!A1432,References!#REF!,2,FALSE),(VLOOKUP($S1432,References!$B$3:$C$7,2,FALSE))),"")</f>
        <v/>
      </c>
      <c r="V1432" s="129" t="str">
        <f t="shared" si="117"/>
        <v/>
      </c>
      <c r="W1432" s="74" t="str">
        <f>IFERROR(VLOOKUP($O1432,'Customer List'!$A$1:$J$488,10,FALSE),"")</f>
        <v/>
      </c>
    </row>
    <row r="1433" spans="18:23">
      <c r="R1433" s="127">
        <f t="shared" si="116"/>
        <v>0</v>
      </c>
      <c r="T1433" s="128">
        <f t="shared" si="118"/>
        <v>0</v>
      </c>
      <c r="U1433" s="129" t="str">
        <f>IFERROR(IF(#REF!="S",VLOOKUP('Raw Data'!A1433,References!#REF!,2,FALSE),(VLOOKUP($S1433,References!$B$3:$C$7,2,FALSE))),"")</f>
        <v/>
      </c>
      <c r="V1433" s="129" t="str">
        <f t="shared" si="117"/>
        <v/>
      </c>
      <c r="W1433" s="74" t="str">
        <f>IFERROR(VLOOKUP($O1433,'Customer List'!$A$1:$J$488,10,FALSE),"")</f>
        <v/>
      </c>
    </row>
    <row r="1434" spans="18:23">
      <c r="R1434" s="127">
        <f t="shared" si="116"/>
        <v>0</v>
      </c>
      <c r="T1434" s="128">
        <f t="shared" si="118"/>
        <v>0</v>
      </c>
      <c r="U1434" s="129" t="str">
        <f>IFERROR(IF(#REF!="S",VLOOKUP('Raw Data'!A1434,References!#REF!,2,FALSE),(VLOOKUP($S1434,References!$B$3:$C$7,2,FALSE))),"")</f>
        <v/>
      </c>
      <c r="V1434" s="129" t="str">
        <f t="shared" si="117"/>
        <v/>
      </c>
      <c r="W1434" s="74" t="str">
        <f>IFERROR(VLOOKUP($O1434,'Customer List'!$A$1:$J$488,10,FALSE),"")</f>
        <v/>
      </c>
    </row>
    <row r="1435" spans="18:23">
      <c r="R1435" s="127">
        <f t="shared" si="116"/>
        <v>0</v>
      </c>
      <c r="T1435" s="128">
        <f t="shared" si="118"/>
        <v>0</v>
      </c>
      <c r="U1435" s="129" t="str">
        <f>IFERROR(IF(#REF!="S",VLOOKUP('Raw Data'!A1435,References!#REF!,2,FALSE),(VLOOKUP($S1435,References!$B$3:$C$7,2,FALSE))),"")</f>
        <v/>
      </c>
      <c r="V1435" s="129" t="str">
        <f t="shared" si="117"/>
        <v/>
      </c>
      <c r="W1435" s="74" t="str">
        <f>IFERROR(VLOOKUP($O1435,'Customer List'!$A$1:$J$488,10,FALSE),"")</f>
        <v/>
      </c>
    </row>
    <row r="1436" spans="18:23">
      <c r="R1436" s="127">
        <f t="shared" si="116"/>
        <v>0</v>
      </c>
      <c r="T1436" s="128">
        <f t="shared" si="118"/>
        <v>0</v>
      </c>
      <c r="U1436" s="129" t="str">
        <f>IFERROR(IF(#REF!="S",VLOOKUP('Raw Data'!A1436,References!#REF!,2,FALSE),(VLOOKUP($S1436,References!$B$3:$C$7,2,FALSE))),"")</f>
        <v/>
      </c>
      <c r="V1436" s="129" t="str">
        <f t="shared" si="117"/>
        <v/>
      </c>
      <c r="W1436" s="74" t="str">
        <f>IFERROR(VLOOKUP($O1436,'Customer List'!$A$1:$J$488,10,FALSE),"")</f>
        <v/>
      </c>
    </row>
    <row r="1437" spans="18:23">
      <c r="R1437" s="127">
        <f t="shared" si="116"/>
        <v>0</v>
      </c>
      <c r="T1437" s="128">
        <f t="shared" si="118"/>
        <v>0</v>
      </c>
      <c r="U1437" s="129" t="str">
        <f>IFERROR(IF(#REF!="S",VLOOKUP('Raw Data'!A1437,References!#REF!,2,FALSE),(VLOOKUP($S1437,References!$B$3:$C$7,2,FALSE))),"")</f>
        <v/>
      </c>
      <c r="V1437" s="129" t="str">
        <f t="shared" si="117"/>
        <v/>
      </c>
      <c r="W1437" s="74" t="str">
        <f>IFERROR(VLOOKUP($O1437,'Customer List'!$A$1:$J$488,10,FALSE),"")</f>
        <v/>
      </c>
    </row>
    <row r="1438" spans="18:23">
      <c r="R1438" s="127">
        <f t="shared" si="116"/>
        <v>0</v>
      </c>
      <c r="T1438" s="128">
        <f t="shared" si="118"/>
        <v>0</v>
      </c>
      <c r="U1438" s="129" t="str">
        <f>IFERROR(IF(#REF!="S",VLOOKUP('Raw Data'!A1438,References!#REF!,2,FALSE),(VLOOKUP($S1438,References!$B$3:$C$7,2,FALSE))),"")</f>
        <v/>
      </c>
      <c r="V1438" s="129" t="str">
        <f t="shared" si="117"/>
        <v/>
      </c>
      <c r="W1438" s="74" t="str">
        <f>IFERROR(VLOOKUP($O1438,'Customer List'!$A$1:$J$488,10,FALSE),"")</f>
        <v/>
      </c>
    </row>
    <row r="1439" spans="18:23">
      <c r="R1439" s="127">
        <f t="shared" si="116"/>
        <v>0</v>
      </c>
      <c r="T1439" s="128">
        <f t="shared" si="118"/>
        <v>0</v>
      </c>
      <c r="U1439" s="129" t="str">
        <f>IFERROR(IF(#REF!="S",VLOOKUP('Raw Data'!A1439,References!#REF!,2,FALSE),(VLOOKUP($S1439,References!$B$3:$C$7,2,FALSE))),"")</f>
        <v/>
      </c>
      <c r="V1439" s="129" t="str">
        <f t="shared" si="117"/>
        <v/>
      </c>
      <c r="W1439" s="74" t="str">
        <f>IFERROR(VLOOKUP($O1439,'Customer List'!$A$1:$J$488,10,FALSE),"")</f>
        <v/>
      </c>
    </row>
    <row r="1440" spans="18:23">
      <c r="R1440" s="127">
        <f t="shared" si="116"/>
        <v>0</v>
      </c>
      <c r="T1440" s="128">
        <f t="shared" si="118"/>
        <v>0</v>
      </c>
      <c r="U1440" s="129" t="str">
        <f>IFERROR(IF(#REF!="S",VLOOKUP('Raw Data'!A1440,References!#REF!,2,FALSE),(VLOOKUP($S1440,References!$B$3:$C$7,2,FALSE))),"")</f>
        <v/>
      </c>
      <c r="V1440" s="129" t="str">
        <f t="shared" si="117"/>
        <v/>
      </c>
      <c r="W1440" s="74" t="str">
        <f>IFERROR(VLOOKUP($O1440,'Customer List'!$A$1:$J$488,10,FALSE),"")</f>
        <v/>
      </c>
    </row>
    <row r="1441" spans="18:23">
      <c r="R1441" s="127">
        <f t="shared" si="116"/>
        <v>0</v>
      </c>
      <c r="T1441" s="128">
        <f t="shared" si="118"/>
        <v>0</v>
      </c>
      <c r="U1441" s="129" t="str">
        <f>IFERROR(IF(#REF!="S",VLOOKUP('Raw Data'!A1441,References!#REF!,2,FALSE),(VLOOKUP($S1441,References!$B$3:$C$7,2,FALSE))),"")</f>
        <v/>
      </c>
      <c r="V1441" s="129" t="str">
        <f t="shared" si="117"/>
        <v/>
      </c>
      <c r="W1441" s="74" t="str">
        <f>IFERROR(VLOOKUP($O1441,'Customer List'!$A$1:$J$488,10,FALSE),"")</f>
        <v/>
      </c>
    </row>
    <row r="1442" spans="18:23">
      <c r="R1442" s="127">
        <f t="shared" si="116"/>
        <v>0</v>
      </c>
      <c r="T1442" s="128">
        <f t="shared" si="118"/>
        <v>0</v>
      </c>
      <c r="U1442" s="129" t="str">
        <f>IFERROR(IF(#REF!="S",VLOOKUP('Raw Data'!A1442,References!#REF!,2,FALSE),(VLOOKUP($S1442,References!$B$3:$C$7,2,FALSE))),"")</f>
        <v/>
      </c>
      <c r="V1442" s="129" t="str">
        <f t="shared" si="117"/>
        <v/>
      </c>
      <c r="W1442" s="74" t="str">
        <f>IFERROR(VLOOKUP($O1442,'Customer List'!$A$1:$J$488,10,FALSE),"")</f>
        <v/>
      </c>
    </row>
    <row r="1443" spans="18:23">
      <c r="R1443" s="127">
        <f t="shared" si="116"/>
        <v>0</v>
      </c>
      <c r="T1443" s="128">
        <f t="shared" si="118"/>
        <v>0</v>
      </c>
      <c r="U1443" s="129" t="str">
        <f>IFERROR(IF(#REF!="S",VLOOKUP('Raw Data'!A1443,References!#REF!,2,FALSE),(VLOOKUP($S1443,References!$B$3:$C$7,2,FALSE))),"")</f>
        <v/>
      </c>
      <c r="V1443" s="129" t="str">
        <f t="shared" si="117"/>
        <v/>
      </c>
      <c r="W1443" s="74" t="str">
        <f>IFERROR(VLOOKUP($O1443,'Customer List'!$A$1:$J$488,10,FALSE),"")</f>
        <v/>
      </c>
    </row>
    <row r="1444" spans="18:23">
      <c r="R1444" s="127">
        <f t="shared" si="116"/>
        <v>0</v>
      </c>
      <c r="T1444" s="128">
        <f t="shared" si="118"/>
        <v>0</v>
      </c>
      <c r="U1444" s="129" t="str">
        <f>IFERROR(IF(#REF!="S",VLOOKUP('Raw Data'!A1444,References!#REF!,2,FALSE),(VLOOKUP($S1444,References!$B$3:$C$7,2,FALSE))),"")</f>
        <v/>
      </c>
      <c r="V1444" s="129" t="str">
        <f t="shared" si="117"/>
        <v/>
      </c>
      <c r="W1444" s="74" t="str">
        <f>IFERROR(VLOOKUP($O1444,'Customer List'!$A$1:$J$488,10,FALSE),"")</f>
        <v/>
      </c>
    </row>
    <row r="1445" spans="18:23">
      <c r="R1445" s="127">
        <f t="shared" si="116"/>
        <v>0</v>
      </c>
      <c r="T1445" s="128">
        <f t="shared" si="118"/>
        <v>0</v>
      </c>
      <c r="U1445" s="129" t="str">
        <f>IFERROR(IF(#REF!="S",VLOOKUP('Raw Data'!A1445,References!#REF!,2,FALSE),(VLOOKUP($S1445,References!$B$3:$C$7,2,FALSE))),"")</f>
        <v/>
      </c>
      <c r="V1445" s="129" t="str">
        <f t="shared" si="117"/>
        <v/>
      </c>
      <c r="W1445" s="74" t="str">
        <f>IFERROR(VLOOKUP($O1445,'Customer List'!$A$1:$J$488,10,FALSE),"")</f>
        <v/>
      </c>
    </row>
    <row r="1446" spans="18:23">
      <c r="R1446" s="127">
        <f t="shared" ref="R1446:R1509" si="119">L1446-K1446</f>
        <v>0</v>
      </c>
      <c r="T1446" s="128">
        <f t="shared" si="118"/>
        <v>0</v>
      </c>
      <c r="U1446" s="129" t="str">
        <f>IFERROR(IF(#REF!="S",VLOOKUP('Raw Data'!A1446,References!#REF!,2,FALSE),(VLOOKUP($S1446,References!$B$3:$C$7,2,FALSE))),"")</f>
        <v/>
      </c>
      <c r="V1446" s="129" t="str">
        <f t="shared" si="117"/>
        <v/>
      </c>
      <c r="W1446" s="74" t="str">
        <f>IFERROR(VLOOKUP($O1446,'Customer List'!$A$1:$J$488,10,FALSE),"")</f>
        <v/>
      </c>
    </row>
    <row r="1447" spans="18:23">
      <c r="R1447" s="127">
        <f t="shared" si="119"/>
        <v>0</v>
      </c>
      <c r="T1447" s="128">
        <f t="shared" si="118"/>
        <v>0</v>
      </c>
      <c r="U1447" s="129" t="str">
        <f>IFERROR(IF(#REF!="S",VLOOKUP('Raw Data'!A1447,References!#REF!,2,FALSE),(VLOOKUP($S1447,References!$B$3:$C$7,2,FALSE))),"")</f>
        <v/>
      </c>
      <c r="V1447" s="129" t="str">
        <f t="shared" si="117"/>
        <v/>
      </c>
      <c r="W1447" s="74" t="str">
        <f>IFERROR(VLOOKUP($O1447,'Customer List'!$A$1:$J$488,10,FALSE),"")</f>
        <v/>
      </c>
    </row>
    <row r="1448" spans="18:23">
      <c r="R1448" s="127">
        <f t="shared" si="119"/>
        <v>0</v>
      </c>
      <c r="T1448" s="128">
        <f t="shared" si="118"/>
        <v>0</v>
      </c>
      <c r="U1448" s="129" t="str">
        <f>IFERROR(IF(#REF!="S",VLOOKUP('Raw Data'!A1448,References!#REF!,2,FALSE),(VLOOKUP($S1448,References!$B$3:$C$7,2,FALSE))),"")</f>
        <v/>
      </c>
      <c r="V1448" s="129" t="str">
        <f t="shared" ref="V1448:V1511" si="120">IFERROR(T1448*U1448,"")</f>
        <v/>
      </c>
      <c r="W1448" s="74" t="str">
        <f>IFERROR(VLOOKUP($O1448,'Customer List'!$A$1:$J$488,10,FALSE),"")</f>
        <v/>
      </c>
    </row>
    <row r="1449" spans="18:23">
      <c r="R1449" s="127">
        <f t="shared" si="119"/>
        <v>0</v>
      </c>
      <c r="T1449" s="128">
        <f t="shared" si="118"/>
        <v>0</v>
      </c>
      <c r="U1449" s="129" t="str">
        <f>IFERROR(IF(#REF!="S",VLOOKUP('Raw Data'!A1449,References!#REF!,2,FALSE),(VLOOKUP($S1449,References!$B$3:$C$7,2,FALSE))),"")</f>
        <v/>
      </c>
      <c r="V1449" s="129" t="str">
        <f t="shared" si="120"/>
        <v/>
      </c>
      <c r="W1449" s="74" t="str">
        <f>IFERROR(VLOOKUP($O1449,'Customer List'!$A$1:$J$488,10,FALSE),"")</f>
        <v/>
      </c>
    </row>
    <row r="1450" spans="18:23">
      <c r="R1450" s="127">
        <f t="shared" si="119"/>
        <v>0</v>
      </c>
      <c r="T1450" s="128">
        <f t="shared" si="118"/>
        <v>0</v>
      </c>
      <c r="U1450" s="129" t="str">
        <f>IFERROR(IF(#REF!="S",VLOOKUP('Raw Data'!A1450,References!#REF!,2,FALSE),(VLOOKUP($S1450,References!$B$3:$C$7,2,FALSE))),"")</f>
        <v/>
      </c>
      <c r="V1450" s="129" t="str">
        <f t="shared" si="120"/>
        <v/>
      </c>
      <c r="W1450" s="74" t="str">
        <f>IFERROR(VLOOKUP($O1450,'Customer List'!$A$1:$J$488,10,FALSE),"")</f>
        <v/>
      </c>
    </row>
    <row r="1451" spans="18:23">
      <c r="R1451" s="127">
        <f t="shared" si="119"/>
        <v>0</v>
      </c>
      <c r="T1451" s="128">
        <f t="shared" si="118"/>
        <v>0</v>
      </c>
      <c r="U1451" s="129" t="str">
        <f>IFERROR(IF(#REF!="S",VLOOKUP('Raw Data'!A1451,References!#REF!,2,FALSE),(VLOOKUP($S1451,References!$B$3:$C$7,2,FALSE))),"")</f>
        <v/>
      </c>
      <c r="V1451" s="129" t="str">
        <f t="shared" si="120"/>
        <v/>
      </c>
      <c r="W1451" s="74" t="str">
        <f>IFERROR(VLOOKUP($O1451,'Customer List'!$A$1:$J$488,10,FALSE),"")</f>
        <v/>
      </c>
    </row>
    <row r="1452" spans="18:23">
      <c r="R1452" s="127">
        <f t="shared" si="119"/>
        <v>0</v>
      </c>
      <c r="T1452" s="128">
        <f t="shared" si="118"/>
        <v>0</v>
      </c>
      <c r="U1452" s="129" t="str">
        <f>IFERROR(IF(#REF!="S",VLOOKUP('Raw Data'!A1452,References!#REF!,2,FALSE),(VLOOKUP($S1452,References!$B$3:$C$7,2,FALSE))),"")</f>
        <v/>
      </c>
      <c r="V1452" s="129" t="str">
        <f t="shared" si="120"/>
        <v/>
      </c>
      <c r="W1452" s="74" t="str">
        <f>IFERROR(VLOOKUP($O1452,'Customer List'!$A$1:$J$488,10,FALSE),"")</f>
        <v/>
      </c>
    </row>
    <row r="1453" spans="18:23">
      <c r="R1453" s="127">
        <f t="shared" si="119"/>
        <v>0</v>
      </c>
      <c r="T1453" s="128">
        <f t="shared" si="118"/>
        <v>0</v>
      </c>
      <c r="U1453" s="129" t="str">
        <f>IFERROR(IF(#REF!="S",VLOOKUP('Raw Data'!A1453,References!#REF!,2,FALSE),(VLOOKUP($S1453,References!$B$3:$C$7,2,FALSE))),"")</f>
        <v/>
      </c>
      <c r="V1453" s="129" t="str">
        <f t="shared" si="120"/>
        <v/>
      </c>
      <c r="W1453" s="74" t="str">
        <f>IFERROR(VLOOKUP($O1453,'Customer List'!$A$1:$J$488,10,FALSE),"")</f>
        <v/>
      </c>
    </row>
    <row r="1454" spans="18:23">
      <c r="R1454" s="127">
        <f t="shared" si="119"/>
        <v>0</v>
      </c>
      <c r="T1454" s="128">
        <f t="shared" si="118"/>
        <v>0</v>
      </c>
      <c r="U1454" s="129" t="str">
        <f>IFERROR(IF(#REF!="S",VLOOKUP('Raw Data'!A1454,References!#REF!,2,FALSE),(VLOOKUP($S1454,References!$B$3:$C$7,2,FALSE))),"")</f>
        <v/>
      </c>
      <c r="V1454" s="129" t="str">
        <f t="shared" si="120"/>
        <v/>
      </c>
      <c r="W1454" s="74" t="str">
        <f>IFERROR(VLOOKUP($O1454,'Customer List'!$A$1:$J$488,10,FALSE),"")</f>
        <v/>
      </c>
    </row>
    <row r="1455" spans="18:23">
      <c r="R1455" s="127">
        <f t="shared" si="119"/>
        <v>0</v>
      </c>
      <c r="T1455" s="128">
        <f t="shared" si="118"/>
        <v>0</v>
      </c>
      <c r="U1455" s="129" t="str">
        <f>IFERROR(IF(#REF!="S",VLOOKUP('Raw Data'!A1455,References!#REF!,2,FALSE),(VLOOKUP($S1455,References!$B$3:$C$7,2,FALSE))),"")</f>
        <v/>
      </c>
      <c r="V1455" s="129" t="str">
        <f t="shared" si="120"/>
        <v/>
      </c>
      <c r="W1455" s="74" t="str">
        <f>IFERROR(VLOOKUP($O1455,'Customer List'!$A$1:$J$488,10,FALSE),"")</f>
        <v/>
      </c>
    </row>
    <row r="1456" spans="18:23">
      <c r="R1456" s="127">
        <f t="shared" si="119"/>
        <v>0</v>
      </c>
      <c r="T1456" s="128">
        <f t="shared" si="118"/>
        <v>0</v>
      </c>
      <c r="U1456" s="129" t="str">
        <f>IFERROR(IF(#REF!="S",VLOOKUP('Raw Data'!A1456,References!#REF!,2,FALSE),(VLOOKUP($S1456,References!$B$3:$C$7,2,FALSE))),"")</f>
        <v/>
      </c>
      <c r="V1456" s="129" t="str">
        <f t="shared" si="120"/>
        <v/>
      </c>
      <c r="W1456" s="74" t="str">
        <f>IFERROR(VLOOKUP($O1456,'Customer List'!$A$1:$J$488,10,FALSE),"")</f>
        <v/>
      </c>
    </row>
    <row r="1457" spans="18:23">
      <c r="R1457" s="127">
        <f t="shared" si="119"/>
        <v>0</v>
      </c>
      <c r="T1457" s="128">
        <f t="shared" si="118"/>
        <v>0</v>
      </c>
      <c r="U1457" s="129" t="str">
        <f>IFERROR(IF(#REF!="S",VLOOKUP('Raw Data'!A1457,References!#REF!,2,FALSE),(VLOOKUP($S1457,References!$B$3:$C$7,2,FALSE))),"")</f>
        <v/>
      </c>
      <c r="V1457" s="129" t="str">
        <f t="shared" si="120"/>
        <v/>
      </c>
      <c r="W1457" s="74" t="str">
        <f>IFERROR(VLOOKUP($O1457,'Customer List'!$A$1:$J$488,10,FALSE),"")</f>
        <v/>
      </c>
    </row>
    <row r="1458" spans="18:23">
      <c r="R1458" s="127">
        <f t="shared" si="119"/>
        <v>0</v>
      </c>
      <c r="T1458" s="128">
        <f t="shared" si="118"/>
        <v>0</v>
      </c>
      <c r="U1458" s="129" t="str">
        <f>IFERROR(IF(#REF!="S",VLOOKUP('Raw Data'!A1458,References!#REF!,2,FALSE),(VLOOKUP($S1458,References!$B$3:$C$7,2,FALSE))),"")</f>
        <v/>
      </c>
      <c r="V1458" s="129" t="str">
        <f t="shared" si="120"/>
        <v/>
      </c>
      <c r="W1458" s="74" t="str">
        <f>IFERROR(VLOOKUP($O1458,'Customer List'!$A$1:$J$488,10,FALSE),"")</f>
        <v/>
      </c>
    </row>
    <row r="1459" spans="18:23">
      <c r="R1459" s="127">
        <f t="shared" si="119"/>
        <v>0</v>
      </c>
      <c r="T1459" s="128">
        <f t="shared" si="118"/>
        <v>0</v>
      </c>
      <c r="U1459" s="129" t="str">
        <f>IFERROR(IF(#REF!="S",VLOOKUP('Raw Data'!A1459,References!#REF!,2,FALSE),(VLOOKUP($S1459,References!$B$3:$C$7,2,FALSE))),"")</f>
        <v/>
      </c>
      <c r="V1459" s="129" t="str">
        <f t="shared" si="120"/>
        <v/>
      </c>
      <c r="W1459" s="74" t="str">
        <f>IFERROR(VLOOKUP($O1459,'Customer List'!$A$1:$J$488,10,FALSE),"")</f>
        <v/>
      </c>
    </row>
    <row r="1460" spans="18:23">
      <c r="R1460" s="127">
        <f t="shared" si="119"/>
        <v>0</v>
      </c>
      <c r="T1460" s="128">
        <f t="shared" si="118"/>
        <v>0</v>
      </c>
      <c r="U1460" s="129" t="str">
        <f>IFERROR(IF(#REF!="S",VLOOKUP('Raw Data'!A1460,References!#REF!,2,FALSE),(VLOOKUP($S1460,References!$B$3:$C$7,2,FALSE))),"")</f>
        <v/>
      </c>
      <c r="V1460" s="129" t="str">
        <f t="shared" si="120"/>
        <v/>
      </c>
      <c r="W1460" s="74" t="str">
        <f>IFERROR(VLOOKUP($O1460,'Customer List'!$A$1:$J$488,10,FALSE),"")</f>
        <v/>
      </c>
    </row>
    <row r="1461" spans="18:23">
      <c r="R1461" s="127">
        <f t="shared" si="119"/>
        <v>0</v>
      </c>
      <c r="T1461" s="128">
        <f t="shared" si="118"/>
        <v>0</v>
      </c>
      <c r="U1461" s="129" t="str">
        <f>IFERROR(IF(#REF!="S",VLOOKUP('Raw Data'!A1461,References!#REF!,2,FALSE),(VLOOKUP($S1461,References!$B$3:$C$7,2,FALSE))),"")</f>
        <v/>
      </c>
      <c r="V1461" s="129" t="str">
        <f t="shared" si="120"/>
        <v/>
      </c>
      <c r="W1461" s="74" t="str">
        <f>IFERROR(VLOOKUP($O1461,'Customer List'!$A$1:$J$488,10,FALSE),"")</f>
        <v/>
      </c>
    </row>
    <row r="1462" spans="18:23">
      <c r="R1462" s="127">
        <f t="shared" si="119"/>
        <v>0</v>
      </c>
      <c r="T1462" s="128">
        <f t="shared" si="118"/>
        <v>0</v>
      </c>
      <c r="U1462" s="129" t="str">
        <f>IFERROR(IF(#REF!="S",VLOOKUP('Raw Data'!A1462,References!#REF!,2,FALSE),(VLOOKUP($S1462,References!$B$3:$C$7,2,FALSE))),"")</f>
        <v/>
      </c>
      <c r="V1462" s="129" t="str">
        <f t="shared" si="120"/>
        <v/>
      </c>
      <c r="W1462" s="74" t="str">
        <f>IFERROR(VLOOKUP($O1462,'Customer List'!$A$1:$J$488,10,FALSE),"")</f>
        <v/>
      </c>
    </row>
    <row r="1463" spans="18:23">
      <c r="R1463" s="127">
        <f t="shared" si="119"/>
        <v>0</v>
      </c>
      <c r="T1463" s="128">
        <f t="shared" si="118"/>
        <v>0</v>
      </c>
      <c r="U1463" s="129" t="str">
        <f>IFERROR(IF(#REF!="S",VLOOKUP('Raw Data'!A1463,References!#REF!,2,FALSE),(VLOOKUP($S1463,References!$B$3:$C$7,2,FALSE))),"")</f>
        <v/>
      </c>
      <c r="V1463" s="129" t="str">
        <f t="shared" si="120"/>
        <v/>
      </c>
      <c r="W1463" s="74" t="str">
        <f>IFERROR(VLOOKUP($O1463,'Customer List'!$A$1:$J$488,10,FALSE),"")</f>
        <v/>
      </c>
    </row>
    <row r="1464" spans="18:23">
      <c r="R1464" s="127">
        <f t="shared" si="119"/>
        <v>0</v>
      </c>
      <c r="T1464" s="128">
        <f t="shared" si="118"/>
        <v>0</v>
      </c>
      <c r="U1464" s="129" t="str">
        <f>IFERROR(IF(#REF!="S",VLOOKUP('Raw Data'!A1464,References!#REF!,2,FALSE),(VLOOKUP($S1464,References!$B$3:$C$7,2,FALSE))),"")</f>
        <v/>
      </c>
      <c r="V1464" s="129" t="str">
        <f t="shared" si="120"/>
        <v/>
      </c>
      <c r="W1464" s="74" t="str">
        <f>IFERROR(VLOOKUP($O1464,'Customer List'!$A$1:$J$488,10,FALSE),"")</f>
        <v/>
      </c>
    </row>
    <row r="1465" spans="18:23">
      <c r="R1465" s="127">
        <f t="shared" si="119"/>
        <v>0</v>
      </c>
      <c r="T1465" s="128">
        <f t="shared" si="118"/>
        <v>0</v>
      </c>
      <c r="U1465" s="129" t="str">
        <f>IFERROR(IF(#REF!="S",VLOOKUP('Raw Data'!A1465,References!#REF!,2,FALSE),(VLOOKUP($S1465,References!$B$3:$C$7,2,FALSE))),"")</f>
        <v/>
      </c>
      <c r="V1465" s="129" t="str">
        <f t="shared" si="120"/>
        <v/>
      </c>
      <c r="W1465" s="74" t="str">
        <f>IFERROR(VLOOKUP($O1465,'Customer List'!$A$1:$J$488,10,FALSE),"")</f>
        <v/>
      </c>
    </row>
    <row r="1466" spans="18:23">
      <c r="R1466" s="127">
        <f t="shared" si="119"/>
        <v>0</v>
      </c>
      <c r="T1466" s="128">
        <f t="shared" si="118"/>
        <v>0</v>
      </c>
      <c r="U1466" s="129" t="str">
        <f>IFERROR(IF(#REF!="S",VLOOKUP('Raw Data'!A1466,References!#REF!,2,FALSE),(VLOOKUP($S1466,References!$B$3:$C$7,2,FALSE))),"")</f>
        <v/>
      </c>
      <c r="V1466" s="129" t="str">
        <f t="shared" si="120"/>
        <v/>
      </c>
      <c r="W1466" s="74" t="str">
        <f>IFERROR(VLOOKUP($O1466,'Customer List'!$A$1:$J$488,10,FALSE),"")</f>
        <v/>
      </c>
    </row>
    <row r="1467" spans="18:23">
      <c r="R1467" s="127">
        <f t="shared" si="119"/>
        <v>0</v>
      </c>
      <c r="T1467" s="128">
        <f t="shared" si="118"/>
        <v>0</v>
      </c>
      <c r="U1467" s="129" t="str">
        <f>IFERROR(IF(#REF!="S",VLOOKUP('Raw Data'!A1467,References!#REF!,2,FALSE),(VLOOKUP($S1467,References!$B$3:$C$7,2,FALSE))),"")</f>
        <v/>
      </c>
      <c r="V1467" s="129" t="str">
        <f t="shared" si="120"/>
        <v/>
      </c>
      <c r="W1467" s="74" t="str">
        <f>IFERROR(VLOOKUP($O1467,'Customer List'!$A$1:$J$488,10,FALSE),"")</f>
        <v/>
      </c>
    </row>
    <row r="1468" spans="18:23">
      <c r="R1468" s="127">
        <f t="shared" si="119"/>
        <v>0</v>
      </c>
      <c r="T1468" s="128">
        <f t="shared" si="118"/>
        <v>0</v>
      </c>
      <c r="U1468" s="129" t="str">
        <f>IFERROR(IF(#REF!="S",VLOOKUP('Raw Data'!A1468,References!#REF!,2,FALSE),(VLOOKUP($S1468,References!$B$3:$C$7,2,FALSE))),"")</f>
        <v/>
      </c>
      <c r="V1468" s="129" t="str">
        <f t="shared" si="120"/>
        <v/>
      </c>
      <c r="W1468" s="74" t="str">
        <f>IFERROR(VLOOKUP($O1468,'Customer List'!$A$1:$J$488,10,FALSE),"")</f>
        <v/>
      </c>
    </row>
    <row r="1469" spans="18:23">
      <c r="R1469" s="127">
        <f t="shared" si="119"/>
        <v>0</v>
      </c>
      <c r="T1469" s="128">
        <f t="shared" si="118"/>
        <v>0</v>
      </c>
      <c r="U1469" s="129" t="str">
        <f>IFERROR(IF(#REF!="S",VLOOKUP('Raw Data'!A1469,References!#REF!,2,FALSE),(VLOOKUP($S1469,References!$B$3:$C$7,2,FALSE))),"")</f>
        <v/>
      </c>
      <c r="V1469" s="129" t="str">
        <f t="shared" si="120"/>
        <v/>
      </c>
      <c r="W1469" s="74" t="str">
        <f>IFERROR(VLOOKUP($O1469,'Customer List'!$A$1:$J$488,10,FALSE),"")</f>
        <v/>
      </c>
    </row>
    <row r="1470" spans="18:23">
      <c r="R1470" s="127">
        <f t="shared" si="119"/>
        <v>0</v>
      </c>
      <c r="T1470" s="128">
        <f t="shared" si="118"/>
        <v>0</v>
      </c>
      <c r="U1470" s="129" t="str">
        <f>IFERROR(IF(#REF!="S",VLOOKUP('Raw Data'!A1470,References!#REF!,2,FALSE),(VLOOKUP($S1470,References!$B$3:$C$7,2,FALSE))),"")</f>
        <v/>
      </c>
      <c r="V1470" s="129" t="str">
        <f t="shared" si="120"/>
        <v/>
      </c>
      <c r="W1470" s="74" t="str">
        <f>IFERROR(VLOOKUP($O1470,'Customer List'!$A$1:$J$488,10,FALSE),"")</f>
        <v/>
      </c>
    </row>
    <row r="1471" spans="18:23">
      <c r="R1471" s="127">
        <f t="shared" si="119"/>
        <v>0</v>
      </c>
      <c r="T1471" s="128">
        <f t="shared" si="118"/>
        <v>0</v>
      </c>
      <c r="U1471" s="129" t="str">
        <f>IFERROR(IF(#REF!="S",VLOOKUP('Raw Data'!A1471,References!#REF!,2,FALSE),(VLOOKUP($S1471,References!$B$3:$C$7,2,FALSE))),"")</f>
        <v/>
      </c>
      <c r="V1471" s="129" t="str">
        <f t="shared" si="120"/>
        <v/>
      </c>
      <c r="W1471" s="74" t="str">
        <f>IFERROR(VLOOKUP($O1471,'Customer List'!$A$1:$J$488,10,FALSE),"")</f>
        <v/>
      </c>
    </row>
    <row r="1472" spans="18:23">
      <c r="R1472" s="127">
        <f t="shared" si="119"/>
        <v>0</v>
      </c>
      <c r="T1472" s="128">
        <f t="shared" si="118"/>
        <v>0</v>
      </c>
      <c r="U1472" s="129" t="str">
        <f>IFERROR(IF(#REF!="S",VLOOKUP('Raw Data'!A1472,References!#REF!,2,FALSE),(VLOOKUP($S1472,References!$B$3:$C$7,2,FALSE))),"")</f>
        <v/>
      </c>
      <c r="V1472" s="129" t="str">
        <f t="shared" si="120"/>
        <v/>
      </c>
      <c r="W1472" s="74" t="str">
        <f>IFERROR(VLOOKUP($O1472,'Customer List'!$A$1:$J$488,10,FALSE),"")</f>
        <v/>
      </c>
    </row>
    <row r="1473" spans="18:23">
      <c r="R1473" s="127">
        <f t="shared" si="119"/>
        <v>0</v>
      </c>
      <c r="T1473" s="128">
        <f t="shared" si="118"/>
        <v>0</v>
      </c>
      <c r="U1473" s="129" t="str">
        <f>IFERROR(IF(#REF!="S",VLOOKUP('Raw Data'!A1473,References!#REF!,2,FALSE),(VLOOKUP($S1473,References!$B$3:$C$7,2,FALSE))),"")</f>
        <v/>
      </c>
      <c r="V1473" s="129" t="str">
        <f t="shared" si="120"/>
        <v/>
      </c>
      <c r="W1473" s="74" t="str">
        <f>IFERROR(VLOOKUP($O1473,'Customer List'!$A$1:$J$488,10,FALSE),"")</f>
        <v/>
      </c>
    </row>
    <row r="1474" spans="18:23">
      <c r="R1474" s="127">
        <f t="shared" si="119"/>
        <v>0</v>
      </c>
      <c r="T1474" s="128">
        <f t="shared" si="118"/>
        <v>0</v>
      </c>
      <c r="U1474" s="129" t="str">
        <f>IFERROR(IF(#REF!="S",VLOOKUP('Raw Data'!A1474,References!#REF!,2,FALSE),(VLOOKUP($S1474,References!$B$3:$C$7,2,FALSE))),"")</f>
        <v/>
      </c>
      <c r="V1474" s="129" t="str">
        <f t="shared" si="120"/>
        <v/>
      </c>
      <c r="W1474" s="74" t="str">
        <f>IFERROR(VLOOKUP($O1474,'Customer List'!$A$1:$J$488,10,FALSE),"")</f>
        <v/>
      </c>
    </row>
    <row r="1475" spans="18:23">
      <c r="R1475" s="127">
        <f t="shared" si="119"/>
        <v>0</v>
      </c>
      <c r="T1475" s="128">
        <f t="shared" si="118"/>
        <v>0</v>
      </c>
      <c r="U1475" s="129" t="str">
        <f>IFERROR(IF(#REF!="S",VLOOKUP('Raw Data'!A1475,References!#REF!,2,FALSE),(VLOOKUP($S1475,References!$B$3:$C$7,2,FALSE))),"")</f>
        <v/>
      </c>
      <c r="V1475" s="129" t="str">
        <f t="shared" si="120"/>
        <v/>
      </c>
      <c r="W1475" s="74" t="str">
        <f>IFERROR(VLOOKUP($O1475,'Customer List'!$A$1:$J$488,10,FALSE),"")</f>
        <v/>
      </c>
    </row>
    <row r="1476" spans="18:23">
      <c r="R1476" s="127">
        <f t="shared" si="119"/>
        <v>0</v>
      </c>
      <c r="T1476" s="128">
        <f t="shared" si="118"/>
        <v>0</v>
      </c>
      <c r="U1476" s="129" t="str">
        <f>IFERROR(IF(#REF!="S",VLOOKUP('Raw Data'!A1476,References!#REF!,2,FALSE),(VLOOKUP($S1476,References!$B$3:$C$7,2,FALSE))),"")</f>
        <v/>
      </c>
      <c r="V1476" s="129" t="str">
        <f t="shared" si="120"/>
        <v/>
      </c>
      <c r="W1476" s="74" t="str">
        <f>IFERROR(VLOOKUP($O1476,'Customer List'!$A$1:$J$488,10,FALSE),"")</f>
        <v/>
      </c>
    </row>
    <row r="1477" spans="18:23">
      <c r="R1477" s="127">
        <f t="shared" si="119"/>
        <v>0</v>
      </c>
      <c r="T1477" s="128">
        <f t="shared" si="118"/>
        <v>0</v>
      </c>
      <c r="U1477" s="129" t="str">
        <f>IFERROR(IF(#REF!="S",VLOOKUP('Raw Data'!A1477,References!#REF!,2,FALSE),(VLOOKUP($S1477,References!$B$3:$C$7,2,FALSE))),"")</f>
        <v/>
      </c>
      <c r="V1477" s="129" t="str">
        <f t="shared" si="120"/>
        <v/>
      </c>
      <c r="W1477" s="74" t="str">
        <f>IFERROR(VLOOKUP($O1477,'Customer List'!$A$1:$J$488,10,FALSE),"")</f>
        <v/>
      </c>
    </row>
    <row r="1478" spans="18:23">
      <c r="R1478" s="127">
        <f t="shared" si="119"/>
        <v>0</v>
      </c>
      <c r="T1478" s="128">
        <f t="shared" si="118"/>
        <v>0</v>
      </c>
      <c r="U1478" s="129" t="str">
        <f>IFERROR(IF(#REF!="S",VLOOKUP('Raw Data'!A1478,References!#REF!,2,FALSE),(VLOOKUP($S1478,References!$B$3:$C$7,2,FALSE))),"")</f>
        <v/>
      </c>
      <c r="V1478" s="129" t="str">
        <f t="shared" si="120"/>
        <v/>
      </c>
      <c r="W1478" s="74" t="str">
        <f>IFERROR(VLOOKUP($O1478,'Customer List'!$A$1:$J$488,10,FALSE),"")</f>
        <v/>
      </c>
    </row>
    <row r="1479" spans="18:23">
      <c r="R1479" s="127">
        <f t="shared" si="119"/>
        <v>0</v>
      </c>
      <c r="T1479" s="128">
        <f t="shared" si="118"/>
        <v>0</v>
      </c>
      <c r="U1479" s="129" t="str">
        <f>IFERROR(IF(#REF!="S",VLOOKUP('Raw Data'!A1479,References!#REF!,2,FALSE),(VLOOKUP($S1479,References!$B$3:$C$7,2,FALSE))),"")</f>
        <v/>
      </c>
      <c r="V1479" s="129" t="str">
        <f t="shared" si="120"/>
        <v/>
      </c>
      <c r="W1479" s="74" t="str">
        <f>IFERROR(VLOOKUP($O1479,'Customer List'!$A$1:$J$488,10,FALSE),"")</f>
        <v/>
      </c>
    </row>
    <row r="1480" spans="18:23">
      <c r="R1480" s="127">
        <f t="shared" si="119"/>
        <v>0</v>
      </c>
      <c r="T1480" s="128">
        <f t="shared" si="118"/>
        <v>0</v>
      </c>
      <c r="U1480" s="129" t="str">
        <f>IFERROR(IF(#REF!="S",VLOOKUP('Raw Data'!A1480,References!#REF!,2,FALSE),(VLOOKUP($S1480,References!$B$3:$C$7,2,FALSE))),"")</f>
        <v/>
      </c>
      <c r="V1480" s="129" t="str">
        <f t="shared" si="120"/>
        <v/>
      </c>
      <c r="W1480" s="74" t="str">
        <f>IFERROR(VLOOKUP($O1480,'Customer List'!$A$1:$J$488,10,FALSE),"")</f>
        <v/>
      </c>
    </row>
    <row r="1481" spans="18:23">
      <c r="R1481" s="127">
        <f t="shared" si="119"/>
        <v>0</v>
      </c>
      <c r="T1481" s="128">
        <f t="shared" si="118"/>
        <v>0</v>
      </c>
      <c r="U1481" s="129" t="str">
        <f>IFERROR(IF(#REF!="S",VLOOKUP('Raw Data'!A1481,References!#REF!,2,FALSE),(VLOOKUP($S1481,References!$B$3:$C$7,2,FALSE))),"")</f>
        <v/>
      </c>
      <c r="V1481" s="129" t="str">
        <f t="shared" si="120"/>
        <v/>
      </c>
      <c r="W1481" s="74" t="str">
        <f>IFERROR(VLOOKUP($O1481,'Customer List'!$A$1:$J$488,10,FALSE),"")</f>
        <v/>
      </c>
    </row>
    <row r="1482" spans="18:23">
      <c r="R1482" s="127">
        <f t="shared" si="119"/>
        <v>0</v>
      </c>
      <c r="T1482" s="128">
        <f t="shared" ref="T1482:T1545" si="121">IF(S1482="50 - Cleaning Fee",1,HOUR($R1482)+MINUTE(R1482)/60)</f>
        <v>0</v>
      </c>
      <c r="U1482" s="129" t="str">
        <f>IFERROR(IF(#REF!="S",VLOOKUP('Raw Data'!A1482,References!#REF!,2,FALSE),(VLOOKUP($S1482,References!$B$3:$C$7,2,FALSE))),"")</f>
        <v/>
      </c>
      <c r="V1482" s="129" t="str">
        <f t="shared" si="120"/>
        <v/>
      </c>
      <c r="W1482" s="74" t="str">
        <f>IFERROR(VLOOKUP($O1482,'Customer List'!$A$1:$J$488,10,FALSE),"")</f>
        <v/>
      </c>
    </row>
    <row r="1483" spans="18:23">
      <c r="R1483" s="127">
        <f t="shared" si="119"/>
        <v>0</v>
      </c>
      <c r="T1483" s="128">
        <f t="shared" si="121"/>
        <v>0</v>
      </c>
      <c r="U1483" s="129" t="str">
        <f>IFERROR(IF(#REF!="S",VLOOKUP('Raw Data'!A1483,References!#REF!,2,FALSE),(VLOOKUP($S1483,References!$B$3:$C$7,2,FALSE))),"")</f>
        <v/>
      </c>
      <c r="V1483" s="129" t="str">
        <f t="shared" si="120"/>
        <v/>
      </c>
      <c r="W1483" s="74" t="str">
        <f>IFERROR(VLOOKUP($O1483,'Customer List'!$A$1:$J$488,10,FALSE),"")</f>
        <v/>
      </c>
    </row>
    <row r="1484" spans="18:23">
      <c r="R1484" s="127">
        <f t="shared" si="119"/>
        <v>0</v>
      </c>
      <c r="T1484" s="128">
        <f t="shared" si="121"/>
        <v>0</v>
      </c>
      <c r="U1484" s="129" t="str">
        <f>IFERROR(IF(#REF!="S",VLOOKUP('Raw Data'!A1484,References!#REF!,2,FALSE),(VLOOKUP($S1484,References!$B$3:$C$7,2,FALSE))),"")</f>
        <v/>
      </c>
      <c r="V1484" s="129" t="str">
        <f t="shared" si="120"/>
        <v/>
      </c>
      <c r="W1484" s="74" t="str">
        <f>IFERROR(VLOOKUP($O1484,'Customer List'!$A$1:$J$488,10,FALSE),"")</f>
        <v/>
      </c>
    </row>
    <row r="1485" spans="18:23">
      <c r="R1485" s="127">
        <f t="shared" si="119"/>
        <v>0</v>
      </c>
      <c r="T1485" s="128">
        <f t="shared" si="121"/>
        <v>0</v>
      </c>
      <c r="U1485" s="129" t="str">
        <f>IFERROR(IF(#REF!="S",VLOOKUP('Raw Data'!A1485,References!#REF!,2,FALSE),(VLOOKUP($S1485,References!$B$3:$C$7,2,FALSE))),"")</f>
        <v/>
      </c>
      <c r="V1485" s="129" t="str">
        <f t="shared" si="120"/>
        <v/>
      </c>
      <c r="W1485" s="74" t="str">
        <f>IFERROR(VLOOKUP($O1485,'Customer List'!$A$1:$J$488,10,FALSE),"")</f>
        <v/>
      </c>
    </row>
    <row r="1486" spans="18:23">
      <c r="R1486" s="127">
        <f t="shared" si="119"/>
        <v>0</v>
      </c>
      <c r="T1486" s="128">
        <f t="shared" si="121"/>
        <v>0</v>
      </c>
      <c r="U1486" s="129" t="str">
        <f>IFERROR(IF(#REF!="S",VLOOKUP('Raw Data'!A1486,References!#REF!,2,FALSE),(VLOOKUP($S1486,References!$B$3:$C$7,2,FALSE))),"")</f>
        <v/>
      </c>
      <c r="V1486" s="129" t="str">
        <f t="shared" si="120"/>
        <v/>
      </c>
      <c r="W1486" s="74" t="str">
        <f>IFERROR(VLOOKUP($O1486,'Customer List'!$A$1:$J$488,10,FALSE),"")</f>
        <v/>
      </c>
    </row>
    <row r="1487" spans="18:23">
      <c r="R1487" s="127">
        <f t="shared" si="119"/>
        <v>0</v>
      </c>
      <c r="T1487" s="128">
        <f t="shared" si="121"/>
        <v>0</v>
      </c>
      <c r="U1487" s="129" t="str">
        <f>IFERROR(IF(#REF!="S",VLOOKUP('Raw Data'!A1487,References!#REF!,2,FALSE),(VLOOKUP($S1487,References!$B$3:$C$7,2,FALSE))),"")</f>
        <v/>
      </c>
      <c r="V1487" s="129" t="str">
        <f t="shared" si="120"/>
        <v/>
      </c>
      <c r="W1487" s="74" t="str">
        <f>IFERROR(VLOOKUP($O1487,'Customer List'!$A$1:$J$488,10,FALSE),"")</f>
        <v/>
      </c>
    </row>
    <row r="1488" spans="18:23">
      <c r="R1488" s="127">
        <f t="shared" si="119"/>
        <v>0</v>
      </c>
      <c r="T1488" s="128">
        <f t="shared" si="121"/>
        <v>0</v>
      </c>
      <c r="U1488" s="129" t="str">
        <f>IFERROR(IF(#REF!="S",VLOOKUP('Raw Data'!A1488,References!#REF!,2,FALSE),(VLOOKUP($S1488,References!$B$3:$C$7,2,FALSE))),"")</f>
        <v/>
      </c>
      <c r="V1488" s="129" t="str">
        <f t="shared" si="120"/>
        <v/>
      </c>
      <c r="W1488" s="74" t="str">
        <f>IFERROR(VLOOKUP($O1488,'Customer List'!$A$1:$J$488,10,FALSE),"")</f>
        <v/>
      </c>
    </row>
    <row r="1489" spans="18:23">
      <c r="R1489" s="127">
        <f t="shared" si="119"/>
        <v>0</v>
      </c>
      <c r="T1489" s="128">
        <f t="shared" si="121"/>
        <v>0</v>
      </c>
      <c r="U1489" s="129" t="str">
        <f>IFERROR(IF(#REF!="S",VLOOKUP('Raw Data'!A1489,References!#REF!,2,FALSE),(VLOOKUP($S1489,References!$B$3:$C$7,2,FALSE))),"")</f>
        <v/>
      </c>
      <c r="V1489" s="129" t="str">
        <f t="shared" si="120"/>
        <v/>
      </c>
      <c r="W1489" s="74" t="str">
        <f>IFERROR(VLOOKUP($O1489,'Customer List'!$A$1:$J$488,10,FALSE),"")</f>
        <v/>
      </c>
    </row>
    <row r="1490" spans="18:23">
      <c r="R1490" s="127">
        <f t="shared" si="119"/>
        <v>0</v>
      </c>
      <c r="T1490" s="128">
        <f t="shared" si="121"/>
        <v>0</v>
      </c>
      <c r="U1490" s="129" t="str">
        <f>IFERROR(IF(#REF!="S",VLOOKUP('Raw Data'!A1490,References!#REF!,2,FALSE),(VLOOKUP($S1490,References!$B$3:$C$7,2,FALSE))),"")</f>
        <v/>
      </c>
      <c r="V1490" s="129" t="str">
        <f t="shared" si="120"/>
        <v/>
      </c>
      <c r="W1490" s="74" t="str">
        <f>IFERROR(VLOOKUP($O1490,'Customer List'!$A$1:$J$488,10,FALSE),"")</f>
        <v/>
      </c>
    </row>
    <row r="1491" spans="18:23">
      <c r="R1491" s="127">
        <f t="shared" si="119"/>
        <v>0</v>
      </c>
      <c r="T1491" s="128">
        <f t="shared" si="121"/>
        <v>0</v>
      </c>
      <c r="U1491" s="129" t="str">
        <f>IFERROR(IF(#REF!="S",VLOOKUP('Raw Data'!A1491,References!#REF!,2,FALSE),(VLOOKUP($S1491,References!$B$3:$C$7,2,FALSE))),"")</f>
        <v/>
      </c>
      <c r="V1491" s="129" t="str">
        <f t="shared" si="120"/>
        <v/>
      </c>
      <c r="W1491" s="74" t="str">
        <f>IFERROR(VLOOKUP($O1491,'Customer List'!$A$1:$J$488,10,FALSE),"")</f>
        <v/>
      </c>
    </row>
    <row r="1492" spans="18:23">
      <c r="R1492" s="127">
        <f t="shared" si="119"/>
        <v>0</v>
      </c>
      <c r="T1492" s="128">
        <f t="shared" si="121"/>
        <v>0</v>
      </c>
      <c r="U1492" s="129" t="str">
        <f>IFERROR(IF(#REF!="S",VLOOKUP('Raw Data'!A1492,References!#REF!,2,FALSE),(VLOOKUP($S1492,References!$B$3:$C$7,2,FALSE))),"")</f>
        <v/>
      </c>
      <c r="V1492" s="129" t="str">
        <f t="shared" si="120"/>
        <v/>
      </c>
      <c r="W1492" s="74" t="str">
        <f>IFERROR(VLOOKUP($O1492,'Customer List'!$A$1:$J$488,10,FALSE),"")</f>
        <v/>
      </c>
    </row>
    <row r="1493" spans="18:23">
      <c r="R1493" s="127">
        <f t="shared" si="119"/>
        <v>0</v>
      </c>
      <c r="T1493" s="128">
        <f t="shared" si="121"/>
        <v>0</v>
      </c>
      <c r="U1493" s="129" t="str">
        <f>IFERROR(IF(#REF!="S",VLOOKUP('Raw Data'!A1493,References!#REF!,2,FALSE),(VLOOKUP($S1493,References!$B$3:$C$7,2,FALSE))),"")</f>
        <v/>
      </c>
      <c r="V1493" s="129" t="str">
        <f t="shared" si="120"/>
        <v/>
      </c>
      <c r="W1493" s="74" t="str">
        <f>IFERROR(VLOOKUP($O1493,'Customer List'!$A$1:$J$488,10,FALSE),"")</f>
        <v/>
      </c>
    </row>
    <row r="1494" spans="18:23">
      <c r="R1494" s="127">
        <f t="shared" si="119"/>
        <v>0</v>
      </c>
      <c r="T1494" s="128">
        <f t="shared" si="121"/>
        <v>0</v>
      </c>
      <c r="U1494" s="129" t="str">
        <f>IFERROR(IF(#REF!="S",VLOOKUP('Raw Data'!A1494,References!#REF!,2,FALSE),(VLOOKUP($S1494,References!$B$3:$C$7,2,FALSE))),"")</f>
        <v/>
      </c>
      <c r="V1494" s="129" t="str">
        <f t="shared" si="120"/>
        <v/>
      </c>
      <c r="W1494" s="74" t="str">
        <f>IFERROR(VLOOKUP($O1494,'Customer List'!$A$1:$J$488,10,FALSE),"")</f>
        <v/>
      </c>
    </row>
    <row r="1495" spans="18:23">
      <c r="R1495" s="127">
        <f t="shared" si="119"/>
        <v>0</v>
      </c>
      <c r="T1495" s="128">
        <f t="shared" si="121"/>
        <v>0</v>
      </c>
      <c r="U1495" s="129" t="str">
        <f>IFERROR(IF(#REF!="S",VLOOKUP('Raw Data'!A1495,References!#REF!,2,FALSE),(VLOOKUP($S1495,References!$B$3:$C$7,2,FALSE))),"")</f>
        <v/>
      </c>
      <c r="V1495" s="129" t="str">
        <f t="shared" si="120"/>
        <v/>
      </c>
      <c r="W1495" s="74" t="str">
        <f>IFERROR(VLOOKUP($O1495,'Customer List'!$A$1:$J$488,10,FALSE),"")</f>
        <v/>
      </c>
    </row>
    <row r="1496" spans="18:23">
      <c r="R1496" s="127">
        <f t="shared" si="119"/>
        <v>0</v>
      </c>
      <c r="T1496" s="128">
        <f t="shared" si="121"/>
        <v>0</v>
      </c>
      <c r="U1496" s="129" t="str">
        <f>IFERROR(IF(#REF!="S",VLOOKUP('Raw Data'!A1496,References!#REF!,2,FALSE),(VLOOKUP($S1496,References!$B$3:$C$7,2,FALSE))),"")</f>
        <v/>
      </c>
      <c r="V1496" s="129" t="str">
        <f t="shared" si="120"/>
        <v/>
      </c>
      <c r="W1496" s="74" t="str">
        <f>IFERROR(VLOOKUP($O1496,'Customer List'!$A$1:$J$488,10,FALSE),"")</f>
        <v/>
      </c>
    </row>
    <row r="1497" spans="18:23">
      <c r="R1497" s="127">
        <f t="shared" si="119"/>
        <v>0</v>
      </c>
      <c r="T1497" s="128">
        <f t="shared" si="121"/>
        <v>0</v>
      </c>
      <c r="U1497" s="129" t="str">
        <f>IFERROR(IF(#REF!="S",VLOOKUP('Raw Data'!A1497,References!#REF!,2,FALSE),(VLOOKUP($S1497,References!$B$3:$C$7,2,FALSE))),"")</f>
        <v/>
      </c>
      <c r="V1497" s="129" t="str">
        <f t="shared" si="120"/>
        <v/>
      </c>
      <c r="W1497" s="74" t="str">
        <f>IFERROR(VLOOKUP($O1497,'Customer List'!$A$1:$J$488,10,FALSE),"")</f>
        <v/>
      </c>
    </row>
    <row r="1498" spans="18:23">
      <c r="R1498" s="127">
        <f t="shared" si="119"/>
        <v>0</v>
      </c>
      <c r="T1498" s="128">
        <f t="shared" si="121"/>
        <v>0</v>
      </c>
      <c r="U1498" s="129" t="str">
        <f>IFERROR(IF(#REF!="S",VLOOKUP('Raw Data'!A1498,References!#REF!,2,FALSE),(VLOOKUP($S1498,References!$B$3:$C$7,2,FALSE))),"")</f>
        <v/>
      </c>
      <c r="V1498" s="129" t="str">
        <f t="shared" si="120"/>
        <v/>
      </c>
      <c r="W1498" s="74" t="str">
        <f>IFERROR(VLOOKUP($O1498,'Customer List'!$A$1:$J$488,10,FALSE),"")</f>
        <v/>
      </c>
    </row>
    <row r="1499" spans="18:23">
      <c r="R1499" s="127">
        <f t="shared" si="119"/>
        <v>0</v>
      </c>
      <c r="T1499" s="128">
        <f t="shared" si="121"/>
        <v>0</v>
      </c>
      <c r="U1499" s="129" t="str">
        <f>IFERROR(IF(#REF!="S",VLOOKUP('Raw Data'!A1499,References!#REF!,2,FALSE),(VLOOKUP($S1499,References!$B$3:$C$7,2,FALSE))),"")</f>
        <v/>
      </c>
      <c r="V1499" s="129" t="str">
        <f t="shared" si="120"/>
        <v/>
      </c>
      <c r="W1499" s="74" t="str">
        <f>IFERROR(VLOOKUP($O1499,'Customer List'!$A$1:$J$488,10,FALSE),"")</f>
        <v/>
      </c>
    </row>
    <row r="1500" spans="18:23">
      <c r="R1500" s="127">
        <f t="shared" si="119"/>
        <v>0</v>
      </c>
      <c r="T1500" s="128">
        <f t="shared" si="121"/>
        <v>0</v>
      </c>
      <c r="U1500" s="129" t="str">
        <f>IFERROR(IF(#REF!="S",VLOOKUP('Raw Data'!A1500,References!#REF!,2,FALSE),(VLOOKUP($S1500,References!$B$3:$C$7,2,FALSE))),"")</f>
        <v/>
      </c>
      <c r="V1500" s="129" t="str">
        <f t="shared" si="120"/>
        <v/>
      </c>
      <c r="W1500" s="74" t="str">
        <f>IFERROR(VLOOKUP($O1500,'Customer List'!$A$1:$J$488,10,FALSE),"")</f>
        <v/>
      </c>
    </row>
    <row r="1501" spans="18:23">
      <c r="R1501" s="127">
        <f t="shared" si="119"/>
        <v>0</v>
      </c>
      <c r="T1501" s="128">
        <f t="shared" si="121"/>
        <v>0</v>
      </c>
      <c r="U1501" s="129" t="str">
        <f>IFERROR(IF(#REF!="S",VLOOKUP('Raw Data'!A1501,References!#REF!,2,FALSE),(VLOOKUP($S1501,References!$B$3:$C$7,2,FALSE))),"")</f>
        <v/>
      </c>
      <c r="V1501" s="129" t="str">
        <f t="shared" si="120"/>
        <v/>
      </c>
      <c r="W1501" s="74" t="str">
        <f>IFERROR(VLOOKUP($O1501,'Customer List'!$A$1:$J$488,10,FALSE),"")</f>
        <v/>
      </c>
    </row>
    <row r="1502" spans="18:23">
      <c r="R1502" s="127">
        <f t="shared" si="119"/>
        <v>0</v>
      </c>
      <c r="T1502" s="128">
        <f t="shared" si="121"/>
        <v>0</v>
      </c>
      <c r="U1502" s="129" t="str">
        <f>IFERROR(IF(#REF!="S",VLOOKUP('Raw Data'!A1502,References!#REF!,2,FALSE),(VLOOKUP($S1502,References!$B$3:$C$7,2,FALSE))),"")</f>
        <v/>
      </c>
      <c r="V1502" s="129" t="str">
        <f t="shared" si="120"/>
        <v/>
      </c>
      <c r="W1502" s="74" t="str">
        <f>IFERROR(VLOOKUP($O1502,'Customer List'!$A$1:$J$488,10,FALSE),"")</f>
        <v/>
      </c>
    </row>
    <row r="1503" spans="18:23">
      <c r="R1503" s="127">
        <f t="shared" si="119"/>
        <v>0</v>
      </c>
      <c r="T1503" s="128">
        <f t="shared" si="121"/>
        <v>0</v>
      </c>
      <c r="U1503" s="129" t="str">
        <f>IFERROR(IF(#REF!="S",VLOOKUP('Raw Data'!A1503,References!#REF!,2,FALSE),(VLOOKUP($S1503,References!$B$3:$C$7,2,FALSE))),"")</f>
        <v/>
      </c>
      <c r="V1503" s="129" t="str">
        <f t="shared" si="120"/>
        <v/>
      </c>
      <c r="W1503" s="74" t="str">
        <f>IFERROR(VLOOKUP($O1503,'Customer List'!$A$1:$J$488,10,FALSE),"")</f>
        <v/>
      </c>
    </row>
    <row r="1504" spans="18:23">
      <c r="R1504" s="127">
        <f t="shared" si="119"/>
        <v>0</v>
      </c>
      <c r="T1504" s="128">
        <f t="shared" si="121"/>
        <v>0</v>
      </c>
      <c r="U1504" s="129" t="str">
        <f>IFERROR(IF(#REF!="S",VLOOKUP('Raw Data'!A1504,References!#REF!,2,FALSE),(VLOOKUP($S1504,References!$B$3:$C$7,2,FALSE))),"")</f>
        <v/>
      </c>
      <c r="V1504" s="129" t="str">
        <f t="shared" si="120"/>
        <v/>
      </c>
      <c r="W1504" s="74" t="str">
        <f>IFERROR(VLOOKUP($O1504,'Customer List'!$A$1:$J$488,10,FALSE),"")</f>
        <v/>
      </c>
    </row>
    <row r="1505" spans="18:23">
      <c r="R1505" s="127">
        <f t="shared" si="119"/>
        <v>0</v>
      </c>
      <c r="T1505" s="128">
        <f t="shared" si="121"/>
        <v>0</v>
      </c>
      <c r="U1505" s="129" t="str">
        <f>IFERROR(IF(#REF!="S",VLOOKUP('Raw Data'!A1505,References!#REF!,2,FALSE),(VLOOKUP($S1505,References!$B$3:$C$7,2,FALSE))),"")</f>
        <v/>
      </c>
      <c r="V1505" s="129" t="str">
        <f t="shared" si="120"/>
        <v/>
      </c>
      <c r="W1505" s="74" t="str">
        <f>IFERROR(VLOOKUP($O1505,'Customer List'!$A$1:$J$488,10,FALSE),"")</f>
        <v/>
      </c>
    </row>
    <row r="1506" spans="18:23">
      <c r="R1506" s="127">
        <f t="shared" si="119"/>
        <v>0</v>
      </c>
      <c r="T1506" s="128">
        <f t="shared" si="121"/>
        <v>0</v>
      </c>
      <c r="U1506" s="129" t="str">
        <f>IFERROR(IF(#REF!="S",VLOOKUP('Raw Data'!A1506,References!#REF!,2,FALSE),(VLOOKUP($S1506,References!$B$3:$C$7,2,FALSE))),"")</f>
        <v/>
      </c>
      <c r="V1506" s="129" t="str">
        <f t="shared" si="120"/>
        <v/>
      </c>
      <c r="W1506" s="74" t="str">
        <f>IFERROR(VLOOKUP($O1506,'Customer List'!$A$1:$J$488,10,FALSE),"")</f>
        <v/>
      </c>
    </row>
    <row r="1507" spans="18:23">
      <c r="R1507" s="127">
        <f t="shared" si="119"/>
        <v>0</v>
      </c>
      <c r="T1507" s="128">
        <f t="shared" si="121"/>
        <v>0</v>
      </c>
      <c r="U1507" s="129" t="str">
        <f>IFERROR(IF(#REF!="S",VLOOKUP('Raw Data'!A1507,References!#REF!,2,FALSE),(VLOOKUP($S1507,References!$B$3:$C$7,2,FALSE))),"")</f>
        <v/>
      </c>
      <c r="V1507" s="129" t="str">
        <f t="shared" si="120"/>
        <v/>
      </c>
      <c r="W1507" s="74" t="str">
        <f>IFERROR(VLOOKUP($O1507,'Customer List'!$A$1:$J$488,10,FALSE),"")</f>
        <v/>
      </c>
    </row>
    <row r="1508" spans="18:23">
      <c r="R1508" s="127">
        <f t="shared" si="119"/>
        <v>0</v>
      </c>
      <c r="T1508" s="128">
        <f t="shared" si="121"/>
        <v>0</v>
      </c>
      <c r="U1508" s="129" t="str">
        <f>IFERROR(IF(#REF!="S",VLOOKUP('Raw Data'!A1508,References!#REF!,2,FALSE),(VLOOKUP($S1508,References!$B$3:$C$7,2,FALSE))),"")</f>
        <v/>
      </c>
      <c r="V1508" s="129" t="str">
        <f t="shared" si="120"/>
        <v/>
      </c>
      <c r="W1508" s="74" t="str">
        <f>IFERROR(VLOOKUP($O1508,'Customer List'!$A$1:$J$488,10,FALSE),"")</f>
        <v/>
      </c>
    </row>
    <row r="1509" spans="18:23">
      <c r="R1509" s="127">
        <f t="shared" si="119"/>
        <v>0</v>
      </c>
      <c r="T1509" s="128">
        <f t="shared" si="121"/>
        <v>0</v>
      </c>
      <c r="U1509" s="129" t="str">
        <f>IFERROR(IF(#REF!="S",VLOOKUP('Raw Data'!A1509,References!#REF!,2,FALSE),(VLOOKUP($S1509,References!$B$3:$C$7,2,FALSE))),"")</f>
        <v/>
      </c>
      <c r="V1509" s="129" t="str">
        <f t="shared" si="120"/>
        <v/>
      </c>
      <c r="W1509" s="74" t="str">
        <f>IFERROR(VLOOKUP($O1509,'Customer List'!$A$1:$J$488,10,FALSE),"")</f>
        <v/>
      </c>
    </row>
    <row r="1510" spans="18:23">
      <c r="R1510" s="127">
        <f t="shared" ref="R1510:R1573" si="122">L1510-K1510</f>
        <v>0</v>
      </c>
      <c r="T1510" s="128">
        <f t="shared" si="121"/>
        <v>0</v>
      </c>
      <c r="U1510" s="129" t="str">
        <f>IFERROR(IF(#REF!="S",VLOOKUP('Raw Data'!A1510,References!#REF!,2,FALSE),(VLOOKUP($S1510,References!$B$3:$C$7,2,FALSE))),"")</f>
        <v/>
      </c>
      <c r="V1510" s="129" t="str">
        <f t="shared" si="120"/>
        <v/>
      </c>
      <c r="W1510" s="74" t="str">
        <f>IFERROR(VLOOKUP($O1510,'Customer List'!$A$1:$J$488,10,FALSE),"")</f>
        <v/>
      </c>
    </row>
    <row r="1511" spans="18:23">
      <c r="R1511" s="127">
        <f t="shared" si="122"/>
        <v>0</v>
      </c>
      <c r="T1511" s="128">
        <f t="shared" si="121"/>
        <v>0</v>
      </c>
      <c r="U1511" s="129" t="str">
        <f>IFERROR(IF(#REF!="S",VLOOKUP('Raw Data'!A1511,References!#REF!,2,FALSE),(VLOOKUP($S1511,References!$B$3:$C$7,2,FALSE))),"")</f>
        <v/>
      </c>
      <c r="V1511" s="129" t="str">
        <f t="shared" si="120"/>
        <v/>
      </c>
      <c r="W1511" s="74" t="str">
        <f>IFERROR(VLOOKUP($O1511,'Customer List'!$A$1:$J$488,10,FALSE),"")</f>
        <v/>
      </c>
    </row>
    <row r="1512" spans="18:23">
      <c r="R1512" s="127">
        <f t="shared" si="122"/>
        <v>0</v>
      </c>
      <c r="T1512" s="128">
        <f t="shared" si="121"/>
        <v>0</v>
      </c>
      <c r="U1512" s="129" t="str">
        <f>IFERROR(IF(#REF!="S",VLOOKUP('Raw Data'!A1512,References!#REF!,2,FALSE),(VLOOKUP($S1512,References!$B$3:$C$7,2,FALSE))),"")</f>
        <v/>
      </c>
      <c r="V1512" s="129" t="str">
        <f t="shared" ref="V1512:V1558" si="123">IFERROR(T1512*U1512,"")</f>
        <v/>
      </c>
      <c r="W1512" s="74" t="str">
        <f>IFERROR(VLOOKUP($O1512,'Customer List'!$A$1:$J$488,10,FALSE),"")</f>
        <v/>
      </c>
    </row>
    <row r="1513" spans="18:23">
      <c r="R1513" s="127">
        <f t="shared" si="122"/>
        <v>0</v>
      </c>
      <c r="T1513" s="128">
        <f t="shared" si="121"/>
        <v>0</v>
      </c>
      <c r="U1513" s="129" t="str">
        <f>IFERROR(IF(#REF!="S",VLOOKUP('Raw Data'!A1513,References!#REF!,2,FALSE),(VLOOKUP($S1513,References!$B$3:$C$7,2,FALSE))),"")</f>
        <v/>
      </c>
      <c r="V1513" s="129" t="str">
        <f t="shared" si="123"/>
        <v/>
      </c>
      <c r="W1513" s="74" t="str">
        <f>IFERROR(VLOOKUP($O1513,'Customer List'!$A$1:$J$488,10,FALSE),"")</f>
        <v/>
      </c>
    </row>
    <row r="1514" spans="18:23">
      <c r="R1514" s="127">
        <f t="shared" si="122"/>
        <v>0</v>
      </c>
      <c r="T1514" s="128">
        <f t="shared" si="121"/>
        <v>0</v>
      </c>
      <c r="U1514" s="129" t="str">
        <f>IFERROR(IF(#REF!="S",VLOOKUP('Raw Data'!A1514,References!#REF!,2,FALSE),(VLOOKUP($S1514,References!$B$3:$C$7,2,FALSE))),"")</f>
        <v/>
      </c>
      <c r="V1514" s="129" t="str">
        <f t="shared" si="123"/>
        <v/>
      </c>
      <c r="W1514" s="74" t="str">
        <f>IFERROR(VLOOKUP($O1514,'Customer List'!$A$1:$J$488,10,FALSE),"")</f>
        <v/>
      </c>
    </row>
    <row r="1515" spans="18:23">
      <c r="R1515" s="127">
        <f t="shared" si="122"/>
        <v>0</v>
      </c>
      <c r="T1515" s="128">
        <f t="shared" si="121"/>
        <v>0</v>
      </c>
      <c r="U1515" s="129" t="str">
        <f>IFERROR(IF(#REF!="S",VLOOKUP('Raw Data'!A1515,References!#REF!,2,FALSE),(VLOOKUP($S1515,References!$B$3:$C$7,2,FALSE))),"")</f>
        <v/>
      </c>
      <c r="V1515" s="129" t="str">
        <f t="shared" si="123"/>
        <v/>
      </c>
      <c r="W1515" s="74" t="str">
        <f>IFERROR(VLOOKUP($O1515,'Customer List'!$A$1:$J$488,10,FALSE),"")</f>
        <v/>
      </c>
    </row>
    <row r="1516" spans="18:23">
      <c r="R1516" s="127">
        <f t="shared" si="122"/>
        <v>0</v>
      </c>
      <c r="T1516" s="128">
        <f t="shared" si="121"/>
        <v>0</v>
      </c>
      <c r="U1516" s="129" t="str">
        <f>IFERROR(IF(#REF!="S",VLOOKUP('Raw Data'!A1516,References!#REF!,2,FALSE),(VLOOKUP($S1516,References!$B$3:$C$7,2,FALSE))),"")</f>
        <v/>
      </c>
      <c r="V1516" s="129" t="str">
        <f t="shared" si="123"/>
        <v/>
      </c>
      <c r="W1516" s="74" t="str">
        <f>IFERROR(VLOOKUP($O1516,'Customer List'!$A$1:$J$488,10,FALSE),"")</f>
        <v/>
      </c>
    </row>
    <row r="1517" spans="18:23">
      <c r="R1517" s="127">
        <f t="shared" si="122"/>
        <v>0</v>
      </c>
      <c r="T1517" s="128">
        <f t="shared" si="121"/>
        <v>0</v>
      </c>
      <c r="U1517" s="129" t="str">
        <f>IFERROR(IF(#REF!="S",VLOOKUP('Raw Data'!A1517,References!#REF!,2,FALSE),(VLOOKUP($S1517,References!$B$3:$C$7,2,FALSE))),"")</f>
        <v/>
      </c>
      <c r="V1517" s="129" t="str">
        <f t="shared" si="123"/>
        <v/>
      </c>
      <c r="W1517" s="74" t="str">
        <f>IFERROR(VLOOKUP($O1517,'Customer List'!$A$1:$J$488,10,FALSE),"")</f>
        <v/>
      </c>
    </row>
    <row r="1518" spans="18:23">
      <c r="R1518" s="127">
        <f t="shared" si="122"/>
        <v>0</v>
      </c>
      <c r="T1518" s="128">
        <f t="shared" si="121"/>
        <v>0</v>
      </c>
      <c r="U1518" s="129" t="str">
        <f>IFERROR(IF(#REF!="S",VLOOKUP('Raw Data'!A1518,References!#REF!,2,FALSE),(VLOOKUP($S1518,References!$B$3:$C$7,2,FALSE))),"")</f>
        <v/>
      </c>
      <c r="V1518" s="129" t="str">
        <f t="shared" si="123"/>
        <v/>
      </c>
      <c r="W1518" s="74" t="str">
        <f>IFERROR(VLOOKUP($O1518,'Customer List'!$A$1:$J$488,10,FALSE),"")</f>
        <v/>
      </c>
    </row>
    <row r="1519" spans="18:23">
      <c r="R1519" s="127">
        <f t="shared" si="122"/>
        <v>0</v>
      </c>
      <c r="T1519" s="128">
        <f t="shared" si="121"/>
        <v>0</v>
      </c>
      <c r="U1519" s="129" t="str">
        <f>IFERROR(IF(#REF!="S",VLOOKUP('Raw Data'!A1519,References!#REF!,2,FALSE),(VLOOKUP($S1519,References!$B$3:$C$7,2,FALSE))),"")</f>
        <v/>
      </c>
      <c r="V1519" s="129" t="str">
        <f t="shared" si="123"/>
        <v/>
      </c>
      <c r="W1519" s="74" t="str">
        <f>IFERROR(VLOOKUP($O1519,'Customer List'!$A$1:$J$488,10,FALSE),"")</f>
        <v/>
      </c>
    </row>
    <row r="1520" spans="18:23">
      <c r="R1520" s="127">
        <f t="shared" si="122"/>
        <v>0</v>
      </c>
      <c r="T1520" s="128">
        <f t="shared" si="121"/>
        <v>0</v>
      </c>
      <c r="U1520" s="129" t="str">
        <f>IFERROR(IF(#REF!="S",VLOOKUP('Raw Data'!A1520,References!#REF!,2,FALSE),(VLOOKUP($S1520,References!$B$3:$C$7,2,FALSE))),"")</f>
        <v/>
      </c>
      <c r="V1520" s="129" t="str">
        <f t="shared" si="123"/>
        <v/>
      </c>
      <c r="W1520" s="74" t="str">
        <f>IFERROR(VLOOKUP($O1520,'Customer List'!$A$1:$J$488,10,FALSE),"")</f>
        <v/>
      </c>
    </row>
    <row r="1521" spans="18:23">
      <c r="R1521" s="127">
        <f t="shared" si="122"/>
        <v>0</v>
      </c>
      <c r="T1521" s="128">
        <f t="shared" si="121"/>
        <v>0</v>
      </c>
      <c r="U1521" s="129" t="str">
        <f>IFERROR(IF(#REF!="S",VLOOKUP('Raw Data'!A1521,References!#REF!,2,FALSE),(VLOOKUP($S1521,References!$B$3:$C$7,2,FALSE))),"")</f>
        <v/>
      </c>
      <c r="V1521" s="129" t="str">
        <f t="shared" si="123"/>
        <v/>
      </c>
      <c r="W1521" s="74" t="str">
        <f>IFERROR(VLOOKUP($O1521,'Customer List'!$A$1:$J$488,10,FALSE),"")</f>
        <v/>
      </c>
    </row>
    <row r="1522" spans="18:23">
      <c r="R1522" s="127">
        <f t="shared" si="122"/>
        <v>0</v>
      </c>
      <c r="T1522" s="128">
        <f t="shared" si="121"/>
        <v>0</v>
      </c>
      <c r="U1522" s="129" t="str">
        <f>IFERROR(IF(#REF!="S",VLOOKUP('Raw Data'!A1522,References!#REF!,2,FALSE),(VLOOKUP($S1522,References!$B$3:$C$7,2,FALSE))),"")</f>
        <v/>
      </c>
      <c r="V1522" s="129" t="str">
        <f t="shared" si="123"/>
        <v/>
      </c>
      <c r="W1522" s="74" t="str">
        <f>IFERROR(VLOOKUP($O1522,'Customer List'!$A$1:$J$488,10,FALSE),"")</f>
        <v/>
      </c>
    </row>
    <row r="1523" spans="18:23">
      <c r="R1523" s="127">
        <f t="shared" si="122"/>
        <v>0</v>
      </c>
      <c r="T1523" s="128">
        <f t="shared" si="121"/>
        <v>0</v>
      </c>
      <c r="U1523" s="129" t="str">
        <f>IFERROR(IF(#REF!="S",VLOOKUP('Raw Data'!A1523,References!#REF!,2,FALSE),(VLOOKUP($S1523,References!$B$3:$C$7,2,FALSE))),"")</f>
        <v/>
      </c>
      <c r="V1523" s="129" t="str">
        <f t="shared" si="123"/>
        <v/>
      </c>
      <c r="W1523" s="74" t="str">
        <f>IFERROR(VLOOKUP($O1523,'Customer List'!$A$1:$J$488,10,FALSE),"")</f>
        <v/>
      </c>
    </row>
    <row r="1524" spans="18:23">
      <c r="R1524" s="127">
        <f t="shared" si="122"/>
        <v>0</v>
      </c>
      <c r="T1524" s="128">
        <f t="shared" si="121"/>
        <v>0</v>
      </c>
      <c r="U1524" s="129" t="str">
        <f>IFERROR(IF(#REF!="S",VLOOKUP('Raw Data'!A1524,References!#REF!,2,FALSE),(VLOOKUP($S1524,References!$B$3:$C$7,2,FALSE))),"")</f>
        <v/>
      </c>
      <c r="V1524" s="129" t="str">
        <f t="shared" si="123"/>
        <v/>
      </c>
      <c r="W1524" s="74" t="str">
        <f>IFERROR(VLOOKUP($O1524,'Customer List'!$A$1:$J$488,10,FALSE),"")</f>
        <v/>
      </c>
    </row>
    <row r="1525" spans="18:23">
      <c r="R1525" s="127">
        <f t="shared" si="122"/>
        <v>0</v>
      </c>
      <c r="T1525" s="128">
        <f t="shared" si="121"/>
        <v>0</v>
      </c>
      <c r="U1525" s="129" t="str">
        <f>IFERROR(IF(#REF!="S",VLOOKUP('Raw Data'!A1525,References!#REF!,2,FALSE),(VLOOKUP($S1525,References!$B$3:$C$7,2,FALSE))),"")</f>
        <v/>
      </c>
      <c r="V1525" s="129" t="str">
        <f t="shared" si="123"/>
        <v/>
      </c>
      <c r="W1525" s="74" t="str">
        <f>IFERROR(VLOOKUP($O1525,'Customer List'!$A$1:$J$488,10,FALSE),"")</f>
        <v/>
      </c>
    </row>
    <row r="1526" spans="18:23">
      <c r="R1526" s="127">
        <f t="shared" si="122"/>
        <v>0</v>
      </c>
      <c r="T1526" s="128">
        <f t="shared" si="121"/>
        <v>0</v>
      </c>
      <c r="U1526" s="129" t="str">
        <f>IFERROR(IF(#REF!="S",VLOOKUP('Raw Data'!A1526,References!#REF!,2,FALSE),(VLOOKUP($S1526,References!$B$3:$C$7,2,FALSE))),"")</f>
        <v/>
      </c>
      <c r="V1526" s="129" t="str">
        <f t="shared" si="123"/>
        <v/>
      </c>
      <c r="W1526" s="74" t="str">
        <f>IFERROR(VLOOKUP($O1526,'Customer List'!$A$1:$J$488,10,FALSE),"")</f>
        <v/>
      </c>
    </row>
    <row r="1527" spans="18:23">
      <c r="R1527" s="127">
        <f t="shared" si="122"/>
        <v>0</v>
      </c>
      <c r="T1527" s="128">
        <f t="shared" si="121"/>
        <v>0</v>
      </c>
      <c r="U1527" s="129" t="str">
        <f>IFERROR(IF(#REF!="S",VLOOKUP('Raw Data'!A1527,References!#REF!,2,FALSE),(VLOOKUP($S1527,References!$B$3:$C$7,2,FALSE))),"")</f>
        <v/>
      </c>
      <c r="V1527" s="129" t="str">
        <f t="shared" si="123"/>
        <v/>
      </c>
      <c r="W1527" s="74" t="str">
        <f>IFERROR(VLOOKUP($O1527,'Customer List'!$A$1:$J$488,10,FALSE),"")</f>
        <v/>
      </c>
    </row>
    <row r="1528" spans="18:23">
      <c r="R1528" s="127">
        <f t="shared" si="122"/>
        <v>0</v>
      </c>
      <c r="T1528" s="128">
        <f t="shared" si="121"/>
        <v>0</v>
      </c>
      <c r="U1528" s="129" t="str">
        <f>IFERROR(IF(#REF!="S",VLOOKUP('Raw Data'!A1528,References!#REF!,2,FALSE),(VLOOKUP($S1528,References!$B$3:$C$7,2,FALSE))),"")</f>
        <v/>
      </c>
      <c r="V1528" s="129" t="str">
        <f t="shared" si="123"/>
        <v/>
      </c>
      <c r="W1528" s="74" t="str">
        <f>IFERROR(VLOOKUP($O1528,'Customer List'!$A$1:$J$488,10,FALSE),"")</f>
        <v/>
      </c>
    </row>
    <row r="1529" spans="18:23">
      <c r="R1529" s="127">
        <f t="shared" si="122"/>
        <v>0</v>
      </c>
      <c r="T1529" s="128">
        <f t="shared" si="121"/>
        <v>0</v>
      </c>
      <c r="U1529" s="129" t="str">
        <f>IFERROR(IF(#REF!="S",VLOOKUP('Raw Data'!A1529,References!#REF!,2,FALSE),(VLOOKUP($S1529,References!$B$3:$C$7,2,FALSE))),"")</f>
        <v/>
      </c>
      <c r="V1529" s="129" t="str">
        <f t="shared" si="123"/>
        <v/>
      </c>
      <c r="W1529" s="74" t="str">
        <f>IFERROR(VLOOKUP($O1529,'Customer List'!$A$1:$J$488,10,FALSE),"")</f>
        <v/>
      </c>
    </row>
    <row r="1530" spans="18:23">
      <c r="R1530" s="127">
        <f t="shared" si="122"/>
        <v>0</v>
      </c>
      <c r="T1530" s="128">
        <f t="shared" si="121"/>
        <v>0</v>
      </c>
      <c r="U1530" s="129" t="str">
        <f>IFERROR(IF(#REF!="S",VLOOKUP('Raw Data'!A1530,References!#REF!,2,FALSE),(VLOOKUP($S1530,References!$B$3:$C$7,2,FALSE))),"")</f>
        <v/>
      </c>
      <c r="V1530" s="129" t="str">
        <f t="shared" si="123"/>
        <v/>
      </c>
      <c r="W1530" s="74" t="str">
        <f>IFERROR(VLOOKUP($O1530,'Customer List'!$A$1:$J$488,10,FALSE),"")</f>
        <v/>
      </c>
    </row>
    <row r="1531" spans="18:23">
      <c r="R1531" s="127">
        <f t="shared" si="122"/>
        <v>0</v>
      </c>
      <c r="T1531" s="128">
        <f t="shared" si="121"/>
        <v>0</v>
      </c>
      <c r="U1531" s="129" t="str">
        <f>IFERROR(IF(#REF!="S",VLOOKUP('Raw Data'!A1531,References!#REF!,2,FALSE),(VLOOKUP($S1531,References!$B$3:$C$7,2,FALSE))),"")</f>
        <v/>
      </c>
      <c r="V1531" s="129" t="str">
        <f t="shared" si="123"/>
        <v/>
      </c>
      <c r="W1531" s="74" t="str">
        <f>IFERROR(VLOOKUP($O1531,'Customer List'!$A$1:$J$488,10,FALSE),"")</f>
        <v/>
      </c>
    </row>
    <row r="1532" spans="18:23">
      <c r="R1532" s="127">
        <f t="shared" si="122"/>
        <v>0</v>
      </c>
      <c r="T1532" s="128">
        <f t="shared" si="121"/>
        <v>0</v>
      </c>
      <c r="U1532" s="129" t="str">
        <f>IFERROR(IF(#REF!="S",VLOOKUP('Raw Data'!A1532,References!#REF!,2,FALSE),(VLOOKUP($S1532,References!$B$3:$C$7,2,FALSE))),"")</f>
        <v/>
      </c>
      <c r="V1532" s="129" t="str">
        <f t="shared" si="123"/>
        <v/>
      </c>
      <c r="W1532" s="74" t="str">
        <f>IFERROR(VLOOKUP($O1532,'Customer List'!$A$1:$J$488,10,FALSE),"")</f>
        <v/>
      </c>
    </row>
    <row r="1533" spans="18:23">
      <c r="R1533" s="127">
        <f t="shared" si="122"/>
        <v>0</v>
      </c>
      <c r="T1533" s="128">
        <f t="shared" si="121"/>
        <v>0</v>
      </c>
      <c r="U1533" s="129" t="str">
        <f>IFERROR(IF(#REF!="S",VLOOKUP('Raw Data'!A1533,References!#REF!,2,FALSE),(VLOOKUP($S1533,References!$B$3:$C$7,2,FALSE))),"")</f>
        <v/>
      </c>
      <c r="V1533" s="129" t="str">
        <f t="shared" si="123"/>
        <v/>
      </c>
      <c r="W1533" s="74" t="str">
        <f>IFERROR(VLOOKUP($O1533,'Customer List'!$A$1:$J$488,10,FALSE),"")</f>
        <v/>
      </c>
    </row>
    <row r="1534" spans="18:23">
      <c r="R1534" s="127">
        <f t="shared" si="122"/>
        <v>0</v>
      </c>
      <c r="T1534" s="128">
        <f t="shared" si="121"/>
        <v>0</v>
      </c>
      <c r="U1534" s="129" t="str">
        <f>IFERROR(IF(#REF!="S",VLOOKUP('Raw Data'!A1534,References!#REF!,2,FALSE),(VLOOKUP($S1534,References!$B$3:$C$7,2,FALSE))),"")</f>
        <v/>
      </c>
      <c r="V1534" s="129" t="str">
        <f t="shared" si="123"/>
        <v/>
      </c>
      <c r="W1534" s="74" t="str">
        <f>IFERROR(VLOOKUP($O1534,'Customer List'!$A$1:$J$488,10,FALSE),"")</f>
        <v/>
      </c>
    </row>
    <row r="1535" spans="18:23">
      <c r="R1535" s="127">
        <f t="shared" si="122"/>
        <v>0</v>
      </c>
      <c r="T1535" s="128">
        <f t="shared" si="121"/>
        <v>0</v>
      </c>
      <c r="U1535" s="129" t="str">
        <f>IFERROR(IF(#REF!="S",VLOOKUP('Raw Data'!A1535,References!#REF!,2,FALSE),(VLOOKUP($S1535,References!$B$3:$C$7,2,FALSE))),"")</f>
        <v/>
      </c>
      <c r="V1535" s="129" t="str">
        <f t="shared" si="123"/>
        <v/>
      </c>
      <c r="W1535" s="74" t="str">
        <f>IFERROR(VLOOKUP($O1535,'Customer List'!$A$1:$J$488,10,FALSE),"")</f>
        <v/>
      </c>
    </row>
    <row r="1536" spans="18:23">
      <c r="R1536" s="127">
        <f t="shared" si="122"/>
        <v>0</v>
      </c>
      <c r="T1536" s="128">
        <f t="shared" si="121"/>
        <v>0</v>
      </c>
      <c r="U1536" s="129" t="str">
        <f>IFERROR(IF(#REF!="S",VLOOKUP('Raw Data'!A1536,References!#REF!,2,FALSE),(VLOOKUP($S1536,References!$B$3:$C$7,2,FALSE))),"")</f>
        <v/>
      </c>
      <c r="V1536" s="129" t="str">
        <f t="shared" si="123"/>
        <v/>
      </c>
      <c r="W1536" s="74" t="str">
        <f>IFERROR(VLOOKUP($O1536,'Customer List'!$A$1:$J$488,10,FALSE),"")</f>
        <v/>
      </c>
    </row>
    <row r="1537" spans="18:23">
      <c r="R1537" s="127">
        <f t="shared" si="122"/>
        <v>0</v>
      </c>
      <c r="T1537" s="128">
        <f t="shared" si="121"/>
        <v>0</v>
      </c>
      <c r="U1537" s="129" t="str">
        <f>IFERROR(IF(#REF!="S",VLOOKUP('Raw Data'!A1537,References!#REF!,2,FALSE),(VLOOKUP($S1537,References!$B$3:$C$7,2,FALSE))),"")</f>
        <v/>
      </c>
      <c r="V1537" s="129" t="str">
        <f t="shared" si="123"/>
        <v/>
      </c>
      <c r="W1537" s="74" t="str">
        <f>IFERROR(VLOOKUP($O1537,'Customer List'!$A$1:$J$488,10,FALSE),"")</f>
        <v/>
      </c>
    </row>
    <row r="1538" spans="18:23">
      <c r="R1538" s="127">
        <f t="shared" si="122"/>
        <v>0</v>
      </c>
      <c r="T1538" s="128">
        <f t="shared" si="121"/>
        <v>0</v>
      </c>
      <c r="U1538" s="129" t="str">
        <f>IFERROR(IF(#REF!="S",VLOOKUP('Raw Data'!A1538,References!#REF!,2,FALSE),(VLOOKUP($S1538,References!$B$3:$C$7,2,FALSE))),"")</f>
        <v/>
      </c>
      <c r="V1538" s="129" t="str">
        <f t="shared" si="123"/>
        <v/>
      </c>
      <c r="W1538" s="74" t="str">
        <f>IFERROR(VLOOKUP($O1538,'Customer List'!$A$1:$J$488,10,FALSE),"")</f>
        <v/>
      </c>
    </row>
    <row r="1539" spans="18:23">
      <c r="R1539" s="127">
        <f t="shared" si="122"/>
        <v>0</v>
      </c>
      <c r="T1539" s="128">
        <f t="shared" si="121"/>
        <v>0</v>
      </c>
      <c r="U1539" s="129" t="str">
        <f>IFERROR(IF(#REF!="S",VLOOKUP('Raw Data'!A1539,References!#REF!,2,FALSE),(VLOOKUP($S1539,References!$B$3:$C$7,2,FALSE))),"")</f>
        <v/>
      </c>
      <c r="V1539" s="129" t="str">
        <f t="shared" si="123"/>
        <v/>
      </c>
      <c r="W1539" s="74" t="str">
        <f>IFERROR(VLOOKUP($O1539,'Customer List'!$A$1:$J$488,10,FALSE),"")</f>
        <v/>
      </c>
    </row>
    <row r="1540" spans="18:23">
      <c r="R1540" s="127">
        <f t="shared" si="122"/>
        <v>0</v>
      </c>
      <c r="T1540" s="128">
        <f t="shared" si="121"/>
        <v>0</v>
      </c>
      <c r="U1540" s="129" t="str">
        <f>IFERROR(IF(#REF!="S",VLOOKUP('Raw Data'!A1540,References!#REF!,2,FALSE),(VLOOKUP($S1540,References!$B$3:$C$7,2,FALSE))),"")</f>
        <v/>
      </c>
      <c r="V1540" s="129" t="str">
        <f t="shared" si="123"/>
        <v/>
      </c>
      <c r="W1540" s="74" t="str">
        <f>IFERROR(VLOOKUP($O1540,'Customer List'!$A$1:$J$488,10,FALSE),"")</f>
        <v/>
      </c>
    </row>
    <row r="1541" spans="18:23">
      <c r="R1541" s="127">
        <f t="shared" si="122"/>
        <v>0</v>
      </c>
      <c r="T1541" s="128">
        <f t="shared" si="121"/>
        <v>0</v>
      </c>
      <c r="U1541" s="129" t="str">
        <f>IFERROR(IF(#REF!="S",VLOOKUP('Raw Data'!A1541,References!#REF!,2,FALSE),(VLOOKUP($S1541,References!$B$3:$C$7,2,FALSE))),"")</f>
        <v/>
      </c>
      <c r="V1541" s="129" t="str">
        <f t="shared" si="123"/>
        <v/>
      </c>
      <c r="W1541" s="74" t="str">
        <f>IFERROR(VLOOKUP($O1541,'Customer List'!$A$1:$J$488,10,FALSE),"")</f>
        <v/>
      </c>
    </row>
    <row r="1542" spans="18:23">
      <c r="R1542" s="127">
        <f t="shared" si="122"/>
        <v>0</v>
      </c>
      <c r="T1542" s="128">
        <f t="shared" si="121"/>
        <v>0</v>
      </c>
      <c r="U1542" s="129" t="str">
        <f>IFERROR(IF(#REF!="S",VLOOKUP('Raw Data'!A1542,References!#REF!,2,FALSE),(VLOOKUP($S1542,References!$B$3:$C$7,2,FALSE))),"")</f>
        <v/>
      </c>
      <c r="V1542" s="129" t="str">
        <f t="shared" si="123"/>
        <v/>
      </c>
      <c r="W1542" s="74" t="str">
        <f>IFERROR(VLOOKUP($O1542,'Customer List'!$A$1:$J$488,10,FALSE),"")</f>
        <v/>
      </c>
    </row>
    <row r="1543" spans="18:23">
      <c r="R1543" s="127">
        <f t="shared" si="122"/>
        <v>0</v>
      </c>
      <c r="T1543" s="128">
        <f t="shared" si="121"/>
        <v>0</v>
      </c>
      <c r="U1543" s="129" t="str">
        <f>IFERROR(IF(#REF!="S",VLOOKUP('Raw Data'!A1543,References!#REF!,2,FALSE),(VLOOKUP($S1543,References!$B$3:$C$7,2,FALSE))),"")</f>
        <v/>
      </c>
      <c r="V1543" s="129" t="str">
        <f t="shared" si="123"/>
        <v/>
      </c>
      <c r="W1543" s="74" t="str">
        <f>IFERROR(VLOOKUP($O1543,'Customer List'!$A$1:$J$488,10,FALSE),"")</f>
        <v/>
      </c>
    </row>
    <row r="1544" spans="18:23">
      <c r="R1544" s="127">
        <f t="shared" si="122"/>
        <v>0</v>
      </c>
      <c r="T1544" s="128">
        <f t="shared" si="121"/>
        <v>0</v>
      </c>
      <c r="U1544" s="129" t="str">
        <f>IFERROR(IF(#REF!="S",VLOOKUP('Raw Data'!A1544,References!#REF!,2,FALSE),(VLOOKUP($S1544,References!$B$3:$C$7,2,FALSE))),"")</f>
        <v/>
      </c>
      <c r="V1544" s="129" t="str">
        <f t="shared" si="123"/>
        <v/>
      </c>
      <c r="W1544" s="74" t="str">
        <f>IFERROR(VLOOKUP($O1544,'Customer List'!$A$1:$J$488,10,FALSE),"")</f>
        <v/>
      </c>
    </row>
    <row r="1545" spans="18:23">
      <c r="R1545" s="127">
        <f t="shared" si="122"/>
        <v>0</v>
      </c>
      <c r="T1545" s="128">
        <f t="shared" si="121"/>
        <v>0</v>
      </c>
      <c r="U1545" s="129" t="str">
        <f>IFERROR(IF(#REF!="S",VLOOKUP('Raw Data'!A1545,References!#REF!,2,FALSE),(VLOOKUP($S1545,References!$B$3:$C$7,2,FALSE))),"")</f>
        <v/>
      </c>
      <c r="V1545" s="129" t="str">
        <f t="shared" si="123"/>
        <v/>
      </c>
      <c r="W1545" s="74" t="str">
        <f>IFERROR(VLOOKUP($O1545,'Customer List'!$A$1:$J$488,10,FALSE),"")</f>
        <v/>
      </c>
    </row>
    <row r="1546" spans="18:23">
      <c r="R1546" s="127">
        <f t="shared" si="122"/>
        <v>0</v>
      </c>
      <c r="T1546" s="128">
        <f t="shared" ref="T1546:T1609" si="124">IF(S1546="50 - Cleaning Fee",1,HOUR($R1546)+MINUTE(R1546)/60)</f>
        <v>0</v>
      </c>
      <c r="U1546" s="129" t="str">
        <f>IFERROR(IF(#REF!="S",VLOOKUP('Raw Data'!A1546,References!#REF!,2,FALSE),(VLOOKUP($S1546,References!$B$3:$C$7,2,FALSE))),"")</f>
        <v/>
      </c>
      <c r="V1546" s="129" t="str">
        <f t="shared" si="123"/>
        <v/>
      </c>
      <c r="W1546" s="74" t="str">
        <f>IFERROR(VLOOKUP($O1546,'Customer List'!$A$1:$J$488,10,FALSE),"")</f>
        <v/>
      </c>
    </row>
    <row r="1547" spans="18:23">
      <c r="R1547" s="127">
        <f t="shared" si="122"/>
        <v>0</v>
      </c>
      <c r="T1547" s="128">
        <f t="shared" si="124"/>
        <v>0</v>
      </c>
      <c r="U1547" s="129" t="str">
        <f>IFERROR(IF(#REF!="S",VLOOKUP('Raw Data'!A1547,References!#REF!,2,FALSE),(VLOOKUP($S1547,References!$B$3:$C$7,2,FALSE))),"")</f>
        <v/>
      </c>
      <c r="V1547" s="129" t="str">
        <f t="shared" si="123"/>
        <v/>
      </c>
      <c r="W1547" s="74" t="str">
        <f>IFERROR(VLOOKUP($O1547,'Customer List'!$A$1:$J$488,10,FALSE),"")</f>
        <v/>
      </c>
    </row>
    <row r="1548" spans="18:23">
      <c r="R1548" s="127">
        <f t="shared" si="122"/>
        <v>0</v>
      </c>
      <c r="T1548" s="128">
        <f t="shared" si="124"/>
        <v>0</v>
      </c>
      <c r="U1548" s="129" t="str">
        <f>IFERROR(IF(#REF!="S",VLOOKUP('Raw Data'!A1548,References!#REF!,2,FALSE),(VLOOKUP($S1548,References!$B$3:$C$7,2,FALSE))),"")</f>
        <v/>
      </c>
      <c r="V1548" s="129" t="str">
        <f t="shared" si="123"/>
        <v/>
      </c>
      <c r="W1548" s="74" t="str">
        <f>IFERROR(VLOOKUP($O1548,'Customer List'!$A$1:$J$488,10,FALSE),"")</f>
        <v/>
      </c>
    </row>
    <row r="1549" spans="18:23">
      <c r="R1549" s="127">
        <f t="shared" si="122"/>
        <v>0</v>
      </c>
      <c r="T1549" s="128">
        <f t="shared" si="124"/>
        <v>0</v>
      </c>
      <c r="U1549" s="129" t="str">
        <f>IFERROR(IF(#REF!="S",VLOOKUP('Raw Data'!A1549,References!#REF!,2,FALSE),(VLOOKUP($S1549,References!$B$3:$C$7,2,FALSE))),"")</f>
        <v/>
      </c>
      <c r="V1549" s="129" t="str">
        <f t="shared" si="123"/>
        <v/>
      </c>
      <c r="W1549" s="74" t="str">
        <f>IFERROR(VLOOKUP($O1549,'Customer List'!$A$1:$J$488,10,FALSE),"")</f>
        <v/>
      </c>
    </row>
    <row r="1550" spans="18:23">
      <c r="R1550" s="127">
        <f t="shared" si="122"/>
        <v>0</v>
      </c>
      <c r="T1550" s="128">
        <f t="shared" si="124"/>
        <v>0</v>
      </c>
      <c r="U1550" s="129" t="str">
        <f>IFERROR(IF(#REF!="S",VLOOKUP('Raw Data'!A1550,References!#REF!,2,FALSE),(VLOOKUP($S1550,References!$B$3:$C$7,2,FALSE))),"")</f>
        <v/>
      </c>
      <c r="V1550" s="129" t="str">
        <f t="shared" si="123"/>
        <v/>
      </c>
      <c r="W1550" s="74" t="str">
        <f>IFERROR(VLOOKUP($O1550,'Customer List'!$A$1:$J$488,10,FALSE),"")</f>
        <v/>
      </c>
    </row>
    <row r="1551" spans="18:23">
      <c r="R1551" s="127">
        <f t="shared" si="122"/>
        <v>0</v>
      </c>
      <c r="T1551" s="128">
        <f t="shared" si="124"/>
        <v>0</v>
      </c>
      <c r="U1551" s="129" t="str">
        <f>IFERROR(IF(#REF!="S",VLOOKUP('Raw Data'!A1551,References!#REF!,2,FALSE),(VLOOKUP($S1551,References!$B$3:$C$7,2,FALSE))),"")</f>
        <v/>
      </c>
      <c r="V1551" s="129" t="str">
        <f t="shared" si="123"/>
        <v/>
      </c>
      <c r="W1551" s="74" t="str">
        <f>IFERROR(VLOOKUP($O1551,'Customer List'!$A$1:$J$488,10,FALSE),"")</f>
        <v/>
      </c>
    </row>
    <row r="1552" spans="18:23">
      <c r="R1552" s="127">
        <f t="shared" si="122"/>
        <v>0</v>
      </c>
      <c r="T1552" s="128">
        <f t="shared" si="124"/>
        <v>0</v>
      </c>
      <c r="U1552" s="129" t="str">
        <f>IFERROR(IF(#REF!="S",VLOOKUP('Raw Data'!A1552,References!#REF!,2,FALSE),(VLOOKUP($S1552,References!$B$3:$C$7,2,FALSE))),"")</f>
        <v/>
      </c>
      <c r="V1552" s="129" t="str">
        <f t="shared" si="123"/>
        <v/>
      </c>
      <c r="W1552" s="74" t="str">
        <f>IFERROR(VLOOKUP($O1552,'Customer List'!$A$1:$J$488,10,FALSE),"")</f>
        <v/>
      </c>
    </row>
    <row r="1553" spans="18:23">
      <c r="R1553" s="127">
        <f t="shared" si="122"/>
        <v>0</v>
      </c>
      <c r="T1553" s="128">
        <f t="shared" si="124"/>
        <v>0</v>
      </c>
      <c r="U1553" s="129" t="str">
        <f>IFERROR(IF(#REF!="S",VLOOKUP('Raw Data'!A1553,References!#REF!,2,FALSE),(VLOOKUP($S1553,References!$B$3:$C$7,2,FALSE))),"")</f>
        <v/>
      </c>
      <c r="V1553" s="129" t="str">
        <f t="shared" si="123"/>
        <v/>
      </c>
      <c r="W1553" s="74" t="str">
        <f>IFERROR(VLOOKUP($O1553,'Customer List'!$A$1:$J$488,10,FALSE),"")</f>
        <v/>
      </c>
    </row>
    <row r="1554" spans="18:23">
      <c r="R1554" s="127">
        <f t="shared" si="122"/>
        <v>0</v>
      </c>
      <c r="T1554" s="128">
        <f t="shared" si="124"/>
        <v>0</v>
      </c>
      <c r="U1554" s="129" t="str">
        <f>IFERROR(IF(#REF!="S",VLOOKUP('Raw Data'!A1554,References!#REF!,2,FALSE),(VLOOKUP($S1554,References!$B$3:$C$7,2,FALSE))),"")</f>
        <v/>
      </c>
      <c r="V1554" s="129" t="str">
        <f t="shared" si="123"/>
        <v/>
      </c>
      <c r="W1554" s="74" t="str">
        <f>IFERROR(VLOOKUP($O1554,'Customer List'!$A$1:$J$488,10,FALSE),"")</f>
        <v/>
      </c>
    </row>
    <row r="1555" spans="18:23">
      <c r="R1555" s="127">
        <f t="shared" si="122"/>
        <v>0</v>
      </c>
      <c r="T1555" s="128">
        <f t="shared" si="124"/>
        <v>0</v>
      </c>
      <c r="U1555" s="129" t="str">
        <f>IFERROR(IF(#REF!="S",VLOOKUP('Raw Data'!A1555,References!#REF!,2,FALSE),(VLOOKUP($S1555,References!$B$3:$C$7,2,FALSE))),"")</f>
        <v/>
      </c>
      <c r="V1555" s="129" t="str">
        <f t="shared" si="123"/>
        <v/>
      </c>
      <c r="W1555" s="74" t="str">
        <f>IFERROR(VLOOKUP($O1555,'Customer List'!$A$1:$J$488,10,FALSE),"")</f>
        <v/>
      </c>
    </row>
    <row r="1556" spans="18:23">
      <c r="R1556" s="127">
        <f t="shared" si="122"/>
        <v>0</v>
      </c>
      <c r="T1556" s="128">
        <f t="shared" si="124"/>
        <v>0</v>
      </c>
      <c r="U1556" s="129" t="str">
        <f>IFERROR(IF(#REF!="S",VLOOKUP('Raw Data'!A1556,References!#REF!,2,FALSE),(VLOOKUP($S1556,References!$B$3:$C$7,2,FALSE))),"")</f>
        <v/>
      </c>
      <c r="V1556" s="129" t="str">
        <f t="shared" si="123"/>
        <v/>
      </c>
      <c r="W1556" s="74" t="str">
        <f>IFERROR(VLOOKUP($O1556,'Customer List'!$A$1:$J$488,10,FALSE),"")</f>
        <v/>
      </c>
    </row>
    <row r="1557" spans="18:23">
      <c r="R1557" s="127">
        <f t="shared" si="122"/>
        <v>0</v>
      </c>
      <c r="T1557" s="128">
        <f t="shared" si="124"/>
        <v>0</v>
      </c>
      <c r="U1557" s="129" t="str">
        <f>IFERROR(IF(#REF!="S",VLOOKUP('Raw Data'!A1557,References!#REF!,2,FALSE),(VLOOKUP($S1557,References!$B$3:$C$7,2,FALSE))),"")</f>
        <v/>
      </c>
      <c r="V1557" s="129" t="str">
        <f t="shared" si="123"/>
        <v/>
      </c>
      <c r="W1557" s="74" t="str">
        <f>IFERROR(VLOOKUP($O1557,'Customer List'!$A$1:$J$488,10,FALSE),"")</f>
        <v/>
      </c>
    </row>
    <row r="1558" spans="18:23">
      <c r="R1558" s="127">
        <f t="shared" si="122"/>
        <v>0</v>
      </c>
      <c r="T1558" s="128">
        <f t="shared" si="124"/>
        <v>0</v>
      </c>
      <c r="U1558" s="129" t="str">
        <f>IFERROR(IF(#REF!="S",VLOOKUP('Raw Data'!A1558,References!#REF!,2,FALSE),(VLOOKUP($S1558,References!$B$3:$C$7,2,FALSE))),"")</f>
        <v/>
      </c>
      <c r="V1558" s="129" t="str">
        <f t="shared" si="123"/>
        <v/>
      </c>
      <c r="W1558" s="74" t="str">
        <f>IFERROR(VLOOKUP($O1558,'Customer List'!$A$1:$J$488,10,FALSE),"")</f>
        <v/>
      </c>
    </row>
    <row r="1559" spans="18:23">
      <c r="R1559" s="127">
        <f t="shared" si="122"/>
        <v>0</v>
      </c>
      <c r="T1559" s="128">
        <f t="shared" si="124"/>
        <v>0</v>
      </c>
      <c r="U1559" s="129" t="str">
        <f>IFERROR(IF(#REF!="S",VLOOKUP('Raw Data'!A1559,References!#REF!,2,FALSE),(VLOOKUP($S1559,References!$B$3:$C$7,2,FALSE))),"")</f>
        <v/>
      </c>
      <c r="W1559" s="74" t="str">
        <f>IFERROR(VLOOKUP($O1559,'Customer List'!$A$1:$J$488,10,FALSE),"")</f>
        <v/>
      </c>
    </row>
    <row r="1560" spans="18:23">
      <c r="R1560" s="127">
        <f t="shared" si="122"/>
        <v>0</v>
      </c>
      <c r="T1560" s="128">
        <f t="shared" si="124"/>
        <v>0</v>
      </c>
      <c r="U1560" s="129" t="str">
        <f>IFERROR(IF(#REF!="S",VLOOKUP('Raw Data'!A1560,References!#REF!,2,FALSE),(VLOOKUP($S1560,References!$B$3:$C$7,2,FALSE))),"")</f>
        <v/>
      </c>
      <c r="W1560" s="74" t="str">
        <f>IFERROR(VLOOKUP($O1560,'Customer List'!$A$1:$J$488,10,FALSE),"")</f>
        <v/>
      </c>
    </row>
    <row r="1561" spans="18:23">
      <c r="R1561" s="127">
        <f t="shared" si="122"/>
        <v>0</v>
      </c>
      <c r="T1561" s="128">
        <f t="shared" si="124"/>
        <v>0</v>
      </c>
      <c r="U1561" s="129" t="str">
        <f>IFERROR(IF(#REF!="S",VLOOKUP('Raw Data'!A1561,References!#REF!,2,FALSE),(VLOOKUP($S1561,References!$B$3:$C$7,2,FALSE))),"")</f>
        <v/>
      </c>
      <c r="W1561" s="74" t="str">
        <f>IFERROR(VLOOKUP($O1561,'Customer List'!$A$1:$J$488,10,FALSE),"")</f>
        <v/>
      </c>
    </row>
    <row r="1562" spans="18:23">
      <c r="R1562" s="127">
        <f t="shared" si="122"/>
        <v>0</v>
      </c>
      <c r="T1562" s="128">
        <f t="shared" si="124"/>
        <v>0</v>
      </c>
      <c r="U1562" s="129" t="str">
        <f>IFERROR(IF(#REF!="S",VLOOKUP('Raw Data'!A1562,References!#REF!,2,FALSE),(VLOOKUP($S1562,References!$B$3:$C$7,2,FALSE))),"")</f>
        <v/>
      </c>
      <c r="W1562" s="74" t="str">
        <f>IFERROR(VLOOKUP($O1562,'Customer List'!$A$1:$J$488,10,FALSE),"")</f>
        <v/>
      </c>
    </row>
    <row r="1563" spans="18:23">
      <c r="R1563" s="127">
        <f t="shared" si="122"/>
        <v>0</v>
      </c>
      <c r="T1563" s="128">
        <f t="shared" si="124"/>
        <v>0</v>
      </c>
      <c r="U1563" s="129" t="str">
        <f>IFERROR(IF(#REF!="S",VLOOKUP('Raw Data'!A1563,References!#REF!,2,FALSE),(VLOOKUP($S1563,References!$B$3:$C$7,2,FALSE))),"")</f>
        <v/>
      </c>
      <c r="W1563" s="74" t="str">
        <f>IFERROR(VLOOKUP($O1563,'Customer List'!$A$1:$J$488,10,FALSE),"")</f>
        <v/>
      </c>
    </row>
    <row r="1564" spans="18:23">
      <c r="R1564" s="127">
        <f t="shared" si="122"/>
        <v>0</v>
      </c>
      <c r="T1564" s="128">
        <f t="shared" si="124"/>
        <v>0</v>
      </c>
      <c r="U1564" s="129" t="str">
        <f>IFERROR(IF(#REF!="S",VLOOKUP('Raw Data'!A1564,References!#REF!,2,FALSE),(VLOOKUP($S1564,References!$B$3:$C$7,2,FALSE))),"")</f>
        <v/>
      </c>
      <c r="W1564" s="74" t="str">
        <f>IFERROR(VLOOKUP($O1564,'Customer List'!$A$1:$J$488,10,FALSE),"")</f>
        <v/>
      </c>
    </row>
    <row r="1565" spans="18:23">
      <c r="R1565" s="127">
        <f t="shared" si="122"/>
        <v>0</v>
      </c>
      <c r="T1565" s="128">
        <f t="shared" si="124"/>
        <v>0</v>
      </c>
      <c r="U1565" s="129" t="str">
        <f>IFERROR(IF(#REF!="S",VLOOKUP('Raw Data'!A1565,References!#REF!,2,FALSE),(VLOOKUP($S1565,References!$B$3:$C$7,2,FALSE))),"")</f>
        <v/>
      </c>
      <c r="W1565" s="74" t="str">
        <f>IFERROR(VLOOKUP($O1565,'Customer List'!$A$1:$J$488,10,FALSE),"")</f>
        <v/>
      </c>
    </row>
    <row r="1566" spans="18:23">
      <c r="R1566" s="127">
        <f t="shared" si="122"/>
        <v>0</v>
      </c>
      <c r="T1566" s="128">
        <f t="shared" si="124"/>
        <v>0</v>
      </c>
      <c r="U1566" s="129" t="str">
        <f>IFERROR(IF(#REF!="S",VLOOKUP('Raw Data'!A1566,References!#REF!,2,FALSE),(VLOOKUP($S1566,References!$B$3:$C$7,2,FALSE))),"")</f>
        <v/>
      </c>
      <c r="W1566" s="74" t="str">
        <f>IFERROR(VLOOKUP($O1566,'Customer List'!$A$1:$J$488,10,FALSE),"")</f>
        <v/>
      </c>
    </row>
    <row r="1567" spans="18:23">
      <c r="R1567" s="127">
        <f t="shared" si="122"/>
        <v>0</v>
      </c>
      <c r="T1567" s="128">
        <f t="shared" si="124"/>
        <v>0</v>
      </c>
      <c r="U1567" s="129" t="str">
        <f>IFERROR(IF(#REF!="S",VLOOKUP('Raw Data'!A1567,References!#REF!,2,FALSE),(VLOOKUP($S1567,References!$B$3:$C$7,2,FALSE))),"")</f>
        <v/>
      </c>
      <c r="W1567" s="74" t="str">
        <f>IFERROR(VLOOKUP($O1567,'Customer List'!$A$1:$J$488,10,FALSE),"")</f>
        <v/>
      </c>
    </row>
    <row r="1568" spans="18:23">
      <c r="R1568" s="127">
        <f t="shared" si="122"/>
        <v>0</v>
      </c>
      <c r="T1568" s="128">
        <f t="shared" si="124"/>
        <v>0</v>
      </c>
      <c r="U1568" s="129" t="str">
        <f>IFERROR(IF(#REF!="S",VLOOKUP('Raw Data'!A1568,References!#REF!,2,FALSE),(VLOOKUP($S1568,References!$B$3:$C$7,2,FALSE))),"")</f>
        <v/>
      </c>
      <c r="W1568" s="74" t="str">
        <f>IFERROR(VLOOKUP($O1568,'Customer List'!$A$1:$J$488,10,FALSE),"")</f>
        <v/>
      </c>
    </row>
    <row r="1569" spans="18:23">
      <c r="R1569" s="127">
        <f t="shared" si="122"/>
        <v>0</v>
      </c>
      <c r="T1569" s="128">
        <f t="shared" si="124"/>
        <v>0</v>
      </c>
      <c r="U1569" s="129" t="str">
        <f>IFERROR(IF(#REF!="S",VLOOKUP('Raw Data'!A1569,References!#REF!,2,FALSE),(VLOOKUP($S1569,References!$B$3:$C$7,2,FALSE))),"")</f>
        <v/>
      </c>
      <c r="W1569" s="74" t="str">
        <f>IFERROR(VLOOKUP($O1569,'Customer List'!$A$1:$J$488,10,FALSE),"")</f>
        <v/>
      </c>
    </row>
    <row r="1570" spans="18:23">
      <c r="R1570" s="127">
        <f t="shared" si="122"/>
        <v>0</v>
      </c>
      <c r="T1570" s="128">
        <f t="shared" si="124"/>
        <v>0</v>
      </c>
      <c r="U1570" s="129" t="str">
        <f>IFERROR(IF(#REF!="S",VLOOKUP('Raw Data'!A1570,References!#REF!,2,FALSE),(VLOOKUP($S1570,References!$B$3:$C$7,2,FALSE))),"")</f>
        <v/>
      </c>
      <c r="W1570" s="74" t="str">
        <f>IFERROR(VLOOKUP($O1570,'Customer List'!$A$1:$J$488,10,FALSE),"")</f>
        <v/>
      </c>
    </row>
    <row r="1571" spans="18:23">
      <c r="R1571" s="127">
        <f t="shared" si="122"/>
        <v>0</v>
      </c>
      <c r="T1571" s="128">
        <f t="shared" si="124"/>
        <v>0</v>
      </c>
      <c r="U1571" s="129" t="str">
        <f>IFERROR(IF(#REF!="S",VLOOKUP('Raw Data'!A1571,References!#REF!,2,FALSE),(VLOOKUP($S1571,References!$B$3:$C$7,2,FALSE))),"")</f>
        <v/>
      </c>
      <c r="W1571" s="74" t="str">
        <f>IFERROR(VLOOKUP($O1571,'Customer List'!$A$1:$J$488,10,FALSE),"")</f>
        <v/>
      </c>
    </row>
    <row r="1572" spans="18:23">
      <c r="R1572" s="127">
        <f t="shared" si="122"/>
        <v>0</v>
      </c>
      <c r="T1572" s="128">
        <f t="shared" si="124"/>
        <v>0</v>
      </c>
      <c r="U1572" s="129" t="str">
        <f>IFERROR(IF(#REF!="S",VLOOKUP('Raw Data'!A1572,References!#REF!,2,FALSE),(VLOOKUP($S1572,References!$B$3:$C$7,2,FALSE))),"")</f>
        <v/>
      </c>
      <c r="W1572" s="74" t="str">
        <f>IFERROR(VLOOKUP($O1572,'Customer List'!$A$1:$J$488,10,FALSE),"")</f>
        <v/>
      </c>
    </row>
    <row r="1573" spans="18:23">
      <c r="R1573" s="127">
        <f t="shared" si="122"/>
        <v>0</v>
      </c>
      <c r="T1573" s="128">
        <f t="shared" si="124"/>
        <v>0</v>
      </c>
      <c r="U1573" s="129" t="str">
        <f>IFERROR(IF(#REF!="S",VLOOKUP('Raw Data'!A1573,References!#REF!,2,FALSE),(VLOOKUP($S1573,References!$B$3:$C$7,2,FALSE))),"")</f>
        <v/>
      </c>
      <c r="W1573" s="74" t="str">
        <f>IFERROR(VLOOKUP($O1573,'Customer List'!$A$1:$J$488,10,FALSE),"")</f>
        <v/>
      </c>
    </row>
    <row r="1574" spans="18:23">
      <c r="R1574" s="127">
        <f t="shared" ref="R1574:R1637" si="125">L1574-K1574</f>
        <v>0</v>
      </c>
      <c r="T1574" s="128">
        <f t="shared" si="124"/>
        <v>0</v>
      </c>
      <c r="U1574" s="129" t="str">
        <f>IFERROR(IF(#REF!="S",VLOOKUP('Raw Data'!A1574,References!#REF!,2,FALSE),(VLOOKUP($S1574,References!$B$3:$C$7,2,FALSE))),"")</f>
        <v/>
      </c>
      <c r="W1574" s="74" t="str">
        <f>IFERROR(VLOOKUP($O1574,'Customer List'!$A$1:$J$488,10,FALSE),"")</f>
        <v/>
      </c>
    </row>
    <row r="1575" spans="18:23">
      <c r="R1575" s="127">
        <f t="shared" si="125"/>
        <v>0</v>
      </c>
      <c r="T1575" s="128">
        <f t="shared" si="124"/>
        <v>0</v>
      </c>
      <c r="U1575" s="129" t="str">
        <f>IFERROR(IF(#REF!="S",VLOOKUP('Raw Data'!A1575,References!#REF!,2,FALSE),(VLOOKUP($S1575,References!$B$3:$C$7,2,FALSE))),"")</f>
        <v/>
      </c>
      <c r="W1575" s="74" t="str">
        <f>IFERROR(VLOOKUP($O1575,'Customer List'!$A$1:$J$488,10,FALSE),"")</f>
        <v/>
      </c>
    </row>
    <row r="1576" spans="18:23">
      <c r="R1576" s="127">
        <f t="shared" si="125"/>
        <v>0</v>
      </c>
      <c r="T1576" s="128">
        <f t="shared" si="124"/>
        <v>0</v>
      </c>
      <c r="U1576" s="129" t="str">
        <f>IFERROR(IF(#REF!="S",VLOOKUP('Raw Data'!A1576,References!#REF!,2,FALSE),(VLOOKUP($S1576,References!$B$3:$C$7,2,FALSE))),"")</f>
        <v/>
      </c>
      <c r="W1576" s="74" t="str">
        <f>IFERROR(VLOOKUP($O1576,'Customer List'!$A$1:$J$488,10,FALSE),"")</f>
        <v/>
      </c>
    </row>
    <row r="1577" spans="18:23">
      <c r="R1577" s="127">
        <f t="shared" si="125"/>
        <v>0</v>
      </c>
      <c r="T1577" s="128">
        <f t="shared" si="124"/>
        <v>0</v>
      </c>
      <c r="U1577" s="129" t="str">
        <f>IFERROR(IF(#REF!="S",VLOOKUP('Raw Data'!A1577,References!#REF!,2,FALSE),(VLOOKUP($S1577,References!$B$3:$C$7,2,FALSE))),"")</f>
        <v/>
      </c>
      <c r="W1577" s="74" t="str">
        <f>IFERROR(VLOOKUP($O1577,'Customer List'!$A$1:$J$488,10,FALSE),"")</f>
        <v/>
      </c>
    </row>
    <row r="1578" spans="18:23">
      <c r="R1578" s="127">
        <f t="shared" si="125"/>
        <v>0</v>
      </c>
      <c r="T1578" s="128">
        <f t="shared" si="124"/>
        <v>0</v>
      </c>
      <c r="U1578" s="129" t="str">
        <f>IFERROR(IF(#REF!="S",VLOOKUP('Raw Data'!A1578,References!#REF!,2,FALSE),(VLOOKUP($S1578,References!$B$3:$C$7,2,FALSE))),"")</f>
        <v/>
      </c>
      <c r="W1578" s="74" t="str">
        <f>IFERROR(VLOOKUP($O1578,'Customer List'!$A$1:$J$488,10,FALSE),"")</f>
        <v/>
      </c>
    </row>
    <row r="1579" spans="18:23">
      <c r="R1579" s="127">
        <f t="shared" si="125"/>
        <v>0</v>
      </c>
      <c r="T1579" s="128">
        <f t="shared" si="124"/>
        <v>0</v>
      </c>
      <c r="U1579" s="129" t="str">
        <f>IFERROR(IF(#REF!="S",VLOOKUP('Raw Data'!A1579,References!#REF!,2,FALSE),(VLOOKUP($S1579,References!$B$3:$C$7,2,FALSE))),"")</f>
        <v/>
      </c>
      <c r="W1579" s="74" t="str">
        <f>IFERROR(VLOOKUP($O1579,'Customer List'!$A$1:$J$488,10,FALSE),"")</f>
        <v/>
      </c>
    </row>
    <row r="1580" spans="18:23">
      <c r="R1580" s="127">
        <f t="shared" si="125"/>
        <v>0</v>
      </c>
      <c r="T1580" s="128">
        <f t="shared" si="124"/>
        <v>0</v>
      </c>
      <c r="U1580" s="129" t="str">
        <f>IFERROR(IF(#REF!="S",VLOOKUP('Raw Data'!A1580,References!#REF!,2,FALSE),(VLOOKUP($S1580,References!$B$3:$C$7,2,FALSE))),"")</f>
        <v/>
      </c>
      <c r="W1580" s="74" t="str">
        <f>IFERROR(VLOOKUP($O1580,'Customer List'!$A$1:$J$488,10,FALSE),"")</f>
        <v/>
      </c>
    </row>
    <row r="1581" spans="18:23">
      <c r="R1581" s="127">
        <f t="shared" si="125"/>
        <v>0</v>
      </c>
      <c r="T1581" s="128">
        <f t="shared" si="124"/>
        <v>0</v>
      </c>
      <c r="U1581" s="129" t="str">
        <f>IFERROR(IF(#REF!="S",VLOOKUP('Raw Data'!A1581,References!#REF!,2,FALSE),(VLOOKUP($S1581,References!$B$3:$C$7,2,FALSE))),"")</f>
        <v/>
      </c>
      <c r="W1581" s="74" t="str">
        <f>IFERROR(VLOOKUP($O1581,'Customer List'!$A$1:$J$488,10,FALSE),"")</f>
        <v/>
      </c>
    </row>
    <row r="1582" spans="18:23">
      <c r="R1582" s="127">
        <f t="shared" si="125"/>
        <v>0</v>
      </c>
      <c r="T1582" s="128">
        <f t="shared" si="124"/>
        <v>0</v>
      </c>
      <c r="U1582" s="129" t="str">
        <f>IFERROR(IF(#REF!="S",VLOOKUP('Raw Data'!A1582,References!#REF!,2,FALSE),(VLOOKUP($S1582,References!$B$3:$C$7,2,FALSE))),"")</f>
        <v/>
      </c>
      <c r="W1582" s="74" t="str">
        <f>IFERROR(VLOOKUP($O1582,'Customer List'!$A$1:$J$488,10,FALSE),"")</f>
        <v/>
      </c>
    </row>
    <row r="1583" spans="18:23">
      <c r="R1583" s="127">
        <f t="shared" si="125"/>
        <v>0</v>
      </c>
      <c r="T1583" s="128">
        <f t="shared" si="124"/>
        <v>0</v>
      </c>
      <c r="U1583" s="129" t="str">
        <f>IFERROR(IF(#REF!="S",VLOOKUP('Raw Data'!A1583,References!#REF!,2,FALSE),(VLOOKUP($S1583,References!$B$3:$C$7,2,FALSE))),"")</f>
        <v/>
      </c>
      <c r="W1583" s="74" t="str">
        <f>IFERROR(VLOOKUP($O1583,'Customer List'!$A$1:$J$488,10,FALSE),"")</f>
        <v/>
      </c>
    </row>
    <row r="1584" spans="18:23">
      <c r="R1584" s="127">
        <f t="shared" si="125"/>
        <v>0</v>
      </c>
      <c r="T1584" s="128">
        <f t="shared" si="124"/>
        <v>0</v>
      </c>
      <c r="U1584" s="129" t="str">
        <f>IFERROR(IF(#REF!="S",VLOOKUP('Raw Data'!A1584,References!#REF!,2,FALSE),(VLOOKUP($S1584,References!$B$3:$C$7,2,FALSE))),"")</f>
        <v/>
      </c>
      <c r="W1584" s="74" t="str">
        <f>IFERROR(VLOOKUP($O1584,'Customer List'!$A$1:$J$488,10,FALSE),"")</f>
        <v/>
      </c>
    </row>
    <row r="1585" spans="18:23">
      <c r="R1585" s="127">
        <f t="shared" si="125"/>
        <v>0</v>
      </c>
      <c r="T1585" s="128">
        <f t="shared" si="124"/>
        <v>0</v>
      </c>
      <c r="U1585" s="129" t="str">
        <f>IFERROR(IF(#REF!="S",VLOOKUP('Raw Data'!A1585,References!#REF!,2,FALSE),(VLOOKUP($S1585,References!$B$3:$C$7,2,FALSE))),"")</f>
        <v/>
      </c>
      <c r="W1585" s="74" t="str">
        <f>IFERROR(VLOOKUP($O1585,'Customer List'!$A$1:$J$488,10,FALSE),"")</f>
        <v/>
      </c>
    </row>
    <row r="1586" spans="18:23">
      <c r="R1586" s="127">
        <f t="shared" si="125"/>
        <v>0</v>
      </c>
      <c r="T1586" s="128">
        <f t="shared" si="124"/>
        <v>0</v>
      </c>
      <c r="U1586" s="129" t="str">
        <f>IFERROR(IF(#REF!="S",VLOOKUP('Raw Data'!A1586,References!#REF!,2,FALSE),(VLOOKUP($S1586,References!$B$3:$C$7,2,FALSE))),"")</f>
        <v/>
      </c>
      <c r="W1586" s="74" t="str">
        <f>IFERROR(VLOOKUP($O1586,'Customer List'!$A$1:$J$488,10,FALSE),"")</f>
        <v/>
      </c>
    </row>
    <row r="1587" spans="18:23">
      <c r="R1587" s="127">
        <f t="shared" si="125"/>
        <v>0</v>
      </c>
      <c r="T1587" s="128">
        <f t="shared" si="124"/>
        <v>0</v>
      </c>
      <c r="U1587" s="129" t="str">
        <f>IFERROR(IF(#REF!="S",VLOOKUP('Raw Data'!A1587,References!#REF!,2,FALSE),(VLOOKUP($S1587,References!$B$3:$C$7,2,FALSE))),"")</f>
        <v/>
      </c>
      <c r="W1587" s="74" t="str">
        <f>IFERROR(VLOOKUP($O1587,'Customer List'!$A$1:$J$488,10,FALSE),"")</f>
        <v/>
      </c>
    </row>
    <row r="1588" spans="18:23">
      <c r="R1588" s="127">
        <f t="shared" si="125"/>
        <v>0</v>
      </c>
      <c r="T1588" s="128">
        <f t="shared" si="124"/>
        <v>0</v>
      </c>
      <c r="U1588" s="129" t="str">
        <f>IFERROR(IF(#REF!="S",VLOOKUP('Raw Data'!A1588,References!#REF!,2,FALSE),(VLOOKUP($S1588,References!$B$3:$C$7,2,FALSE))),"")</f>
        <v/>
      </c>
      <c r="W1588" s="74" t="str">
        <f>IFERROR(VLOOKUP($O1588,'Customer List'!$A$1:$J$488,10,FALSE),"")</f>
        <v/>
      </c>
    </row>
    <row r="1589" spans="18:23">
      <c r="R1589" s="127">
        <f t="shared" si="125"/>
        <v>0</v>
      </c>
      <c r="T1589" s="128">
        <f t="shared" si="124"/>
        <v>0</v>
      </c>
      <c r="U1589" s="129" t="str">
        <f>IFERROR(IF(#REF!="S",VLOOKUP('Raw Data'!A1589,References!#REF!,2,FALSE),(VLOOKUP($S1589,References!$B$3:$C$7,2,FALSE))),"")</f>
        <v/>
      </c>
      <c r="W1589" s="74" t="str">
        <f>IFERROR(VLOOKUP($O1589,'Customer List'!$A$1:$J$488,10,FALSE),"")</f>
        <v/>
      </c>
    </row>
    <row r="1590" spans="18:23">
      <c r="R1590" s="127">
        <f t="shared" si="125"/>
        <v>0</v>
      </c>
      <c r="T1590" s="128">
        <f t="shared" si="124"/>
        <v>0</v>
      </c>
      <c r="U1590" s="129" t="str">
        <f>IFERROR(IF(#REF!="S",VLOOKUP('Raw Data'!A1590,References!#REF!,2,FALSE),(VLOOKUP($S1590,References!$B$3:$C$7,2,FALSE))),"")</f>
        <v/>
      </c>
      <c r="W1590" s="74" t="str">
        <f>IFERROR(VLOOKUP($O1590,'Customer List'!$A$1:$J$488,10,FALSE),"")</f>
        <v/>
      </c>
    </row>
    <row r="1591" spans="18:23">
      <c r="R1591" s="127">
        <f t="shared" si="125"/>
        <v>0</v>
      </c>
      <c r="T1591" s="128">
        <f t="shared" si="124"/>
        <v>0</v>
      </c>
      <c r="U1591" s="129" t="str">
        <f>IFERROR(IF(#REF!="S",VLOOKUP('Raw Data'!A1591,References!#REF!,2,FALSE),(VLOOKUP($S1591,References!$B$3:$C$7,2,FALSE))),"")</f>
        <v/>
      </c>
      <c r="W1591" s="74" t="str">
        <f>IFERROR(VLOOKUP($O1591,'Customer List'!$A$1:$J$488,10,FALSE),"")</f>
        <v/>
      </c>
    </row>
    <row r="1592" spans="18:23">
      <c r="R1592" s="127">
        <f t="shared" si="125"/>
        <v>0</v>
      </c>
      <c r="T1592" s="128">
        <f t="shared" si="124"/>
        <v>0</v>
      </c>
      <c r="U1592" s="129" t="str">
        <f>IFERROR(IF(#REF!="S",VLOOKUP('Raw Data'!A1592,References!#REF!,2,FALSE),(VLOOKUP($S1592,References!$B$3:$C$7,2,FALSE))),"")</f>
        <v/>
      </c>
      <c r="W1592" s="74" t="str">
        <f>IFERROR(VLOOKUP($O1592,'Customer List'!$A$1:$J$488,10,FALSE),"")</f>
        <v/>
      </c>
    </row>
    <row r="1593" spans="18:23">
      <c r="R1593" s="127">
        <f t="shared" si="125"/>
        <v>0</v>
      </c>
      <c r="T1593" s="128">
        <f t="shared" si="124"/>
        <v>0</v>
      </c>
      <c r="U1593" s="129" t="str">
        <f>IFERROR(IF(#REF!="S",VLOOKUP('Raw Data'!A1593,References!#REF!,2,FALSE),(VLOOKUP($S1593,References!$B$3:$C$7,2,FALSE))),"")</f>
        <v/>
      </c>
      <c r="W1593" s="74" t="str">
        <f>IFERROR(VLOOKUP($O1593,'Customer List'!$A$1:$J$488,10,FALSE),"")</f>
        <v/>
      </c>
    </row>
    <row r="1594" spans="18:23">
      <c r="R1594" s="127">
        <f t="shared" si="125"/>
        <v>0</v>
      </c>
      <c r="T1594" s="128">
        <f t="shared" si="124"/>
        <v>0</v>
      </c>
      <c r="U1594" s="129" t="str">
        <f>IFERROR(IF(#REF!="S",VLOOKUP('Raw Data'!A1594,References!#REF!,2,FALSE),(VLOOKUP($S1594,References!$B$3:$C$7,2,FALSE))),"")</f>
        <v/>
      </c>
      <c r="W1594" s="74" t="str">
        <f>IFERROR(VLOOKUP($O1594,'Customer List'!$A$1:$J$488,10,FALSE),"")</f>
        <v/>
      </c>
    </row>
    <row r="1595" spans="18:23">
      <c r="R1595" s="127">
        <f t="shared" si="125"/>
        <v>0</v>
      </c>
      <c r="T1595" s="128">
        <f t="shared" si="124"/>
        <v>0</v>
      </c>
      <c r="U1595" s="129" t="str">
        <f>IFERROR(IF(#REF!="S",VLOOKUP('Raw Data'!A1595,References!#REF!,2,FALSE),(VLOOKUP($S1595,References!$B$3:$C$7,2,FALSE))),"")</f>
        <v/>
      </c>
      <c r="W1595" s="74" t="str">
        <f>IFERROR(VLOOKUP($O1595,'Customer List'!$A$1:$J$488,10,FALSE),"")</f>
        <v/>
      </c>
    </row>
    <row r="1596" spans="18:23">
      <c r="R1596" s="127">
        <f t="shared" si="125"/>
        <v>0</v>
      </c>
      <c r="T1596" s="128">
        <f t="shared" si="124"/>
        <v>0</v>
      </c>
      <c r="U1596" s="129" t="str">
        <f>IFERROR(IF(#REF!="S",VLOOKUP('Raw Data'!A1596,References!#REF!,2,FALSE),(VLOOKUP($S1596,References!$B$3:$C$7,2,FALSE))),"")</f>
        <v/>
      </c>
      <c r="W1596" s="74" t="str">
        <f>IFERROR(VLOOKUP($O1596,'Customer List'!$A$1:$J$488,10,FALSE),"")</f>
        <v/>
      </c>
    </row>
    <row r="1597" spans="18:23">
      <c r="R1597" s="127">
        <f t="shared" si="125"/>
        <v>0</v>
      </c>
      <c r="T1597" s="128">
        <f t="shared" si="124"/>
        <v>0</v>
      </c>
      <c r="U1597" s="129" t="str">
        <f>IFERROR(IF(#REF!="S",VLOOKUP('Raw Data'!A1597,References!#REF!,2,FALSE),(VLOOKUP($S1597,References!$B$3:$C$7,2,FALSE))),"")</f>
        <v/>
      </c>
      <c r="W1597" s="74" t="str">
        <f>IFERROR(VLOOKUP($O1597,'Customer List'!$A$1:$J$488,10,FALSE),"")</f>
        <v/>
      </c>
    </row>
    <row r="1598" spans="18:23">
      <c r="R1598" s="127">
        <f t="shared" si="125"/>
        <v>0</v>
      </c>
      <c r="T1598" s="128">
        <f t="shared" si="124"/>
        <v>0</v>
      </c>
      <c r="U1598" s="129" t="str">
        <f>IFERROR(IF(#REF!="S",VLOOKUP('Raw Data'!A1598,References!#REF!,2,FALSE),(VLOOKUP($S1598,References!$B$3:$C$7,2,FALSE))),"")</f>
        <v/>
      </c>
      <c r="W1598" s="74" t="str">
        <f>IFERROR(VLOOKUP($O1598,'Customer List'!$A$1:$J$488,10,FALSE),"")</f>
        <v/>
      </c>
    </row>
    <row r="1599" spans="18:23">
      <c r="R1599" s="127">
        <f t="shared" si="125"/>
        <v>0</v>
      </c>
      <c r="T1599" s="128">
        <f t="shared" si="124"/>
        <v>0</v>
      </c>
      <c r="U1599" s="129" t="str">
        <f>IFERROR(IF(#REF!="S",VLOOKUP('Raw Data'!A1599,References!#REF!,2,FALSE),(VLOOKUP($S1599,References!$B$3:$C$7,2,FALSE))),"")</f>
        <v/>
      </c>
      <c r="W1599" s="74" t="str">
        <f>IFERROR(VLOOKUP($O1599,'Customer List'!$A$1:$J$488,10,FALSE),"")</f>
        <v/>
      </c>
    </row>
    <row r="1600" spans="18:23">
      <c r="R1600" s="127">
        <f t="shared" si="125"/>
        <v>0</v>
      </c>
      <c r="T1600" s="128">
        <f t="shared" si="124"/>
        <v>0</v>
      </c>
      <c r="U1600" s="129" t="str">
        <f>IFERROR(IF(#REF!="S",VLOOKUP('Raw Data'!A1600,References!#REF!,2,FALSE),(VLOOKUP($S1600,References!$B$3:$C$7,2,FALSE))),"")</f>
        <v/>
      </c>
      <c r="W1600" s="74" t="str">
        <f>IFERROR(VLOOKUP($O1600,'Customer List'!$A$1:$J$488,10,FALSE),"")</f>
        <v/>
      </c>
    </row>
    <row r="1601" spans="18:23">
      <c r="R1601" s="127">
        <f t="shared" si="125"/>
        <v>0</v>
      </c>
      <c r="T1601" s="128">
        <f t="shared" si="124"/>
        <v>0</v>
      </c>
      <c r="U1601" s="129" t="str">
        <f>IFERROR(IF(#REF!="S",VLOOKUP('Raw Data'!A1601,References!#REF!,2,FALSE),(VLOOKUP($S1601,References!$B$3:$C$7,2,FALSE))),"")</f>
        <v/>
      </c>
      <c r="W1601" s="74" t="str">
        <f>IFERROR(VLOOKUP($O1601,'Customer List'!$A$1:$J$488,10,FALSE),"")</f>
        <v/>
      </c>
    </row>
    <row r="1602" spans="18:23">
      <c r="R1602" s="127">
        <f t="shared" si="125"/>
        <v>0</v>
      </c>
      <c r="T1602" s="128">
        <f t="shared" si="124"/>
        <v>0</v>
      </c>
      <c r="U1602" s="129" t="str">
        <f>IFERROR(IF(#REF!="S",VLOOKUP('Raw Data'!A1602,References!#REF!,2,FALSE),(VLOOKUP($S1602,References!$B$3:$C$7,2,FALSE))),"")</f>
        <v/>
      </c>
      <c r="W1602" s="74" t="str">
        <f>IFERROR(VLOOKUP($O1602,'Customer List'!$A$1:$J$488,10,FALSE),"")</f>
        <v/>
      </c>
    </row>
    <row r="1603" spans="18:23">
      <c r="R1603" s="127">
        <f t="shared" si="125"/>
        <v>0</v>
      </c>
      <c r="T1603" s="128">
        <f t="shared" si="124"/>
        <v>0</v>
      </c>
      <c r="U1603" s="129" t="str">
        <f>IFERROR(IF(#REF!="S",VLOOKUP('Raw Data'!A1603,References!#REF!,2,FALSE),(VLOOKUP($S1603,References!$B$3:$C$7,2,FALSE))),"")</f>
        <v/>
      </c>
      <c r="W1603" s="74" t="str">
        <f>IFERROR(VLOOKUP($O1603,'Customer List'!$A$1:$J$488,10,FALSE),"")</f>
        <v/>
      </c>
    </row>
    <row r="1604" spans="18:23">
      <c r="R1604" s="127">
        <f t="shared" si="125"/>
        <v>0</v>
      </c>
      <c r="T1604" s="128">
        <f t="shared" si="124"/>
        <v>0</v>
      </c>
      <c r="U1604" s="129" t="str">
        <f>IFERROR(IF(#REF!="S",VLOOKUP('Raw Data'!A1604,References!#REF!,2,FALSE),(VLOOKUP($S1604,References!$B$3:$C$7,2,FALSE))),"")</f>
        <v/>
      </c>
      <c r="W1604" s="74" t="str">
        <f>IFERROR(VLOOKUP($O1604,'Customer List'!$A$1:$J$488,10,FALSE),"")</f>
        <v/>
      </c>
    </row>
    <row r="1605" spans="18:23">
      <c r="R1605" s="127">
        <f t="shared" si="125"/>
        <v>0</v>
      </c>
      <c r="T1605" s="128">
        <f t="shared" si="124"/>
        <v>0</v>
      </c>
      <c r="U1605" s="129" t="str">
        <f>IFERROR(IF(#REF!="S",VLOOKUP('Raw Data'!A1605,References!#REF!,2,FALSE),(VLOOKUP($S1605,References!$B$3:$C$7,2,FALSE))),"")</f>
        <v/>
      </c>
      <c r="W1605" s="74" t="str">
        <f>IFERROR(VLOOKUP($O1605,'Customer List'!$A$1:$J$488,10,FALSE),"")</f>
        <v/>
      </c>
    </row>
    <row r="1606" spans="18:23">
      <c r="R1606" s="127">
        <f t="shared" si="125"/>
        <v>0</v>
      </c>
      <c r="T1606" s="128">
        <f t="shared" si="124"/>
        <v>0</v>
      </c>
      <c r="U1606" s="129" t="str">
        <f>IFERROR(IF(#REF!="S",VLOOKUP('Raw Data'!A1606,References!#REF!,2,FALSE),(VLOOKUP($S1606,References!$B$3:$C$7,2,FALSE))),"")</f>
        <v/>
      </c>
      <c r="W1606" s="74" t="str">
        <f>IFERROR(VLOOKUP($O1606,'Customer List'!$A$1:$J$488,10,FALSE),"")</f>
        <v/>
      </c>
    </row>
    <row r="1607" spans="18:23">
      <c r="R1607" s="127">
        <f t="shared" si="125"/>
        <v>0</v>
      </c>
      <c r="T1607" s="128">
        <f t="shared" si="124"/>
        <v>0</v>
      </c>
      <c r="U1607" s="129" t="str">
        <f>IFERROR(IF(#REF!="S",VLOOKUP('Raw Data'!A1607,References!#REF!,2,FALSE),(VLOOKUP($S1607,References!$B$3:$C$7,2,FALSE))),"")</f>
        <v/>
      </c>
      <c r="W1607" s="74" t="str">
        <f>IFERROR(VLOOKUP($O1607,'Customer List'!$A$1:$J$488,10,FALSE),"")</f>
        <v/>
      </c>
    </row>
    <row r="1608" spans="18:23">
      <c r="R1608" s="127">
        <f t="shared" si="125"/>
        <v>0</v>
      </c>
      <c r="T1608" s="128">
        <f t="shared" si="124"/>
        <v>0</v>
      </c>
      <c r="U1608" s="129" t="str">
        <f>IFERROR(IF(#REF!="S",VLOOKUP('Raw Data'!A1608,References!#REF!,2,FALSE),(VLOOKUP($S1608,References!$B$3:$C$7,2,FALSE))),"")</f>
        <v/>
      </c>
      <c r="W1608" s="74" t="str">
        <f>IFERROR(VLOOKUP($O1608,'Customer List'!$A$1:$J$488,10,FALSE),"")</f>
        <v/>
      </c>
    </row>
    <row r="1609" spans="18:23">
      <c r="R1609" s="127">
        <f t="shared" si="125"/>
        <v>0</v>
      </c>
      <c r="T1609" s="128">
        <f t="shared" si="124"/>
        <v>0</v>
      </c>
      <c r="U1609" s="129" t="str">
        <f>IFERROR(IF(#REF!="S",VLOOKUP('Raw Data'!A1609,References!#REF!,2,FALSE),(VLOOKUP($S1609,References!$B$3:$C$7,2,FALSE))),"")</f>
        <v/>
      </c>
      <c r="W1609" s="74" t="str">
        <f>IFERROR(VLOOKUP($O1609,'Customer List'!$A$1:$J$488,10,FALSE),"")</f>
        <v/>
      </c>
    </row>
    <row r="1610" spans="18:23">
      <c r="R1610" s="127">
        <f t="shared" si="125"/>
        <v>0</v>
      </c>
      <c r="T1610" s="128">
        <f t="shared" ref="T1610:T1673" si="126">IF(S1610="50 - Cleaning Fee",1,HOUR($R1610)+MINUTE(R1610)/60)</f>
        <v>0</v>
      </c>
      <c r="U1610" s="129" t="str">
        <f>IFERROR(IF(#REF!="S",VLOOKUP('Raw Data'!A1610,References!#REF!,2,FALSE),(VLOOKUP($S1610,References!$B$3:$C$7,2,FALSE))),"")</f>
        <v/>
      </c>
      <c r="W1610" s="74" t="str">
        <f>IFERROR(VLOOKUP($O1610,'Customer List'!$A$1:$J$488,10,FALSE),"")</f>
        <v/>
      </c>
    </row>
    <row r="1611" spans="18:23">
      <c r="R1611" s="127">
        <f t="shared" si="125"/>
        <v>0</v>
      </c>
      <c r="T1611" s="128">
        <f t="shared" si="126"/>
        <v>0</v>
      </c>
      <c r="U1611" s="129" t="str">
        <f>IFERROR(IF(#REF!="S",VLOOKUP('Raw Data'!A1611,References!#REF!,2,FALSE),(VLOOKUP($S1611,References!$B$3:$C$7,2,FALSE))),"")</f>
        <v/>
      </c>
      <c r="W1611" s="74" t="str">
        <f>IFERROR(VLOOKUP($O1611,'Customer List'!$A$1:$J$488,10,FALSE),"")</f>
        <v/>
      </c>
    </row>
    <row r="1612" spans="18:23">
      <c r="R1612" s="127">
        <f t="shared" si="125"/>
        <v>0</v>
      </c>
      <c r="T1612" s="128">
        <f t="shared" si="126"/>
        <v>0</v>
      </c>
      <c r="U1612" s="129" t="str">
        <f>IFERROR(IF(#REF!="S",VLOOKUP('Raw Data'!A1612,References!#REF!,2,FALSE),(VLOOKUP($S1612,References!$B$3:$C$7,2,FALSE))),"")</f>
        <v/>
      </c>
      <c r="W1612" s="74" t="str">
        <f>IFERROR(VLOOKUP($O1612,'Customer List'!$A$1:$J$488,10,FALSE),"")</f>
        <v/>
      </c>
    </row>
    <row r="1613" spans="18:23">
      <c r="R1613" s="127">
        <f t="shared" si="125"/>
        <v>0</v>
      </c>
      <c r="T1613" s="128">
        <f t="shared" si="126"/>
        <v>0</v>
      </c>
      <c r="U1613" s="129" t="str">
        <f>IFERROR(IF(#REF!="S",VLOOKUP('Raw Data'!A1613,References!#REF!,2,FALSE),(VLOOKUP($S1613,References!$B$3:$C$7,2,FALSE))),"")</f>
        <v/>
      </c>
      <c r="W1613" s="74" t="str">
        <f>IFERROR(VLOOKUP($O1613,'Customer List'!$A$1:$J$488,10,FALSE),"")</f>
        <v/>
      </c>
    </row>
    <row r="1614" spans="18:23">
      <c r="R1614" s="127">
        <f t="shared" si="125"/>
        <v>0</v>
      </c>
      <c r="T1614" s="128">
        <f t="shared" si="126"/>
        <v>0</v>
      </c>
      <c r="U1614" s="129" t="str">
        <f>IFERROR(IF(#REF!="S",VLOOKUP('Raw Data'!A1614,References!#REF!,2,FALSE),(VLOOKUP($S1614,References!$B$3:$C$7,2,FALSE))),"")</f>
        <v/>
      </c>
      <c r="W1614" s="74" t="str">
        <f>IFERROR(VLOOKUP($O1614,'Customer List'!$A$1:$J$488,10,FALSE),"")</f>
        <v/>
      </c>
    </row>
    <row r="1615" spans="18:23">
      <c r="R1615" s="127">
        <f t="shared" si="125"/>
        <v>0</v>
      </c>
      <c r="T1615" s="128">
        <f t="shared" si="126"/>
        <v>0</v>
      </c>
      <c r="U1615" s="129" t="str">
        <f>IFERROR(IF(#REF!="S",VLOOKUP('Raw Data'!A1615,References!#REF!,2,FALSE),(VLOOKUP($S1615,References!$B$3:$C$7,2,FALSE))),"")</f>
        <v/>
      </c>
      <c r="W1615" s="74" t="str">
        <f>IFERROR(VLOOKUP($O1615,'Customer List'!$A$1:$J$488,10,FALSE),"")</f>
        <v/>
      </c>
    </row>
    <row r="1616" spans="18:23">
      <c r="R1616" s="127">
        <f t="shared" si="125"/>
        <v>0</v>
      </c>
      <c r="T1616" s="128">
        <f t="shared" si="126"/>
        <v>0</v>
      </c>
      <c r="U1616" s="129" t="str">
        <f>IFERROR(IF(#REF!="S",VLOOKUP('Raw Data'!A1616,References!#REF!,2,FALSE),(VLOOKUP($S1616,References!$B$3:$C$7,2,FALSE))),"")</f>
        <v/>
      </c>
      <c r="W1616" s="74" t="str">
        <f>IFERROR(VLOOKUP($O1616,'Customer List'!$A$1:$J$488,10,FALSE),"")</f>
        <v/>
      </c>
    </row>
    <row r="1617" spans="18:23">
      <c r="R1617" s="127">
        <f t="shared" si="125"/>
        <v>0</v>
      </c>
      <c r="T1617" s="128">
        <f t="shared" si="126"/>
        <v>0</v>
      </c>
      <c r="U1617" s="129" t="str">
        <f>IFERROR(IF(#REF!="S",VLOOKUP('Raw Data'!A1617,References!#REF!,2,FALSE),(VLOOKUP($S1617,References!$B$3:$C$7,2,FALSE))),"")</f>
        <v/>
      </c>
      <c r="W1617" s="74" t="str">
        <f>IFERROR(VLOOKUP($O1617,'Customer List'!$A$1:$J$488,10,FALSE),"")</f>
        <v/>
      </c>
    </row>
    <row r="1618" spans="18:23">
      <c r="R1618" s="127">
        <f t="shared" si="125"/>
        <v>0</v>
      </c>
      <c r="T1618" s="128">
        <f t="shared" si="126"/>
        <v>0</v>
      </c>
      <c r="U1618" s="129" t="str">
        <f>IFERROR(IF(#REF!="S",VLOOKUP('Raw Data'!A1618,References!#REF!,2,FALSE),(VLOOKUP($S1618,References!$B$3:$C$7,2,FALSE))),"")</f>
        <v/>
      </c>
      <c r="W1618" s="74" t="str">
        <f>IFERROR(VLOOKUP($O1618,'Customer List'!$A$1:$J$488,10,FALSE),"")</f>
        <v/>
      </c>
    </row>
    <row r="1619" spans="18:23">
      <c r="R1619" s="127">
        <f t="shared" si="125"/>
        <v>0</v>
      </c>
      <c r="T1619" s="128">
        <f t="shared" si="126"/>
        <v>0</v>
      </c>
      <c r="U1619" s="129" t="str">
        <f>IFERROR(IF(#REF!="S",VLOOKUP('Raw Data'!A1619,References!#REF!,2,FALSE),(VLOOKUP($S1619,References!$B$3:$C$7,2,FALSE))),"")</f>
        <v/>
      </c>
      <c r="W1619" s="74" t="str">
        <f>IFERROR(VLOOKUP($O1619,'Customer List'!$A$1:$J$488,10,FALSE),"")</f>
        <v/>
      </c>
    </row>
    <row r="1620" spans="18:23">
      <c r="R1620" s="127">
        <f t="shared" si="125"/>
        <v>0</v>
      </c>
      <c r="T1620" s="128">
        <f t="shared" si="126"/>
        <v>0</v>
      </c>
      <c r="U1620" s="129" t="str">
        <f>IFERROR(IF(#REF!="S",VLOOKUP('Raw Data'!A1620,References!#REF!,2,FALSE),(VLOOKUP($S1620,References!$B$3:$C$7,2,FALSE))),"")</f>
        <v/>
      </c>
      <c r="W1620" s="74" t="str">
        <f>IFERROR(VLOOKUP($O1620,'Customer List'!$A$1:$J$488,10,FALSE),"")</f>
        <v/>
      </c>
    </row>
    <row r="1621" spans="18:23">
      <c r="R1621" s="127">
        <f t="shared" si="125"/>
        <v>0</v>
      </c>
      <c r="T1621" s="128">
        <f t="shared" si="126"/>
        <v>0</v>
      </c>
      <c r="U1621" s="129" t="str">
        <f>IFERROR(IF(#REF!="S",VLOOKUP('Raw Data'!A1621,References!#REF!,2,FALSE),(VLOOKUP($S1621,References!$B$3:$C$7,2,FALSE))),"")</f>
        <v/>
      </c>
      <c r="W1621" s="74" t="str">
        <f>IFERROR(VLOOKUP($O1621,'Customer List'!$A$1:$J$488,10,FALSE),"")</f>
        <v/>
      </c>
    </row>
    <row r="1622" spans="18:23">
      <c r="R1622" s="127">
        <f t="shared" si="125"/>
        <v>0</v>
      </c>
      <c r="T1622" s="128">
        <f t="shared" si="126"/>
        <v>0</v>
      </c>
      <c r="U1622" s="129" t="str">
        <f>IFERROR(IF(#REF!="S",VLOOKUP('Raw Data'!A1622,References!#REF!,2,FALSE),(VLOOKUP($S1622,References!$B$3:$C$7,2,FALSE))),"")</f>
        <v/>
      </c>
      <c r="W1622" s="74" t="str">
        <f>IFERROR(VLOOKUP($O1622,'Customer List'!$A$1:$J$488,10,FALSE),"")</f>
        <v/>
      </c>
    </row>
    <row r="1623" spans="18:23">
      <c r="R1623" s="127">
        <f t="shared" si="125"/>
        <v>0</v>
      </c>
      <c r="T1623" s="128">
        <f t="shared" si="126"/>
        <v>0</v>
      </c>
      <c r="U1623" s="129" t="str">
        <f>IFERROR(IF(#REF!="S",VLOOKUP('Raw Data'!A1623,References!#REF!,2,FALSE),(VLOOKUP($S1623,References!$B$3:$C$7,2,FALSE))),"")</f>
        <v/>
      </c>
      <c r="W1623" s="74" t="str">
        <f>IFERROR(VLOOKUP($O1623,'Customer List'!$A$1:$J$488,10,FALSE),"")</f>
        <v/>
      </c>
    </row>
    <row r="1624" spans="18:23">
      <c r="R1624" s="127">
        <f t="shared" si="125"/>
        <v>0</v>
      </c>
      <c r="T1624" s="128">
        <f t="shared" si="126"/>
        <v>0</v>
      </c>
      <c r="U1624" s="129" t="str">
        <f>IFERROR(IF(#REF!="S",VLOOKUP('Raw Data'!A1624,References!#REF!,2,FALSE),(VLOOKUP($S1624,References!$B$3:$C$7,2,FALSE))),"")</f>
        <v/>
      </c>
      <c r="W1624" s="74" t="str">
        <f>IFERROR(VLOOKUP($O1624,'Customer List'!$A$1:$J$488,10,FALSE),"")</f>
        <v/>
      </c>
    </row>
    <row r="1625" spans="18:23">
      <c r="R1625" s="127">
        <f t="shared" si="125"/>
        <v>0</v>
      </c>
      <c r="T1625" s="128">
        <f t="shared" si="126"/>
        <v>0</v>
      </c>
      <c r="U1625" s="129" t="str">
        <f>IFERROR(IF(#REF!="S",VLOOKUP('Raw Data'!A1625,References!#REF!,2,FALSE),(VLOOKUP($S1625,References!$B$3:$C$7,2,FALSE))),"")</f>
        <v/>
      </c>
      <c r="W1625" s="74" t="str">
        <f>IFERROR(VLOOKUP($O1625,'Customer List'!$A$1:$J$488,10,FALSE),"")</f>
        <v/>
      </c>
    </row>
    <row r="1626" spans="18:23">
      <c r="R1626" s="127">
        <f t="shared" si="125"/>
        <v>0</v>
      </c>
      <c r="T1626" s="128">
        <f t="shared" si="126"/>
        <v>0</v>
      </c>
      <c r="U1626" s="129" t="str">
        <f>IFERROR(IF(#REF!="S",VLOOKUP('Raw Data'!A1626,References!#REF!,2,FALSE),(VLOOKUP($S1626,References!$B$3:$C$7,2,FALSE))),"")</f>
        <v/>
      </c>
      <c r="W1626" s="74" t="str">
        <f>IFERROR(VLOOKUP($O1626,'Customer List'!$A$1:$J$488,10,FALSE),"")</f>
        <v/>
      </c>
    </row>
    <row r="1627" spans="18:23">
      <c r="R1627" s="127">
        <f t="shared" si="125"/>
        <v>0</v>
      </c>
      <c r="T1627" s="128">
        <f t="shared" si="126"/>
        <v>0</v>
      </c>
      <c r="U1627" s="129" t="str">
        <f>IFERROR(IF(#REF!="S",VLOOKUP('Raw Data'!A1627,References!#REF!,2,FALSE),(VLOOKUP($S1627,References!$B$3:$C$7,2,FALSE))),"")</f>
        <v/>
      </c>
      <c r="W1627" s="74" t="str">
        <f>IFERROR(VLOOKUP($O1627,'Customer List'!$A$1:$J$488,10,FALSE),"")</f>
        <v/>
      </c>
    </row>
    <row r="1628" spans="18:23">
      <c r="R1628" s="127">
        <f t="shared" si="125"/>
        <v>0</v>
      </c>
      <c r="T1628" s="128">
        <f t="shared" si="126"/>
        <v>0</v>
      </c>
      <c r="U1628" s="129" t="str">
        <f>IFERROR(IF(#REF!="S",VLOOKUP('Raw Data'!A1628,References!#REF!,2,FALSE),(VLOOKUP($S1628,References!$B$3:$C$7,2,FALSE))),"")</f>
        <v/>
      </c>
      <c r="W1628" s="74" t="str">
        <f>IFERROR(VLOOKUP($O1628,'Customer List'!$A$1:$J$488,10,FALSE),"")</f>
        <v/>
      </c>
    </row>
    <row r="1629" spans="18:23">
      <c r="R1629" s="127">
        <f t="shared" si="125"/>
        <v>0</v>
      </c>
      <c r="T1629" s="128">
        <f t="shared" si="126"/>
        <v>0</v>
      </c>
      <c r="U1629" s="129" t="str">
        <f>IFERROR(IF(#REF!="S",VLOOKUP('Raw Data'!A1629,References!#REF!,2,FALSE),(VLOOKUP($S1629,References!$B$3:$C$7,2,FALSE))),"")</f>
        <v/>
      </c>
      <c r="W1629" s="74" t="str">
        <f>IFERROR(VLOOKUP($O1629,'Customer List'!$A$1:$J$488,10,FALSE),"")</f>
        <v/>
      </c>
    </row>
    <row r="1630" spans="18:23">
      <c r="R1630" s="127">
        <f t="shared" si="125"/>
        <v>0</v>
      </c>
      <c r="T1630" s="128">
        <f t="shared" si="126"/>
        <v>0</v>
      </c>
      <c r="U1630" s="129" t="str">
        <f>IFERROR(IF(#REF!="S",VLOOKUP('Raw Data'!A1630,References!#REF!,2,FALSE),(VLOOKUP($S1630,References!$B$3:$C$7,2,FALSE))),"")</f>
        <v/>
      </c>
      <c r="W1630" s="74" t="str">
        <f>IFERROR(VLOOKUP($O1630,'Customer List'!$A$1:$J$488,10,FALSE),"")</f>
        <v/>
      </c>
    </row>
    <row r="1631" spans="18:23">
      <c r="R1631" s="127">
        <f t="shared" si="125"/>
        <v>0</v>
      </c>
      <c r="T1631" s="128">
        <f t="shared" si="126"/>
        <v>0</v>
      </c>
      <c r="U1631" s="129" t="str">
        <f>IFERROR(IF(#REF!="S",VLOOKUP('Raw Data'!A1631,References!#REF!,2,FALSE),(VLOOKUP($S1631,References!$B$3:$C$7,2,FALSE))),"")</f>
        <v/>
      </c>
      <c r="W1631" s="74" t="str">
        <f>IFERROR(VLOOKUP($O1631,'Customer List'!$A$1:$J$488,10,FALSE),"")</f>
        <v/>
      </c>
    </row>
    <row r="1632" spans="18:23">
      <c r="R1632" s="127">
        <f t="shared" si="125"/>
        <v>0</v>
      </c>
      <c r="T1632" s="128">
        <f t="shared" si="126"/>
        <v>0</v>
      </c>
      <c r="U1632" s="129" t="str">
        <f>IFERROR(IF(#REF!="S",VLOOKUP('Raw Data'!A1632,References!#REF!,2,FALSE),(VLOOKUP($S1632,References!$B$3:$C$7,2,FALSE))),"")</f>
        <v/>
      </c>
      <c r="W1632" s="74" t="str">
        <f>IFERROR(VLOOKUP($O1632,'Customer List'!$A$1:$J$488,10,FALSE),"")</f>
        <v/>
      </c>
    </row>
    <row r="1633" spans="18:23">
      <c r="R1633" s="127">
        <f t="shared" si="125"/>
        <v>0</v>
      </c>
      <c r="T1633" s="128">
        <f t="shared" si="126"/>
        <v>0</v>
      </c>
      <c r="U1633" s="129" t="str">
        <f>IFERROR(IF(#REF!="S",VLOOKUP('Raw Data'!A1633,References!#REF!,2,FALSE),(VLOOKUP($S1633,References!$B$3:$C$7,2,FALSE))),"")</f>
        <v/>
      </c>
      <c r="W1633" s="74" t="str">
        <f>IFERROR(VLOOKUP($O1633,'Customer List'!$A$1:$J$488,10,FALSE),"")</f>
        <v/>
      </c>
    </row>
    <row r="1634" spans="18:23">
      <c r="R1634" s="127">
        <f t="shared" si="125"/>
        <v>0</v>
      </c>
      <c r="T1634" s="128">
        <f t="shared" si="126"/>
        <v>0</v>
      </c>
      <c r="U1634" s="129" t="str">
        <f>IFERROR(IF(#REF!="S",VLOOKUP('Raw Data'!A1634,References!#REF!,2,FALSE),(VLOOKUP($S1634,References!$B$3:$C$7,2,FALSE))),"")</f>
        <v/>
      </c>
      <c r="W1634" s="74" t="str">
        <f>IFERROR(VLOOKUP($O1634,'Customer List'!$A$1:$J$488,10,FALSE),"")</f>
        <v/>
      </c>
    </row>
    <row r="1635" spans="18:23">
      <c r="R1635" s="127">
        <f t="shared" si="125"/>
        <v>0</v>
      </c>
      <c r="T1635" s="128">
        <f t="shared" si="126"/>
        <v>0</v>
      </c>
      <c r="U1635" s="129" t="str">
        <f>IFERROR(IF(#REF!="S",VLOOKUP('Raw Data'!A1635,References!#REF!,2,FALSE),(VLOOKUP($S1635,References!$B$3:$C$7,2,FALSE))),"")</f>
        <v/>
      </c>
      <c r="W1635" s="74" t="str">
        <f>IFERROR(VLOOKUP($O1635,'Customer List'!$A$1:$J$488,10,FALSE),"")</f>
        <v/>
      </c>
    </row>
    <row r="1636" spans="18:23">
      <c r="R1636" s="127">
        <f t="shared" si="125"/>
        <v>0</v>
      </c>
      <c r="T1636" s="128">
        <f t="shared" si="126"/>
        <v>0</v>
      </c>
      <c r="U1636" s="129" t="str">
        <f>IFERROR(IF(#REF!="S",VLOOKUP('Raw Data'!A1636,References!#REF!,2,FALSE),(VLOOKUP($S1636,References!$B$3:$C$7,2,FALSE))),"")</f>
        <v/>
      </c>
      <c r="W1636" s="74" t="str">
        <f>IFERROR(VLOOKUP($O1636,'Customer List'!$A$1:$J$488,10,FALSE),"")</f>
        <v/>
      </c>
    </row>
    <row r="1637" spans="18:23">
      <c r="R1637" s="127">
        <f t="shared" si="125"/>
        <v>0</v>
      </c>
      <c r="T1637" s="128">
        <f t="shared" si="126"/>
        <v>0</v>
      </c>
      <c r="U1637" s="129" t="str">
        <f>IFERROR(IF(#REF!="S",VLOOKUP('Raw Data'!A1637,References!#REF!,2,FALSE),(VLOOKUP($S1637,References!$B$3:$C$7,2,FALSE))),"")</f>
        <v/>
      </c>
      <c r="W1637" s="74" t="str">
        <f>IFERROR(VLOOKUP($O1637,'Customer List'!$A$1:$J$488,10,FALSE),"")</f>
        <v/>
      </c>
    </row>
    <row r="1638" spans="18:23">
      <c r="R1638" s="127">
        <f t="shared" ref="R1638:R1701" si="127">L1638-K1638</f>
        <v>0</v>
      </c>
      <c r="T1638" s="128">
        <f t="shared" si="126"/>
        <v>0</v>
      </c>
      <c r="U1638" s="129" t="str">
        <f>IFERROR(IF(#REF!="S",VLOOKUP('Raw Data'!A1638,References!#REF!,2,FALSE),(VLOOKUP($S1638,References!$B$3:$C$7,2,FALSE))),"")</f>
        <v/>
      </c>
      <c r="W1638" s="74" t="str">
        <f>IFERROR(VLOOKUP($O1638,'Customer List'!$A$1:$J$488,10,FALSE),"")</f>
        <v/>
      </c>
    </row>
    <row r="1639" spans="18:23">
      <c r="R1639" s="127">
        <f t="shared" si="127"/>
        <v>0</v>
      </c>
      <c r="T1639" s="128">
        <f t="shared" si="126"/>
        <v>0</v>
      </c>
      <c r="U1639" s="129" t="str">
        <f>IFERROR(IF(#REF!="S",VLOOKUP('Raw Data'!A1639,References!#REF!,2,FALSE),(VLOOKUP($S1639,References!$B$3:$C$7,2,FALSE))),"")</f>
        <v/>
      </c>
      <c r="W1639" s="74" t="str">
        <f>IFERROR(VLOOKUP($O1639,'Customer List'!$A$1:$J$488,10,FALSE),"")</f>
        <v/>
      </c>
    </row>
    <row r="1640" spans="18:23">
      <c r="R1640" s="127">
        <f t="shared" si="127"/>
        <v>0</v>
      </c>
      <c r="T1640" s="128">
        <f t="shared" si="126"/>
        <v>0</v>
      </c>
      <c r="U1640" s="129" t="str">
        <f>IFERROR(IF(#REF!="S",VLOOKUP('Raw Data'!A1640,References!#REF!,2,FALSE),(VLOOKUP($S1640,References!$B$3:$C$7,2,FALSE))),"")</f>
        <v/>
      </c>
      <c r="W1640" s="74" t="str">
        <f>IFERROR(VLOOKUP($O1640,'Customer List'!$A$1:$J$488,10,FALSE),"")</f>
        <v/>
      </c>
    </row>
    <row r="1641" spans="18:23">
      <c r="R1641" s="127">
        <f t="shared" si="127"/>
        <v>0</v>
      </c>
      <c r="T1641" s="128">
        <f t="shared" si="126"/>
        <v>0</v>
      </c>
      <c r="U1641" s="129" t="str">
        <f>IFERROR(IF(#REF!="S",VLOOKUP('Raw Data'!A1641,References!#REF!,2,FALSE),(VLOOKUP($S1641,References!$B$3:$C$7,2,FALSE))),"")</f>
        <v/>
      </c>
      <c r="W1641" s="74" t="str">
        <f>IFERROR(VLOOKUP($O1641,'Customer List'!$A$1:$J$488,10,FALSE),"")</f>
        <v/>
      </c>
    </row>
    <row r="1642" spans="18:23">
      <c r="R1642" s="127">
        <f t="shared" si="127"/>
        <v>0</v>
      </c>
      <c r="T1642" s="128">
        <f t="shared" si="126"/>
        <v>0</v>
      </c>
      <c r="U1642" s="129" t="str">
        <f>IFERROR(IF(#REF!="S",VLOOKUP('Raw Data'!A1642,References!#REF!,2,FALSE),(VLOOKUP($S1642,References!$B$3:$C$7,2,FALSE))),"")</f>
        <v/>
      </c>
      <c r="W1642" s="74" t="str">
        <f>IFERROR(VLOOKUP($O1642,'Customer List'!$A$1:$J$488,10,FALSE),"")</f>
        <v/>
      </c>
    </row>
    <row r="1643" spans="18:23">
      <c r="R1643" s="127">
        <f t="shared" si="127"/>
        <v>0</v>
      </c>
      <c r="T1643" s="128">
        <f t="shared" si="126"/>
        <v>0</v>
      </c>
      <c r="U1643" s="129" t="str">
        <f>IFERROR(IF(#REF!="S",VLOOKUP('Raw Data'!A1643,References!#REF!,2,FALSE),(VLOOKUP($S1643,References!$B$3:$C$7,2,FALSE))),"")</f>
        <v/>
      </c>
      <c r="W1643" s="74" t="str">
        <f>IFERROR(VLOOKUP($O1643,'Customer List'!$A$1:$J$488,10,FALSE),"")</f>
        <v/>
      </c>
    </row>
    <row r="1644" spans="18:23">
      <c r="R1644" s="127">
        <f t="shared" si="127"/>
        <v>0</v>
      </c>
      <c r="T1644" s="128">
        <f t="shared" si="126"/>
        <v>0</v>
      </c>
      <c r="U1644" s="129" t="str">
        <f>IFERROR(IF(#REF!="S",VLOOKUP('Raw Data'!A1644,References!#REF!,2,FALSE),(VLOOKUP($S1644,References!$B$3:$C$7,2,FALSE))),"")</f>
        <v/>
      </c>
      <c r="W1644" s="74" t="str">
        <f>IFERROR(VLOOKUP($O1644,'Customer List'!$A$1:$J$488,10,FALSE),"")</f>
        <v/>
      </c>
    </row>
    <row r="1645" spans="18:23">
      <c r="R1645" s="127">
        <f t="shared" si="127"/>
        <v>0</v>
      </c>
      <c r="T1645" s="128">
        <f t="shared" si="126"/>
        <v>0</v>
      </c>
      <c r="U1645" s="129" t="str">
        <f>IFERROR(IF(#REF!="S",VLOOKUP('Raw Data'!A1645,References!#REF!,2,FALSE),(VLOOKUP($S1645,References!$B$3:$C$7,2,FALSE))),"")</f>
        <v/>
      </c>
      <c r="W1645" s="74" t="str">
        <f>IFERROR(VLOOKUP($O1645,'Customer List'!$A$1:$J$488,10,FALSE),"")</f>
        <v/>
      </c>
    </row>
    <row r="1646" spans="18:23">
      <c r="R1646" s="127">
        <f t="shared" si="127"/>
        <v>0</v>
      </c>
      <c r="T1646" s="128">
        <f t="shared" si="126"/>
        <v>0</v>
      </c>
      <c r="U1646" s="129" t="str">
        <f>IFERROR(IF(#REF!="S",VLOOKUP('Raw Data'!A1646,References!#REF!,2,FALSE),(VLOOKUP($S1646,References!$B$3:$C$7,2,FALSE))),"")</f>
        <v/>
      </c>
      <c r="W1646" s="74" t="str">
        <f>IFERROR(VLOOKUP($O1646,'Customer List'!$A$1:$J$488,10,FALSE),"")</f>
        <v/>
      </c>
    </row>
    <row r="1647" spans="18:23">
      <c r="R1647" s="127">
        <f t="shared" si="127"/>
        <v>0</v>
      </c>
      <c r="T1647" s="128">
        <f t="shared" si="126"/>
        <v>0</v>
      </c>
      <c r="U1647" s="129" t="str">
        <f>IFERROR(IF(#REF!="S",VLOOKUP('Raw Data'!A1647,References!#REF!,2,FALSE),(VLOOKUP($S1647,References!$B$3:$C$7,2,FALSE))),"")</f>
        <v/>
      </c>
      <c r="W1647" s="74" t="str">
        <f>IFERROR(VLOOKUP($O1647,'Customer List'!$A$1:$J$488,10,FALSE),"")</f>
        <v/>
      </c>
    </row>
    <row r="1648" spans="18:23">
      <c r="R1648" s="127">
        <f t="shared" si="127"/>
        <v>0</v>
      </c>
      <c r="T1648" s="128">
        <f t="shared" si="126"/>
        <v>0</v>
      </c>
      <c r="U1648" s="129" t="str">
        <f>IFERROR(IF(#REF!="S",VLOOKUP('Raw Data'!A1648,References!#REF!,2,FALSE),(VLOOKUP($S1648,References!$B$3:$C$7,2,FALSE))),"")</f>
        <v/>
      </c>
      <c r="W1648" s="74" t="str">
        <f>IFERROR(VLOOKUP($O1648,'Customer List'!$A$1:$J$488,10,FALSE),"")</f>
        <v/>
      </c>
    </row>
    <row r="1649" spans="18:23">
      <c r="R1649" s="127">
        <f t="shared" si="127"/>
        <v>0</v>
      </c>
      <c r="T1649" s="128">
        <f t="shared" si="126"/>
        <v>0</v>
      </c>
      <c r="U1649" s="129" t="str">
        <f>IFERROR(IF(#REF!="S",VLOOKUP('Raw Data'!A1649,References!#REF!,2,FALSE),(VLOOKUP($S1649,References!$B$3:$C$7,2,FALSE))),"")</f>
        <v/>
      </c>
      <c r="W1649" s="74" t="str">
        <f>IFERROR(VLOOKUP($O1649,'Customer List'!$A$1:$J$488,10,FALSE),"")</f>
        <v/>
      </c>
    </row>
    <row r="1650" spans="18:23">
      <c r="R1650" s="127">
        <f t="shared" si="127"/>
        <v>0</v>
      </c>
      <c r="T1650" s="128">
        <f t="shared" si="126"/>
        <v>0</v>
      </c>
      <c r="U1650" s="129" t="str">
        <f>IFERROR(IF(#REF!="S",VLOOKUP('Raw Data'!A1650,References!#REF!,2,FALSE),(VLOOKUP($S1650,References!$B$3:$C$7,2,FALSE))),"")</f>
        <v/>
      </c>
      <c r="W1650" s="74" t="str">
        <f>IFERROR(VLOOKUP($O1650,'Customer List'!$A$1:$J$488,10,FALSE),"")</f>
        <v/>
      </c>
    </row>
    <row r="1651" spans="18:23">
      <c r="R1651" s="127">
        <f t="shared" si="127"/>
        <v>0</v>
      </c>
      <c r="T1651" s="128">
        <f t="shared" si="126"/>
        <v>0</v>
      </c>
      <c r="U1651" s="129" t="str">
        <f>IFERROR(IF(#REF!="S",VLOOKUP('Raw Data'!A1651,References!#REF!,2,FALSE),(VLOOKUP($S1651,References!$B$3:$C$7,2,FALSE))),"")</f>
        <v/>
      </c>
      <c r="W1651" s="74" t="str">
        <f>IFERROR(VLOOKUP($O1651,'Customer List'!$A$1:$J$488,10,FALSE),"")</f>
        <v/>
      </c>
    </row>
    <row r="1652" spans="18:23">
      <c r="R1652" s="127">
        <f t="shared" si="127"/>
        <v>0</v>
      </c>
      <c r="T1652" s="128">
        <f t="shared" si="126"/>
        <v>0</v>
      </c>
      <c r="U1652" s="129" t="str">
        <f>IFERROR(IF(#REF!="S",VLOOKUP('Raw Data'!A1652,References!#REF!,2,FALSE),(VLOOKUP($S1652,References!$B$3:$C$7,2,FALSE))),"")</f>
        <v/>
      </c>
      <c r="W1652" s="74" t="str">
        <f>IFERROR(VLOOKUP($O1652,'Customer List'!$A$1:$J$488,10,FALSE),"")</f>
        <v/>
      </c>
    </row>
    <row r="1653" spans="18:23">
      <c r="R1653" s="127">
        <f t="shared" si="127"/>
        <v>0</v>
      </c>
      <c r="T1653" s="128">
        <f t="shared" si="126"/>
        <v>0</v>
      </c>
      <c r="U1653" s="129" t="str">
        <f>IFERROR(IF(#REF!="S",VLOOKUP('Raw Data'!A1653,References!#REF!,2,FALSE),(VLOOKUP($S1653,References!$B$3:$C$7,2,FALSE))),"")</f>
        <v/>
      </c>
      <c r="W1653" s="74" t="str">
        <f>IFERROR(VLOOKUP($O1653,'Customer List'!$A$1:$J$488,10,FALSE),"")</f>
        <v/>
      </c>
    </row>
    <row r="1654" spans="18:23">
      <c r="R1654" s="127">
        <f t="shared" si="127"/>
        <v>0</v>
      </c>
      <c r="T1654" s="128">
        <f t="shared" si="126"/>
        <v>0</v>
      </c>
      <c r="U1654" s="129" t="str">
        <f>IFERROR(IF(#REF!="S",VLOOKUP('Raw Data'!A1654,References!#REF!,2,FALSE),(VLOOKUP($S1654,References!$B$3:$C$7,2,FALSE))),"")</f>
        <v/>
      </c>
      <c r="W1654" s="74" t="str">
        <f>IFERROR(VLOOKUP($O1654,'Customer List'!$A$1:$J$488,10,FALSE),"")</f>
        <v/>
      </c>
    </row>
    <row r="1655" spans="18:23">
      <c r="R1655" s="127">
        <f t="shared" si="127"/>
        <v>0</v>
      </c>
      <c r="T1655" s="128">
        <f t="shared" si="126"/>
        <v>0</v>
      </c>
      <c r="U1655" s="129" t="str">
        <f>IFERROR(IF(#REF!="S",VLOOKUP('Raw Data'!A1655,References!#REF!,2,FALSE),(VLOOKUP($S1655,References!$B$3:$C$7,2,FALSE))),"")</f>
        <v/>
      </c>
      <c r="W1655" s="74" t="str">
        <f>IFERROR(VLOOKUP($O1655,'Customer List'!$A$1:$J$488,10,FALSE),"")</f>
        <v/>
      </c>
    </row>
    <row r="1656" spans="18:23">
      <c r="R1656" s="127">
        <f t="shared" si="127"/>
        <v>0</v>
      </c>
      <c r="T1656" s="128">
        <f t="shared" si="126"/>
        <v>0</v>
      </c>
      <c r="U1656" s="129" t="str">
        <f>IFERROR(IF(#REF!="S",VLOOKUP('Raw Data'!A1656,References!#REF!,2,FALSE),(VLOOKUP($S1656,References!$B$3:$C$7,2,FALSE))),"")</f>
        <v/>
      </c>
      <c r="W1656" s="74" t="str">
        <f>IFERROR(VLOOKUP($O1656,'Customer List'!$A$1:$J$488,10,FALSE),"")</f>
        <v/>
      </c>
    </row>
    <row r="1657" spans="18:23">
      <c r="R1657" s="127">
        <f t="shared" si="127"/>
        <v>0</v>
      </c>
      <c r="T1657" s="128">
        <f t="shared" si="126"/>
        <v>0</v>
      </c>
      <c r="U1657" s="129" t="str">
        <f>IFERROR(IF(#REF!="S",VLOOKUP('Raw Data'!A1657,References!#REF!,2,FALSE),(VLOOKUP($S1657,References!$B$3:$C$7,2,FALSE))),"")</f>
        <v/>
      </c>
      <c r="W1657" s="74" t="str">
        <f>IFERROR(VLOOKUP($O1657,'Customer List'!$A$1:$J$488,10,FALSE),"")</f>
        <v/>
      </c>
    </row>
    <row r="1658" spans="18:23">
      <c r="R1658" s="127">
        <f t="shared" si="127"/>
        <v>0</v>
      </c>
      <c r="T1658" s="128">
        <f t="shared" si="126"/>
        <v>0</v>
      </c>
      <c r="U1658" s="129" t="str">
        <f>IFERROR(IF(#REF!="S",VLOOKUP('Raw Data'!A1658,References!#REF!,2,FALSE),(VLOOKUP($S1658,References!$B$3:$C$7,2,FALSE))),"")</f>
        <v/>
      </c>
      <c r="W1658" s="74" t="str">
        <f>IFERROR(VLOOKUP($O1658,'Customer List'!$A$1:$J$488,10,FALSE),"")</f>
        <v/>
      </c>
    </row>
    <row r="1659" spans="18:23">
      <c r="R1659" s="127">
        <f t="shared" si="127"/>
        <v>0</v>
      </c>
      <c r="T1659" s="128">
        <f t="shared" si="126"/>
        <v>0</v>
      </c>
      <c r="U1659" s="129" t="str">
        <f>IFERROR(IF(#REF!="S",VLOOKUP('Raw Data'!A1659,References!#REF!,2,FALSE),(VLOOKUP($S1659,References!$B$3:$C$7,2,FALSE))),"")</f>
        <v/>
      </c>
      <c r="W1659" s="74" t="str">
        <f>IFERROR(VLOOKUP($O1659,'Customer List'!$A$1:$J$488,10,FALSE),"")</f>
        <v/>
      </c>
    </row>
    <row r="1660" spans="18:23">
      <c r="R1660" s="127">
        <f t="shared" si="127"/>
        <v>0</v>
      </c>
      <c r="T1660" s="128">
        <f t="shared" si="126"/>
        <v>0</v>
      </c>
      <c r="U1660" s="129" t="str">
        <f>IFERROR(IF(#REF!="S",VLOOKUP('Raw Data'!A1660,References!#REF!,2,FALSE),(VLOOKUP($S1660,References!$B$3:$C$7,2,FALSE))),"")</f>
        <v/>
      </c>
      <c r="W1660" s="74" t="str">
        <f>IFERROR(VLOOKUP($O1660,'Customer List'!$A$1:$J$488,10,FALSE),"")</f>
        <v/>
      </c>
    </row>
    <row r="1661" spans="18:23">
      <c r="R1661" s="127">
        <f t="shared" si="127"/>
        <v>0</v>
      </c>
      <c r="T1661" s="128">
        <f t="shared" si="126"/>
        <v>0</v>
      </c>
      <c r="U1661" s="129" t="str">
        <f>IFERROR(IF(#REF!="S",VLOOKUP('Raw Data'!A1661,References!#REF!,2,FALSE),(VLOOKUP($S1661,References!$B$3:$C$7,2,FALSE))),"")</f>
        <v/>
      </c>
      <c r="W1661" s="74" t="str">
        <f>IFERROR(VLOOKUP($O1661,'Customer List'!$A$1:$J$488,10,FALSE),"")</f>
        <v/>
      </c>
    </row>
    <row r="1662" spans="18:23">
      <c r="R1662" s="127">
        <f t="shared" si="127"/>
        <v>0</v>
      </c>
      <c r="T1662" s="128">
        <f t="shared" si="126"/>
        <v>0</v>
      </c>
      <c r="U1662" s="129" t="str">
        <f>IFERROR(IF(#REF!="S",VLOOKUP('Raw Data'!A1662,References!#REF!,2,FALSE),(VLOOKUP($S1662,References!$B$3:$C$7,2,FALSE))),"")</f>
        <v/>
      </c>
      <c r="W1662" s="74" t="str">
        <f>IFERROR(VLOOKUP($O1662,'Customer List'!$A$1:$J$488,10,FALSE),"")</f>
        <v/>
      </c>
    </row>
    <row r="1663" spans="18:23">
      <c r="R1663" s="127">
        <f t="shared" si="127"/>
        <v>0</v>
      </c>
      <c r="T1663" s="128">
        <f t="shared" si="126"/>
        <v>0</v>
      </c>
      <c r="U1663" s="129" t="str">
        <f>IFERROR(IF(#REF!="S",VLOOKUP('Raw Data'!A1663,References!#REF!,2,FALSE),(VLOOKUP($S1663,References!$B$3:$C$7,2,FALSE))),"")</f>
        <v/>
      </c>
      <c r="W1663" s="74" t="str">
        <f>IFERROR(VLOOKUP($O1663,'Customer List'!$A$1:$J$488,10,FALSE),"")</f>
        <v/>
      </c>
    </row>
    <row r="1664" spans="18:23">
      <c r="R1664" s="127">
        <f t="shared" si="127"/>
        <v>0</v>
      </c>
      <c r="T1664" s="128">
        <f t="shared" si="126"/>
        <v>0</v>
      </c>
      <c r="U1664" s="129" t="str">
        <f>IFERROR(IF(#REF!="S",VLOOKUP('Raw Data'!A1664,References!#REF!,2,FALSE),(VLOOKUP($S1664,References!$B$3:$C$7,2,FALSE))),"")</f>
        <v/>
      </c>
      <c r="W1664" s="74" t="str">
        <f>IFERROR(VLOOKUP($O1664,'Customer List'!$A$1:$J$488,10,FALSE),"")</f>
        <v/>
      </c>
    </row>
    <row r="1665" spans="18:23">
      <c r="R1665" s="127">
        <f t="shared" si="127"/>
        <v>0</v>
      </c>
      <c r="T1665" s="128">
        <f t="shared" si="126"/>
        <v>0</v>
      </c>
      <c r="U1665" s="129" t="str">
        <f>IFERROR(IF(#REF!="S",VLOOKUP('Raw Data'!A1665,References!#REF!,2,FALSE),(VLOOKUP($S1665,References!$B$3:$C$7,2,FALSE))),"")</f>
        <v/>
      </c>
      <c r="W1665" s="74" t="str">
        <f>IFERROR(VLOOKUP($O1665,'Customer List'!$A$1:$J$488,10,FALSE),"")</f>
        <v/>
      </c>
    </row>
    <row r="1666" spans="18:23">
      <c r="R1666" s="127">
        <f t="shared" si="127"/>
        <v>0</v>
      </c>
      <c r="T1666" s="128">
        <f t="shared" si="126"/>
        <v>0</v>
      </c>
      <c r="U1666" s="129" t="str">
        <f>IFERROR(IF(#REF!="S",VLOOKUP('Raw Data'!A1666,References!#REF!,2,FALSE),(VLOOKUP($S1666,References!$B$3:$C$7,2,FALSE))),"")</f>
        <v/>
      </c>
      <c r="W1666" s="74" t="str">
        <f>IFERROR(VLOOKUP($O1666,'Customer List'!$A$1:$J$488,10,FALSE),"")</f>
        <v/>
      </c>
    </row>
    <row r="1667" spans="18:23">
      <c r="R1667" s="127">
        <f t="shared" si="127"/>
        <v>0</v>
      </c>
      <c r="T1667" s="128">
        <f t="shared" si="126"/>
        <v>0</v>
      </c>
      <c r="U1667" s="129" t="str">
        <f>IFERROR(IF(#REF!="S",VLOOKUP('Raw Data'!A1667,References!#REF!,2,FALSE),(VLOOKUP($S1667,References!$B$3:$C$7,2,FALSE))),"")</f>
        <v/>
      </c>
      <c r="W1667" s="74" t="str">
        <f>IFERROR(VLOOKUP($O1667,'Customer List'!$A$1:$J$488,10,FALSE),"")</f>
        <v/>
      </c>
    </row>
    <row r="1668" spans="18:23">
      <c r="R1668" s="127">
        <f t="shared" si="127"/>
        <v>0</v>
      </c>
      <c r="T1668" s="128">
        <f t="shared" si="126"/>
        <v>0</v>
      </c>
      <c r="U1668" s="129" t="str">
        <f>IFERROR(IF(#REF!="S",VLOOKUP('Raw Data'!A1668,References!#REF!,2,FALSE),(VLOOKUP($S1668,References!$B$3:$C$7,2,FALSE))),"")</f>
        <v/>
      </c>
      <c r="W1668" s="74" t="str">
        <f>IFERROR(VLOOKUP($O1668,'Customer List'!$A$1:$J$488,10,FALSE),"")</f>
        <v/>
      </c>
    </row>
    <row r="1669" spans="18:23">
      <c r="R1669" s="127">
        <f t="shared" si="127"/>
        <v>0</v>
      </c>
      <c r="T1669" s="128">
        <f t="shared" si="126"/>
        <v>0</v>
      </c>
      <c r="U1669" s="129" t="str">
        <f>IFERROR(IF(#REF!="S",VLOOKUP('Raw Data'!A1669,References!#REF!,2,FALSE),(VLOOKUP($S1669,References!$B$3:$C$7,2,FALSE))),"")</f>
        <v/>
      </c>
      <c r="W1669" s="74" t="str">
        <f>IFERROR(VLOOKUP($O1669,'Customer List'!$A$1:$J$488,10,FALSE),"")</f>
        <v/>
      </c>
    </row>
    <row r="1670" spans="18:23">
      <c r="R1670" s="127">
        <f t="shared" si="127"/>
        <v>0</v>
      </c>
      <c r="T1670" s="128">
        <f t="shared" si="126"/>
        <v>0</v>
      </c>
      <c r="U1670" s="129" t="str">
        <f>IFERROR(IF(#REF!="S",VLOOKUP('Raw Data'!A1670,References!#REF!,2,FALSE),(VLOOKUP($S1670,References!$B$3:$C$7,2,FALSE))),"")</f>
        <v/>
      </c>
      <c r="W1670" s="74" t="str">
        <f>IFERROR(VLOOKUP($O1670,'Customer List'!$A$1:$J$488,10,FALSE),"")</f>
        <v/>
      </c>
    </row>
    <row r="1671" spans="18:23">
      <c r="R1671" s="127">
        <f t="shared" si="127"/>
        <v>0</v>
      </c>
      <c r="T1671" s="128">
        <f t="shared" si="126"/>
        <v>0</v>
      </c>
      <c r="U1671" s="129" t="str">
        <f>IFERROR(IF(#REF!="S",VLOOKUP('Raw Data'!A1671,References!#REF!,2,FALSE),(VLOOKUP($S1671,References!$B$3:$C$7,2,FALSE))),"")</f>
        <v/>
      </c>
      <c r="W1671" s="74" t="str">
        <f>IFERROR(VLOOKUP($O1671,'Customer List'!$A$1:$J$488,10,FALSE),"")</f>
        <v/>
      </c>
    </row>
    <row r="1672" spans="18:23">
      <c r="R1672" s="127">
        <f t="shared" si="127"/>
        <v>0</v>
      </c>
      <c r="T1672" s="128">
        <f t="shared" si="126"/>
        <v>0</v>
      </c>
      <c r="U1672" s="129" t="str">
        <f>IFERROR(IF(#REF!="S",VLOOKUP('Raw Data'!A1672,References!#REF!,2,FALSE),(VLOOKUP($S1672,References!$B$3:$C$7,2,FALSE))),"")</f>
        <v/>
      </c>
      <c r="W1672" s="74" t="str">
        <f>IFERROR(VLOOKUP($O1672,'Customer List'!$A$1:$J$488,10,FALSE),"")</f>
        <v/>
      </c>
    </row>
    <row r="1673" spans="18:23">
      <c r="R1673" s="127">
        <f t="shared" si="127"/>
        <v>0</v>
      </c>
      <c r="T1673" s="128">
        <f t="shared" si="126"/>
        <v>0</v>
      </c>
      <c r="U1673" s="129" t="str">
        <f>IFERROR(IF(#REF!="S",VLOOKUP('Raw Data'!A1673,References!#REF!,2,FALSE),(VLOOKUP($S1673,References!$B$3:$C$7,2,FALSE))),"")</f>
        <v/>
      </c>
      <c r="W1673" s="74" t="str">
        <f>IFERROR(VLOOKUP($O1673,'Customer List'!$A$1:$J$488,10,FALSE),"")</f>
        <v/>
      </c>
    </row>
    <row r="1674" spans="18:23">
      <c r="R1674" s="127">
        <f t="shared" si="127"/>
        <v>0</v>
      </c>
      <c r="T1674" s="128">
        <f t="shared" ref="T1674:T1737" si="128">IF(S1674="50 - Cleaning Fee",1,HOUR($R1674)+MINUTE(R1674)/60)</f>
        <v>0</v>
      </c>
      <c r="U1674" s="129" t="str">
        <f>IFERROR(IF(#REF!="S",VLOOKUP('Raw Data'!A1674,References!#REF!,2,FALSE),(VLOOKUP($S1674,References!$B$3:$C$7,2,FALSE))),"")</f>
        <v/>
      </c>
      <c r="W1674" s="74" t="str">
        <f>IFERROR(VLOOKUP($O1674,'Customer List'!$A$1:$J$488,10,FALSE),"")</f>
        <v/>
      </c>
    </row>
    <row r="1675" spans="18:23">
      <c r="R1675" s="127">
        <f t="shared" si="127"/>
        <v>0</v>
      </c>
      <c r="T1675" s="128">
        <f t="shared" si="128"/>
        <v>0</v>
      </c>
      <c r="U1675" s="129" t="str">
        <f>IFERROR(IF(#REF!="S",VLOOKUP('Raw Data'!A1675,References!#REF!,2,FALSE),(VLOOKUP($S1675,References!$B$3:$C$7,2,FALSE))),"")</f>
        <v/>
      </c>
      <c r="W1675" s="74" t="str">
        <f>IFERROR(VLOOKUP($O1675,'Customer List'!$A$1:$J$488,10,FALSE),"")</f>
        <v/>
      </c>
    </row>
    <row r="1676" spans="18:23">
      <c r="R1676" s="127">
        <f t="shared" si="127"/>
        <v>0</v>
      </c>
      <c r="T1676" s="128">
        <f t="shared" si="128"/>
        <v>0</v>
      </c>
      <c r="U1676" s="129" t="str">
        <f>IFERROR(IF(#REF!="S",VLOOKUP('Raw Data'!A1676,References!#REF!,2,FALSE),(VLOOKUP($S1676,References!$B$3:$C$7,2,FALSE))),"")</f>
        <v/>
      </c>
      <c r="W1676" s="74" t="str">
        <f>IFERROR(VLOOKUP($O1676,'Customer List'!$A$1:$J$488,10,FALSE),"")</f>
        <v/>
      </c>
    </row>
    <row r="1677" spans="18:23">
      <c r="R1677" s="127">
        <f t="shared" si="127"/>
        <v>0</v>
      </c>
      <c r="T1677" s="128">
        <f t="shared" si="128"/>
        <v>0</v>
      </c>
      <c r="U1677" s="129" t="str">
        <f>IFERROR(IF(#REF!="S",VLOOKUP('Raw Data'!A1677,References!#REF!,2,FALSE),(VLOOKUP($S1677,References!$B$3:$C$7,2,FALSE))),"")</f>
        <v/>
      </c>
      <c r="W1677" s="74" t="str">
        <f>IFERROR(VLOOKUP($O1677,'Customer List'!$A$1:$J$488,10,FALSE),"")</f>
        <v/>
      </c>
    </row>
    <row r="1678" spans="18:23">
      <c r="R1678" s="127">
        <f t="shared" si="127"/>
        <v>0</v>
      </c>
      <c r="T1678" s="128">
        <f t="shared" si="128"/>
        <v>0</v>
      </c>
      <c r="U1678" s="129" t="str">
        <f>IFERROR(IF(#REF!="S",VLOOKUP('Raw Data'!A1678,References!#REF!,2,FALSE),(VLOOKUP($S1678,References!$B$3:$C$7,2,FALSE))),"")</f>
        <v/>
      </c>
      <c r="W1678" s="74" t="str">
        <f>IFERROR(VLOOKUP($O1678,'Customer List'!$A$1:$J$488,10,FALSE),"")</f>
        <v/>
      </c>
    </row>
    <row r="1679" spans="18:23">
      <c r="R1679" s="127">
        <f t="shared" si="127"/>
        <v>0</v>
      </c>
      <c r="T1679" s="128">
        <f t="shared" si="128"/>
        <v>0</v>
      </c>
      <c r="U1679" s="129" t="str">
        <f>IFERROR(IF(#REF!="S",VLOOKUP('Raw Data'!A1679,References!#REF!,2,FALSE),(VLOOKUP($S1679,References!$B$3:$C$7,2,FALSE))),"")</f>
        <v/>
      </c>
      <c r="W1679" s="74" t="str">
        <f>IFERROR(VLOOKUP($O1679,'Customer List'!$A$1:$J$488,10,FALSE),"")</f>
        <v/>
      </c>
    </row>
    <row r="1680" spans="18:23">
      <c r="R1680" s="127">
        <f t="shared" si="127"/>
        <v>0</v>
      </c>
      <c r="T1680" s="128">
        <f t="shared" si="128"/>
        <v>0</v>
      </c>
      <c r="U1680" s="129" t="str">
        <f>IFERROR(IF(#REF!="S",VLOOKUP('Raw Data'!A1680,References!#REF!,2,FALSE),(VLOOKUP($S1680,References!$B$3:$C$7,2,FALSE))),"")</f>
        <v/>
      </c>
      <c r="W1680" s="74" t="str">
        <f>IFERROR(VLOOKUP($O1680,'Customer List'!$A$1:$J$488,10,FALSE),"")</f>
        <v/>
      </c>
    </row>
    <row r="1681" spans="18:23">
      <c r="R1681" s="127">
        <f t="shared" si="127"/>
        <v>0</v>
      </c>
      <c r="T1681" s="128">
        <f t="shared" si="128"/>
        <v>0</v>
      </c>
      <c r="U1681" s="129" t="str">
        <f>IFERROR(IF(#REF!="S",VLOOKUP('Raw Data'!A1681,References!#REF!,2,FALSE),(VLOOKUP($S1681,References!$B$3:$C$7,2,FALSE))),"")</f>
        <v/>
      </c>
      <c r="W1681" s="74" t="str">
        <f>IFERROR(VLOOKUP($O1681,'Customer List'!$A$1:$J$488,10,FALSE),"")</f>
        <v/>
      </c>
    </row>
    <row r="1682" spans="18:23">
      <c r="R1682" s="127">
        <f t="shared" si="127"/>
        <v>0</v>
      </c>
      <c r="T1682" s="128">
        <f t="shared" si="128"/>
        <v>0</v>
      </c>
      <c r="U1682" s="129" t="str">
        <f>IFERROR(IF(#REF!="S",VLOOKUP('Raw Data'!A1682,References!#REF!,2,FALSE),(VLOOKUP($S1682,References!$B$3:$C$7,2,FALSE))),"")</f>
        <v/>
      </c>
      <c r="W1682" s="74" t="str">
        <f>IFERROR(VLOOKUP($O1682,'Customer List'!$A$1:$J$488,10,FALSE),"")</f>
        <v/>
      </c>
    </row>
    <row r="1683" spans="18:23">
      <c r="R1683" s="127">
        <f t="shared" si="127"/>
        <v>0</v>
      </c>
      <c r="T1683" s="128">
        <f t="shared" si="128"/>
        <v>0</v>
      </c>
      <c r="U1683" s="129" t="str">
        <f>IFERROR(IF(#REF!="S",VLOOKUP('Raw Data'!A1683,References!#REF!,2,FALSE),(VLOOKUP($S1683,References!$B$3:$C$7,2,FALSE))),"")</f>
        <v/>
      </c>
      <c r="W1683" s="74" t="str">
        <f>IFERROR(VLOOKUP($O1683,'Customer List'!$A$1:$J$488,10,FALSE),"")</f>
        <v/>
      </c>
    </row>
    <row r="1684" spans="18:23">
      <c r="R1684" s="127">
        <f t="shared" si="127"/>
        <v>0</v>
      </c>
      <c r="T1684" s="128">
        <f t="shared" si="128"/>
        <v>0</v>
      </c>
      <c r="U1684" s="129" t="str">
        <f>IFERROR(IF(#REF!="S",VLOOKUP('Raw Data'!A1684,References!#REF!,2,FALSE),(VLOOKUP($S1684,References!$B$3:$C$7,2,FALSE))),"")</f>
        <v/>
      </c>
      <c r="W1684" s="74" t="str">
        <f>IFERROR(VLOOKUP($O1684,'Customer List'!$A$1:$J$488,10,FALSE),"")</f>
        <v/>
      </c>
    </row>
    <row r="1685" spans="18:23">
      <c r="R1685" s="127">
        <f t="shared" si="127"/>
        <v>0</v>
      </c>
      <c r="T1685" s="128">
        <f t="shared" si="128"/>
        <v>0</v>
      </c>
      <c r="U1685" s="129" t="str">
        <f>IFERROR(IF(#REF!="S",VLOOKUP('Raw Data'!A1685,References!#REF!,2,FALSE),(VLOOKUP($S1685,References!$B$3:$C$7,2,FALSE))),"")</f>
        <v/>
      </c>
      <c r="W1685" s="74" t="str">
        <f>IFERROR(VLOOKUP($O1685,'Customer List'!$A$1:$J$488,10,FALSE),"")</f>
        <v/>
      </c>
    </row>
    <row r="1686" spans="18:23">
      <c r="R1686" s="127">
        <f t="shared" si="127"/>
        <v>0</v>
      </c>
      <c r="T1686" s="128">
        <f t="shared" si="128"/>
        <v>0</v>
      </c>
      <c r="U1686" s="129" t="str">
        <f>IFERROR(IF(#REF!="S",VLOOKUP('Raw Data'!A1686,References!#REF!,2,FALSE),(VLOOKUP($S1686,References!$B$3:$C$7,2,FALSE))),"")</f>
        <v/>
      </c>
      <c r="W1686" s="74" t="str">
        <f>IFERROR(VLOOKUP($O1686,'Customer List'!$A$1:$J$488,10,FALSE),"")</f>
        <v/>
      </c>
    </row>
    <row r="1687" spans="18:23">
      <c r="R1687" s="127">
        <f t="shared" si="127"/>
        <v>0</v>
      </c>
      <c r="T1687" s="128">
        <f t="shared" si="128"/>
        <v>0</v>
      </c>
      <c r="U1687" s="129" t="str">
        <f>IFERROR(IF(#REF!="S",VLOOKUP('Raw Data'!A1687,References!#REF!,2,FALSE),(VLOOKUP($S1687,References!$B$3:$C$7,2,FALSE))),"")</f>
        <v/>
      </c>
      <c r="W1687" s="74" t="str">
        <f>IFERROR(VLOOKUP($O1687,'Customer List'!$A$1:$J$488,10,FALSE),"")</f>
        <v/>
      </c>
    </row>
    <row r="1688" spans="18:23">
      <c r="R1688" s="127">
        <f t="shared" si="127"/>
        <v>0</v>
      </c>
      <c r="T1688" s="128">
        <f t="shared" si="128"/>
        <v>0</v>
      </c>
      <c r="U1688" s="129" t="str">
        <f>IFERROR(IF(#REF!="S",VLOOKUP('Raw Data'!A1688,References!#REF!,2,FALSE),(VLOOKUP($S1688,References!$B$3:$C$7,2,FALSE))),"")</f>
        <v/>
      </c>
      <c r="W1688" s="74" t="str">
        <f>IFERROR(VLOOKUP($O1688,'Customer List'!$A$1:$J$488,10,FALSE),"")</f>
        <v/>
      </c>
    </row>
    <row r="1689" spans="18:23">
      <c r="R1689" s="127">
        <f t="shared" si="127"/>
        <v>0</v>
      </c>
      <c r="T1689" s="128">
        <f t="shared" si="128"/>
        <v>0</v>
      </c>
      <c r="U1689" s="129" t="str">
        <f>IFERROR(IF(#REF!="S",VLOOKUP('Raw Data'!A1689,References!#REF!,2,FALSE),(VLOOKUP($S1689,References!$B$3:$C$7,2,FALSE))),"")</f>
        <v/>
      </c>
      <c r="W1689" s="74" t="str">
        <f>IFERROR(VLOOKUP($O1689,'Customer List'!$A$1:$J$488,10,FALSE),"")</f>
        <v/>
      </c>
    </row>
    <row r="1690" spans="18:23">
      <c r="R1690" s="127">
        <f t="shared" si="127"/>
        <v>0</v>
      </c>
      <c r="T1690" s="128">
        <f t="shared" si="128"/>
        <v>0</v>
      </c>
      <c r="U1690" s="129" t="str">
        <f>IFERROR(IF(#REF!="S",VLOOKUP('Raw Data'!A1690,References!#REF!,2,FALSE),(VLOOKUP($S1690,References!$B$3:$C$7,2,FALSE))),"")</f>
        <v/>
      </c>
      <c r="W1690" s="74" t="str">
        <f>IFERROR(VLOOKUP($O1690,'Customer List'!$A$1:$J$488,10,FALSE),"")</f>
        <v/>
      </c>
    </row>
    <row r="1691" spans="18:23">
      <c r="R1691" s="127">
        <f t="shared" si="127"/>
        <v>0</v>
      </c>
      <c r="T1691" s="128">
        <f t="shared" si="128"/>
        <v>0</v>
      </c>
      <c r="U1691" s="129" t="str">
        <f>IFERROR(IF(#REF!="S",VLOOKUP('Raw Data'!A1691,References!#REF!,2,FALSE),(VLOOKUP($S1691,References!$B$3:$C$7,2,FALSE))),"")</f>
        <v/>
      </c>
      <c r="W1691" s="74" t="str">
        <f>IFERROR(VLOOKUP($O1691,'Customer List'!$A$1:$J$488,10,FALSE),"")</f>
        <v/>
      </c>
    </row>
    <row r="1692" spans="18:23">
      <c r="R1692" s="127">
        <f t="shared" si="127"/>
        <v>0</v>
      </c>
      <c r="T1692" s="128">
        <f t="shared" si="128"/>
        <v>0</v>
      </c>
      <c r="U1692" s="129" t="str">
        <f>IFERROR(IF(#REF!="S",VLOOKUP('Raw Data'!A1692,References!#REF!,2,FALSE),(VLOOKUP($S1692,References!$B$3:$C$7,2,FALSE))),"")</f>
        <v/>
      </c>
      <c r="W1692" s="74" t="str">
        <f>IFERROR(VLOOKUP($O1692,'Customer List'!$A$1:$J$488,10,FALSE),"")</f>
        <v/>
      </c>
    </row>
    <row r="1693" spans="18:23">
      <c r="R1693" s="127">
        <f t="shared" si="127"/>
        <v>0</v>
      </c>
      <c r="T1693" s="128">
        <f t="shared" si="128"/>
        <v>0</v>
      </c>
      <c r="U1693" s="129" t="str">
        <f>IFERROR(IF(#REF!="S",VLOOKUP('Raw Data'!A1693,References!#REF!,2,FALSE),(VLOOKUP($S1693,References!$B$3:$C$7,2,FALSE))),"")</f>
        <v/>
      </c>
      <c r="W1693" s="74" t="str">
        <f>IFERROR(VLOOKUP($O1693,'Customer List'!$A$1:$J$488,10,FALSE),"")</f>
        <v/>
      </c>
    </row>
    <row r="1694" spans="18:23">
      <c r="R1694" s="127">
        <f t="shared" si="127"/>
        <v>0</v>
      </c>
      <c r="T1694" s="128">
        <f t="shared" si="128"/>
        <v>0</v>
      </c>
      <c r="U1694" s="129" t="str">
        <f>IFERROR(IF(#REF!="S",VLOOKUP('Raw Data'!A1694,References!#REF!,2,FALSE),(VLOOKUP($S1694,References!$B$3:$C$7,2,FALSE))),"")</f>
        <v/>
      </c>
      <c r="W1694" s="74" t="str">
        <f>IFERROR(VLOOKUP($O1694,'Customer List'!$A$1:$J$488,10,FALSE),"")</f>
        <v/>
      </c>
    </row>
    <row r="1695" spans="18:23">
      <c r="R1695" s="127">
        <f t="shared" si="127"/>
        <v>0</v>
      </c>
      <c r="T1695" s="128">
        <f t="shared" si="128"/>
        <v>0</v>
      </c>
      <c r="U1695" s="129" t="str">
        <f>IFERROR(IF(#REF!="S",VLOOKUP('Raw Data'!A1695,References!#REF!,2,FALSE),(VLOOKUP($S1695,References!$B$3:$C$7,2,FALSE))),"")</f>
        <v/>
      </c>
      <c r="W1695" s="74" t="str">
        <f>IFERROR(VLOOKUP($O1695,'Customer List'!$A$1:$J$488,10,FALSE),"")</f>
        <v/>
      </c>
    </row>
    <row r="1696" spans="18:23">
      <c r="R1696" s="127">
        <f t="shared" si="127"/>
        <v>0</v>
      </c>
      <c r="T1696" s="128">
        <f t="shared" si="128"/>
        <v>0</v>
      </c>
      <c r="U1696" s="129" t="str">
        <f>IFERROR(IF(#REF!="S",VLOOKUP('Raw Data'!A1696,References!#REF!,2,FALSE),(VLOOKUP($S1696,References!$B$3:$C$7,2,FALSE))),"")</f>
        <v/>
      </c>
      <c r="W1696" s="74" t="str">
        <f>IFERROR(VLOOKUP($O1696,'Customer List'!$A$1:$J$488,10,FALSE),"")</f>
        <v/>
      </c>
    </row>
    <row r="1697" spans="18:23">
      <c r="R1697" s="127">
        <f t="shared" si="127"/>
        <v>0</v>
      </c>
      <c r="T1697" s="128">
        <f t="shared" si="128"/>
        <v>0</v>
      </c>
      <c r="U1697" s="129" t="str">
        <f>IFERROR(IF(#REF!="S",VLOOKUP('Raw Data'!A1697,References!#REF!,2,FALSE),(VLOOKUP($S1697,References!$B$3:$C$7,2,FALSE))),"")</f>
        <v/>
      </c>
      <c r="W1697" s="74" t="str">
        <f>IFERROR(VLOOKUP($O1697,'Customer List'!$A$1:$J$488,10,FALSE),"")</f>
        <v/>
      </c>
    </row>
    <row r="1698" spans="18:23">
      <c r="R1698" s="127">
        <f t="shared" si="127"/>
        <v>0</v>
      </c>
      <c r="T1698" s="128">
        <f t="shared" si="128"/>
        <v>0</v>
      </c>
      <c r="U1698" s="129" t="str">
        <f>IFERROR(IF(#REF!="S",VLOOKUP('Raw Data'!A1698,References!#REF!,2,FALSE),(VLOOKUP($S1698,References!$B$3:$C$7,2,FALSE))),"")</f>
        <v/>
      </c>
      <c r="W1698" s="74" t="str">
        <f>IFERROR(VLOOKUP($O1698,'Customer List'!$A$1:$J$488,10,FALSE),"")</f>
        <v/>
      </c>
    </row>
    <row r="1699" spans="18:23">
      <c r="R1699" s="127">
        <f t="shared" si="127"/>
        <v>0</v>
      </c>
      <c r="T1699" s="128">
        <f t="shared" si="128"/>
        <v>0</v>
      </c>
      <c r="U1699" s="129" t="str">
        <f>IFERROR(IF(#REF!="S",VLOOKUP('Raw Data'!A1699,References!#REF!,2,FALSE),(VLOOKUP($S1699,References!$B$3:$C$7,2,FALSE))),"")</f>
        <v/>
      </c>
      <c r="W1699" s="74" t="str">
        <f>IFERROR(VLOOKUP($O1699,'Customer List'!$A$1:$J$488,10,FALSE),"")</f>
        <v/>
      </c>
    </row>
    <row r="1700" spans="18:23">
      <c r="R1700" s="127">
        <f t="shared" si="127"/>
        <v>0</v>
      </c>
      <c r="T1700" s="128">
        <f t="shared" si="128"/>
        <v>0</v>
      </c>
      <c r="U1700" s="129" t="str">
        <f>IFERROR(IF(#REF!="S",VLOOKUP('Raw Data'!A1700,References!#REF!,2,FALSE),(VLOOKUP($S1700,References!$B$3:$C$7,2,FALSE))),"")</f>
        <v/>
      </c>
      <c r="W1700" s="74" t="str">
        <f>IFERROR(VLOOKUP($O1700,'Customer List'!$A$1:$J$488,10,FALSE),"")</f>
        <v/>
      </c>
    </row>
    <row r="1701" spans="18:23">
      <c r="R1701" s="127">
        <f t="shared" si="127"/>
        <v>0</v>
      </c>
      <c r="T1701" s="128">
        <f t="shared" si="128"/>
        <v>0</v>
      </c>
      <c r="U1701" s="129" t="str">
        <f>IFERROR(IF(#REF!="S",VLOOKUP('Raw Data'!A1701,References!#REF!,2,FALSE),(VLOOKUP($S1701,References!$B$3:$C$7,2,FALSE))),"")</f>
        <v/>
      </c>
      <c r="W1701" s="74" t="str">
        <f>IFERROR(VLOOKUP($O1701,'Customer List'!$A$1:$J$488,10,FALSE),"")</f>
        <v/>
      </c>
    </row>
    <row r="1702" spans="18:23">
      <c r="R1702" s="127">
        <f t="shared" ref="R1702:R1765" si="129">L1702-K1702</f>
        <v>0</v>
      </c>
      <c r="T1702" s="128">
        <f t="shared" si="128"/>
        <v>0</v>
      </c>
      <c r="U1702" s="129" t="str">
        <f>IFERROR(IF(#REF!="S",VLOOKUP('Raw Data'!A1702,References!#REF!,2,FALSE),(VLOOKUP($S1702,References!$B$3:$C$7,2,FALSE))),"")</f>
        <v/>
      </c>
      <c r="W1702" s="74" t="str">
        <f>IFERROR(VLOOKUP($O1702,'Customer List'!$A$1:$J$488,10,FALSE),"")</f>
        <v/>
      </c>
    </row>
    <row r="1703" spans="18:23">
      <c r="R1703" s="127">
        <f t="shared" si="129"/>
        <v>0</v>
      </c>
      <c r="T1703" s="128">
        <f t="shared" si="128"/>
        <v>0</v>
      </c>
      <c r="U1703" s="129" t="str">
        <f>IFERROR(IF(#REF!="S",VLOOKUP('Raw Data'!A1703,References!#REF!,2,FALSE),(VLOOKUP($S1703,References!$B$3:$C$7,2,FALSE))),"")</f>
        <v/>
      </c>
      <c r="W1703" s="74" t="str">
        <f>IFERROR(VLOOKUP($O1703,'Customer List'!$A$1:$J$488,10,FALSE),"")</f>
        <v/>
      </c>
    </row>
    <row r="1704" spans="18:23">
      <c r="R1704" s="127">
        <f t="shared" si="129"/>
        <v>0</v>
      </c>
      <c r="T1704" s="128">
        <f t="shared" si="128"/>
        <v>0</v>
      </c>
      <c r="U1704" s="129" t="str">
        <f>IFERROR(IF(#REF!="S",VLOOKUP('Raw Data'!A1704,References!#REF!,2,FALSE),(VLOOKUP($S1704,References!$B$3:$C$7,2,FALSE))),"")</f>
        <v/>
      </c>
      <c r="W1704" s="74" t="str">
        <f>IFERROR(VLOOKUP($O1704,'Customer List'!$A$1:$J$488,10,FALSE),"")</f>
        <v/>
      </c>
    </row>
    <row r="1705" spans="18:23">
      <c r="R1705" s="127">
        <f t="shared" si="129"/>
        <v>0</v>
      </c>
      <c r="T1705" s="128">
        <f t="shared" si="128"/>
        <v>0</v>
      </c>
      <c r="U1705" s="129" t="str">
        <f>IFERROR(IF(#REF!="S",VLOOKUP('Raw Data'!A1705,References!#REF!,2,FALSE),(VLOOKUP($S1705,References!$B$3:$C$7,2,FALSE))),"")</f>
        <v/>
      </c>
      <c r="W1705" s="74" t="str">
        <f>IFERROR(VLOOKUP($O1705,'Customer List'!$A$1:$J$488,10,FALSE),"")</f>
        <v/>
      </c>
    </row>
    <row r="1706" spans="18:23">
      <c r="R1706" s="127">
        <f t="shared" si="129"/>
        <v>0</v>
      </c>
      <c r="T1706" s="128">
        <f t="shared" si="128"/>
        <v>0</v>
      </c>
      <c r="U1706" s="129" t="str">
        <f>IFERROR(IF(#REF!="S",VLOOKUP('Raw Data'!A1706,References!#REF!,2,FALSE),(VLOOKUP($S1706,References!$B$3:$C$7,2,FALSE))),"")</f>
        <v/>
      </c>
      <c r="W1706" s="74" t="str">
        <f>IFERROR(VLOOKUP($O1706,'Customer List'!$A$1:$J$488,10,FALSE),"")</f>
        <v/>
      </c>
    </row>
    <row r="1707" spans="18:23">
      <c r="R1707" s="127">
        <f t="shared" si="129"/>
        <v>0</v>
      </c>
      <c r="T1707" s="128">
        <f t="shared" si="128"/>
        <v>0</v>
      </c>
      <c r="U1707" s="129" t="str">
        <f>IFERROR(IF(#REF!="S",VLOOKUP('Raw Data'!A1707,References!#REF!,2,FALSE),(VLOOKUP($S1707,References!$B$3:$C$7,2,FALSE))),"")</f>
        <v/>
      </c>
      <c r="W1707" s="74" t="str">
        <f>IFERROR(VLOOKUP($O1707,'Customer List'!$A$1:$J$488,10,FALSE),"")</f>
        <v/>
      </c>
    </row>
    <row r="1708" spans="18:23">
      <c r="R1708" s="127">
        <f t="shared" si="129"/>
        <v>0</v>
      </c>
      <c r="T1708" s="128">
        <f t="shared" si="128"/>
        <v>0</v>
      </c>
      <c r="U1708" s="129" t="str">
        <f>IFERROR(IF(#REF!="S",VLOOKUP('Raw Data'!A1708,References!#REF!,2,FALSE),(VLOOKUP($S1708,References!$B$3:$C$7,2,FALSE))),"")</f>
        <v/>
      </c>
      <c r="W1708" s="74" t="str">
        <f>IFERROR(VLOOKUP($O1708,'Customer List'!$A$1:$J$488,10,FALSE),"")</f>
        <v/>
      </c>
    </row>
    <row r="1709" spans="18:23">
      <c r="R1709" s="127">
        <f t="shared" si="129"/>
        <v>0</v>
      </c>
      <c r="T1709" s="128">
        <f t="shared" si="128"/>
        <v>0</v>
      </c>
      <c r="U1709" s="129" t="str">
        <f>IFERROR(IF(#REF!="S",VLOOKUP('Raw Data'!A1709,References!#REF!,2,FALSE),(VLOOKUP($S1709,References!$B$3:$C$7,2,FALSE))),"")</f>
        <v/>
      </c>
      <c r="W1709" s="74" t="str">
        <f>IFERROR(VLOOKUP($O1709,'Customer List'!$A$1:$J$488,10,FALSE),"")</f>
        <v/>
      </c>
    </row>
    <row r="1710" spans="18:23">
      <c r="R1710" s="127">
        <f t="shared" si="129"/>
        <v>0</v>
      </c>
      <c r="T1710" s="128">
        <f t="shared" si="128"/>
        <v>0</v>
      </c>
      <c r="U1710" s="129" t="str">
        <f>IFERROR(IF(#REF!="S",VLOOKUP('Raw Data'!A1710,References!#REF!,2,FALSE),(VLOOKUP($S1710,References!$B$3:$C$7,2,FALSE))),"")</f>
        <v/>
      </c>
      <c r="W1710" s="74" t="str">
        <f>IFERROR(VLOOKUP($O1710,'Customer List'!$A$1:$J$488,10,FALSE),"")</f>
        <v/>
      </c>
    </row>
    <row r="1711" spans="18:23">
      <c r="R1711" s="127">
        <f t="shared" si="129"/>
        <v>0</v>
      </c>
      <c r="T1711" s="128">
        <f t="shared" si="128"/>
        <v>0</v>
      </c>
      <c r="U1711" s="129" t="str">
        <f>IFERROR(IF(#REF!="S",VLOOKUP('Raw Data'!A1711,References!#REF!,2,FALSE),(VLOOKUP($S1711,References!$B$3:$C$7,2,FALSE))),"")</f>
        <v/>
      </c>
      <c r="W1711" s="74" t="str">
        <f>IFERROR(VLOOKUP($O1711,'Customer List'!$A$1:$J$488,10,FALSE),"")</f>
        <v/>
      </c>
    </row>
    <row r="1712" spans="18:23">
      <c r="R1712" s="127">
        <f t="shared" si="129"/>
        <v>0</v>
      </c>
      <c r="T1712" s="128">
        <f t="shared" si="128"/>
        <v>0</v>
      </c>
      <c r="U1712" s="129" t="str">
        <f>IFERROR(IF(#REF!="S",VLOOKUP('Raw Data'!A1712,References!#REF!,2,FALSE),(VLOOKUP($S1712,References!$B$3:$C$7,2,FALSE))),"")</f>
        <v/>
      </c>
      <c r="W1712" s="74" t="str">
        <f>IFERROR(VLOOKUP($O1712,'Customer List'!$A$1:$J$488,10,FALSE),"")</f>
        <v/>
      </c>
    </row>
    <row r="1713" spans="18:23">
      <c r="R1713" s="127">
        <f t="shared" si="129"/>
        <v>0</v>
      </c>
      <c r="T1713" s="128">
        <f t="shared" si="128"/>
        <v>0</v>
      </c>
      <c r="U1713" s="129" t="str">
        <f>IFERROR(IF(#REF!="S",VLOOKUP('Raw Data'!A1713,References!#REF!,2,FALSE),(VLOOKUP($S1713,References!$B$3:$C$7,2,FALSE))),"")</f>
        <v/>
      </c>
      <c r="W1713" s="74" t="str">
        <f>IFERROR(VLOOKUP($O1713,'Customer List'!$A$1:$J$488,10,FALSE),"")</f>
        <v/>
      </c>
    </row>
    <row r="1714" spans="18:23">
      <c r="R1714" s="127">
        <f t="shared" si="129"/>
        <v>0</v>
      </c>
      <c r="T1714" s="128">
        <f t="shared" si="128"/>
        <v>0</v>
      </c>
      <c r="U1714" s="129" t="str">
        <f>IFERROR(IF(#REF!="S",VLOOKUP('Raw Data'!A1714,References!#REF!,2,FALSE),(VLOOKUP($S1714,References!$B$3:$C$7,2,FALSE))),"")</f>
        <v/>
      </c>
      <c r="W1714" s="74" t="str">
        <f>IFERROR(VLOOKUP($O1714,'Customer List'!$A$1:$J$488,10,FALSE),"")</f>
        <v/>
      </c>
    </row>
    <row r="1715" spans="18:23">
      <c r="R1715" s="127">
        <f t="shared" si="129"/>
        <v>0</v>
      </c>
      <c r="T1715" s="128">
        <f t="shared" si="128"/>
        <v>0</v>
      </c>
      <c r="U1715" s="129" t="str">
        <f>IFERROR(IF(#REF!="S",VLOOKUP('Raw Data'!A1715,References!#REF!,2,FALSE),(VLOOKUP($S1715,References!$B$3:$C$7,2,FALSE))),"")</f>
        <v/>
      </c>
      <c r="W1715" s="74" t="str">
        <f>IFERROR(VLOOKUP($O1715,'Customer List'!$A$1:$J$488,10,FALSE),"")</f>
        <v/>
      </c>
    </row>
    <row r="1716" spans="18:23">
      <c r="R1716" s="127">
        <f t="shared" si="129"/>
        <v>0</v>
      </c>
      <c r="T1716" s="128">
        <f t="shared" si="128"/>
        <v>0</v>
      </c>
      <c r="U1716" s="129" t="str">
        <f>IFERROR(IF(#REF!="S",VLOOKUP('Raw Data'!A1716,References!#REF!,2,FALSE),(VLOOKUP($S1716,References!$B$3:$C$7,2,FALSE))),"")</f>
        <v/>
      </c>
      <c r="W1716" s="74" t="str">
        <f>IFERROR(VLOOKUP($O1716,'Customer List'!$A$1:$J$488,10,FALSE),"")</f>
        <v/>
      </c>
    </row>
    <row r="1717" spans="18:23">
      <c r="R1717" s="127">
        <f t="shared" si="129"/>
        <v>0</v>
      </c>
      <c r="T1717" s="128">
        <f t="shared" si="128"/>
        <v>0</v>
      </c>
      <c r="U1717" s="129" t="str">
        <f>IFERROR(IF(#REF!="S",VLOOKUP('Raw Data'!A1717,References!#REF!,2,FALSE),(VLOOKUP($S1717,References!$B$3:$C$7,2,FALSE))),"")</f>
        <v/>
      </c>
      <c r="W1717" s="74" t="str">
        <f>IFERROR(VLOOKUP($O1717,'Customer List'!$A$1:$J$488,10,FALSE),"")</f>
        <v/>
      </c>
    </row>
    <row r="1718" spans="18:23">
      <c r="R1718" s="127">
        <f t="shared" si="129"/>
        <v>0</v>
      </c>
      <c r="T1718" s="128">
        <f t="shared" si="128"/>
        <v>0</v>
      </c>
      <c r="U1718" s="129" t="str">
        <f>IFERROR(IF(#REF!="S",VLOOKUP('Raw Data'!A1718,References!#REF!,2,FALSE),(VLOOKUP($S1718,References!$B$3:$C$7,2,FALSE))),"")</f>
        <v/>
      </c>
      <c r="W1718" s="74" t="str">
        <f>IFERROR(VLOOKUP($O1718,'Customer List'!$A$1:$J$488,10,FALSE),"")</f>
        <v/>
      </c>
    </row>
    <row r="1719" spans="18:23">
      <c r="R1719" s="127">
        <f t="shared" si="129"/>
        <v>0</v>
      </c>
      <c r="T1719" s="128">
        <f t="shared" si="128"/>
        <v>0</v>
      </c>
      <c r="U1719" s="129" t="str">
        <f>IFERROR(IF(#REF!="S",VLOOKUP('Raw Data'!A1719,References!#REF!,2,FALSE),(VLOOKUP($S1719,References!$B$3:$C$7,2,FALSE))),"")</f>
        <v/>
      </c>
      <c r="W1719" s="74" t="str">
        <f>IFERROR(VLOOKUP($O1719,'Customer List'!$A$1:$J$488,10,FALSE),"")</f>
        <v/>
      </c>
    </row>
    <row r="1720" spans="18:23">
      <c r="R1720" s="127">
        <f t="shared" si="129"/>
        <v>0</v>
      </c>
      <c r="T1720" s="128">
        <f t="shared" si="128"/>
        <v>0</v>
      </c>
      <c r="U1720" s="129" t="str">
        <f>IFERROR(IF(#REF!="S",VLOOKUP('Raw Data'!A1720,References!#REF!,2,FALSE),(VLOOKUP($S1720,References!$B$3:$C$7,2,FALSE))),"")</f>
        <v/>
      </c>
      <c r="W1720" s="74" t="str">
        <f>IFERROR(VLOOKUP($O1720,'Customer List'!$A$1:$J$488,10,FALSE),"")</f>
        <v/>
      </c>
    </row>
    <row r="1721" spans="18:23">
      <c r="R1721" s="127">
        <f t="shared" si="129"/>
        <v>0</v>
      </c>
      <c r="T1721" s="128">
        <f t="shared" si="128"/>
        <v>0</v>
      </c>
      <c r="U1721" s="129" t="str">
        <f>IFERROR(IF(#REF!="S",VLOOKUP('Raw Data'!A1721,References!#REF!,2,FALSE),(VLOOKUP($S1721,References!$B$3:$C$7,2,FALSE))),"")</f>
        <v/>
      </c>
      <c r="W1721" s="74" t="str">
        <f>IFERROR(VLOOKUP($O1721,'Customer List'!$A$1:$J$488,10,FALSE),"")</f>
        <v/>
      </c>
    </row>
    <row r="1722" spans="18:23">
      <c r="R1722" s="127">
        <f t="shared" si="129"/>
        <v>0</v>
      </c>
      <c r="T1722" s="128">
        <f t="shared" si="128"/>
        <v>0</v>
      </c>
      <c r="U1722" s="129" t="str">
        <f>IFERROR(IF(#REF!="S",VLOOKUP('Raw Data'!A1722,References!#REF!,2,FALSE),(VLOOKUP($S1722,References!$B$3:$C$7,2,FALSE))),"")</f>
        <v/>
      </c>
      <c r="W1722" s="74" t="str">
        <f>IFERROR(VLOOKUP($O1722,'Customer List'!$A$1:$J$488,10,FALSE),"")</f>
        <v/>
      </c>
    </row>
    <row r="1723" spans="18:23">
      <c r="R1723" s="127">
        <f t="shared" si="129"/>
        <v>0</v>
      </c>
      <c r="T1723" s="128">
        <f t="shared" si="128"/>
        <v>0</v>
      </c>
      <c r="U1723" s="129" t="str">
        <f>IFERROR(IF(#REF!="S",VLOOKUP('Raw Data'!A1723,References!#REF!,2,FALSE),(VLOOKUP($S1723,References!$B$3:$C$7,2,FALSE))),"")</f>
        <v/>
      </c>
      <c r="W1723" s="74" t="str">
        <f>IFERROR(VLOOKUP($O1723,'Customer List'!$A$1:$J$488,10,FALSE),"")</f>
        <v/>
      </c>
    </row>
    <row r="1724" spans="18:23">
      <c r="R1724" s="127">
        <f t="shared" si="129"/>
        <v>0</v>
      </c>
      <c r="T1724" s="128">
        <f t="shared" si="128"/>
        <v>0</v>
      </c>
      <c r="U1724" s="129" t="str">
        <f>IFERROR(IF(#REF!="S",VLOOKUP('Raw Data'!A1724,References!#REF!,2,FALSE),(VLOOKUP($S1724,References!$B$3:$C$7,2,FALSE))),"")</f>
        <v/>
      </c>
      <c r="W1724" s="74" t="str">
        <f>IFERROR(VLOOKUP($O1724,'Customer List'!$A$1:$J$488,10,FALSE),"")</f>
        <v/>
      </c>
    </row>
    <row r="1725" spans="18:23">
      <c r="R1725" s="127">
        <f t="shared" si="129"/>
        <v>0</v>
      </c>
      <c r="T1725" s="128">
        <f t="shared" si="128"/>
        <v>0</v>
      </c>
      <c r="U1725" s="129" t="str">
        <f>IFERROR(IF(#REF!="S",VLOOKUP('Raw Data'!A1725,References!#REF!,2,FALSE),(VLOOKUP($S1725,References!$B$3:$C$7,2,FALSE))),"")</f>
        <v/>
      </c>
      <c r="W1725" s="74" t="str">
        <f>IFERROR(VLOOKUP($O1725,'Customer List'!$A$1:$J$488,10,FALSE),"")</f>
        <v/>
      </c>
    </row>
    <row r="1726" spans="18:23">
      <c r="R1726" s="127">
        <f t="shared" si="129"/>
        <v>0</v>
      </c>
      <c r="T1726" s="128">
        <f t="shared" si="128"/>
        <v>0</v>
      </c>
      <c r="U1726" s="129" t="str">
        <f>IFERROR(IF(#REF!="S",VLOOKUP('Raw Data'!A1726,References!#REF!,2,FALSE),(VLOOKUP($S1726,References!$B$3:$C$7,2,FALSE))),"")</f>
        <v/>
      </c>
      <c r="W1726" s="74" t="str">
        <f>IFERROR(VLOOKUP($O1726,'Customer List'!$A$1:$J$488,10,FALSE),"")</f>
        <v/>
      </c>
    </row>
    <row r="1727" spans="18:23">
      <c r="R1727" s="127">
        <f t="shared" si="129"/>
        <v>0</v>
      </c>
      <c r="T1727" s="128">
        <f t="shared" si="128"/>
        <v>0</v>
      </c>
      <c r="U1727" s="129" t="str">
        <f>IFERROR(IF(#REF!="S",VLOOKUP('Raw Data'!A1727,References!#REF!,2,FALSE),(VLOOKUP($S1727,References!$B$3:$C$7,2,FALSE))),"")</f>
        <v/>
      </c>
      <c r="W1727" s="74" t="str">
        <f>IFERROR(VLOOKUP($O1727,'Customer List'!$A$1:$J$488,10,FALSE),"")</f>
        <v/>
      </c>
    </row>
    <row r="1728" spans="18:23">
      <c r="R1728" s="127">
        <f t="shared" si="129"/>
        <v>0</v>
      </c>
      <c r="T1728" s="128">
        <f t="shared" si="128"/>
        <v>0</v>
      </c>
      <c r="U1728" s="129" t="str">
        <f>IFERROR(IF(#REF!="S",VLOOKUP('Raw Data'!A1728,References!#REF!,2,FALSE),(VLOOKUP($S1728,References!$B$3:$C$7,2,FALSE))),"")</f>
        <v/>
      </c>
      <c r="W1728" s="74" t="str">
        <f>IFERROR(VLOOKUP($O1728,'Customer List'!$A$1:$J$488,10,FALSE),"")</f>
        <v/>
      </c>
    </row>
    <row r="1729" spans="18:23">
      <c r="R1729" s="127">
        <f t="shared" si="129"/>
        <v>0</v>
      </c>
      <c r="T1729" s="128">
        <f t="shared" si="128"/>
        <v>0</v>
      </c>
      <c r="U1729" s="129" t="str">
        <f>IFERROR(IF(#REF!="S",VLOOKUP('Raw Data'!A1729,References!#REF!,2,FALSE),(VLOOKUP($S1729,References!$B$3:$C$7,2,FALSE))),"")</f>
        <v/>
      </c>
      <c r="W1729" s="74" t="str">
        <f>IFERROR(VLOOKUP($O1729,'Customer List'!$A$1:$J$488,10,FALSE),"")</f>
        <v/>
      </c>
    </row>
    <row r="1730" spans="18:23">
      <c r="R1730" s="127">
        <f t="shared" si="129"/>
        <v>0</v>
      </c>
      <c r="T1730" s="128">
        <f t="shared" si="128"/>
        <v>0</v>
      </c>
      <c r="U1730" s="129" t="str">
        <f>IFERROR(IF(#REF!="S",VLOOKUP('Raw Data'!A1730,References!#REF!,2,FALSE),(VLOOKUP($S1730,References!$B$3:$C$7,2,FALSE))),"")</f>
        <v/>
      </c>
      <c r="W1730" s="74" t="str">
        <f>IFERROR(VLOOKUP($O1730,'Customer List'!$A$1:$J$488,10,FALSE),"")</f>
        <v/>
      </c>
    </row>
    <row r="1731" spans="18:23">
      <c r="R1731" s="127">
        <f t="shared" si="129"/>
        <v>0</v>
      </c>
      <c r="T1731" s="128">
        <f t="shared" si="128"/>
        <v>0</v>
      </c>
      <c r="U1731" s="129" t="str">
        <f>IFERROR(IF(#REF!="S",VLOOKUP('Raw Data'!A1731,References!#REF!,2,FALSE),(VLOOKUP($S1731,References!$B$3:$C$7,2,FALSE))),"")</f>
        <v/>
      </c>
      <c r="W1731" s="74" t="str">
        <f>IFERROR(VLOOKUP($O1731,'Customer List'!$A$1:$J$488,10,FALSE),"")</f>
        <v/>
      </c>
    </row>
    <row r="1732" spans="18:23">
      <c r="R1732" s="127">
        <f t="shared" si="129"/>
        <v>0</v>
      </c>
      <c r="T1732" s="128">
        <f t="shared" si="128"/>
        <v>0</v>
      </c>
      <c r="U1732" s="129" t="str">
        <f>IFERROR(IF(#REF!="S",VLOOKUP('Raw Data'!A1732,References!#REF!,2,FALSE),(VLOOKUP($S1732,References!$B$3:$C$7,2,FALSE))),"")</f>
        <v/>
      </c>
      <c r="W1732" s="74" t="str">
        <f>IFERROR(VLOOKUP($O1732,'Customer List'!$A$1:$J$488,10,FALSE),"")</f>
        <v/>
      </c>
    </row>
    <row r="1733" spans="18:23">
      <c r="R1733" s="127">
        <f t="shared" si="129"/>
        <v>0</v>
      </c>
      <c r="T1733" s="128">
        <f t="shared" si="128"/>
        <v>0</v>
      </c>
      <c r="U1733" s="129" t="str">
        <f>IFERROR(IF(#REF!="S",VLOOKUP('Raw Data'!A1733,References!#REF!,2,FALSE),(VLOOKUP($S1733,References!$B$3:$C$7,2,FALSE))),"")</f>
        <v/>
      </c>
      <c r="W1733" s="74" t="str">
        <f>IFERROR(VLOOKUP($O1733,'Customer List'!$A$1:$J$488,10,FALSE),"")</f>
        <v/>
      </c>
    </row>
    <row r="1734" spans="18:23">
      <c r="R1734" s="127">
        <f t="shared" si="129"/>
        <v>0</v>
      </c>
      <c r="T1734" s="128">
        <f t="shared" si="128"/>
        <v>0</v>
      </c>
      <c r="U1734" s="129" t="str">
        <f>IFERROR(IF(#REF!="S",VLOOKUP('Raw Data'!A1734,References!#REF!,2,FALSE),(VLOOKUP($S1734,References!$B$3:$C$7,2,FALSE))),"")</f>
        <v/>
      </c>
      <c r="W1734" s="74" t="str">
        <f>IFERROR(VLOOKUP($O1734,'Customer List'!$A$1:$J$488,10,FALSE),"")</f>
        <v/>
      </c>
    </row>
    <row r="1735" spans="18:23">
      <c r="R1735" s="127">
        <f t="shared" si="129"/>
        <v>0</v>
      </c>
      <c r="T1735" s="128">
        <f t="shared" si="128"/>
        <v>0</v>
      </c>
      <c r="U1735" s="129" t="str">
        <f>IFERROR(IF(#REF!="S",VLOOKUP('Raw Data'!A1735,References!#REF!,2,FALSE),(VLOOKUP($S1735,References!$B$3:$C$7,2,FALSE))),"")</f>
        <v/>
      </c>
      <c r="W1735" s="74" t="str">
        <f>IFERROR(VLOOKUP($O1735,'Customer List'!$A$1:$J$488,10,FALSE),"")</f>
        <v/>
      </c>
    </row>
    <row r="1736" spans="18:23">
      <c r="R1736" s="127">
        <f t="shared" si="129"/>
        <v>0</v>
      </c>
      <c r="T1736" s="128">
        <f t="shared" si="128"/>
        <v>0</v>
      </c>
      <c r="U1736" s="129" t="str">
        <f>IFERROR(IF(#REF!="S",VLOOKUP('Raw Data'!A1736,References!#REF!,2,FALSE),(VLOOKUP($S1736,References!$B$3:$C$7,2,FALSE))),"")</f>
        <v/>
      </c>
      <c r="W1736" s="74" t="str">
        <f>IFERROR(VLOOKUP($O1736,'Customer List'!$A$1:$J$488,10,FALSE),"")</f>
        <v/>
      </c>
    </row>
    <row r="1737" spans="18:23">
      <c r="R1737" s="127">
        <f t="shared" si="129"/>
        <v>0</v>
      </c>
      <c r="T1737" s="128">
        <f t="shared" si="128"/>
        <v>0</v>
      </c>
      <c r="U1737" s="129" t="str">
        <f>IFERROR(IF(#REF!="S",VLOOKUP('Raw Data'!A1737,References!#REF!,2,FALSE),(VLOOKUP($S1737,References!$B$3:$C$7,2,FALSE))),"")</f>
        <v/>
      </c>
      <c r="W1737" s="74" t="str">
        <f>IFERROR(VLOOKUP($O1737,'Customer List'!$A$1:$J$488,10,FALSE),"")</f>
        <v/>
      </c>
    </row>
    <row r="1738" spans="18:23">
      <c r="R1738" s="127">
        <f t="shared" si="129"/>
        <v>0</v>
      </c>
      <c r="T1738" s="128">
        <f t="shared" ref="T1738:T1801" si="130">IF(S1738="50 - Cleaning Fee",1,HOUR($R1738)+MINUTE(R1738)/60)</f>
        <v>0</v>
      </c>
      <c r="U1738" s="129" t="str">
        <f>IFERROR(IF(#REF!="S",VLOOKUP('Raw Data'!A1738,References!#REF!,2,FALSE),(VLOOKUP($S1738,References!$B$3:$C$7,2,FALSE))),"")</f>
        <v/>
      </c>
      <c r="W1738" s="74" t="str">
        <f>IFERROR(VLOOKUP($O1738,'Customer List'!$A$1:$J$488,10,FALSE),"")</f>
        <v/>
      </c>
    </row>
    <row r="1739" spans="18:23">
      <c r="R1739" s="127">
        <f t="shared" si="129"/>
        <v>0</v>
      </c>
      <c r="T1739" s="128">
        <f t="shared" si="130"/>
        <v>0</v>
      </c>
      <c r="U1739" s="129" t="str">
        <f>IFERROR(IF(#REF!="S",VLOOKUP('Raw Data'!A1739,References!#REF!,2,FALSE),(VLOOKUP($S1739,References!$B$3:$C$7,2,FALSE))),"")</f>
        <v/>
      </c>
      <c r="W1739" s="74" t="str">
        <f>IFERROR(VLOOKUP($O1739,'Customer List'!$A$1:$J$488,10,FALSE),"")</f>
        <v/>
      </c>
    </row>
    <row r="1740" spans="18:23">
      <c r="R1740" s="127">
        <f t="shared" si="129"/>
        <v>0</v>
      </c>
      <c r="T1740" s="128">
        <f t="shared" si="130"/>
        <v>0</v>
      </c>
      <c r="U1740" s="129" t="str">
        <f>IFERROR(IF(#REF!="S",VLOOKUP('Raw Data'!A1740,References!#REF!,2,FALSE),(VLOOKUP($S1740,References!$B$3:$C$7,2,FALSE))),"")</f>
        <v/>
      </c>
      <c r="W1740" s="74" t="str">
        <f>IFERROR(VLOOKUP($O1740,'Customer List'!$A$1:$J$488,10,FALSE),"")</f>
        <v/>
      </c>
    </row>
    <row r="1741" spans="18:23">
      <c r="R1741" s="127">
        <f t="shared" si="129"/>
        <v>0</v>
      </c>
      <c r="T1741" s="128">
        <f t="shared" si="130"/>
        <v>0</v>
      </c>
      <c r="U1741" s="129" t="str">
        <f>IFERROR(IF(#REF!="S",VLOOKUP('Raw Data'!A1741,References!#REF!,2,FALSE),(VLOOKUP($S1741,References!$B$3:$C$7,2,FALSE))),"")</f>
        <v/>
      </c>
      <c r="W1741" s="74" t="str">
        <f>IFERROR(VLOOKUP($O1741,'Customer List'!$A$1:$J$488,10,FALSE),"")</f>
        <v/>
      </c>
    </row>
    <row r="1742" spans="18:23">
      <c r="R1742" s="127">
        <f t="shared" si="129"/>
        <v>0</v>
      </c>
      <c r="T1742" s="128">
        <f t="shared" si="130"/>
        <v>0</v>
      </c>
      <c r="U1742" s="129" t="str">
        <f>IFERROR(IF(#REF!="S",VLOOKUP('Raw Data'!A1742,References!#REF!,2,FALSE),(VLOOKUP($S1742,References!$B$3:$C$7,2,FALSE))),"")</f>
        <v/>
      </c>
      <c r="W1742" s="74" t="str">
        <f>IFERROR(VLOOKUP($O1742,'Customer List'!$A$1:$J$488,10,FALSE),"")</f>
        <v/>
      </c>
    </row>
    <row r="1743" spans="18:23">
      <c r="R1743" s="127">
        <f t="shared" si="129"/>
        <v>0</v>
      </c>
      <c r="T1743" s="128">
        <f t="shared" si="130"/>
        <v>0</v>
      </c>
      <c r="U1743" s="129" t="str">
        <f>IFERROR(IF(#REF!="S",VLOOKUP('Raw Data'!A1743,References!#REF!,2,FALSE),(VLOOKUP($S1743,References!$B$3:$C$7,2,FALSE))),"")</f>
        <v/>
      </c>
      <c r="W1743" s="74" t="str">
        <f>IFERROR(VLOOKUP($O1743,'Customer List'!$A$1:$J$488,10,FALSE),"")</f>
        <v/>
      </c>
    </row>
    <row r="1744" spans="18:23">
      <c r="R1744" s="127">
        <f t="shared" si="129"/>
        <v>0</v>
      </c>
      <c r="T1744" s="128">
        <f t="shared" si="130"/>
        <v>0</v>
      </c>
      <c r="U1744" s="129" t="str">
        <f>IFERROR(IF(#REF!="S",VLOOKUP('Raw Data'!A1744,References!#REF!,2,FALSE),(VLOOKUP($S1744,References!$B$3:$C$7,2,FALSE))),"")</f>
        <v/>
      </c>
      <c r="W1744" s="74" t="str">
        <f>IFERROR(VLOOKUP($O1744,'Customer List'!$A$1:$J$488,10,FALSE),"")</f>
        <v/>
      </c>
    </row>
    <row r="1745" spans="18:23">
      <c r="R1745" s="127">
        <f t="shared" si="129"/>
        <v>0</v>
      </c>
      <c r="T1745" s="128">
        <f t="shared" si="130"/>
        <v>0</v>
      </c>
      <c r="U1745" s="129" t="str">
        <f>IFERROR(IF(#REF!="S",VLOOKUP('Raw Data'!A1745,References!#REF!,2,FALSE),(VLOOKUP($S1745,References!$B$3:$C$7,2,FALSE))),"")</f>
        <v/>
      </c>
      <c r="W1745" s="74" t="str">
        <f>IFERROR(VLOOKUP($O1745,'Customer List'!$A$1:$J$488,10,FALSE),"")</f>
        <v/>
      </c>
    </row>
    <row r="1746" spans="18:23">
      <c r="R1746" s="127">
        <f t="shared" si="129"/>
        <v>0</v>
      </c>
      <c r="T1746" s="128">
        <f t="shared" si="130"/>
        <v>0</v>
      </c>
      <c r="U1746" s="129" t="str">
        <f>IFERROR(IF(#REF!="S",VLOOKUP('Raw Data'!A1746,References!#REF!,2,FALSE),(VLOOKUP($S1746,References!$B$3:$C$7,2,FALSE))),"")</f>
        <v/>
      </c>
      <c r="W1746" s="74" t="str">
        <f>IFERROR(VLOOKUP($O1746,'Customer List'!$A$1:$J$488,10,FALSE),"")</f>
        <v/>
      </c>
    </row>
    <row r="1747" spans="18:23">
      <c r="R1747" s="127">
        <f t="shared" si="129"/>
        <v>0</v>
      </c>
      <c r="T1747" s="128">
        <f t="shared" si="130"/>
        <v>0</v>
      </c>
      <c r="U1747" s="129" t="str">
        <f>IFERROR(IF(#REF!="S",VLOOKUP('Raw Data'!A1747,References!#REF!,2,FALSE),(VLOOKUP($S1747,References!$B$3:$C$7,2,FALSE))),"")</f>
        <v/>
      </c>
      <c r="W1747" s="74" t="str">
        <f>IFERROR(VLOOKUP($O1747,'Customer List'!$A$1:$J$488,10,FALSE),"")</f>
        <v/>
      </c>
    </row>
    <row r="1748" spans="18:23">
      <c r="R1748" s="127">
        <f t="shared" si="129"/>
        <v>0</v>
      </c>
      <c r="T1748" s="128">
        <f t="shared" si="130"/>
        <v>0</v>
      </c>
      <c r="U1748" s="129" t="str">
        <f>IFERROR(IF(#REF!="S",VLOOKUP('Raw Data'!A1748,References!#REF!,2,FALSE),(VLOOKUP($S1748,References!$B$3:$C$7,2,FALSE))),"")</f>
        <v/>
      </c>
      <c r="W1748" s="74" t="str">
        <f>IFERROR(VLOOKUP($O1748,'Customer List'!$A$1:$J$488,10,FALSE),"")</f>
        <v/>
      </c>
    </row>
    <row r="1749" spans="18:23">
      <c r="R1749" s="127">
        <f t="shared" si="129"/>
        <v>0</v>
      </c>
      <c r="T1749" s="128">
        <f t="shared" si="130"/>
        <v>0</v>
      </c>
      <c r="U1749" s="129" t="str">
        <f>IFERROR(IF(#REF!="S",VLOOKUP('Raw Data'!A1749,References!#REF!,2,FALSE),(VLOOKUP($S1749,References!$B$3:$C$7,2,FALSE))),"")</f>
        <v/>
      </c>
      <c r="W1749" s="74" t="str">
        <f>IFERROR(VLOOKUP($O1749,'Customer List'!$A$1:$J$488,10,FALSE),"")</f>
        <v/>
      </c>
    </row>
    <row r="1750" spans="18:23">
      <c r="R1750" s="127">
        <f t="shared" si="129"/>
        <v>0</v>
      </c>
      <c r="T1750" s="128">
        <f t="shared" si="130"/>
        <v>0</v>
      </c>
      <c r="U1750" s="129" t="str">
        <f>IFERROR(IF(#REF!="S",VLOOKUP('Raw Data'!A1750,References!#REF!,2,FALSE),(VLOOKUP($S1750,References!$B$3:$C$7,2,FALSE))),"")</f>
        <v/>
      </c>
      <c r="W1750" s="74" t="str">
        <f>IFERROR(VLOOKUP($O1750,'Customer List'!$A$1:$J$488,10,FALSE),"")</f>
        <v/>
      </c>
    </row>
    <row r="1751" spans="18:23">
      <c r="R1751" s="127">
        <f t="shared" si="129"/>
        <v>0</v>
      </c>
      <c r="T1751" s="128">
        <f t="shared" si="130"/>
        <v>0</v>
      </c>
      <c r="U1751" s="129" t="str">
        <f>IFERROR(IF(#REF!="S",VLOOKUP('Raw Data'!A1751,References!#REF!,2,FALSE),(VLOOKUP($S1751,References!$B$3:$C$7,2,FALSE))),"")</f>
        <v/>
      </c>
      <c r="W1751" s="74" t="str">
        <f>IFERROR(VLOOKUP($O1751,'Customer List'!$A$1:$J$488,10,FALSE),"")</f>
        <v/>
      </c>
    </row>
    <row r="1752" spans="18:23">
      <c r="R1752" s="127">
        <f t="shared" si="129"/>
        <v>0</v>
      </c>
      <c r="T1752" s="128">
        <f t="shared" si="130"/>
        <v>0</v>
      </c>
      <c r="U1752" s="129" t="str">
        <f>IFERROR(IF(#REF!="S",VLOOKUP('Raw Data'!A1752,References!#REF!,2,FALSE),(VLOOKUP($S1752,References!$B$3:$C$7,2,FALSE))),"")</f>
        <v/>
      </c>
      <c r="W1752" s="74" t="str">
        <f>IFERROR(VLOOKUP($O1752,'Customer List'!$A$1:$J$488,10,FALSE),"")</f>
        <v/>
      </c>
    </row>
    <row r="1753" spans="18:23">
      <c r="R1753" s="127">
        <f t="shared" si="129"/>
        <v>0</v>
      </c>
      <c r="T1753" s="128">
        <f t="shared" si="130"/>
        <v>0</v>
      </c>
      <c r="U1753" s="129" t="str">
        <f>IFERROR(IF(#REF!="S",VLOOKUP('Raw Data'!A1753,References!#REF!,2,FALSE),(VLOOKUP($S1753,References!$B$3:$C$7,2,FALSE))),"")</f>
        <v/>
      </c>
      <c r="W1753" s="74" t="str">
        <f>IFERROR(VLOOKUP($O1753,'Customer List'!$A$1:$J$488,10,FALSE),"")</f>
        <v/>
      </c>
    </row>
    <row r="1754" spans="18:23">
      <c r="R1754" s="127">
        <f t="shared" si="129"/>
        <v>0</v>
      </c>
      <c r="T1754" s="128">
        <f t="shared" si="130"/>
        <v>0</v>
      </c>
      <c r="U1754" s="129" t="str">
        <f>IFERROR(IF(#REF!="S",VLOOKUP('Raw Data'!A1754,References!#REF!,2,FALSE),(VLOOKUP($S1754,References!$B$3:$C$7,2,FALSE))),"")</f>
        <v/>
      </c>
      <c r="W1754" s="74" t="str">
        <f>IFERROR(VLOOKUP($O1754,'Customer List'!$A$1:$J$488,10,FALSE),"")</f>
        <v/>
      </c>
    </row>
    <row r="1755" spans="18:23">
      <c r="R1755" s="127">
        <f t="shared" si="129"/>
        <v>0</v>
      </c>
      <c r="T1755" s="128">
        <f t="shared" si="130"/>
        <v>0</v>
      </c>
      <c r="U1755" s="129" t="str">
        <f>IFERROR(IF(#REF!="S",VLOOKUP('Raw Data'!A1755,References!#REF!,2,FALSE),(VLOOKUP($S1755,References!$B$3:$C$7,2,FALSE))),"")</f>
        <v/>
      </c>
      <c r="W1755" s="74" t="str">
        <f>IFERROR(VLOOKUP($O1755,'Customer List'!$A$1:$J$488,10,FALSE),"")</f>
        <v/>
      </c>
    </row>
    <row r="1756" spans="18:23">
      <c r="R1756" s="127">
        <f t="shared" si="129"/>
        <v>0</v>
      </c>
      <c r="T1756" s="128">
        <f t="shared" si="130"/>
        <v>0</v>
      </c>
      <c r="U1756" s="129" t="str">
        <f>IFERROR(IF(#REF!="S",VLOOKUP('Raw Data'!A1756,References!#REF!,2,FALSE),(VLOOKUP($S1756,References!$B$3:$C$7,2,FALSE))),"")</f>
        <v/>
      </c>
      <c r="W1756" s="74" t="str">
        <f>IFERROR(VLOOKUP($O1756,'Customer List'!$A$1:$J$488,10,FALSE),"")</f>
        <v/>
      </c>
    </row>
    <row r="1757" spans="18:23">
      <c r="R1757" s="127">
        <f t="shared" si="129"/>
        <v>0</v>
      </c>
      <c r="T1757" s="128">
        <f t="shared" si="130"/>
        <v>0</v>
      </c>
      <c r="U1757" s="129" t="str">
        <f>IFERROR(IF(#REF!="S",VLOOKUP('Raw Data'!A1757,References!#REF!,2,FALSE),(VLOOKUP($S1757,References!$B$3:$C$7,2,FALSE))),"")</f>
        <v/>
      </c>
      <c r="W1757" s="74" t="str">
        <f>IFERROR(VLOOKUP($O1757,'Customer List'!$A$1:$J$488,10,FALSE),"")</f>
        <v/>
      </c>
    </row>
    <row r="1758" spans="18:23">
      <c r="R1758" s="127">
        <f t="shared" si="129"/>
        <v>0</v>
      </c>
      <c r="T1758" s="128">
        <f t="shared" si="130"/>
        <v>0</v>
      </c>
      <c r="U1758" s="129" t="str">
        <f>IFERROR(IF(#REF!="S",VLOOKUP('Raw Data'!A1758,References!#REF!,2,FALSE),(VLOOKUP($S1758,References!$B$3:$C$7,2,FALSE))),"")</f>
        <v/>
      </c>
      <c r="W1758" s="74" t="str">
        <f>IFERROR(VLOOKUP($O1758,'Customer List'!$A$1:$J$488,10,FALSE),"")</f>
        <v/>
      </c>
    </row>
    <row r="1759" spans="18:23">
      <c r="R1759" s="127">
        <f t="shared" si="129"/>
        <v>0</v>
      </c>
      <c r="T1759" s="128">
        <f t="shared" si="130"/>
        <v>0</v>
      </c>
      <c r="U1759" s="129" t="str">
        <f>IFERROR(IF(#REF!="S",VLOOKUP('Raw Data'!A1759,References!#REF!,2,FALSE),(VLOOKUP($S1759,References!$B$3:$C$7,2,FALSE))),"")</f>
        <v/>
      </c>
      <c r="W1759" s="74" t="str">
        <f>IFERROR(VLOOKUP($O1759,'Customer List'!$A$1:$J$488,10,FALSE),"")</f>
        <v/>
      </c>
    </row>
    <row r="1760" spans="18:23">
      <c r="R1760" s="127">
        <f t="shared" si="129"/>
        <v>0</v>
      </c>
      <c r="T1760" s="128">
        <f t="shared" si="130"/>
        <v>0</v>
      </c>
      <c r="U1760" s="129" t="str">
        <f>IFERROR(IF(#REF!="S",VLOOKUP('Raw Data'!A1760,References!#REF!,2,FALSE),(VLOOKUP($S1760,References!$B$3:$C$7,2,FALSE))),"")</f>
        <v/>
      </c>
      <c r="W1760" s="74" t="str">
        <f>IFERROR(VLOOKUP($O1760,'Customer List'!$A$1:$J$488,10,FALSE),"")</f>
        <v/>
      </c>
    </row>
    <row r="1761" spans="18:23">
      <c r="R1761" s="127">
        <f t="shared" si="129"/>
        <v>0</v>
      </c>
      <c r="T1761" s="128">
        <f t="shared" si="130"/>
        <v>0</v>
      </c>
      <c r="U1761" s="129" t="str">
        <f>IFERROR(IF(#REF!="S",VLOOKUP('Raw Data'!A1761,References!#REF!,2,FALSE),(VLOOKUP($S1761,References!$B$3:$C$7,2,FALSE))),"")</f>
        <v/>
      </c>
      <c r="W1761" s="74" t="str">
        <f>IFERROR(VLOOKUP($O1761,'Customer List'!$A$1:$J$488,10,FALSE),"")</f>
        <v/>
      </c>
    </row>
    <row r="1762" spans="18:23">
      <c r="R1762" s="127">
        <f t="shared" si="129"/>
        <v>0</v>
      </c>
      <c r="T1762" s="128">
        <f t="shared" si="130"/>
        <v>0</v>
      </c>
      <c r="U1762" s="129" t="str">
        <f>IFERROR(IF(#REF!="S",VLOOKUP('Raw Data'!A1762,References!#REF!,2,FALSE),(VLOOKUP($S1762,References!$B$3:$C$7,2,FALSE))),"")</f>
        <v/>
      </c>
      <c r="W1762" s="74" t="str">
        <f>IFERROR(VLOOKUP($O1762,'Customer List'!$A$1:$J$488,10,FALSE),"")</f>
        <v/>
      </c>
    </row>
    <row r="1763" spans="18:23">
      <c r="R1763" s="127">
        <f t="shared" si="129"/>
        <v>0</v>
      </c>
      <c r="T1763" s="128">
        <f t="shared" si="130"/>
        <v>0</v>
      </c>
      <c r="U1763" s="129" t="str">
        <f>IFERROR(IF(#REF!="S",VLOOKUP('Raw Data'!A1763,References!#REF!,2,FALSE),(VLOOKUP($S1763,References!$B$3:$C$7,2,FALSE))),"")</f>
        <v/>
      </c>
      <c r="W1763" s="74" t="str">
        <f>IFERROR(VLOOKUP($O1763,'Customer List'!$A$1:$J$488,10,FALSE),"")</f>
        <v/>
      </c>
    </row>
    <row r="1764" spans="18:23">
      <c r="R1764" s="127">
        <f t="shared" si="129"/>
        <v>0</v>
      </c>
      <c r="T1764" s="128">
        <f t="shared" si="130"/>
        <v>0</v>
      </c>
      <c r="U1764" s="129" t="str">
        <f>IFERROR(IF(#REF!="S",VLOOKUP('Raw Data'!A1764,References!#REF!,2,FALSE),(VLOOKUP($S1764,References!$B$3:$C$7,2,FALSE))),"")</f>
        <v/>
      </c>
      <c r="W1764" s="74" t="str">
        <f>IFERROR(VLOOKUP($O1764,'Customer List'!$A$1:$J$488,10,FALSE),"")</f>
        <v/>
      </c>
    </row>
    <row r="1765" spans="18:23">
      <c r="R1765" s="127">
        <f t="shared" si="129"/>
        <v>0</v>
      </c>
      <c r="T1765" s="128">
        <f t="shared" si="130"/>
        <v>0</v>
      </c>
      <c r="U1765" s="129" t="str">
        <f>IFERROR(IF(#REF!="S",VLOOKUP('Raw Data'!A1765,References!#REF!,2,FALSE),(VLOOKUP($S1765,References!$B$3:$C$7,2,FALSE))),"")</f>
        <v/>
      </c>
      <c r="W1765" s="74" t="str">
        <f>IFERROR(VLOOKUP($O1765,'Customer List'!$A$1:$J$488,10,FALSE),"")</f>
        <v/>
      </c>
    </row>
    <row r="1766" spans="18:23">
      <c r="R1766" s="127">
        <f t="shared" ref="R1766:R1829" si="131">L1766-K1766</f>
        <v>0</v>
      </c>
      <c r="T1766" s="128">
        <f t="shared" si="130"/>
        <v>0</v>
      </c>
      <c r="U1766" s="129" t="str">
        <f>IFERROR(IF(#REF!="S",VLOOKUP('Raw Data'!A1766,References!#REF!,2,FALSE),(VLOOKUP($S1766,References!$B$3:$C$7,2,FALSE))),"")</f>
        <v/>
      </c>
      <c r="W1766" s="74" t="str">
        <f>IFERROR(VLOOKUP($O1766,'Customer List'!$A$1:$J$488,10,FALSE),"")</f>
        <v/>
      </c>
    </row>
    <row r="1767" spans="18:23">
      <c r="R1767" s="127">
        <f t="shared" si="131"/>
        <v>0</v>
      </c>
      <c r="T1767" s="128">
        <f t="shared" si="130"/>
        <v>0</v>
      </c>
      <c r="U1767" s="129" t="str">
        <f>IFERROR(IF(#REF!="S",VLOOKUP('Raw Data'!A1767,References!#REF!,2,FALSE),(VLOOKUP($S1767,References!$B$3:$C$7,2,FALSE))),"")</f>
        <v/>
      </c>
      <c r="W1767" s="74" t="str">
        <f>IFERROR(VLOOKUP($O1767,'Customer List'!$A$1:$J$488,10,FALSE),"")</f>
        <v/>
      </c>
    </row>
    <row r="1768" spans="18:23">
      <c r="R1768" s="127">
        <f t="shared" si="131"/>
        <v>0</v>
      </c>
      <c r="T1768" s="128">
        <f t="shared" si="130"/>
        <v>0</v>
      </c>
      <c r="U1768" s="129" t="str">
        <f>IFERROR(IF(#REF!="S",VLOOKUP('Raw Data'!A1768,References!#REF!,2,FALSE),(VLOOKUP($S1768,References!$B$3:$C$7,2,FALSE))),"")</f>
        <v/>
      </c>
      <c r="W1768" s="74" t="str">
        <f>IFERROR(VLOOKUP($O1768,'Customer List'!$A$1:$J$488,10,FALSE),"")</f>
        <v/>
      </c>
    </row>
    <row r="1769" spans="18:23">
      <c r="R1769" s="127">
        <f t="shared" si="131"/>
        <v>0</v>
      </c>
      <c r="T1769" s="128">
        <f t="shared" si="130"/>
        <v>0</v>
      </c>
      <c r="U1769" s="129" t="str">
        <f>IFERROR(IF(#REF!="S",VLOOKUP('Raw Data'!A1769,References!#REF!,2,FALSE),(VLOOKUP($S1769,References!$B$3:$C$7,2,FALSE))),"")</f>
        <v/>
      </c>
      <c r="W1769" s="74" t="str">
        <f>IFERROR(VLOOKUP($O1769,'Customer List'!$A$1:$J$488,10,FALSE),"")</f>
        <v/>
      </c>
    </row>
    <row r="1770" spans="18:23">
      <c r="R1770" s="127">
        <f t="shared" si="131"/>
        <v>0</v>
      </c>
      <c r="T1770" s="128">
        <f t="shared" si="130"/>
        <v>0</v>
      </c>
      <c r="U1770" s="129" t="str">
        <f>IFERROR(IF(#REF!="S",VLOOKUP('Raw Data'!A1770,References!#REF!,2,FALSE),(VLOOKUP($S1770,References!$B$3:$C$7,2,FALSE))),"")</f>
        <v/>
      </c>
      <c r="W1770" s="74" t="str">
        <f>IFERROR(VLOOKUP($O1770,'Customer List'!$A$1:$J$488,10,FALSE),"")</f>
        <v/>
      </c>
    </row>
    <row r="1771" spans="18:23">
      <c r="R1771" s="127">
        <f t="shared" si="131"/>
        <v>0</v>
      </c>
      <c r="T1771" s="128">
        <f t="shared" si="130"/>
        <v>0</v>
      </c>
      <c r="U1771" s="129" t="str">
        <f>IFERROR(IF(#REF!="S",VLOOKUP('Raw Data'!A1771,References!#REF!,2,FALSE),(VLOOKUP($S1771,References!$B$3:$C$7,2,FALSE))),"")</f>
        <v/>
      </c>
      <c r="W1771" s="74" t="str">
        <f>IFERROR(VLOOKUP($O1771,'Customer List'!$A$1:$J$488,10,FALSE),"")</f>
        <v/>
      </c>
    </row>
    <row r="1772" spans="18:23">
      <c r="R1772" s="127">
        <f t="shared" si="131"/>
        <v>0</v>
      </c>
      <c r="T1772" s="128">
        <f t="shared" si="130"/>
        <v>0</v>
      </c>
      <c r="U1772" s="129" t="str">
        <f>IFERROR(IF(#REF!="S",VLOOKUP('Raw Data'!A1772,References!#REF!,2,FALSE),(VLOOKUP($S1772,References!$B$3:$C$7,2,FALSE))),"")</f>
        <v/>
      </c>
      <c r="W1772" s="74" t="str">
        <f>IFERROR(VLOOKUP($O1772,'Customer List'!$A$1:$J$488,10,FALSE),"")</f>
        <v/>
      </c>
    </row>
    <row r="1773" spans="18:23">
      <c r="R1773" s="127">
        <f t="shared" si="131"/>
        <v>0</v>
      </c>
      <c r="T1773" s="128">
        <f t="shared" si="130"/>
        <v>0</v>
      </c>
      <c r="U1773" s="129" t="str">
        <f>IFERROR(IF(#REF!="S",VLOOKUP('Raw Data'!A1773,References!#REF!,2,FALSE),(VLOOKUP($S1773,References!$B$3:$C$7,2,FALSE))),"")</f>
        <v/>
      </c>
      <c r="W1773" s="74" t="str">
        <f>IFERROR(VLOOKUP($O1773,'Customer List'!$A$1:$J$488,10,FALSE),"")</f>
        <v/>
      </c>
    </row>
    <row r="1774" spans="18:23">
      <c r="R1774" s="127">
        <f t="shared" si="131"/>
        <v>0</v>
      </c>
      <c r="T1774" s="128">
        <f t="shared" si="130"/>
        <v>0</v>
      </c>
      <c r="U1774" s="129" t="str">
        <f>IFERROR(IF(#REF!="S",VLOOKUP('Raw Data'!A1774,References!#REF!,2,FALSE),(VLOOKUP($S1774,References!$B$3:$C$7,2,FALSE))),"")</f>
        <v/>
      </c>
      <c r="W1774" s="74" t="str">
        <f>IFERROR(VLOOKUP($O1774,'Customer List'!$A$1:$J$488,10,FALSE),"")</f>
        <v/>
      </c>
    </row>
    <row r="1775" spans="18:23">
      <c r="R1775" s="127">
        <f t="shared" si="131"/>
        <v>0</v>
      </c>
      <c r="T1775" s="128">
        <f t="shared" si="130"/>
        <v>0</v>
      </c>
      <c r="U1775" s="129" t="str">
        <f>IFERROR(IF(#REF!="S",VLOOKUP('Raw Data'!A1775,References!#REF!,2,FALSE),(VLOOKUP($S1775,References!$B$3:$C$7,2,FALSE))),"")</f>
        <v/>
      </c>
      <c r="W1775" s="74" t="str">
        <f>IFERROR(VLOOKUP($O1775,'Customer List'!$A$1:$J$488,10,FALSE),"")</f>
        <v/>
      </c>
    </row>
    <row r="1776" spans="18:23">
      <c r="R1776" s="127">
        <f t="shared" si="131"/>
        <v>0</v>
      </c>
      <c r="T1776" s="128">
        <f t="shared" si="130"/>
        <v>0</v>
      </c>
      <c r="U1776" s="129" t="str">
        <f>IFERROR(IF(#REF!="S",VLOOKUP('Raw Data'!A1776,References!#REF!,2,FALSE),(VLOOKUP($S1776,References!$B$3:$C$7,2,FALSE))),"")</f>
        <v/>
      </c>
      <c r="W1776" s="74" t="str">
        <f>IFERROR(VLOOKUP($O1776,'Customer List'!$A$1:$J$488,10,FALSE),"")</f>
        <v/>
      </c>
    </row>
    <row r="1777" spans="18:23">
      <c r="R1777" s="127">
        <f t="shared" si="131"/>
        <v>0</v>
      </c>
      <c r="T1777" s="128">
        <f t="shared" si="130"/>
        <v>0</v>
      </c>
      <c r="U1777" s="129" t="str">
        <f>IFERROR(IF(#REF!="S",VLOOKUP('Raw Data'!A1777,References!#REF!,2,FALSE),(VLOOKUP($S1777,References!$B$3:$C$7,2,FALSE))),"")</f>
        <v/>
      </c>
      <c r="W1777" s="74" t="str">
        <f>IFERROR(VLOOKUP($O1777,'Customer List'!$A$1:$J$488,10,FALSE),"")</f>
        <v/>
      </c>
    </row>
    <row r="1778" spans="18:23">
      <c r="R1778" s="127">
        <f t="shared" si="131"/>
        <v>0</v>
      </c>
      <c r="T1778" s="128">
        <f t="shared" si="130"/>
        <v>0</v>
      </c>
      <c r="U1778" s="129" t="str">
        <f>IFERROR(IF(#REF!="S",VLOOKUP('Raw Data'!A1778,References!#REF!,2,FALSE),(VLOOKUP($S1778,References!$B$3:$C$7,2,FALSE))),"")</f>
        <v/>
      </c>
      <c r="W1778" s="74" t="str">
        <f>IFERROR(VLOOKUP($O1778,'Customer List'!$A$1:$J$488,10,FALSE),"")</f>
        <v/>
      </c>
    </row>
    <row r="1779" spans="18:23">
      <c r="R1779" s="127">
        <f t="shared" si="131"/>
        <v>0</v>
      </c>
      <c r="T1779" s="128">
        <f t="shared" si="130"/>
        <v>0</v>
      </c>
      <c r="U1779" s="129" t="str">
        <f>IFERROR(IF(#REF!="S",VLOOKUP('Raw Data'!A1779,References!#REF!,2,FALSE),(VLOOKUP($S1779,References!$B$3:$C$7,2,FALSE))),"")</f>
        <v/>
      </c>
      <c r="W1779" s="74" t="str">
        <f>IFERROR(VLOOKUP($O1779,'Customer List'!$A$1:$J$488,10,FALSE),"")</f>
        <v/>
      </c>
    </row>
    <row r="1780" spans="18:23">
      <c r="R1780" s="127">
        <f t="shared" si="131"/>
        <v>0</v>
      </c>
      <c r="T1780" s="128">
        <f t="shared" si="130"/>
        <v>0</v>
      </c>
      <c r="U1780" s="129" t="str">
        <f>IFERROR(IF(#REF!="S",VLOOKUP('Raw Data'!A1780,References!#REF!,2,FALSE),(VLOOKUP($S1780,References!$B$3:$C$7,2,FALSE))),"")</f>
        <v/>
      </c>
      <c r="W1780" s="74" t="str">
        <f>IFERROR(VLOOKUP($O1780,'Customer List'!$A$1:$J$488,10,FALSE),"")</f>
        <v/>
      </c>
    </row>
    <row r="1781" spans="18:23">
      <c r="R1781" s="127">
        <f t="shared" si="131"/>
        <v>0</v>
      </c>
      <c r="T1781" s="128">
        <f t="shared" si="130"/>
        <v>0</v>
      </c>
      <c r="U1781" s="129" t="str">
        <f>IFERROR(IF(#REF!="S",VLOOKUP('Raw Data'!A1781,References!#REF!,2,FALSE),(VLOOKUP($S1781,References!$B$3:$C$7,2,FALSE))),"")</f>
        <v/>
      </c>
      <c r="W1781" s="74" t="str">
        <f>IFERROR(VLOOKUP($O1781,'Customer List'!$A$1:$J$488,10,FALSE),"")</f>
        <v/>
      </c>
    </row>
    <row r="1782" spans="18:23">
      <c r="R1782" s="127">
        <f t="shared" si="131"/>
        <v>0</v>
      </c>
      <c r="T1782" s="128">
        <f t="shared" si="130"/>
        <v>0</v>
      </c>
      <c r="U1782" s="129" t="str">
        <f>IFERROR(IF(#REF!="S",VLOOKUP('Raw Data'!A1782,References!#REF!,2,FALSE),(VLOOKUP($S1782,References!$B$3:$C$7,2,FALSE))),"")</f>
        <v/>
      </c>
      <c r="W1782" s="74" t="str">
        <f>IFERROR(VLOOKUP($O1782,'Customer List'!$A$1:$J$488,10,FALSE),"")</f>
        <v/>
      </c>
    </row>
    <row r="1783" spans="18:23">
      <c r="R1783" s="127">
        <f t="shared" si="131"/>
        <v>0</v>
      </c>
      <c r="T1783" s="128">
        <f t="shared" si="130"/>
        <v>0</v>
      </c>
      <c r="U1783" s="129" t="str">
        <f>IFERROR(IF(#REF!="S",VLOOKUP('Raw Data'!A1783,References!#REF!,2,FALSE),(VLOOKUP($S1783,References!$B$3:$C$7,2,FALSE))),"")</f>
        <v/>
      </c>
      <c r="W1783" s="74" t="str">
        <f>IFERROR(VLOOKUP($O1783,'Customer List'!$A$1:$J$488,10,FALSE),"")</f>
        <v/>
      </c>
    </row>
    <row r="1784" spans="18:23">
      <c r="R1784" s="127">
        <f t="shared" si="131"/>
        <v>0</v>
      </c>
      <c r="T1784" s="128">
        <f t="shared" si="130"/>
        <v>0</v>
      </c>
      <c r="U1784" s="129" t="str">
        <f>IFERROR(IF(#REF!="S",VLOOKUP('Raw Data'!A1784,References!#REF!,2,FALSE),(VLOOKUP($S1784,References!$B$3:$C$7,2,FALSE))),"")</f>
        <v/>
      </c>
      <c r="W1784" s="74" t="str">
        <f>IFERROR(VLOOKUP($O1784,'Customer List'!$A$1:$J$488,10,FALSE),"")</f>
        <v/>
      </c>
    </row>
    <row r="1785" spans="18:23">
      <c r="R1785" s="127">
        <f t="shared" si="131"/>
        <v>0</v>
      </c>
      <c r="T1785" s="128">
        <f t="shared" si="130"/>
        <v>0</v>
      </c>
      <c r="U1785" s="129" t="str">
        <f>IFERROR(IF(#REF!="S",VLOOKUP('Raw Data'!A1785,References!#REF!,2,FALSE),(VLOOKUP($S1785,References!$B$3:$C$7,2,FALSE))),"")</f>
        <v/>
      </c>
      <c r="W1785" s="74" t="str">
        <f>IFERROR(VLOOKUP($O1785,'Customer List'!$A$1:$J$488,10,FALSE),"")</f>
        <v/>
      </c>
    </row>
    <row r="1786" spans="18:23">
      <c r="R1786" s="127">
        <f t="shared" si="131"/>
        <v>0</v>
      </c>
      <c r="T1786" s="128">
        <f t="shared" si="130"/>
        <v>0</v>
      </c>
      <c r="U1786" s="129" t="str">
        <f>IFERROR(IF(#REF!="S",VLOOKUP('Raw Data'!A1786,References!#REF!,2,FALSE),(VLOOKUP($S1786,References!$B$3:$C$7,2,FALSE))),"")</f>
        <v/>
      </c>
      <c r="W1786" s="74" t="str">
        <f>IFERROR(VLOOKUP($O1786,'Customer List'!$A$1:$J$488,10,FALSE),"")</f>
        <v/>
      </c>
    </row>
    <row r="1787" spans="18:23">
      <c r="R1787" s="127">
        <f t="shared" si="131"/>
        <v>0</v>
      </c>
      <c r="T1787" s="128">
        <f t="shared" si="130"/>
        <v>0</v>
      </c>
      <c r="U1787" s="129" t="str">
        <f>IFERROR(IF(#REF!="S",VLOOKUP('Raw Data'!A1787,References!#REF!,2,FALSE),(VLOOKUP($S1787,References!$B$3:$C$7,2,FALSE))),"")</f>
        <v/>
      </c>
      <c r="W1787" s="74" t="str">
        <f>IFERROR(VLOOKUP($O1787,'Customer List'!$A$1:$J$488,10,FALSE),"")</f>
        <v/>
      </c>
    </row>
    <row r="1788" spans="18:23">
      <c r="R1788" s="127">
        <f t="shared" si="131"/>
        <v>0</v>
      </c>
      <c r="T1788" s="128">
        <f t="shared" si="130"/>
        <v>0</v>
      </c>
      <c r="U1788" s="129" t="str">
        <f>IFERROR(IF(#REF!="S",VLOOKUP('Raw Data'!A1788,References!#REF!,2,FALSE),(VLOOKUP($S1788,References!$B$3:$C$7,2,FALSE))),"")</f>
        <v/>
      </c>
      <c r="W1788" s="74" t="str">
        <f>IFERROR(VLOOKUP($O1788,'Customer List'!$A$1:$J$488,10,FALSE),"")</f>
        <v/>
      </c>
    </row>
    <row r="1789" spans="18:23">
      <c r="R1789" s="127">
        <f t="shared" si="131"/>
        <v>0</v>
      </c>
      <c r="T1789" s="128">
        <f t="shared" si="130"/>
        <v>0</v>
      </c>
      <c r="U1789" s="129" t="str">
        <f>IFERROR(IF(#REF!="S",VLOOKUP('Raw Data'!A1789,References!#REF!,2,FALSE),(VLOOKUP($S1789,References!$B$3:$C$7,2,FALSE))),"")</f>
        <v/>
      </c>
      <c r="W1789" s="74" t="str">
        <f>IFERROR(VLOOKUP($O1789,'Customer List'!$A$1:$J$488,10,FALSE),"")</f>
        <v/>
      </c>
    </row>
    <row r="1790" spans="18:23">
      <c r="R1790" s="127">
        <f t="shared" si="131"/>
        <v>0</v>
      </c>
      <c r="T1790" s="128">
        <f t="shared" si="130"/>
        <v>0</v>
      </c>
      <c r="U1790" s="129" t="str">
        <f>IFERROR(IF(#REF!="S",VLOOKUP('Raw Data'!A1790,References!#REF!,2,FALSE),(VLOOKUP($S1790,References!$B$3:$C$7,2,FALSE))),"")</f>
        <v/>
      </c>
      <c r="W1790" s="74" t="str">
        <f>IFERROR(VLOOKUP($O1790,'Customer List'!$A$1:$J$488,10,FALSE),"")</f>
        <v/>
      </c>
    </row>
    <row r="1791" spans="18:23">
      <c r="R1791" s="127">
        <f t="shared" si="131"/>
        <v>0</v>
      </c>
      <c r="T1791" s="128">
        <f t="shared" si="130"/>
        <v>0</v>
      </c>
      <c r="U1791" s="129" t="str">
        <f>IFERROR(IF(#REF!="S",VLOOKUP('Raw Data'!A1791,References!#REF!,2,FALSE),(VLOOKUP($S1791,References!$B$3:$C$7,2,FALSE))),"")</f>
        <v/>
      </c>
      <c r="W1791" s="74" t="str">
        <f>IFERROR(VLOOKUP($O1791,'Customer List'!$A$1:$J$488,10,FALSE),"")</f>
        <v/>
      </c>
    </row>
    <row r="1792" spans="18:23">
      <c r="R1792" s="127">
        <f t="shared" si="131"/>
        <v>0</v>
      </c>
      <c r="T1792" s="128">
        <f t="shared" si="130"/>
        <v>0</v>
      </c>
      <c r="U1792" s="129" t="str">
        <f>IFERROR(IF(#REF!="S",VLOOKUP('Raw Data'!A1792,References!#REF!,2,FALSE),(VLOOKUP($S1792,References!$B$3:$C$7,2,FALSE))),"")</f>
        <v/>
      </c>
      <c r="W1792" s="74" t="str">
        <f>IFERROR(VLOOKUP($O1792,'Customer List'!$A$1:$J$488,10,FALSE),"")</f>
        <v/>
      </c>
    </row>
    <row r="1793" spans="18:23">
      <c r="R1793" s="127">
        <f t="shared" si="131"/>
        <v>0</v>
      </c>
      <c r="T1793" s="128">
        <f t="shared" si="130"/>
        <v>0</v>
      </c>
      <c r="U1793" s="129" t="str">
        <f>IFERROR(IF(#REF!="S",VLOOKUP('Raw Data'!A1793,References!#REF!,2,FALSE),(VLOOKUP($S1793,References!$B$3:$C$7,2,FALSE))),"")</f>
        <v/>
      </c>
      <c r="W1793" s="74" t="str">
        <f>IFERROR(VLOOKUP($O1793,'Customer List'!$A$1:$J$488,10,FALSE),"")</f>
        <v/>
      </c>
    </row>
    <row r="1794" spans="18:23">
      <c r="R1794" s="127">
        <f t="shared" si="131"/>
        <v>0</v>
      </c>
      <c r="T1794" s="128">
        <f t="shared" si="130"/>
        <v>0</v>
      </c>
      <c r="U1794" s="129" t="str">
        <f>IFERROR(IF(#REF!="S",VLOOKUP('Raw Data'!A1794,References!#REF!,2,FALSE),(VLOOKUP($S1794,References!$B$3:$C$7,2,FALSE))),"")</f>
        <v/>
      </c>
      <c r="W1794" s="74" t="str">
        <f>IFERROR(VLOOKUP($O1794,'Customer List'!$A$1:$J$488,10,FALSE),"")</f>
        <v/>
      </c>
    </row>
    <row r="1795" spans="18:23">
      <c r="R1795" s="127">
        <f t="shared" si="131"/>
        <v>0</v>
      </c>
      <c r="T1795" s="128">
        <f t="shared" si="130"/>
        <v>0</v>
      </c>
      <c r="U1795" s="129" t="str">
        <f>IFERROR(IF(#REF!="S",VLOOKUP('Raw Data'!A1795,References!#REF!,2,FALSE),(VLOOKUP($S1795,References!$B$3:$C$7,2,FALSE))),"")</f>
        <v/>
      </c>
      <c r="W1795" s="74" t="str">
        <f>IFERROR(VLOOKUP($O1795,'Customer List'!$A$1:$J$488,10,FALSE),"")</f>
        <v/>
      </c>
    </row>
    <row r="1796" spans="18:23">
      <c r="R1796" s="127">
        <f t="shared" si="131"/>
        <v>0</v>
      </c>
      <c r="T1796" s="128">
        <f t="shared" si="130"/>
        <v>0</v>
      </c>
      <c r="U1796" s="129" t="str">
        <f>IFERROR(IF(#REF!="S",VLOOKUP('Raw Data'!A1796,References!#REF!,2,FALSE),(VLOOKUP($S1796,References!$B$3:$C$7,2,FALSE))),"")</f>
        <v/>
      </c>
      <c r="W1796" s="74" t="str">
        <f>IFERROR(VLOOKUP($O1796,'Customer List'!$A$1:$J$488,10,FALSE),"")</f>
        <v/>
      </c>
    </row>
    <row r="1797" spans="18:23">
      <c r="R1797" s="127">
        <f t="shared" si="131"/>
        <v>0</v>
      </c>
      <c r="T1797" s="128">
        <f t="shared" si="130"/>
        <v>0</v>
      </c>
      <c r="U1797" s="129" t="str">
        <f>IFERROR(IF(#REF!="S",VLOOKUP('Raw Data'!A1797,References!#REF!,2,FALSE),(VLOOKUP($S1797,References!$B$3:$C$7,2,FALSE))),"")</f>
        <v/>
      </c>
      <c r="W1797" s="74" t="str">
        <f>IFERROR(VLOOKUP($O1797,'Customer List'!$A$1:$J$488,10,FALSE),"")</f>
        <v/>
      </c>
    </row>
    <row r="1798" spans="18:23">
      <c r="R1798" s="127">
        <f t="shared" si="131"/>
        <v>0</v>
      </c>
      <c r="T1798" s="128">
        <f t="shared" si="130"/>
        <v>0</v>
      </c>
      <c r="U1798" s="129" t="str">
        <f>IFERROR(IF(#REF!="S",VLOOKUP('Raw Data'!A1798,References!#REF!,2,FALSE),(VLOOKUP($S1798,References!$B$3:$C$7,2,FALSE))),"")</f>
        <v/>
      </c>
      <c r="W1798" s="74" t="str">
        <f>IFERROR(VLOOKUP($O1798,'Customer List'!$A$1:$J$488,10,FALSE),"")</f>
        <v/>
      </c>
    </row>
    <row r="1799" spans="18:23">
      <c r="R1799" s="127">
        <f t="shared" si="131"/>
        <v>0</v>
      </c>
      <c r="T1799" s="128">
        <f t="shared" si="130"/>
        <v>0</v>
      </c>
      <c r="U1799" s="129" t="str">
        <f>IFERROR(IF(#REF!="S",VLOOKUP('Raw Data'!A1799,References!#REF!,2,FALSE),(VLOOKUP($S1799,References!$B$3:$C$7,2,FALSE))),"")</f>
        <v/>
      </c>
      <c r="W1799" s="74" t="str">
        <f>IFERROR(VLOOKUP($O1799,'Customer List'!$A$1:$J$488,10,FALSE),"")</f>
        <v/>
      </c>
    </row>
    <row r="1800" spans="18:23">
      <c r="R1800" s="127">
        <f t="shared" si="131"/>
        <v>0</v>
      </c>
      <c r="T1800" s="128">
        <f t="shared" si="130"/>
        <v>0</v>
      </c>
      <c r="U1800" s="129" t="str">
        <f>IFERROR(IF(#REF!="S",VLOOKUP('Raw Data'!A1800,References!#REF!,2,FALSE),(VLOOKUP($S1800,References!$B$3:$C$7,2,FALSE))),"")</f>
        <v/>
      </c>
      <c r="W1800" s="74" t="str">
        <f>IFERROR(VLOOKUP($O1800,'Customer List'!$A$1:$J$488,10,FALSE),"")</f>
        <v/>
      </c>
    </row>
    <row r="1801" spans="18:23">
      <c r="R1801" s="127">
        <f t="shared" si="131"/>
        <v>0</v>
      </c>
      <c r="T1801" s="128">
        <f t="shared" si="130"/>
        <v>0</v>
      </c>
      <c r="U1801" s="129" t="str">
        <f>IFERROR(IF(#REF!="S",VLOOKUP('Raw Data'!A1801,References!#REF!,2,FALSE),(VLOOKUP($S1801,References!$B$3:$C$7,2,FALSE))),"")</f>
        <v/>
      </c>
      <c r="W1801" s="74" t="str">
        <f>IFERROR(VLOOKUP($O1801,'Customer List'!$A$1:$J$488,10,FALSE),"")</f>
        <v/>
      </c>
    </row>
    <row r="1802" spans="18:23">
      <c r="R1802" s="127">
        <f t="shared" si="131"/>
        <v>0</v>
      </c>
      <c r="T1802" s="128">
        <f t="shared" ref="T1802:T1865" si="132">IF(S1802="50 - Cleaning Fee",1,HOUR($R1802)+MINUTE(R1802)/60)</f>
        <v>0</v>
      </c>
      <c r="U1802" s="129" t="str">
        <f>IFERROR(IF(#REF!="S",VLOOKUP('Raw Data'!A1802,References!#REF!,2,FALSE),(VLOOKUP($S1802,References!$B$3:$C$7,2,FALSE))),"")</f>
        <v/>
      </c>
      <c r="W1802" s="74" t="str">
        <f>IFERROR(VLOOKUP($O1802,'Customer List'!$A$1:$J$488,10,FALSE),"")</f>
        <v/>
      </c>
    </row>
    <row r="1803" spans="18:23">
      <c r="R1803" s="127">
        <f t="shared" si="131"/>
        <v>0</v>
      </c>
      <c r="T1803" s="128">
        <f t="shared" si="132"/>
        <v>0</v>
      </c>
      <c r="U1803" s="129" t="str">
        <f>IFERROR(IF(#REF!="S",VLOOKUP('Raw Data'!A1803,References!#REF!,2,FALSE),(VLOOKUP($S1803,References!$B$3:$C$7,2,FALSE))),"")</f>
        <v/>
      </c>
      <c r="W1803" s="74" t="str">
        <f>IFERROR(VLOOKUP($O1803,'Customer List'!$A$1:$J$488,10,FALSE),"")</f>
        <v/>
      </c>
    </row>
    <row r="1804" spans="18:23">
      <c r="R1804" s="127">
        <f t="shared" si="131"/>
        <v>0</v>
      </c>
      <c r="T1804" s="128">
        <f t="shared" si="132"/>
        <v>0</v>
      </c>
      <c r="U1804" s="129" t="str">
        <f>IFERROR(IF(#REF!="S",VLOOKUP('Raw Data'!A1804,References!#REF!,2,FALSE),(VLOOKUP($S1804,References!$B$3:$C$7,2,FALSE))),"")</f>
        <v/>
      </c>
      <c r="W1804" s="74" t="str">
        <f>IFERROR(VLOOKUP($O1804,'Customer List'!$A$1:$J$488,10,FALSE),"")</f>
        <v/>
      </c>
    </row>
    <row r="1805" spans="18:23">
      <c r="R1805" s="127">
        <f t="shared" si="131"/>
        <v>0</v>
      </c>
      <c r="T1805" s="128">
        <f t="shared" si="132"/>
        <v>0</v>
      </c>
      <c r="U1805" s="129" t="str">
        <f>IFERROR(IF(#REF!="S",VLOOKUP('Raw Data'!A1805,References!#REF!,2,FALSE),(VLOOKUP($S1805,References!$B$3:$C$7,2,FALSE))),"")</f>
        <v/>
      </c>
      <c r="W1805" s="74" t="str">
        <f>IFERROR(VLOOKUP($O1805,'Customer List'!$A$1:$J$488,10,FALSE),"")</f>
        <v/>
      </c>
    </row>
    <row r="1806" spans="18:23">
      <c r="R1806" s="127">
        <f t="shared" si="131"/>
        <v>0</v>
      </c>
      <c r="T1806" s="128">
        <f t="shared" si="132"/>
        <v>0</v>
      </c>
      <c r="U1806" s="129" t="str">
        <f>IFERROR(IF(#REF!="S",VLOOKUP('Raw Data'!A1806,References!#REF!,2,FALSE),(VLOOKUP($S1806,References!$B$3:$C$7,2,FALSE))),"")</f>
        <v/>
      </c>
      <c r="W1806" s="74" t="str">
        <f>IFERROR(VLOOKUP($O1806,'Customer List'!$A$1:$J$488,10,FALSE),"")</f>
        <v/>
      </c>
    </row>
    <row r="1807" spans="18:23">
      <c r="R1807" s="127">
        <f t="shared" si="131"/>
        <v>0</v>
      </c>
      <c r="T1807" s="128">
        <f t="shared" si="132"/>
        <v>0</v>
      </c>
      <c r="U1807" s="129" t="str">
        <f>IFERROR(IF(#REF!="S",VLOOKUP('Raw Data'!A1807,References!#REF!,2,FALSE),(VLOOKUP($S1807,References!$B$3:$C$7,2,FALSE))),"")</f>
        <v/>
      </c>
      <c r="W1807" s="74" t="str">
        <f>IFERROR(VLOOKUP($O1807,'Customer List'!$A$1:$J$488,10,FALSE),"")</f>
        <v/>
      </c>
    </row>
    <row r="1808" spans="18:23">
      <c r="R1808" s="127">
        <f t="shared" si="131"/>
        <v>0</v>
      </c>
      <c r="T1808" s="128">
        <f t="shared" si="132"/>
        <v>0</v>
      </c>
      <c r="U1808" s="129" t="str">
        <f>IFERROR(IF(#REF!="S",VLOOKUP('Raw Data'!A1808,References!#REF!,2,FALSE),(VLOOKUP($S1808,References!$B$3:$C$7,2,FALSE))),"")</f>
        <v/>
      </c>
      <c r="W1808" s="74" t="str">
        <f>IFERROR(VLOOKUP($O1808,'Customer List'!$A$1:$J$488,10,FALSE),"")</f>
        <v/>
      </c>
    </row>
    <row r="1809" spans="18:23">
      <c r="R1809" s="127">
        <f t="shared" si="131"/>
        <v>0</v>
      </c>
      <c r="T1809" s="128">
        <f t="shared" si="132"/>
        <v>0</v>
      </c>
      <c r="U1809" s="129" t="str">
        <f>IFERROR(IF(#REF!="S",VLOOKUP('Raw Data'!A1809,References!#REF!,2,FALSE),(VLOOKUP($S1809,References!$B$3:$C$7,2,FALSE))),"")</f>
        <v/>
      </c>
      <c r="W1809" s="74" t="str">
        <f>IFERROR(VLOOKUP($O1809,'Customer List'!$A$1:$J$488,10,FALSE),"")</f>
        <v/>
      </c>
    </row>
    <row r="1810" spans="18:23">
      <c r="R1810" s="127">
        <f t="shared" si="131"/>
        <v>0</v>
      </c>
      <c r="T1810" s="128">
        <f t="shared" si="132"/>
        <v>0</v>
      </c>
      <c r="U1810" s="129" t="str">
        <f>IFERROR(IF(#REF!="S",VLOOKUP('Raw Data'!A1810,References!#REF!,2,FALSE),(VLOOKUP($S1810,References!$B$3:$C$7,2,FALSE))),"")</f>
        <v/>
      </c>
      <c r="W1810" s="74" t="str">
        <f>IFERROR(VLOOKUP($O1810,'Customer List'!$A$1:$J$488,10,FALSE),"")</f>
        <v/>
      </c>
    </row>
    <row r="1811" spans="18:23">
      <c r="R1811" s="127">
        <f t="shared" si="131"/>
        <v>0</v>
      </c>
      <c r="T1811" s="128">
        <f t="shared" si="132"/>
        <v>0</v>
      </c>
      <c r="U1811" s="129" t="str">
        <f>IFERROR(IF(#REF!="S",VLOOKUP('Raw Data'!A1811,References!#REF!,2,FALSE),(VLOOKUP($S1811,References!$B$3:$C$7,2,FALSE))),"")</f>
        <v/>
      </c>
      <c r="W1811" s="74" t="str">
        <f>IFERROR(VLOOKUP($O1811,'Customer List'!$A$1:$J$488,10,FALSE),"")</f>
        <v/>
      </c>
    </row>
    <row r="1812" spans="18:23">
      <c r="R1812" s="127">
        <f t="shared" si="131"/>
        <v>0</v>
      </c>
      <c r="T1812" s="128">
        <f t="shared" si="132"/>
        <v>0</v>
      </c>
      <c r="U1812" s="129" t="str">
        <f>IFERROR(IF(#REF!="S",VLOOKUP('Raw Data'!A1812,References!#REF!,2,FALSE),(VLOOKUP($S1812,References!$B$3:$C$7,2,FALSE))),"")</f>
        <v/>
      </c>
      <c r="W1812" s="74" t="str">
        <f>IFERROR(VLOOKUP($O1812,'Customer List'!$A$1:$J$488,10,FALSE),"")</f>
        <v/>
      </c>
    </row>
    <row r="1813" spans="18:23">
      <c r="R1813" s="127">
        <f t="shared" si="131"/>
        <v>0</v>
      </c>
      <c r="T1813" s="128">
        <f t="shared" si="132"/>
        <v>0</v>
      </c>
      <c r="U1813" s="129" t="str">
        <f>IFERROR(IF(#REF!="S",VLOOKUP('Raw Data'!A1813,References!#REF!,2,FALSE),(VLOOKUP($S1813,References!$B$3:$C$7,2,FALSE))),"")</f>
        <v/>
      </c>
      <c r="W1813" s="74" t="str">
        <f>IFERROR(VLOOKUP($O1813,'Customer List'!$A$1:$J$488,10,FALSE),"")</f>
        <v/>
      </c>
    </row>
    <row r="1814" spans="18:23">
      <c r="R1814" s="127">
        <f t="shared" si="131"/>
        <v>0</v>
      </c>
      <c r="T1814" s="128">
        <f t="shared" si="132"/>
        <v>0</v>
      </c>
      <c r="U1814" s="129" t="str">
        <f>IFERROR(IF(#REF!="S",VLOOKUP('Raw Data'!A1814,References!#REF!,2,FALSE),(VLOOKUP($S1814,References!$B$3:$C$7,2,FALSE))),"")</f>
        <v/>
      </c>
      <c r="W1814" s="74" t="str">
        <f>IFERROR(VLOOKUP($O1814,'Customer List'!$A$1:$J$488,10,FALSE),"")</f>
        <v/>
      </c>
    </row>
    <row r="1815" spans="18:23">
      <c r="R1815" s="127">
        <f t="shared" si="131"/>
        <v>0</v>
      </c>
      <c r="T1815" s="128">
        <f t="shared" si="132"/>
        <v>0</v>
      </c>
      <c r="U1815" s="129" t="str">
        <f>IFERROR(IF(#REF!="S",VLOOKUP('Raw Data'!A1815,References!#REF!,2,FALSE),(VLOOKUP($S1815,References!$B$3:$C$7,2,FALSE))),"")</f>
        <v/>
      </c>
      <c r="W1815" s="74" t="str">
        <f>IFERROR(VLOOKUP($O1815,'Customer List'!$A$1:$J$488,10,FALSE),"")</f>
        <v/>
      </c>
    </row>
    <row r="1816" spans="18:23">
      <c r="R1816" s="127">
        <f t="shared" si="131"/>
        <v>0</v>
      </c>
      <c r="T1816" s="128">
        <f t="shared" si="132"/>
        <v>0</v>
      </c>
      <c r="U1816" s="129" t="str">
        <f>IFERROR(IF(#REF!="S",VLOOKUP('Raw Data'!A1816,References!#REF!,2,FALSE),(VLOOKUP($S1816,References!$B$3:$C$7,2,FALSE))),"")</f>
        <v/>
      </c>
      <c r="W1816" s="74" t="str">
        <f>IFERROR(VLOOKUP($O1816,'Customer List'!$A$1:$J$488,10,FALSE),"")</f>
        <v/>
      </c>
    </row>
    <row r="1817" spans="18:23">
      <c r="R1817" s="127">
        <f t="shared" si="131"/>
        <v>0</v>
      </c>
      <c r="T1817" s="128">
        <f t="shared" si="132"/>
        <v>0</v>
      </c>
      <c r="U1817" s="129" t="str">
        <f>IFERROR(IF(#REF!="S",VLOOKUP('Raw Data'!A1817,References!#REF!,2,FALSE),(VLOOKUP($S1817,References!$B$3:$C$7,2,FALSE))),"")</f>
        <v/>
      </c>
      <c r="W1817" s="74" t="str">
        <f>IFERROR(VLOOKUP($O1817,'Customer List'!$A$1:$J$488,10,FALSE),"")</f>
        <v/>
      </c>
    </row>
    <row r="1818" spans="18:23">
      <c r="R1818" s="127">
        <f t="shared" si="131"/>
        <v>0</v>
      </c>
      <c r="T1818" s="128">
        <f t="shared" si="132"/>
        <v>0</v>
      </c>
      <c r="U1818" s="129" t="str">
        <f>IFERROR(IF(#REF!="S",VLOOKUP('Raw Data'!A1818,References!#REF!,2,FALSE),(VLOOKUP($S1818,References!$B$3:$C$7,2,FALSE))),"")</f>
        <v/>
      </c>
      <c r="W1818" s="74" t="str">
        <f>IFERROR(VLOOKUP($O1818,'Customer List'!$A$1:$J$488,10,FALSE),"")</f>
        <v/>
      </c>
    </row>
    <row r="1819" spans="18:23">
      <c r="R1819" s="127">
        <f t="shared" si="131"/>
        <v>0</v>
      </c>
      <c r="T1819" s="128">
        <f t="shared" si="132"/>
        <v>0</v>
      </c>
      <c r="U1819" s="129" t="str">
        <f>IFERROR(IF(#REF!="S",VLOOKUP('Raw Data'!A1819,References!#REF!,2,FALSE),(VLOOKUP($S1819,References!$B$3:$C$7,2,FALSE))),"")</f>
        <v/>
      </c>
      <c r="W1819" s="74" t="str">
        <f>IFERROR(VLOOKUP($O1819,'Customer List'!$A$1:$J$488,10,FALSE),"")</f>
        <v/>
      </c>
    </row>
    <row r="1820" spans="18:23">
      <c r="R1820" s="127">
        <f t="shared" si="131"/>
        <v>0</v>
      </c>
      <c r="T1820" s="128">
        <f t="shared" si="132"/>
        <v>0</v>
      </c>
      <c r="U1820" s="129" t="str">
        <f>IFERROR(IF(#REF!="S",VLOOKUP('Raw Data'!A1820,References!#REF!,2,FALSE),(VLOOKUP($S1820,References!$B$3:$C$7,2,FALSE))),"")</f>
        <v/>
      </c>
      <c r="W1820" s="74" t="str">
        <f>IFERROR(VLOOKUP($O1820,'Customer List'!$A$1:$J$488,10,FALSE),"")</f>
        <v/>
      </c>
    </row>
    <row r="1821" spans="18:23">
      <c r="R1821" s="127">
        <f t="shared" si="131"/>
        <v>0</v>
      </c>
      <c r="T1821" s="128">
        <f t="shared" si="132"/>
        <v>0</v>
      </c>
      <c r="U1821" s="129" t="str">
        <f>IFERROR(IF(#REF!="S",VLOOKUP('Raw Data'!A1821,References!#REF!,2,FALSE),(VLOOKUP($S1821,References!$B$3:$C$7,2,FALSE))),"")</f>
        <v/>
      </c>
      <c r="W1821" s="74" t="str">
        <f>IFERROR(VLOOKUP($O1821,'Customer List'!$A$1:$J$488,10,FALSE),"")</f>
        <v/>
      </c>
    </row>
    <row r="1822" spans="18:23">
      <c r="R1822" s="127">
        <f t="shared" si="131"/>
        <v>0</v>
      </c>
      <c r="T1822" s="128">
        <f t="shared" si="132"/>
        <v>0</v>
      </c>
      <c r="U1822" s="129" t="str">
        <f>IFERROR(IF(#REF!="S",VLOOKUP('Raw Data'!A1822,References!#REF!,2,FALSE),(VLOOKUP($S1822,References!$B$3:$C$7,2,FALSE))),"")</f>
        <v/>
      </c>
      <c r="W1822" s="74" t="str">
        <f>IFERROR(VLOOKUP($O1822,'Customer List'!$A$1:$J$488,10,FALSE),"")</f>
        <v/>
      </c>
    </row>
    <row r="1823" spans="18:23">
      <c r="R1823" s="127">
        <f t="shared" si="131"/>
        <v>0</v>
      </c>
      <c r="T1823" s="128">
        <f t="shared" si="132"/>
        <v>0</v>
      </c>
      <c r="U1823" s="129" t="str">
        <f>IFERROR(IF(#REF!="S",VLOOKUP('Raw Data'!A1823,References!#REF!,2,FALSE),(VLOOKUP($S1823,References!$B$3:$C$7,2,FALSE))),"")</f>
        <v/>
      </c>
      <c r="W1823" s="74" t="str">
        <f>IFERROR(VLOOKUP($O1823,'Customer List'!$A$1:$J$488,10,FALSE),"")</f>
        <v/>
      </c>
    </row>
    <row r="1824" spans="18:23">
      <c r="R1824" s="127">
        <f t="shared" si="131"/>
        <v>0</v>
      </c>
      <c r="T1824" s="128">
        <f t="shared" si="132"/>
        <v>0</v>
      </c>
      <c r="U1824" s="129" t="str">
        <f>IFERROR(IF(#REF!="S",VLOOKUP('Raw Data'!A1824,References!#REF!,2,FALSE),(VLOOKUP($S1824,References!$B$3:$C$7,2,FALSE))),"")</f>
        <v/>
      </c>
      <c r="W1824" s="74" t="str">
        <f>IFERROR(VLOOKUP($O1824,'Customer List'!$A$1:$J$488,10,FALSE),"")</f>
        <v/>
      </c>
    </row>
    <row r="1825" spans="18:23">
      <c r="R1825" s="127">
        <f t="shared" si="131"/>
        <v>0</v>
      </c>
      <c r="T1825" s="128">
        <f t="shared" si="132"/>
        <v>0</v>
      </c>
      <c r="U1825" s="129" t="str">
        <f>IFERROR(IF(#REF!="S",VLOOKUP('Raw Data'!A1825,References!#REF!,2,FALSE),(VLOOKUP($S1825,References!$B$3:$C$7,2,FALSE))),"")</f>
        <v/>
      </c>
      <c r="W1825" s="74" t="str">
        <f>IFERROR(VLOOKUP($O1825,'Customer List'!$A$1:$J$488,10,FALSE),"")</f>
        <v/>
      </c>
    </row>
    <row r="1826" spans="18:23">
      <c r="R1826" s="127">
        <f t="shared" si="131"/>
        <v>0</v>
      </c>
      <c r="T1826" s="128">
        <f t="shared" si="132"/>
        <v>0</v>
      </c>
      <c r="U1826" s="129" t="str">
        <f>IFERROR(IF(#REF!="S",VLOOKUP('Raw Data'!A1826,References!#REF!,2,FALSE),(VLOOKUP($S1826,References!$B$3:$C$7,2,FALSE))),"")</f>
        <v/>
      </c>
      <c r="W1826" s="74" t="str">
        <f>IFERROR(VLOOKUP($O1826,'Customer List'!$A$1:$J$488,10,FALSE),"")</f>
        <v/>
      </c>
    </row>
    <row r="1827" spans="18:23">
      <c r="R1827" s="127">
        <f t="shared" si="131"/>
        <v>0</v>
      </c>
      <c r="T1827" s="128">
        <f t="shared" si="132"/>
        <v>0</v>
      </c>
      <c r="U1827" s="129" t="str">
        <f>IFERROR(IF(#REF!="S",VLOOKUP('Raw Data'!A1827,References!#REF!,2,FALSE),(VLOOKUP($S1827,References!$B$3:$C$7,2,FALSE))),"")</f>
        <v/>
      </c>
      <c r="W1827" s="74" t="str">
        <f>IFERROR(VLOOKUP($O1827,'Customer List'!$A$1:$J$488,10,FALSE),"")</f>
        <v/>
      </c>
    </row>
    <row r="1828" spans="18:23">
      <c r="R1828" s="127">
        <f t="shared" si="131"/>
        <v>0</v>
      </c>
      <c r="T1828" s="128">
        <f t="shared" si="132"/>
        <v>0</v>
      </c>
      <c r="U1828" s="129" t="str">
        <f>IFERROR(IF(#REF!="S",VLOOKUP('Raw Data'!A1828,References!#REF!,2,FALSE),(VLOOKUP($S1828,References!$B$3:$C$7,2,FALSE))),"")</f>
        <v/>
      </c>
      <c r="W1828" s="74" t="str">
        <f>IFERROR(VLOOKUP($O1828,'Customer List'!$A$1:$J$488,10,FALSE),"")</f>
        <v/>
      </c>
    </row>
    <row r="1829" spans="18:23">
      <c r="R1829" s="127">
        <f t="shared" si="131"/>
        <v>0</v>
      </c>
      <c r="T1829" s="128">
        <f t="shared" si="132"/>
        <v>0</v>
      </c>
      <c r="U1829" s="129" t="str">
        <f>IFERROR(IF(#REF!="S",VLOOKUP('Raw Data'!A1829,References!#REF!,2,FALSE),(VLOOKUP($S1829,References!$B$3:$C$7,2,FALSE))),"")</f>
        <v/>
      </c>
      <c r="W1829" s="74" t="str">
        <f>IFERROR(VLOOKUP($O1829,'Customer List'!$A$1:$J$488,10,FALSE),"")</f>
        <v/>
      </c>
    </row>
    <row r="1830" spans="18:23">
      <c r="R1830" s="127">
        <f t="shared" ref="R1830:R1893" si="133">L1830-K1830</f>
        <v>0</v>
      </c>
      <c r="T1830" s="128">
        <f t="shared" si="132"/>
        <v>0</v>
      </c>
      <c r="U1830" s="129" t="str">
        <f>IFERROR(IF(#REF!="S",VLOOKUP('Raw Data'!A1830,References!#REF!,2,FALSE),(VLOOKUP($S1830,References!$B$3:$C$7,2,FALSE))),"")</f>
        <v/>
      </c>
      <c r="W1830" s="74" t="str">
        <f>IFERROR(VLOOKUP($O1830,'Customer List'!$A$1:$J$488,10,FALSE),"")</f>
        <v/>
      </c>
    </row>
    <row r="1831" spans="18:23">
      <c r="R1831" s="127">
        <f t="shared" si="133"/>
        <v>0</v>
      </c>
      <c r="T1831" s="128">
        <f t="shared" si="132"/>
        <v>0</v>
      </c>
      <c r="U1831" s="129" t="str">
        <f>IFERROR(IF(#REF!="S",VLOOKUP('Raw Data'!A1831,References!#REF!,2,FALSE),(VLOOKUP($S1831,References!$B$3:$C$7,2,FALSE))),"")</f>
        <v/>
      </c>
      <c r="W1831" s="74" t="str">
        <f>IFERROR(VLOOKUP($O1831,'Customer List'!$A$1:$J$488,10,FALSE),"")</f>
        <v/>
      </c>
    </row>
    <row r="1832" spans="18:23">
      <c r="R1832" s="127">
        <f t="shared" si="133"/>
        <v>0</v>
      </c>
      <c r="T1832" s="128">
        <f t="shared" si="132"/>
        <v>0</v>
      </c>
      <c r="U1832" s="129" t="str">
        <f>IFERROR(IF(#REF!="S",VLOOKUP('Raw Data'!A1832,References!#REF!,2,FALSE),(VLOOKUP($S1832,References!$B$3:$C$7,2,FALSE))),"")</f>
        <v/>
      </c>
      <c r="W1832" s="74" t="str">
        <f>IFERROR(VLOOKUP($O1832,'Customer List'!$A$1:$J$488,10,FALSE),"")</f>
        <v/>
      </c>
    </row>
    <row r="1833" spans="18:23">
      <c r="R1833" s="127">
        <f t="shared" si="133"/>
        <v>0</v>
      </c>
      <c r="T1833" s="128">
        <f t="shared" si="132"/>
        <v>0</v>
      </c>
      <c r="U1833" s="129" t="str">
        <f>IFERROR(IF(#REF!="S",VLOOKUP('Raw Data'!A1833,References!#REF!,2,FALSE),(VLOOKUP($S1833,References!$B$3:$C$7,2,FALSE))),"")</f>
        <v/>
      </c>
      <c r="W1833" s="74" t="str">
        <f>IFERROR(VLOOKUP($O1833,'Customer List'!$A$1:$J$488,10,FALSE),"")</f>
        <v/>
      </c>
    </row>
    <row r="1834" spans="18:23">
      <c r="R1834" s="127">
        <f t="shared" si="133"/>
        <v>0</v>
      </c>
      <c r="T1834" s="128">
        <f t="shared" si="132"/>
        <v>0</v>
      </c>
      <c r="U1834" s="129" t="str">
        <f>IFERROR(IF(#REF!="S",VLOOKUP('Raw Data'!A1834,References!#REF!,2,FALSE),(VLOOKUP($S1834,References!$B$3:$C$7,2,FALSE))),"")</f>
        <v/>
      </c>
      <c r="W1834" s="74" t="str">
        <f>IFERROR(VLOOKUP($O1834,'Customer List'!$A$1:$J$488,10,FALSE),"")</f>
        <v/>
      </c>
    </row>
    <row r="1835" spans="18:23">
      <c r="R1835" s="127">
        <f t="shared" si="133"/>
        <v>0</v>
      </c>
      <c r="T1835" s="128">
        <f t="shared" si="132"/>
        <v>0</v>
      </c>
      <c r="U1835" s="129" t="str">
        <f>IFERROR(IF(#REF!="S",VLOOKUP('Raw Data'!A1835,References!#REF!,2,FALSE),(VLOOKUP($S1835,References!$B$3:$C$7,2,FALSE))),"")</f>
        <v/>
      </c>
      <c r="W1835" s="74" t="str">
        <f>IFERROR(VLOOKUP($O1835,'Customer List'!$A$1:$J$488,10,FALSE),"")</f>
        <v/>
      </c>
    </row>
    <row r="1836" spans="18:23">
      <c r="R1836" s="127">
        <f t="shared" si="133"/>
        <v>0</v>
      </c>
      <c r="T1836" s="128">
        <f t="shared" si="132"/>
        <v>0</v>
      </c>
      <c r="U1836" s="129" t="str">
        <f>IFERROR(IF(#REF!="S",VLOOKUP('Raw Data'!A1836,References!#REF!,2,FALSE),(VLOOKUP($S1836,References!$B$3:$C$7,2,FALSE))),"")</f>
        <v/>
      </c>
      <c r="W1836" s="74" t="str">
        <f>IFERROR(VLOOKUP($O1836,'Customer List'!$A$1:$J$488,10,FALSE),"")</f>
        <v/>
      </c>
    </row>
    <row r="1837" spans="18:23">
      <c r="R1837" s="127">
        <f t="shared" si="133"/>
        <v>0</v>
      </c>
      <c r="T1837" s="128">
        <f t="shared" si="132"/>
        <v>0</v>
      </c>
      <c r="U1837" s="129" t="str">
        <f>IFERROR(IF(#REF!="S",VLOOKUP('Raw Data'!A1837,References!#REF!,2,FALSE),(VLOOKUP($S1837,References!$B$3:$C$7,2,FALSE))),"")</f>
        <v/>
      </c>
      <c r="W1837" s="74" t="str">
        <f>IFERROR(VLOOKUP($O1837,'Customer List'!$A$1:$J$488,10,FALSE),"")</f>
        <v/>
      </c>
    </row>
    <row r="1838" spans="18:23">
      <c r="R1838" s="127">
        <f t="shared" si="133"/>
        <v>0</v>
      </c>
      <c r="T1838" s="128">
        <f t="shared" si="132"/>
        <v>0</v>
      </c>
      <c r="U1838" s="129" t="str">
        <f>IFERROR(IF(#REF!="S",VLOOKUP('Raw Data'!A1838,References!#REF!,2,FALSE),(VLOOKUP($S1838,References!$B$3:$C$7,2,FALSE))),"")</f>
        <v/>
      </c>
      <c r="W1838" s="74" t="str">
        <f>IFERROR(VLOOKUP($O1838,'Customer List'!$A$1:$J$488,10,FALSE),"")</f>
        <v/>
      </c>
    </row>
    <row r="1839" spans="18:23">
      <c r="R1839" s="127">
        <f t="shared" si="133"/>
        <v>0</v>
      </c>
      <c r="T1839" s="128">
        <f t="shared" si="132"/>
        <v>0</v>
      </c>
      <c r="U1839" s="129" t="str">
        <f>IFERROR(IF(#REF!="S",VLOOKUP('Raw Data'!A1839,References!#REF!,2,FALSE),(VLOOKUP($S1839,References!$B$3:$C$7,2,FALSE))),"")</f>
        <v/>
      </c>
      <c r="W1839" s="74" t="str">
        <f>IFERROR(VLOOKUP($O1839,'Customer List'!$A$1:$J$488,10,FALSE),"")</f>
        <v/>
      </c>
    </row>
    <row r="1840" spans="18:23">
      <c r="R1840" s="127">
        <f t="shared" si="133"/>
        <v>0</v>
      </c>
      <c r="T1840" s="128">
        <f t="shared" si="132"/>
        <v>0</v>
      </c>
      <c r="U1840" s="129" t="str">
        <f>IFERROR(IF(#REF!="S",VLOOKUP('Raw Data'!A1840,References!#REF!,2,FALSE),(VLOOKUP($S1840,References!$B$3:$C$7,2,FALSE))),"")</f>
        <v/>
      </c>
      <c r="W1840" s="74" t="str">
        <f>IFERROR(VLOOKUP($O1840,'Customer List'!$A$1:$J$488,10,FALSE),"")</f>
        <v/>
      </c>
    </row>
    <row r="1841" spans="18:23">
      <c r="R1841" s="127">
        <f t="shared" si="133"/>
        <v>0</v>
      </c>
      <c r="T1841" s="128">
        <f t="shared" si="132"/>
        <v>0</v>
      </c>
      <c r="U1841" s="129" t="str">
        <f>IFERROR(IF(#REF!="S",VLOOKUP('Raw Data'!A1841,References!#REF!,2,FALSE),(VLOOKUP($S1841,References!$B$3:$C$7,2,FALSE))),"")</f>
        <v/>
      </c>
      <c r="W1841" s="74" t="str">
        <f>IFERROR(VLOOKUP($O1841,'Customer List'!$A$1:$J$488,10,FALSE),"")</f>
        <v/>
      </c>
    </row>
    <row r="1842" spans="18:23">
      <c r="R1842" s="127">
        <f t="shared" si="133"/>
        <v>0</v>
      </c>
      <c r="T1842" s="128">
        <f t="shared" si="132"/>
        <v>0</v>
      </c>
      <c r="U1842" s="129" t="str">
        <f>IFERROR(IF(#REF!="S",VLOOKUP('Raw Data'!A1842,References!#REF!,2,FALSE),(VLOOKUP($S1842,References!$B$3:$C$7,2,FALSE))),"")</f>
        <v/>
      </c>
      <c r="W1842" s="74" t="str">
        <f>IFERROR(VLOOKUP($O1842,'Customer List'!$A$1:$J$488,10,FALSE),"")</f>
        <v/>
      </c>
    </row>
    <row r="1843" spans="18:23">
      <c r="R1843" s="127">
        <f t="shared" si="133"/>
        <v>0</v>
      </c>
      <c r="T1843" s="128">
        <f t="shared" si="132"/>
        <v>0</v>
      </c>
      <c r="U1843" s="129" t="str">
        <f>IFERROR(IF(#REF!="S",VLOOKUP('Raw Data'!A1843,References!#REF!,2,FALSE),(VLOOKUP($S1843,References!$B$3:$C$7,2,FALSE))),"")</f>
        <v/>
      </c>
      <c r="W1843" s="74" t="str">
        <f>IFERROR(VLOOKUP($O1843,'Customer List'!$A$1:$J$488,10,FALSE),"")</f>
        <v/>
      </c>
    </row>
    <row r="1844" spans="18:23">
      <c r="R1844" s="127">
        <f t="shared" si="133"/>
        <v>0</v>
      </c>
      <c r="T1844" s="128">
        <f t="shared" si="132"/>
        <v>0</v>
      </c>
      <c r="U1844" s="129" t="str">
        <f>IFERROR(IF(#REF!="S",VLOOKUP('Raw Data'!A1844,References!#REF!,2,FALSE),(VLOOKUP($S1844,References!$B$3:$C$7,2,FALSE))),"")</f>
        <v/>
      </c>
      <c r="W1844" s="74" t="str">
        <f>IFERROR(VLOOKUP($O1844,'Customer List'!$A$1:$J$488,10,FALSE),"")</f>
        <v/>
      </c>
    </row>
    <row r="1845" spans="18:23">
      <c r="R1845" s="127">
        <f t="shared" si="133"/>
        <v>0</v>
      </c>
      <c r="T1845" s="128">
        <f t="shared" si="132"/>
        <v>0</v>
      </c>
      <c r="U1845" s="129" t="str">
        <f>IFERROR(IF(#REF!="S",VLOOKUP('Raw Data'!A1845,References!#REF!,2,FALSE),(VLOOKUP($S1845,References!$B$3:$C$7,2,FALSE))),"")</f>
        <v/>
      </c>
      <c r="W1845" s="74" t="str">
        <f>IFERROR(VLOOKUP($O1845,'Customer List'!$A$1:$J$488,10,FALSE),"")</f>
        <v/>
      </c>
    </row>
    <row r="1846" spans="18:23">
      <c r="R1846" s="127">
        <f t="shared" si="133"/>
        <v>0</v>
      </c>
      <c r="T1846" s="128">
        <f t="shared" si="132"/>
        <v>0</v>
      </c>
      <c r="U1846" s="129" t="str">
        <f>IFERROR(IF(#REF!="S",VLOOKUP('Raw Data'!A1846,References!#REF!,2,FALSE),(VLOOKUP($S1846,References!$B$3:$C$7,2,FALSE))),"")</f>
        <v/>
      </c>
      <c r="W1846" s="74" t="str">
        <f>IFERROR(VLOOKUP($O1846,'Customer List'!$A$1:$J$488,10,FALSE),"")</f>
        <v/>
      </c>
    </row>
    <row r="1847" spans="18:23">
      <c r="R1847" s="127">
        <f t="shared" si="133"/>
        <v>0</v>
      </c>
      <c r="T1847" s="128">
        <f t="shared" si="132"/>
        <v>0</v>
      </c>
      <c r="U1847" s="129" t="str">
        <f>IFERROR(IF(#REF!="S",VLOOKUP('Raw Data'!A1847,References!#REF!,2,FALSE),(VLOOKUP($S1847,References!$B$3:$C$7,2,FALSE))),"")</f>
        <v/>
      </c>
      <c r="W1847" s="74" t="str">
        <f>IFERROR(VLOOKUP($O1847,'Customer List'!$A$1:$J$488,10,FALSE),"")</f>
        <v/>
      </c>
    </row>
    <row r="1848" spans="18:23">
      <c r="R1848" s="127">
        <f t="shared" si="133"/>
        <v>0</v>
      </c>
      <c r="T1848" s="128">
        <f t="shared" si="132"/>
        <v>0</v>
      </c>
      <c r="U1848" s="129" t="str">
        <f>IFERROR(IF(#REF!="S",VLOOKUP('Raw Data'!A1848,References!#REF!,2,FALSE),(VLOOKUP($S1848,References!$B$3:$C$7,2,FALSE))),"")</f>
        <v/>
      </c>
      <c r="W1848" s="74" t="str">
        <f>IFERROR(VLOOKUP($O1848,'Customer List'!$A$1:$J$488,10,FALSE),"")</f>
        <v/>
      </c>
    </row>
    <row r="1849" spans="18:23">
      <c r="R1849" s="127">
        <f t="shared" si="133"/>
        <v>0</v>
      </c>
      <c r="T1849" s="128">
        <f t="shared" si="132"/>
        <v>0</v>
      </c>
      <c r="U1849" s="129" t="str">
        <f>IFERROR(IF(#REF!="S",VLOOKUP('Raw Data'!A1849,References!#REF!,2,FALSE),(VLOOKUP($S1849,References!$B$3:$C$7,2,FALSE))),"")</f>
        <v/>
      </c>
      <c r="W1849" s="74" t="str">
        <f>IFERROR(VLOOKUP($O1849,'Customer List'!$A$1:$J$488,10,FALSE),"")</f>
        <v/>
      </c>
    </row>
    <row r="1850" spans="18:23">
      <c r="R1850" s="127">
        <f t="shared" si="133"/>
        <v>0</v>
      </c>
      <c r="T1850" s="128">
        <f t="shared" si="132"/>
        <v>0</v>
      </c>
      <c r="U1850" s="129" t="str">
        <f>IFERROR(IF(#REF!="S",VLOOKUP('Raw Data'!A1850,References!#REF!,2,FALSE),(VLOOKUP($S1850,References!$B$3:$C$7,2,FALSE))),"")</f>
        <v/>
      </c>
      <c r="W1850" s="74" t="str">
        <f>IFERROR(VLOOKUP($O1850,'Customer List'!$A$1:$J$488,10,FALSE),"")</f>
        <v/>
      </c>
    </row>
    <row r="1851" spans="18:23">
      <c r="R1851" s="127">
        <f t="shared" si="133"/>
        <v>0</v>
      </c>
      <c r="T1851" s="128">
        <f t="shared" si="132"/>
        <v>0</v>
      </c>
      <c r="U1851" s="129" t="str">
        <f>IFERROR(IF(#REF!="S",VLOOKUP('Raw Data'!A1851,References!#REF!,2,FALSE),(VLOOKUP($S1851,References!$B$3:$C$7,2,FALSE))),"")</f>
        <v/>
      </c>
      <c r="W1851" s="74" t="str">
        <f>IFERROR(VLOOKUP($O1851,'Customer List'!$A$1:$J$488,10,FALSE),"")</f>
        <v/>
      </c>
    </row>
    <row r="1852" spans="18:23">
      <c r="R1852" s="127">
        <f t="shared" si="133"/>
        <v>0</v>
      </c>
      <c r="T1852" s="128">
        <f t="shared" si="132"/>
        <v>0</v>
      </c>
      <c r="U1852" s="129" t="str">
        <f>IFERROR(IF(#REF!="S",VLOOKUP('Raw Data'!A1852,References!#REF!,2,FALSE),(VLOOKUP($S1852,References!$B$3:$C$7,2,FALSE))),"")</f>
        <v/>
      </c>
      <c r="W1852" s="74" t="str">
        <f>IFERROR(VLOOKUP($O1852,'Customer List'!$A$1:$J$488,10,FALSE),"")</f>
        <v/>
      </c>
    </row>
    <row r="1853" spans="18:23">
      <c r="R1853" s="127">
        <f t="shared" si="133"/>
        <v>0</v>
      </c>
      <c r="T1853" s="128">
        <f t="shared" si="132"/>
        <v>0</v>
      </c>
      <c r="U1853" s="129" t="str">
        <f>IFERROR(IF(#REF!="S",VLOOKUP('Raw Data'!A1853,References!#REF!,2,FALSE),(VLOOKUP($S1853,References!$B$3:$C$7,2,FALSE))),"")</f>
        <v/>
      </c>
      <c r="W1853" s="74" t="str">
        <f>IFERROR(VLOOKUP($O1853,'Customer List'!$A$1:$J$488,10,FALSE),"")</f>
        <v/>
      </c>
    </row>
    <row r="1854" spans="18:23">
      <c r="R1854" s="127">
        <f t="shared" si="133"/>
        <v>0</v>
      </c>
      <c r="T1854" s="128">
        <f t="shared" si="132"/>
        <v>0</v>
      </c>
      <c r="U1854" s="129" t="str">
        <f>IFERROR(IF(#REF!="S",VLOOKUP('Raw Data'!A1854,References!#REF!,2,FALSE),(VLOOKUP($S1854,References!$B$3:$C$7,2,FALSE))),"")</f>
        <v/>
      </c>
      <c r="W1854" s="74" t="str">
        <f>IFERROR(VLOOKUP($O1854,'Customer List'!$A$1:$J$488,10,FALSE),"")</f>
        <v/>
      </c>
    </row>
    <row r="1855" spans="18:23">
      <c r="R1855" s="127">
        <f t="shared" si="133"/>
        <v>0</v>
      </c>
      <c r="T1855" s="128">
        <f t="shared" si="132"/>
        <v>0</v>
      </c>
      <c r="U1855" s="129" t="str">
        <f>IFERROR(IF(#REF!="S",VLOOKUP('Raw Data'!A1855,References!#REF!,2,FALSE),(VLOOKUP($S1855,References!$B$3:$C$7,2,FALSE))),"")</f>
        <v/>
      </c>
      <c r="W1855" s="74" t="str">
        <f>IFERROR(VLOOKUP($O1855,'Customer List'!$A$1:$J$488,10,FALSE),"")</f>
        <v/>
      </c>
    </row>
    <row r="1856" spans="18:23">
      <c r="R1856" s="127">
        <f t="shared" si="133"/>
        <v>0</v>
      </c>
      <c r="T1856" s="128">
        <f t="shared" si="132"/>
        <v>0</v>
      </c>
      <c r="U1856" s="129" t="str">
        <f>IFERROR(IF(#REF!="S",VLOOKUP('Raw Data'!A1856,References!#REF!,2,FALSE),(VLOOKUP($S1856,References!$B$3:$C$7,2,FALSE))),"")</f>
        <v/>
      </c>
      <c r="W1856" s="74" t="str">
        <f>IFERROR(VLOOKUP($O1856,'Customer List'!$A$1:$J$488,10,FALSE),"")</f>
        <v/>
      </c>
    </row>
    <row r="1857" spans="18:23">
      <c r="R1857" s="127">
        <f t="shared" si="133"/>
        <v>0</v>
      </c>
      <c r="T1857" s="128">
        <f t="shared" si="132"/>
        <v>0</v>
      </c>
      <c r="U1857" s="129" t="str">
        <f>IFERROR(IF(#REF!="S",VLOOKUP('Raw Data'!A1857,References!#REF!,2,FALSE),(VLOOKUP($S1857,References!$B$3:$C$7,2,FALSE))),"")</f>
        <v/>
      </c>
      <c r="W1857" s="74" t="str">
        <f>IFERROR(VLOOKUP($O1857,'Customer List'!$A$1:$J$488,10,FALSE),"")</f>
        <v/>
      </c>
    </row>
    <row r="1858" spans="18:23">
      <c r="R1858" s="127">
        <f t="shared" si="133"/>
        <v>0</v>
      </c>
      <c r="T1858" s="128">
        <f t="shared" si="132"/>
        <v>0</v>
      </c>
      <c r="U1858" s="129" t="str">
        <f>IFERROR(IF(#REF!="S",VLOOKUP('Raw Data'!A1858,References!#REF!,2,FALSE),(VLOOKUP($S1858,References!$B$3:$C$7,2,FALSE))),"")</f>
        <v/>
      </c>
      <c r="W1858" s="74" t="str">
        <f>IFERROR(VLOOKUP($O1858,'Customer List'!$A$1:$J$488,10,FALSE),"")</f>
        <v/>
      </c>
    </row>
    <row r="1859" spans="18:23">
      <c r="R1859" s="127">
        <f t="shared" si="133"/>
        <v>0</v>
      </c>
      <c r="T1859" s="128">
        <f t="shared" si="132"/>
        <v>0</v>
      </c>
      <c r="U1859" s="129" t="str">
        <f>IFERROR(IF(#REF!="S",VLOOKUP('Raw Data'!A1859,References!#REF!,2,FALSE),(VLOOKUP($S1859,References!$B$3:$C$7,2,FALSE))),"")</f>
        <v/>
      </c>
      <c r="W1859" s="74" t="str">
        <f>IFERROR(VLOOKUP($O1859,'Customer List'!$A$1:$J$488,10,FALSE),"")</f>
        <v/>
      </c>
    </row>
    <row r="1860" spans="18:23">
      <c r="R1860" s="127">
        <f t="shared" si="133"/>
        <v>0</v>
      </c>
      <c r="T1860" s="128">
        <f t="shared" si="132"/>
        <v>0</v>
      </c>
      <c r="U1860" s="129" t="str">
        <f>IFERROR(IF(#REF!="S",VLOOKUP('Raw Data'!A1860,References!#REF!,2,FALSE),(VLOOKUP($S1860,References!$B$3:$C$7,2,FALSE))),"")</f>
        <v/>
      </c>
      <c r="W1860" s="74" t="str">
        <f>IFERROR(VLOOKUP($O1860,'Customer List'!$A$1:$J$488,10,FALSE),"")</f>
        <v/>
      </c>
    </row>
    <row r="1861" spans="18:23">
      <c r="R1861" s="127">
        <f t="shared" si="133"/>
        <v>0</v>
      </c>
      <c r="T1861" s="128">
        <f t="shared" si="132"/>
        <v>0</v>
      </c>
      <c r="U1861" s="129" t="str">
        <f>IFERROR(IF(#REF!="S",VLOOKUP('Raw Data'!A1861,References!#REF!,2,FALSE),(VLOOKUP($S1861,References!$B$3:$C$7,2,FALSE))),"")</f>
        <v/>
      </c>
      <c r="W1861" s="74" t="str">
        <f>IFERROR(VLOOKUP($O1861,'Customer List'!$A$1:$J$488,10,FALSE),"")</f>
        <v/>
      </c>
    </row>
    <row r="1862" spans="18:23">
      <c r="R1862" s="127">
        <f t="shared" si="133"/>
        <v>0</v>
      </c>
      <c r="T1862" s="128">
        <f t="shared" si="132"/>
        <v>0</v>
      </c>
      <c r="U1862" s="129" t="str">
        <f>IFERROR(IF(#REF!="S",VLOOKUP('Raw Data'!A1862,References!#REF!,2,FALSE),(VLOOKUP($S1862,References!$B$3:$C$7,2,FALSE))),"")</f>
        <v/>
      </c>
      <c r="W1862" s="74" t="str">
        <f>IFERROR(VLOOKUP($O1862,'Customer List'!$A$1:$J$488,10,FALSE),"")</f>
        <v/>
      </c>
    </row>
    <row r="1863" spans="18:23">
      <c r="R1863" s="127">
        <f t="shared" si="133"/>
        <v>0</v>
      </c>
      <c r="T1863" s="128">
        <f t="shared" si="132"/>
        <v>0</v>
      </c>
      <c r="U1863" s="129" t="str">
        <f>IFERROR(IF(#REF!="S",VLOOKUP('Raw Data'!A1863,References!#REF!,2,FALSE),(VLOOKUP($S1863,References!$B$3:$C$7,2,FALSE))),"")</f>
        <v/>
      </c>
      <c r="W1863" s="74" t="str">
        <f>IFERROR(VLOOKUP($O1863,'Customer List'!$A$1:$J$488,10,FALSE),"")</f>
        <v/>
      </c>
    </row>
    <row r="1864" spans="18:23">
      <c r="R1864" s="127">
        <f t="shared" si="133"/>
        <v>0</v>
      </c>
      <c r="T1864" s="128">
        <f t="shared" si="132"/>
        <v>0</v>
      </c>
      <c r="U1864" s="129" t="str">
        <f>IFERROR(IF(#REF!="S",VLOOKUP('Raw Data'!A1864,References!#REF!,2,FALSE),(VLOOKUP($S1864,References!$B$3:$C$7,2,FALSE))),"")</f>
        <v/>
      </c>
      <c r="W1864" s="74" t="str">
        <f>IFERROR(VLOOKUP($O1864,'Customer List'!$A$1:$J$488,10,FALSE),"")</f>
        <v/>
      </c>
    </row>
    <row r="1865" spans="18:23">
      <c r="R1865" s="127">
        <f t="shared" si="133"/>
        <v>0</v>
      </c>
      <c r="T1865" s="128">
        <f t="shared" si="132"/>
        <v>0</v>
      </c>
      <c r="U1865" s="129" t="str">
        <f>IFERROR(IF(#REF!="S",VLOOKUP('Raw Data'!A1865,References!#REF!,2,FALSE),(VLOOKUP($S1865,References!$B$3:$C$7,2,FALSE))),"")</f>
        <v/>
      </c>
      <c r="W1865" s="74" t="str">
        <f>IFERROR(VLOOKUP($O1865,'Customer List'!$A$1:$J$488,10,FALSE),"")</f>
        <v/>
      </c>
    </row>
    <row r="1866" spans="18:23">
      <c r="R1866" s="127">
        <f t="shared" si="133"/>
        <v>0</v>
      </c>
      <c r="T1866" s="128">
        <f t="shared" ref="T1866:T1929" si="134">IF(S1866="50 - Cleaning Fee",1,HOUR($R1866)+MINUTE(R1866)/60)</f>
        <v>0</v>
      </c>
      <c r="U1866" s="129" t="str">
        <f>IFERROR(IF(#REF!="S",VLOOKUP('Raw Data'!A1866,References!#REF!,2,FALSE),(VLOOKUP($S1866,References!$B$3:$C$7,2,FALSE))),"")</f>
        <v/>
      </c>
      <c r="W1866" s="74" t="str">
        <f>IFERROR(VLOOKUP($O1866,'Customer List'!$A$1:$J$488,10,FALSE),"")</f>
        <v/>
      </c>
    </row>
    <row r="1867" spans="18:23">
      <c r="R1867" s="127">
        <f t="shared" si="133"/>
        <v>0</v>
      </c>
      <c r="T1867" s="128">
        <f t="shared" si="134"/>
        <v>0</v>
      </c>
      <c r="U1867" s="129" t="str">
        <f>IFERROR(IF(#REF!="S",VLOOKUP('Raw Data'!A1867,References!#REF!,2,FALSE),(VLOOKUP($S1867,References!$B$3:$C$7,2,FALSE))),"")</f>
        <v/>
      </c>
      <c r="W1867" s="74" t="str">
        <f>IFERROR(VLOOKUP($O1867,'Customer List'!$A$1:$J$488,10,FALSE),"")</f>
        <v/>
      </c>
    </row>
    <row r="1868" spans="18:23">
      <c r="R1868" s="127">
        <f t="shared" si="133"/>
        <v>0</v>
      </c>
      <c r="T1868" s="128">
        <f t="shared" si="134"/>
        <v>0</v>
      </c>
      <c r="U1868" s="129" t="str">
        <f>IFERROR(IF(#REF!="S",VLOOKUP('Raw Data'!A1868,References!#REF!,2,FALSE),(VLOOKUP($S1868,References!$B$3:$C$7,2,FALSE))),"")</f>
        <v/>
      </c>
      <c r="W1868" s="74" t="str">
        <f>IFERROR(VLOOKUP($O1868,'Customer List'!$A$1:$J$488,10,FALSE),"")</f>
        <v/>
      </c>
    </row>
    <row r="1869" spans="18:23">
      <c r="R1869" s="127">
        <f t="shared" si="133"/>
        <v>0</v>
      </c>
      <c r="T1869" s="128">
        <f t="shared" si="134"/>
        <v>0</v>
      </c>
      <c r="U1869" s="129" t="str">
        <f>IFERROR(IF(#REF!="S",VLOOKUP('Raw Data'!A1869,References!#REF!,2,FALSE),(VLOOKUP($S1869,References!$B$3:$C$7,2,FALSE))),"")</f>
        <v/>
      </c>
      <c r="W1869" s="74" t="str">
        <f>IFERROR(VLOOKUP($O1869,'Customer List'!$A$1:$J$488,10,FALSE),"")</f>
        <v/>
      </c>
    </row>
    <row r="1870" spans="18:23">
      <c r="R1870" s="127">
        <f t="shared" si="133"/>
        <v>0</v>
      </c>
      <c r="T1870" s="128">
        <f t="shared" si="134"/>
        <v>0</v>
      </c>
      <c r="U1870" s="129" t="str">
        <f>IFERROR(IF(#REF!="S",VLOOKUP('Raw Data'!A1870,References!#REF!,2,FALSE),(VLOOKUP($S1870,References!$B$3:$C$7,2,FALSE))),"")</f>
        <v/>
      </c>
      <c r="W1870" s="74" t="str">
        <f>IFERROR(VLOOKUP($O1870,'Customer List'!$A$1:$J$488,10,FALSE),"")</f>
        <v/>
      </c>
    </row>
    <row r="1871" spans="18:23">
      <c r="R1871" s="127">
        <f t="shared" si="133"/>
        <v>0</v>
      </c>
      <c r="T1871" s="128">
        <f t="shared" si="134"/>
        <v>0</v>
      </c>
      <c r="U1871" s="129" t="str">
        <f>IFERROR(IF(#REF!="S",VLOOKUP('Raw Data'!A1871,References!#REF!,2,FALSE),(VLOOKUP($S1871,References!$B$3:$C$7,2,FALSE))),"")</f>
        <v/>
      </c>
      <c r="W1871" s="74" t="str">
        <f>IFERROR(VLOOKUP($O1871,'Customer List'!$A$1:$J$488,10,FALSE),"")</f>
        <v/>
      </c>
    </row>
    <row r="1872" spans="18:23">
      <c r="R1872" s="127">
        <f t="shared" si="133"/>
        <v>0</v>
      </c>
      <c r="T1872" s="128">
        <f t="shared" si="134"/>
        <v>0</v>
      </c>
      <c r="U1872" s="129" t="str">
        <f>IFERROR(IF(#REF!="S",VLOOKUP('Raw Data'!A1872,References!#REF!,2,FALSE),(VLOOKUP($S1872,References!$B$3:$C$7,2,FALSE))),"")</f>
        <v/>
      </c>
      <c r="W1872" s="74" t="str">
        <f>IFERROR(VLOOKUP($O1872,'Customer List'!$A$1:$J$488,10,FALSE),"")</f>
        <v/>
      </c>
    </row>
    <row r="1873" spans="18:23">
      <c r="R1873" s="127">
        <f t="shared" si="133"/>
        <v>0</v>
      </c>
      <c r="T1873" s="128">
        <f t="shared" si="134"/>
        <v>0</v>
      </c>
      <c r="U1873" s="129" t="str">
        <f>IFERROR(IF(#REF!="S",VLOOKUP('Raw Data'!A1873,References!#REF!,2,FALSE),(VLOOKUP($S1873,References!$B$3:$C$7,2,FALSE))),"")</f>
        <v/>
      </c>
      <c r="W1873" s="74" t="str">
        <f>IFERROR(VLOOKUP($O1873,'Customer List'!$A$1:$J$488,10,FALSE),"")</f>
        <v/>
      </c>
    </row>
    <row r="1874" spans="18:23">
      <c r="R1874" s="127">
        <f t="shared" si="133"/>
        <v>0</v>
      </c>
      <c r="T1874" s="128">
        <f t="shared" si="134"/>
        <v>0</v>
      </c>
      <c r="U1874" s="129" t="str">
        <f>IFERROR(IF(#REF!="S",VLOOKUP('Raw Data'!A1874,References!#REF!,2,FALSE),(VLOOKUP($S1874,References!$B$3:$C$7,2,FALSE))),"")</f>
        <v/>
      </c>
      <c r="W1874" s="74" t="str">
        <f>IFERROR(VLOOKUP($O1874,'Customer List'!$A$1:$J$488,10,FALSE),"")</f>
        <v/>
      </c>
    </row>
    <row r="1875" spans="18:23">
      <c r="R1875" s="127">
        <f t="shared" si="133"/>
        <v>0</v>
      </c>
      <c r="T1875" s="128">
        <f t="shared" si="134"/>
        <v>0</v>
      </c>
      <c r="U1875" s="129" t="str">
        <f>IFERROR(IF(#REF!="S",VLOOKUP('Raw Data'!A1875,References!#REF!,2,FALSE),(VLOOKUP($S1875,References!$B$3:$C$7,2,FALSE))),"")</f>
        <v/>
      </c>
      <c r="W1875" s="74" t="str">
        <f>IFERROR(VLOOKUP($O1875,'Customer List'!$A$1:$J$488,10,FALSE),"")</f>
        <v/>
      </c>
    </row>
    <row r="1876" spans="18:23">
      <c r="R1876" s="127">
        <f t="shared" si="133"/>
        <v>0</v>
      </c>
      <c r="T1876" s="128">
        <f t="shared" si="134"/>
        <v>0</v>
      </c>
      <c r="U1876" s="129" t="str">
        <f>IFERROR(IF(#REF!="S",VLOOKUP('Raw Data'!A1876,References!#REF!,2,FALSE),(VLOOKUP($S1876,References!$B$3:$C$7,2,FALSE))),"")</f>
        <v/>
      </c>
      <c r="W1876" s="74" t="str">
        <f>IFERROR(VLOOKUP($O1876,'Customer List'!$A$1:$J$488,10,FALSE),"")</f>
        <v/>
      </c>
    </row>
    <row r="1877" spans="18:23">
      <c r="R1877" s="127">
        <f t="shared" si="133"/>
        <v>0</v>
      </c>
      <c r="T1877" s="128">
        <f t="shared" si="134"/>
        <v>0</v>
      </c>
      <c r="U1877" s="129" t="str">
        <f>IFERROR(IF(#REF!="S",VLOOKUP('Raw Data'!A1877,References!#REF!,2,FALSE),(VLOOKUP($S1877,References!$B$3:$C$7,2,FALSE))),"")</f>
        <v/>
      </c>
      <c r="W1877" s="74" t="str">
        <f>IFERROR(VLOOKUP($O1877,'Customer List'!$A$1:$J$488,10,FALSE),"")</f>
        <v/>
      </c>
    </row>
    <row r="1878" spans="18:23">
      <c r="R1878" s="127">
        <f t="shared" si="133"/>
        <v>0</v>
      </c>
      <c r="T1878" s="128">
        <f t="shared" si="134"/>
        <v>0</v>
      </c>
      <c r="U1878" s="129" t="str">
        <f>IFERROR(IF(#REF!="S",VLOOKUP('Raw Data'!A1878,References!#REF!,2,FALSE),(VLOOKUP($S1878,References!$B$3:$C$7,2,FALSE))),"")</f>
        <v/>
      </c>
      <c r="W1878" s="74" t="str">
        <f>IFERROR(VLOOKUP($O1878,'Customer List'!$A$1:$J$488,10,FALSE),"")</f>
        <v/>
      </c>
    </row>
    <row r="1879" spans="18:23">
      <c r="R1879" s="127">
        <f t="shared" si="133"/>
        <v>0</v>
      </c>
      <c r="T1879" s="128">
        <f t="shared" si="134"/>
        <v>0</v>
      </c>
      <c r="U1879" s="129" t="str">
        <f>IFERROR(IF(#REF!="S",VLOOKUP('Raw Data'!A1879,References!#REF!,2,FALSE),(VLOOKUP($S1879,References!$B$3:$C$7,2,FALSE))),"")</f>
        <v/>
      </c>
      <c r="W1879" s="74" t="str">
        <f>IFERROR(VLOOKUP($O1879,'Customer List'!$A$1:$J$488,10,FALSE),"")</f>
        <v/>
      </c>
    </row>
    <row r="1880" spans="18:23">
      <c r="R1880" s="127">
        <f t="shared" si="133"/>
        <v>0</v>
      </c>
      <c r="T1880" s="128">
        <f t="shared" si="134"/>
        <v>0</v>
      </c>
      <c r="U1880" s="129" t="str">
        <f>IFERROR(IF(#REF!="S",VLOOKUP('Raw Data'!A1880,References!#REF!,2,FALSE),(VLOOKUP($S1880,References!$B$3:$C$7,2,FALSE))),"")</f>
        <v/>
      </c>
      <c r="W1880" s="74" t="str">
        <f>IFERROR(VLOOKUP($O1880,'Customer List'!$A$1:$J$488,10,FALSE),"")</f>
        <v/>
      </c>
    </row>
    <row r="1881" spans="18:23">
      <c r="R1881" s="127">
        <f t="shared" si="133"/>
        <v>0</v>
      </c>
      <c r="T1881" s="128">
        <f t="shared" si="134"/>
        <v>0</v>
      </c>
      <c r="U1881" s="129" t="str">
        <f>IFERROR(IF(#REF!="S",VLOOKUP('Raw Data'!A1881,References!#REF!,2,FALSE),(VLOOKUP($S1881,References!$B$3:$C$7,2,FALSE))),"")</f>
        <v/>
      </c>
      <c r="W1881" s="74" t="str">
        <f>IFERROR(VLOOKUP($O1881,'Customer List'!$A$1:$J$488,10,FALSE),"")</f>
        <v/>
      </c>
    </row>
    <row r="1882" spans="18:23">
      <c r="R1882" s="127">
        <f t="shared" si="133"/>
        <v>0</v>
      </c>
      <c r="T1882" s="128">
        <f t="shared" si="134"/>
        <v>0</v>
      </c>
      <c r="U1882" s="129" t="str">
        <f>IFERROR(IF(#REF!="S",VLOOKUP('Raw Data'!A1882,References!#REF!,2,FALSE),(VLOOKUP($S1882,References!$B$3:$C$7,2,FALSE))),"")</f>
        <v/>
      </c>
      <c r="W1882" s="74" t="str">
        <f>IFERROR(VLOOKUP($O1882,'Customer List'!$A$1:$J$488,10,FALSE),"")</f>
        <v/>
      </c>
    </row>
    <row r="1883" spans="18:23">
      <c r="R1883" s="127">
        <f t="shared" si="133"/>
        <v>0</v>
      </c>
      <c r="T1883" s="128">
        <f t="shared" si="134"/>
        <v>0</v>
      </c>
      <c r="U1883" s="129" t="str">
        <f>IFERROR(IF(#REF!="S",VLOOKUP('Raw Data'!A1883,References!#REF!,2,FALSE),(VLOOKUP($S1883,References!$B$3:$C$7,2,FALSE))),"")</f>
        <v/>
      </c>
      <c r="W1883" s="74" t="str">
        <f>IFERROR(VLOOKUP($O1883,'Customer List'!$A$1:$J$488,10,FALSE),"")</f>
        <v/>
      </c>
    </row>
    <row r="1884" spans="18:23">
      <c r="R1884" s="127">
        <f t="shared" si="133"/>
        <v>0</v>
      </c>
      <c r="T1884" s="128">
        <f t="shared" si="134"/>
        <v>0</v>
      </c>
      <c r="U1884" s="129" t="str">
        <f>IFERROR(IF(#REF!="S",VLOOKUP('Raw Data'!A1884,References!#REF!,2,FALSE),(VLOOKUP($S1884,References!$B$3:$C$7,2,FALSE))),"")</f>
        <v/>
      </c>
      <c r="W1884" s="74" t="str">
        <f>IFERROR(VLOOKUP($O1884,'Customer List'!$A$1:$J$488,10,FALSE),"")</f>
        <v/>
      </c>
    </row>
    <row r="1885" spans="18:23">
      <c r="R1885" s="127">
        <f t="shared" si="133"/>
        <v>0</v>
      </c>
      <c r="T1885" s="128">
        <f t="shared" si="134"/>
        <v>0</v>
      </c>
      <c r="U1885" s="129" t="str">
        <f>IFERROR(IF(#REF!="S",VLOOKUP('Raw Data'!A1885,References!#REF!,2,FALSE),(VLOOKUP($S1885,References!$B$3:$C$7,2,FALSE))),"")</f>
        <v/>
      </c>
      <c r="W1885" s="74" t="str">
        <f>IFERROR(VLOOKUP($O1885,'Customer List'!$A$1:$J$488,10,FALSE),"")</f>
        <v/>
      </c>
    </row>
    <row r="1886" spans="18:23">
      <c r="R1886" s="127">
        <f t="shared" si="133"/>
        <v>0</v>
      </c>
      <c r="T1886" s="128">
        <f t="shared" si="134"/>
        <v>0</v>
      </c>
      <c r="U1886" s="129" t="str">
        <f>IFERROR(IF(#REF!="S",VLOOKUP('Raw Data'!A1886,References!#REF!,2,FALSE),(VLOOKUP($S1886,References!$B$3:$C$7,2,FALSE))),"")</f>
        <v/>
      </c>
      <c r="W1886" s="74" t="str">
        <f>IFERROR(VLOOKUP($O1886,'Customer List'!$A$1:$J$488,10,FALSE),"")</f>
        <v/>
      </c>
    </row>
    <row r="1887" spans="18:23">
      <c r="R1887" s="127">
        <f t="shared" si="133"/>
        <v>0</v>
      </c>
      <c r="T1887" s="128">
        <f t="shared" si="134"/>
        <v>0</v>
      </c>
      <c r="U1887" s="129" t="str">
        <f>IFERROR(IF(#REF!="S",VLOOKUP('Raw Data'!A1887,References!#REF!,2,FALSE),(VLOOKUP($S1887,References!$B$3:$C$7,2,FALSE))),"")</f>
        <v/>
      </c>
      <c r="W1887" s="74" t="str">
        <f>IFERROR(VLOOKUP($O1887,'Customer List'!$A$1:$J$488,10,FALSE),"")</f>
        <v/>
      </c>
    </row>
    <row r="1888" spans="18:23">
      <c r="R1888" s="127">
        <f t="shared" si="133"/>
        <v>0</v>
      </c>
      <c r="T1888" s="128">
        <f t="shared" si="134"/>
        <v>0</v>
      </c>
      <c r="U1888" s="129" t="str">
        <f>IFERROR(IF(#REF!="S",VLOOKUP('Raw Data'!A1888,References!#REF!,2,FALSE),(VLOOKUP($S1888,References!$B$3:$C$7,2,FALSE))),"")</f>
        <v/>
      </c>
      <c r="W1888" s="74" t="str">
        <f>IFERROR(VLOOKUP($O1888,'Customer List'!$A$1:$J$488,10,FALSE),"")</f>
        <v/>
      </c>
    </row>
    <row r="1889" spans="18:23">
      <c r="R1889" s="127">
        <f t="shared" si="133"/>
        <v>0</v>
      </c>
      <c r="T1889" s="128">
        <f t="shared" si="134"/>
        <v>0</v>
      </c>
      <c r="U1889" s="129" t="str">
        <f>IFERROR(IF(#REF!="S",VLOOKUP('Raw Data'!A1889,References!#REF!,2,FALSE),(VLOOKUP($S1889,References!$B$3:$C$7,2,FALSE))),"")</f>
        <v/>
      </c>
      <c r="W1889" s="74" t="str">
        <f>IFERROR(VLOOKUP($O1889,'Customer List'!$A$1:$J$488,10,FALSE),"")</f>
        <v/>
      </c>
    </row>
    <row r="1890" spans="18:23">
      <c r="R1890" s="127">
        <f t="shared" si="133"/>
        <v>0</v>
      </c>
      <c r="T1890" s="128">
        <f t="shared" si="134"/>
        <v>0</v>
      </c>
      <c r="U1890" s="129" t="str">
        <f>IFERROR(IF(#REF!="S",VLOOKUP('Raw Data'!A1890,References!#REF!,2,FALSE),(VLOOKUP($S1890,References!$B$3:$C$7,2,FALSE))),"")</f>
        <v/>
      </c>
      <c r="W1890" s="74" t="str">
        <f>IFERROR(VLOOKUP($O1890,'Customer List'!$A$1:$J$488,10,FALSE),"")</f>
        <v/>
      </c>
    </row>
    <row r="1891" spans="18:23">
      <c r="R1891" s="127">
        <f t="shared" si="133"/>
        <v>0</v>
      </c>
      <c r="T1891" s="128">
        <f t="shared" si="134"/>
        <v>0</v>
      </c>
      <c r="U1891" s="129" t="str">
        <f>IFERROR(IF(#REF!="S",VLOOKUP('Raw Data'!A1891,References!#REF!,2,FALSE),(VLOOKUP($S1891,References!$B$3:$C$7,2,FALSE))),"")</f>
        <v/>
      </c>
      <c r="W1891" s="74" t="str">
        <f>IFERROR(VLOOKUP($O1891,'Customer List'!$A$1:$J$488,10,FALSE),"")</f>
        <v/>
      </c>
    </row>
    <row r="1892" spans="18:23">
      <c r="R1892" s="127">
        <f t="shared" si="133"/>
        <v>0</v>
      </c>
      <c r="T1892" s="128">
        <f t="shared" si="134"/>
        <v>0</v>
      </c>
      <c r="U1892" s="129" t="str">
        <f>IFERROR(IF(#REF!="S",VLOOKUP('Raw Data'!A1892,References!#REF!,2,FALSE),(VLOOKUP($S1892,References!$B$3:$C$7,2,FALSE))),"")</f>
        <v/>
      </c>
      <c r="W1892" s="74" t="str">
        <f>IFERROR(VLOOKUP($O1892,'Customer List'!$A$1:$J$488,10,FALSE),"")</f>
        <v/>
      </c>
    </row>
    <row r="1893" spans="18:23">
      <c r="R1893" s="127">
        <f t="shared" si="133"/>
        <v>0</v>
      </c>
      <c r="T1893" s="128">
        <f t="shared" si="134"/>
        <v>0</v>
      </c>
      <c r="U1893" s="129" t="str">
        <f>IFERROR(IF(#REF!="S",VLOOKUP('Raw Data'!A1893,References!#REF!,2,FALSE),(VLOOKUP($S1893,References!$B$3:$C$7,2,FALSE))),"")</f>
        <v/>
      </c>
      <c r="W1893" s="74" t="str">
        <f>IFERROR(VLOOKUP($O1893,'Customer List'!$A$1:$J$488,10,FALSE),"")</f>
        <v/>
      </c>
    </row>
    <row r="1894" spans="18:23">
      <c r="R1894" s="127">
        <f t="shared" ref="R1894:R1957" si="135">L1894-K1894</f>
        <v>0</v>
      </c>
      <c r="T1894" s="128">
        <f t="shared" si="134"/>
        <v>0</v>
      </c>
      <c r="U1894" s="129" t="str">
        <f>IFERROR(IF(#REF!="S",VLOOKUP('Raw Data'!A1894,References!#REF!,2,FALSE),(VLOOKUP($S1894,References!$B$3:$C$7,2,FALSE))),"")</f>
        <v/>
      </c>
      <c r="W1894" s="74" t="str">
        <f>IFERROR(VLOOKUP($O1894,'Customer List'!$A$1:$J$488,10,FALSE),"")</f>
        <v/>
      </c>
    </row>
    <row r="1895" spans="18:23">
      <c r="R1895" s="127">
        <f t="shared" si="135"/>
        <v>0</v>
      </c>
      <c r="T1895" s="128">
        <f t="shared" si="134"/>
        <v>0</v>
      </c>
      <c r="U1895" s="129" t="str">
        <f>IFERROR(IF(#REF!="S",VLOOKUP('Raw Data'!A1895,References!#REF!,2,FALSE),(VLOOKUP($S1895,References!$B$3:$C$7,2,FALSE))),"")</f>
        <v/>
      </c>
      <c r="W1895" s="74" t="str">
        <f>IFERROR(VLOOKUP($O1895,'Customer List'!$A$1:$J$488,10,FALSE),"")</f>
        <v/>
      </c>
    </row>
    <row r="1896" spans="18:23">
      <c r="R1896" s="127">
        <f t="shared" si="135"/>
        <v>0</v>
      </c>
      <c r="T1896" s="128">
        <f t="shared" si="134"/>
        <v>0</v>
      </c>
      <c r="U1896" s="129" t="str">
        <f>IFERROR(IF(#REF!="S",VLOOKUP('Raw Data'!A1896,References!#REF!,2,FALSE),(VLOOKUP($S1896,References!$B$3:$C$7,2,FALSE))),"")</f>
        <v/>
      </c>
      <c r="W1896" s="74" t="str">
        <f>IFERROR(VLOOKUP($O1896,'Customer List'!$A$1:$J$488,10,FALSE),"")</f>
        <v/>
      </c>
    </row>
    <row r="1897" spans="18:23">
      <c r="R1897" s="127">
        <f t="shared" si="135"/>
        <v>0</v>
      </c>
      <c r="T1897" s="128">
        <f t="shared" si="134"/>
        <v>0</v>
      </c>
      <c r="U1897" s="129" t="str">
        <f>IFERROR(IF(#REF!="S",VLOOKUP('Raw Data'!A1897,References!#REF!,2,FALSE),(VLOOKUP($S1897,References!$B$3:$C$7,2,FALSE))),"")</f>
        <v/>
      </c>
      <c r="W1897" s="74" t="str">
        <f>IFERROR(VLOOKUP($O1897,'Customer List'!$A$1:$J$488,10,FALSE),"")</f>
        <v/>
      </c>
    </row>
    <row r="1898" spans="18:23">
      <c r="R1898" s="127">
        <f t="shared" si="135"/>
        <v>0</v>
      </c>
      <c r="T1898" s="128">
        <f t="shared" si="134"/>
        <v>0</v>
      </c>
      <c r="U1898" s="129" t="str">
        <f>IFERROR(IF(#REF!="S",VLOOKUP('Raw Data'!A1898,References!#REF!,2,FALSE),(VLOOKUP($S1898,References!$B$3:$C$7,2,FALSE))),"")</f>
        <v/>
      </c>
      <c r="W1898" s="74" t="str">
        <f>IFERROR(VLOOKUP($O1898,'Customer List'!$A$1:$J$488,10,FALSE),"")</f>
        <v/>
      </c>
    </row>
    <row r="1899" spans="18:23">
      <c r="R1899" s="127">
        <f t="shared" si="135"/>
        <v>0</v>
      </c>
      <c r="T1899" s="128">
        <f t="shared" si="134"/>
        <v>0</v>
      </c>
      <c r="U1899" s="129" t="str">
        <f>IFERROR(IF(#REF!="S",VLOOKUP('Raw Data'!A1899,References!#REF!,2,FALSE),(VLOOKUP($S1899,References!$B$3:$C$7,2,FALSE))),"")</f>
        <v/>
      </c>
      <c r="W1899" s="74" t="str">
        <f>IFERROR(VLOOKUP($O1899,'Customer List'!$A$1:$J$488,10,FALSE),"")</f>
        <v/>
      </c>
    </row>
    <row r="1900" spans="18:23">
      <c r="R1900" s="127">
        <f t="shared" si="135"/>
        <v>0</v>
      </c>
      <c r="T1900" s="128">
        <f t="shared" si="134"/>
        <v>0</v>
      </c>
      <c r="U1900" s="129" t="str">
        <f>IFERROR(IF(#REF!="S",VLOOKUP('Raw Data'!A1900,References!#REF!,2,FALSE),(VLOOKUP($S1900,References!$B$3:$C$7,2,FALSE))),"")</f>
        <v/>
      </c>
      <c r="W1900" s="74" t="str">
        <f>IFERROR(VLOOKUP($O1900,'Customer List'!$A$1:$J$488,10,FALSE),"")</f>
        <v/>
      </c>
    </row>
    <row r="1901" spans="18:23">
      <c r="R1901" s="127">
        <f t="shared" si="135"/>
        <v>0</v>
      </c>
      <c r="T1901" s="128">
        <f t="shared" si="134"/>
        <v>0</v>
      </c>
      <c r="U1901" s="129" t="str">
        <f>IFERROR(IF(#REF!="S",VLOOKUP('Raw Data'!A1901,References!#REF!,2,FALSE),(VLOOKUP($S1901,References!$B$3:$C$7,2,FALSE))),"")</f>
        <v/>
      </c>
      <c r="W1901" s="74" t="str">
        <f>IFERROR(VLOOKUP($O1901,'Customer List'!$A$1:$J$488,10,FALSE),"")</f>
        <v/>
      </c>
    </row>
    <row r="1902" spans="18:23">
      <c r="R1902" s="127">
        <f t="shared" si="135"/>
        <v>0</v>
      </c>
      <c r="T1902" s="128">
        <f t="shared" si="134"/>
        <v>0</v>
      </c>
      <c r="U1902" s="129" t="str">
        <f>IFERROR(IF(#REF!="S",VLOOKUP('Raw Data'!A1902,References!#REF!,2,FALSE),(VLOOKUP($S1902,References!$B$3:$C$7,2,FALSE))),"")</f>
        <v/>
      </c>
      <c r="W1902" s="74" t="str">
        <f>IFERROR(VLOOKUP($O1902,'Customer List'!$A$1:$J$488,10,FALSE),"")</f>
        <v/>
      </c>
    </row>
    <row r="1903" spans="18:23">
      <c r="R1903" s="127">
        <f t="shared" si="135"/>
        <v>0</v>
      </c>
      <c r="T1903" s="128">
        <f t="shared" si="134"/>
        <v>0</v>
      </c>
      <c r="U1903" s="129" t="str">
        <f>IFERROR(IF(#REF!="S",VLOOKUP('Raw Data'!A1903,References!#REF!,2,FALSE),(VLOOKUP($S1903,References!$B$3:$C$7,2,FALSE))),"")</f>
        <v/>
      </c>
      <c r="W1903" s="74" t="str">
        <f>IFERROR(VLOOKUP($O1903,'Customer List'!$A$1:$J$488,10,FALSE),"")</f>
        <v/>
      </c>
    </row>
    <row r="1904" spans="18:23">
      <c r="R1904" s="127">
        <f t="shared" si="135"/>
        <v>0</v>
      </c>
      <c r="T1904" s="128">
        <f t="shared" si="134"/>
        <v>0</v>
      </c>
      <c r="U1904" s="129" t="str">
        <f>IFERROR(IF(#REF!="S",VLOOKUP('Raw Data'!A1904,References!#REF!,2,FALSE),(VLOOKUP($S1904,References!$B$3:$C$7,2,FALSE))),"")</f>
        <v/>
      </c>
      <c r="W1904" s="74" t="str">
        <f>IFERROR(VLOOKUP($O1904,'Customer List'!$A$1:$J$488,10,FALSE),"")</f>
        <v/>
      </c>
    </row>
    <row r="1905" spans="18:23">
      <c r="R1905" s="127">
        <f t="shared" si="135"/>
        <v>0</v>
      </c>
      <c r="T1905" s="128">
        <f t="shared" si="134"/>
        <v>0</v>
      </c>
      <c r="U1905" s="129" t="str">
        <f>IFERROR(IF(#REF!="S",VLOOKUP('Raw Data'!A1905,References!#REF!,2,FALSE),(VLOOKUP($S1905,References!$B$3:$C$7,2,FALSE))),"")</f>
        <v/>
      </c>
      <c r="W1905" s="74" t="str">
        <f>IFERROR(VLOOKUP($O1905,'Customer List'!$A$1:$J$488,10,FALSE),"")</f>
        <v/>
      </c>
    </row>
    <row r="1906" spans="18:23">
      <c r="R1906" s="127">
        <f t="shared" si="135"/>
        <v>0</v>
      </c>
      <c r="T1906" s="128">
        <f t="shared" si="134"/>
        <v>0</v>
      </c>
      <c r="U1906" s="129" t="str">
        <f>IFERROR(IF(#REF!="S",VLOOKUP('Raw Data'!A1906,References!#REF!,2,FALSE),(VLOOKUP($S1906,References!$B$3:$C$7,2,FALSE))),"")</f>
        <v/>
      </c>
      <c r="W1906" s="74" t="str">
        <f>IFERROR(VLOOKUP($O1906,'Customer List'!$A$1:$J$488,10,FALSE),"")</f>
        <v/>
      </c>
    </row>
    <row r="1907" spans="18:23">
      <c r="R1907" s="127">
        <f t="shared" si="135"/>
        <v>0</v>
      </c>
      <c r="T1907" s="128">
        <f t="shared" si="134"/>
        <v>0</v>
      </c>
      <c r="U1907" s="129" t="str">
        <f>IFERROR(IF(#REF!="S",VLOOKUP('Raw Data'!A1907,References!#REF!,2,FALSE),(VLOOKUP($S1907,References!$B$3:$C$7,2,FALSE))),"")</f>
        <v/>
      </c>
      <c r="W1907" s="74" t="str">
        <f>IFERROR(VLOOKUP($O1907,'Customer List'!$A$1:$J$488,10,FALSE),"")</f>
        <v/>
      </c>
    </row>
    <row r="1908" spans="18:23">
      <c r="R1908" s="127">
        <f t="shared" si="135"/>
        <v>0</v>
      </c>
      <c r="T1908" s="128">
        <f t="shared" si="134"/>
        <v>0</v>
      </c>
      <c r="U1908" s="129" t="str">
        <f>IFERROR(IF(#REF!="S",VLOOKUP('Raw Data'!A1908,References!#REF!,2,FALSE),(VLOOKUP($S1908,References!$B$3:$C$7,2,FALSE))),"")</f>
        <v/>
      </c>
      <c r="W1908" s="74" t="str">
        <f>IFERROR(VLOOKUP($O1908,'Customer List'!$A$1:$J$488,10,FALSE),"")</f>
        <v/>
      </c>
    </row>
    <row r="1909" spans="18:23">
      <c r="R1909" s="127">
        <f t="shared" si="135"/>
        <v>0</v>
      </c>
      <c r="T1909" s="128">
        <f t="shared" si="134"/>
        <v>0</v>
      </c>
      <c r="U1909" s="129" t="str">
        <f>IFERROR(IF(#REF!="S",VLOOKUP('Raw Data'!A1909,References!#REF!,2,FALSE),(VLOOKUP($S1909,References!$B$3:$C$7,2,FALSE))),"")</f>
        <v/>
      </c>
      <c r="W1909" s="74" t="str">
        <f>IFERROR(VLOOKUP($O1909,'Customer List'!$A$1:$J$488,10,FALSE),"")</f>
        <v/>
      </c>
    </row>
    <row r="1910" spans="18:23">
      <c r="R1910" s="127">
        <f t="shared" si="135"/>
        <v>0</v>
      </c>
      <c r="T1910" s="128">
        <f t="shared" si="134"/>
        <v>0</v>
      </c>
      <c r="U1910" s="129" t="str">
        <f>IFERROR(IF(#REF!="S",VLOOKUP('Raw Data'!A1910,References!#REF!,2,FALSE),(VLOOKUP($S1910,References!$B$3:$C$7,2,FALSE))),"")</f>
        <v/>
      </c>
      <c r="W1910" s="74" t="str">
        <f>IFERROR(VLOOKUP($O1910,'Customer List'!$A$1:$J$488,10,FALSE),"")</f>
        <v/>
      </c>
    </row>
    <row r="1911" spans="18:23">
      <c r="R1911" s="127">
        <f t="shared" si="135"/>
        <v>0</v>
      </c>
      <c r="T1911" s="128">
        <f t="shared" si="134"/>
        <v>0</v>
      </c>
      <c r="U1911" s="129" t="str">
        <f>IFERROR(IF(#REF!="S",VLOOKUP('Raw Data'!A1911,References!#REF!,2,FALSE),(VLOOKUP($S1911,References!$B$3:$C$7,2,FALSE))),"")</f>
        <v/>
      </c>
      <c r="W1911" s="74" t="str">
        <f>IFERROR(VLOOKUP($O1911,'Customer List'!$A$1:$J$488,10,FALSE),"")</f>
        <v/>
      </c>
    </row>
    <row r="1912" spans="18:23">
      <c r="R1912" s="127">
        <f t="shared" si="135"/>
        <v>0</v>
      </c>
      <c r="T1912" s="128">
        <f t="shared" si="134"/>
        <v>0</v>
      </c>
      <c r="U1912" s="129" t="str">
        <f>IFERROR(IF(#REF!="S",VLOOKUP('Raw Data'!A1912,References!#REF!,2,FALSE),(VLOOKUP($S1912,References!$B$3:$C$7,2,FALSE))),"")</f>
        <v/>
      </c>
      <c r="W1912" s="74" t="str">
        <f>IFERROR(VLOOKUP($O1912,'Customer List'!$A$1:$J$488,10,FALSE),"")</f>
        <v/>
      </c>
    </row>
    <row r="1913" spans="18:23">
      <c r="R1913" s="127">
        <f t="shared" si="135"/>
        <v>0</v>
      </c>
      <c r="T1913" s="128">
        <f t="shared" si="134"/>
        <v>0</v>
      </c>
      <c r="U1913" s="129" t="str">
        <f>IFERROR(IF(#REF!="S",VLOOKUP('Raw Data'!A1913,References!#REF!,2,FALSE),(VLOOKUP($S1913,References!$B$3:$C$7,2,FALSE))),"")</f>
        <v/>
      </c>
      <c r="W1913" s="74" t="str">
        <f>IFERROR(VLOOKUP($O1913,'Customer List'!$A$1:$J$488,10,FALSE),"")</f>
        <v/>
      </c>
    </row>
    <row r="1914" spans="18:23">
      <c r="R1914" s="127">
        <f t="shared" si="135"/>
        <v>0</v>
      </c>
      <c r="T1914" s="128">
        <f t="shared" si="134"/>
        <v>0</v>
      </c>
      <c r="U1914" s="129" t="str">
        <f>IFERROR(IF(#REF!="S",VLOOKUP('Raw Data'!A1914,References!#REF!,2,FALSE),(VLOOKUP($S1914,References!$B$3:$C$7,2,FALSE))),"")</f>
        <v/>
      </c>
      <c r="W1914" s="74" t="str">
        <f>IFERROR(VLOOKUP($O1914,'Customer List'!$A$1:$J$488,10,FALSE),"")</f>
        <v/>
      </c>
    </row>
    <row r="1915" spans="18:23">
      <c r="R1915" s="127">
        <f t="shared" si="135"/>
        <v>0</v>
      </c>
      <c r="T1915" s="128">
        <f t="shared" si="134"/>
        <v>0</v>
      </c>
      <c r="U1915" s="129" t="str">
        <f>IFERROR(IF(#REF!="S",VLOOKUP('Raw Data'!A1915,References!#REF!,2,FALSE),(VLOOKUP($S1915,References!$B$3:$C$7,2,FALSE))),"")</f>
        <v/>
      </c>
      <c r="W1915" s="74" t="str">
        <f>IFERROR(VLOOKUP($O1915,'Customer List'!$A$1:$J$488,10,FALSE),"")</f>
        <v/>
      </c>
    </row>
    <row r="1916" spans="18:23">
      <c r="R1916" s="127">
        <f t="shared" si="135"/>
        <v>0</v>
      </c>
      <c r="T1916" s="128">
        <f t="shared" si="134"/>
        <v>0</v>
      </c>
      <c r="U1916" s="129" t="str">
        <f>IFERROR(IF(#REF!="S",VLOOKUP('Raw Data'!A1916,References!#REF!,2,FALSE),(VLOOKUP($S1916,References!$B$3:$C$7,2,FALSE))),"")</f>
        <v/>
      </c>
      <c r="W1916" s="74" t="str">
        <f>IFERROR(VLOOKUP($O1916,'Customer List'!$A$1:$J$488,10,FALSE),"")</f>
        <v/>
      </c>
    </row>
    <row r="1917" spans="18:23">
      <c r="R1917" s="127">
        <f t="shared" si="135"/>
        <v>0</v>
      </c>
      <c r="T1917" s="128">
        <f t="shared" si="134"/>
        <v>0</v>
      </c>
      <c r="U1917" s="129" t="str">
        <f>IFERROR(IF(#REF!="S",VLOOKUP('Raw Data'!A1917,References!#REF!,2,FALSE),(VLOOKUP($S1917,References!$B$3:$C$7,2,FALSE))),"")</f>
        <v/>
      </c>
      <c r="W1917" s="74" t="str">
        <f>IFERROR(VLOOKUP($O1917,'Customer List'!$A$1:$J$488,10,FALSE),"")</f>
        <v/>
      </c>
    </row>
    <row r="1918" spans="18:23">
      <c r="R1918" s="127">
        <f t="shared" si="135"/>
        <v>0</v>
      </c>
      <c r="T1918" s="128">
        <f t="shared" si="134"/>
        <v>0</v>
      </c>
      <c r="U1918" s="129" t="str">
        <f>IFERROR(IF(#REF!="S",VLOOKUP('Raw Data'!A1918,References!#REF!,2,FALSE),(VLOOKUP($S1918,References!$B$3:$C$7,2,FALSE))),"")</f>
        <v/>
      </c>
      <c r="W1918" s="74" t="str">
        <f>IFERROR(VLOOKUP($O1918,'Customer List'!$A$1:$J$488,10,FALSE),"")</f>
        <v/>
      </c>
    </row>
    <row r="1919" spans="18:23">
      <c r="R1919" s="127">
        <f t="shared" si="135"/>
        <v>0</v>
      </c>
      <c r="T1919" s="128">
        <f t="shared" si="134"/>
        <v>0</v>
      </c>
      <c r="U1919" s="129" t="str">
        <f>IFERROR(IF(#REF!="S",VLOOKUP('Raw Data'!A1919,References!#REF!,2,FALSE),(VLOOKUP($S1919,References!$B$3:$C$7,2,FALSE))),"")</f>
        <v/>
      </c>
      <c r="W1919" s="74" t="str">
        <f>IFERROR(VLOOKUP($O1919,'Customer List'!$A$1:$J$488,10,FALSE),"")</f>
        <v/>
      </c>
    </row>
    <row r="1920" spans="18:23">
      <c r="R1920" s="127">
        <f t="shared" si="135"/>
        <v>0</v>
      </c>
      <c r="T1920" s="128">
        <f t="shared" si="134"/>
        <v>0</v>
      </c>
      <c r="U1920" s="129" t="str">
        <f>IFERROR(IF(#REF!="S",VLOOKUP('Raw Data'!A1920,References!#REF!,2,FALSE),(VLOOKUP($S1920,References!$B$3:$C$7,2,FALSE))),"")</f>
        <v/>
      </c>
      <c r="W1920" s="74" t="str">
        <f>IFERROR(VLOOKUP($O1920,'Customer List'!$A$1:$J$488,10,FALSE),"")</f>
        <v/>
      </c>
    </row>
    <row r="1921" spans="18:23">
      <c r="R1921" s="127">
        <f t="shared" si="135"/>
        <v>0</v>
      </c>
      <c r="T1921" s="128">
        <f t="shared" si="134"/>
        <v>0</v>
      </c>
      <c r="U1921" s="129" t="str">
        <f>IFERROR(IF(#REF!="S",VLOOKUP('Raw Data'!A1921,References!#REF!,2,FALSE),(VLOOKUP($S1921,References!$B$3:$C$7,2,FALSE))),"")</f>
        <v/>
      </c>
      <c r="W1921" s="74" t="str">
        <f>IFERROR(VLOOKUP($O1921,'Customer List'!$A$1:$J$488,10,FALSE),"")</f>
        <v/>
      </c>
    </row>
    <row r="1922" spans="18:23">
      <c r="R1922" s="127">
        <f t="shared" si="135"/>
        <v>0</v>
      </c>
      <c r="T1922" s="128">
        <f t="shared" si="134"/>
        <v>0</v>
      </c>
      <c r="U1922" s="129" t="str">
        <f>IFERROR(IF(#REF!="S",VLOOKUP('Raw Data'!A1922,References!#REF!,2,FALSE),(VLOOKUP($S1922,References!$B$3:$C$7,2,FALSE))),"")</f>
        <v/>
      </c>
      <c r="W1922" s="74" t="str">
        <f>IFERROR(VLOOKUP($O1922,'Customer List'!$A$1:$J$488,10,FALSE),"")</f>
        <v/>
      </c>
    </row>
    <row r="1923" spans="18:23">
      <c r="R1923" s="127">
        <f t="shared" si="135"/>
        <v>0</v>
      </c>
      <c r="T1923" s="128">
        <f t="shared" si="134"/>
        <v>0</v>
      </c>
      <c r="U1923" s="129" t="str">
        <f>IFERROR(IF(#REF!="S",VLOOKUP('Raw Data'!A1923,References!#REF!,2,FALSE),(VLOOKUP($S1923,References!$B$3:$C$7,2,FALSE))),"")</f>
        <v/>
      </c>
      <c r="W1923" s="74" t="str">
        <f>IFERROR(VLOOKUP($O1923,'Customer List'!$A$1:$J$488,10,FALSE),"")</f>
        <v/>
      </c>
    </row>
    <row r="1924" spans="18:23">
      <c r="R1924" s="127">
        <f t="shared" si="135"/>
        <v>0</v>
      </c>
      <c r="T1924" s="128">
        <f t="shared" si="134"/>
        <v>0</v>
      </c>
      <c r="U1924" s="129" t="str">
        <f>IFERROR(IF(#REF!="S",VLOOKUP('Raw Data'!A1924,References!#REF!,2,FALSE),(VLOOKUP($S1924,References!$B$3:$C$7,2,FALSE))),"")</f>
        <v/>
      </c>
      <c r="W1924" s="74" t="str">
        <f>IFERROR(VLOOKUP($O1924,'Customer List'!$A$1:$J$488,10,FALSE),"")</f>
        <v/>
      </c>
    </row>
    <row r="1925" spans="18:23">
      <c r="R1925" s="127">
        <f t="shared" si="135"/>
        <v>0</v>
      </c>
      <c r="T1925" s="128">
        <f t="shared" si="134"/>
        <v>0</v>
      </c>
      <c r="U1925" s="129" t="str">
        <f>IFERROR(IF(#REF!="S",VLOOKUP('Raw Data'!A1925,References!#REF!,2,FALSE),(VLOOKUP($S1925,References!$B$3:$C$7,2,FALSE))),"")</f>
        <v/>
      </c>
      <c r="W1925" s="74" t="str">
        <f>IFERROR(VLOOKUP($O1925,'Customer List'!$A$1:$J$488,10,FALSE),"")</f>
        <v/>
      </c>
    </row>
    <row r="1926" spans="18:23">
      <c r="R1926" s="127">
        <f t="shared" si="135"/>
        <v>0</v>
      </c>
      <c r="T1926" s="128">
        <f t="shared" si="134"/>
        <v>0</v>
      </c>
      <c r="U1926" s="129" t="str">
        <f>IFERROR(IF(#REF!="S",VLOOKUP('Raw Data'!A1926,References!#REF!,2,FALSE),(VLOOKUP($S1926,References!$B$3:$C$7,2,FALSE))),"")</f>
        <v/>
      </c>
      <c r="W1926" s="74" t="str">
        <f>IFERROR(VLOOKUP($O1926,'Customer List'!$A$1:$J$488,10,FALSE),"")</f>
        <v/>
      </c>
    </row>
    <row r="1927" spans="18:23">
      <c r="R1927" s="127">
        <f t="shared" si="135"/>
        <v>0</v>
      </c>
      <c r="T1927" s="128">
        <f t="shared" si="134"/>
        <v>0</v>
      </c>
      <c r="U1927" s="129" t="str">
        <f>IFERROR(IF(#REF!="S",VLOOKUP('Raw Data'!A1927,References!#REF!,2,FALSE),(VLOOKUP($S1927,References!$B$3:$C$7,2,FALSE))),"")</f>
        <v/>
      </c>
      <c r="W1927" s="74" t="str">
        <f>IFERROR(VLOOKUP($O1927,'Customer List'!$A$1:$J$488,10,FALSE),"")</f>
        <v/>
      </c>
    </row>
    <row r="1928" spans="18:23">
      <c r="R1928" s="127">
        <f t="shared" si="135"/>
        <v>0</v>
      </c>
      <c r="T1928" s="128">
        <f t="shared" si="134"/>
        <v>0</v>
      </c>
      <c r="U1928" s="129" t="str">
        <f>IFERROR(IF(#REF!="S",VLOOKUP('Raw Data'!A1928,References!#REF!,2,FALSE),(VLOOKUP($S1928,References!$B$3:$C$7,2,FALSE))),"")</f>
        <v/>
      </c>
      <c r="W1928" s="74" t="str">
        <f>IFERROR(VLOOKUP($O1928,'Customer List'!$A$1:$J$488,10,FALSE),"")</f>
        <v/>
      </c>
    </row>
    <row r="1929" spans="18:23">
      <c r="R1929" s="127">
        <f t="shared" si="135"/>
        <v>0</v>
      </c>
      <c r="T1929" s="128">
        <f t="shared" si="134"/>
        <v>0</v>
      </c>
      <c r="U1929" s="129" t="str">
        <f>IFERROR(IF(#REF!="S",VLOOKUP('Raw Data'!A1929,References!#REF!,2,FALSE),(VLOOKUP($S1929,References!$B$3:$C$7,2,FALSE))),"")</f>
        <v/>
      </c>
      <c r="W1929" s="74" t="str">
        <f>IFERROR(VLOOKUP($O1929,'Customer List'!$A$1:$J$488,10,FALSE),"")</f>
        <v/>
      </c>
    </row>
    <row r="1930" spans="18:23">
      <c r="R1930" s="127">
        <f t="shared" si="135"/>
        <v>0</v>
      </c>
      <c r="T1930" s="128">
        <f t="shared" ref="T1930:T1993" si="136">IF(S1930="50 - Cleaning Fee",1,HOUR($R1930)+MINUTE(R1930)/60)</f>
        <v>0</v>
      </c>
      <c r="U1930" s="129" t="str">
        <f>IFERROR(IF(#REF!="S",VLOOKUP('Raw Data'!A1930,References!#REF!,2,FALSE),(VLOOKUP($S1930,References!$B$3:$C$7,2,FALSE))),"")</f>
        <v/>
      </c>
      <c r="W1930" s="74" t="str">
        <f>IFERROR(VLOOKUP($O1930,'Customer List'!$A$1:$J$488,10,FALSE),"")</f>
        <v/>
      </c>
    </row>
    <row r="1931" spans="18:23">
      <c r="R1931" s="127">
        <f t="shared" si="135"/>
        <v>0</v>
      </c>
      <c r="T1931" s="128">
        <f t="shared" si="136"/>
        <v>0</v>
      </c>
      <c r="U1931" s="129" t="str">
        <f>IFERROR(IF(#REF!="S",VLOOKUP('Raw Data'!A1931,References!#REF!,2,FALSE),(VLOOKUP($S1931,References!$B$3:$C$7,2,FALSE))),"")</f>
        <v/>
      </c>
      <c r="W1931" s="74" t="str">
        <f>IFERROR(VLOOKUP($O1931,'Customer List'!$A$1:$J$488,10,FALSE),"")</f>
        <v/>
      </c>
    </row>
    <row r="1932" spans="18:23">
      <c r="R1932" s="127">
        <f t="shared" si="135"/>
        <v>0</v>
      </c>
      <c r="T1932" s="128">
        <f t="shared" si="136"/>
        <v>0</v>
      </c>
      <c r="U1932" s="129" t="str">
        <f>IFERROR(IF(#REF!="S",VLOOKUP('Raw Data'!A1932,References!#REF!,2,FALSE),(VLOOKUP($S1932,References!$B$3:$C$7,2,FALSE))),"")</f>
        <v/>
      </c>
      <c r="W1932" s="74" t="str">
        <f>IFERROR(VLOOKUP($O1932,'Customer List'!$A$1:$J$488,10,FALSE),"")</f>
        <v/>
      </c>
    </row>
    <row r="1933" spans="18:23">
      <c r="R1933" s="127">
        <f t="shared" si="135"/>
        <v>0</v>
      </c>
      <c r="T1933" s="128">
        <f t="shared" si="136"/>
        <v>0</v>
      </c>
      <c r="U1933" s="129" t="str">
        <f>IFERROR(IF(#REF!="S",VLOOKUP('Raw Data'!A1933,References!#REF!,2,FALSE),(VLOOKUP($S1933,References!$B$3:$C$7,2,FALSE))),"")</f>
        <v/>
      </c>
      <c r="W1933" s="74" t="str">
        <f>IFERROR(VLOOKUP($O1933,'Customer List'!$A$1:$J$488,10,FALSE),"")</f>
        <v/>
      </c>
    </row>
    <row r="1934" spans="18:23">
      <c r="R1934" s="127">
        <f t="shared" si="135"/>
        <v>0</v>
      </c>
      <c r="T1934" s="128">
        <f t="shared" si="136"/>
        <v>0</v>
      </c>
      <c r="U1934" s="129" t="str">
        <f>IFERROR(IF(#REF!="S",VLOOKUP('Raw Data'!A1934,References!#REF!,2,FALSE),(VLOOKUP($S1934,References!$B$3:$C$7,2,FALSE))),"")</f>
        <v/>
      </c>
      <c r="W1934" s="74" t="str">
        <f>IFERROR(VLOOKUP($O1934,'Customer List'!$A$1:$J$488,10,FALSE),"")</f>
        <v/>
      </c>
    </row>
    <row r="1935" spans="18:23">
      <c r="R1935" s="127">
        <f t="shared" si="135"/>
        <v>0</v>
      </c>
      <c r="T1935" s="128">
        <f t="shared" si="136"/>
        <v>0</v>
      </c>
      <c r="U1935" s="129" t="str">
        <f>IFERROR(IF(#REF!="S",VLOOKUP('Raw Data'!A1935,References!#REF!,2,FALSE),(VLOOKUP($S1935,References!$B$3:$C$7,2,FALSE))),"")</f>
        <v/>
      </c>
      <c r="W1935" s="74" t="str">
        <f>IFERROR(VLOOKUP($O1935,'Customer List'!$A$1:$J$488,10,FALSE),"")</f>
        <v/>
      </c>
    </row>
    <row r="1936" spans="18:23">
      <c r="R1936" s="127">
        <f t="shared" si="135"/>
        <v>0</v>
      </c>
      <c r="T1936" s="128">
        <f t="shared" si="136"/>
        <v>0</v>
      </c>
      <c r="U1936" s="129" t="str">
        <f>IFERROR(IF(#REF!="S",VLOOKUP('Raw Data'!A1936,References!#REF!,2,FALSE),(VLOOKUP($S1936,References!$B$3:$C$7,2,FALSE))),"")</f>
        <v/>
      </c>
      <c r="W1936" s="74" t="str">
        <f>IFERROR(VLOOKUP($O1936,'Customer List'!$A$1:$J$488,10,FALSE),"")</f>
        <v/>
      </c>
    </row>
    <row r="1937" spans="18:23">
      <c r="R1937" s="127">
        <f t="shared" si="135"/>
        <v>0</v>
      </c>
      <c r="T1937" s="128">
        <f t="shared" si="136"/>
        <v>0</v>
      </c>
      <c r="U1937" s="129" t="str">
        <f>IFERROR(IF(#REF!="S",VLOOKUP('Raw Data'!A1937,References!#REF!,2,FALSE),(VLOOKUP($S1937,References!$B$3:$C$7,2,FALSE))),"")</f>
        <v/>
      </c>
      <c r="W1937" s="74" t="str">
        <f>IFERROR(VLOOKUP($O1937,'Customer List'!$A$1:$J$488,10,FALSE),"")</f>
        <v/>
      </c>
    </row>
    <row r="1938" spans="18:23">
      <c r="R1938" s="127">
        <f t="shared" si="135"/>
        <v>0</v>
      </c>
      <c r="T1938" s="128">
        <f t="shared" si="136"/>
        <v>0</v>
      </c>
      <c r="U1938" s="129" t="str">
        <f>IFERROR(IF(#REF!="S",VLOOKUP('Raw Data'!A1938,References!#REF!,2,FALSE),(VLOOKUP($S1938,References!$B$3:$C$7,2,FALSE))),"")</f>
        <v/>
      </c>
      <c r="W1938" s="74" t="str">
        <f>IFERROR(VLOOKUP($O1938,'Customer List'!$A$1:$J$488,10,FALSE),"")</f>
        <v/>
      </c>
    </row>
    <row r="1939" spans="18:23">
      <c r="R1939" s="127">
        <f t="shared" si="135"/>
        <v>0</v>
      </c>
      <c r="T1939" s="128">
        <f t="shared" si="136"/>
        <v>0</v>
      </c>
      <c r="U1939" s="129" t="str">
        <f>IFERROR(IF(#REF!="S",VLOOKUP('Raw Data'!A1939,References!#REF!,2,FALSE),(VLOOKUP($S1939,References!$B$3:$C$7,2,FALSE))),"")</f>
        <v/>
      </c>
      <c r="W1939" s="74" t="str">
        <f>IFERROR(VLOOKUP($O1939,'Customer List'!$A$1:$J$488,10,FALSE),"")</f>
        <v/>
      </c>
    </row>
    <row r="1940" spans="18:23">
      <c r="R1940" s="127">
        <f t="shared" si="135"/>
        <v>0</v>
      </c>
      <c r="T1940" s="128">
        <f t="shared" si="136"/>
        <v>0</v>
      </c>
      <c r="U1940" s="129" t="str">
        <f>IFERROR(IF(#REF!="S",VLOOKUP('Raw Data'!A1940,References!#REF!,2,FALSE),(VLOOKUP($S1940,References!$B$3:$C$7,2,FALSE))),"")</f>
        <v/>
      </c>
      <c r="W1940" s="74" t="str">
        <f>IFERROR(VLOOKUP($O1940,'Customer List'!$A$1:$J$488,10,FALSE),"")</f>
        <v/>
      </c>
    </row>
    <row r="1941" spans="18:23">
      <c r="R1941" s="127">
        <f t="shared" si="135"/>
        <v>0</v>
      </c>
      <c r="T1941" s="128">
        <f t="shared" si="136"/>
        <v>0</v>
      </c>
      <c r="U1941" s="129" t="str">
        <f>IFERROR(IF(#REF!="S",VLOOKUP('Raw Data'!A1941,References!#REF!,2,FALSE),(VLOOKUP($S1941,References!$B$3:$C$7,2,FALSE))),"")</f>
        <v/>
      </c>
      <c r="W1941" s="74" t="str">
        <f>IFERROR(VLOOKUP($O1941,'Customer List'!$A$1:$J$488,10,FALSE),"")</f>
        <v/>
      </c>
    </row>
    <row r="1942" spans="18:23">
      <c r="R1942" s="127">
        <f t="shared" si="135"/>
        <v>0</v>
      </c>
      <c r="T1942" s="128">
        <f t="shared" si="136"/>
        <v>0</v>
      </c>
      <c r="U1942" s="129" t="str">
        <f>IFERROR(IF(#REF!="S",VLOOKUP('Raw Data'!A1942,References!#REF!,2,FALSE),(VLOOKUP($S1942,References!$B$3:$C$7,2,FALSE))),"")</f>
        <v/>
      </c>
      <c r="W1942" s="74" t="str">
        <f>IFERROR(VLOOKUP($O1942,'Customer List'!$A$1:$J$488,10,FALSE),"")</f>
        <v/>
      </c>
    </row>
    <row r="1943" spans="18:23">
      <c r="R1943" s="127">
        <f t="shared" si="135"/>
        <v>0</v>
      </c>
      <c r="T1943" s="128">
        <f t="shared" si="136"/>
        <v>0</v>
      </c>
      <c r="U1943" s="129" t="str">
        <f>IFERROR(IF(#REF!="S",VLOOKUP('Raw Data'!A1943,References!#REF!,2,FALSE),(VLOOKUP($S1943,References!$B$3:$C$7,2,FALSE))),"")</f>
        <v/>
      </c>
      <c r="W1943" s="74" t="str">
        <f>IFERROR(VLOOKUP($O1943,'Customer List'!$A$1:$J$488,10,FALSE),"")</f>
        <v/>
      </c>
    </row>
    <row r="1944" spans="18:23">
      <c r="R1944" s="127">
        <f t="shared" si="135"/>
        <v>0</v>
      </c>
      <c r="T1944" s="128">
        <f t="shared" si="136"/>
        <v>0</v>
      </c>
      <c r="U1944" s="129" t="str">
        <f>IFERROR(IF(#REF!="S",VLOOKUP('Raw Data'!A1944,References!#REF!,2,FALSE),(VLOOKUP($S1944,References!$B$3:$C$7,2,FALSE))),"")</f>
        <v/>
      </c>
      <c r="W1944" s="74" t="str">
        <f>IFERROR(VLOOKUP($O1944,'Customer List'!$A$1:$J$488,10,FALSE),"")</f>
        <v/>
      </c>
    </row>
    <row r="1945" spans="18:23">
      <c r="R1945" s="127">
        <f t="shared" si="135"/>
        <v>0</v>
      </c>
      <c r="T1945" s="128">
        <f t="shared" si="136"/>
        <v>0</v>
      </c>
      <c r="U1945" s="129" t="str">
        <f>IFERROR(IF(#REF!="S",VLOOKUP('Raw Data'!A1945,References!#REF!,2,FALSE),(VLOOKUP($S1945,References!$B$3:$C$7,2,FALSE))),"")</f>
        <v/>
      </c>
      <c r="W1945" s="74" t="str">
        <f>IFERROR(VLOOKUP($O1945,'Customer List'!$A$1:$J$488,10,FALSE),"")</f>
        <v/>
      </c>
    </row>
    <row r="1946" spans="18:23">
      <c r="R1946" s="127">
        <f t="shared" si="135"/>
        <v>0</v>
      </c>
      <c r="T1946" s="128">
        <f t="shared" si="136"/>
        <v>0</v>
      </c>
      <c r="U1946" s="129" t="str">
        <f>IFERROR(IF(#REF!="S",VLOOKUP('Raw Data'!A1946,References!#REF!,2,FALSE),(VLOOKUP($S1946,References!$B$3:$C$7,2,FALSE))),"")</f>
        <v/>
      </c>
      <c r="W1946" s="74" t="str">
        <f>IFERROR(VLOOKUP($O1946,'Customer List'!$A$1:$J$488,10,FALSE),"")</f>
        <v/>
      </c>
    </row>
    <row r="1947" spans="18:23">
      <c r="R1947" s="127">
        <f t="shared" si="135"/>
        <v>0</v>
      </c>
      <c r="T1947" s="128">
        <f t="shared" si="136"/>
        <v>0</v>
      </c>
      <c r="U1947" s="129" t="str">
        <f>IFERROR(IF(#REF!="S",VLOOKUP('Raw Data'!A1947,References!#REF!,2,FALSE),(VLOOKUP($S1947,References!$B$3:$C$7,2,FALSE))),"")</f>
        <v/>
      </c>
      <c r="W1947" s="74" t="str">
        <f>IFERROR(VLOOKUP($O1947,'Customer List'!$A$1:$J$488,10,FALSE),"")</f>
        <v/>
      </c>
    </row>
    <row r="1948" spans="18:23">
      <c r="R1948" s="127">
        <f t="shared" si="135"/>
        <v>0</v>
      </c>
      <c r="T1948" s="128">
        <f t="shared" si="136"/>
        <v>0</v>
      </c>
      <c r="U1948" s="129" t="str">
        <f>IFERROR(IF(#REF!="S",VLOOKUP('Raw Data'!A1948,References!#REF!,2,FALSE),(VLOOKUP($S1948,References!$B$3:$C$7,2,FALSE))),"")</f>
        <v/>
      </c>
      <c r="W1948" s="74" t="str">
        <f>IFERROR(VLOOKUP($O1948,'Customer List'!$A$1:$J$488,10,FALSE),"")</f>
        <v/>
      </c>
    </row>
    <row r="1949" spans="18:23">
      <c r="R1949" s="127">
        <f t="shared" si="135"/>
        <v>0</v>
      </c>
      <c r="T1949" s="128">
        <f t="shared" si="136"/>
        <v>0</v>
      </c>
      <c r="U1949" s="129" t="str">
        <f>IFERROR(IF(#REF!="S",VLOOKUP('Raw Data'!A1949,References!#REF!,2,FALSE),(VLOOKUP($S1949,References!$B$3:$C$7,2,FALSE))),"")</f>
        <v/>
      </c>
      <c r="W1949" s="74" t="str">
        <f>IFERROR(VLOOKUP($O1949,'Customer List'!$A$1:$J$488,10,FALSE),"")</f>
        <v/>
      </c>
    </row>
    <row r="1950" spans="18:23">
      <c r="R1950" s="127">
        <f t="shared" si="135"/>
        <v>0</v>
      </c>
      <c r="T1950" s="128">
        <f t="shared" si="136"/>
        <v>0</v>
      </c>
      <c r="U1950" s="129" t="str">
        <f>IFERROR(IF(#REF!="S",VLOOKUP('Raw Data'!A1950,References!#REF!,2,FALSE),(VLOOKUP($S1950,References!$B$3:$C$7,2,FALSE))),"")</f>
        <v/>
      </c>
      <c r="W1950" s="74" t="str">
        <f>IFERROR(VLOOKUP($O1950,'Customer List'!$A$1:$J$488,10,FALSE),"")</f>
        <v/>
      </c>
    </row>
    <row r="1951" spans="18:23">
      <c r="R1951" s="127">
        <f t="shared" si="135"/>
        <v>0</v>
      </c>
      <c r="T1951" s="128">
        <f t="shared" si="136"/>
        <v>0</v>
      </c>
      <c r="U1951" s="129" t="str">
        <f>IFERROR(IF(#REF!="S",VLOOKUP('Raw Data'!A1951,References!#REF!,2,FALSE),(VLOOKUP($S1951,References!$B$3:$C$7,2,FALSE))),"")</f>
        <v/>
      </c>
      <c r="W1951" s="74" t="str">
        <f>IFERROR(VLOOKUP($O1951,'Customer List'!$A$1:$J$488,10,FALSE),"")</f>
        <v/>
      </c>
    </row>
    <row r="1952" spans="18:23">
      <c r="R1952" s="127">
        <f t="shared" si="135"/>
        <v>0</v>
      </c>
      <c r="T1952" s="128">
        <f t="shared" si="136"/>
        <v>0</v>
      </c>
      <c r="U1952" s="129" t="str">
        <f>IFERROR(IF(#REF!="S",VLOOKUP('Raw Data'!A1952,References!#REF!,2,FALSE),(VLOOKUP($S1952,References!$B$3:$C$7,2,FALSE))),"")</f>
        <v/>
      </c>
      <c r="W1952" s="74" t="str">
        <f>IFERROR(VLOOKUP($O1952,'Customer List'!$A$1:$J$488,10,FALSE),"")</f>
        <v/>
      </c>
    </row>
    <row r="1953" spans="18:23">
      <c r="R1953" s="127">
        <f t="shared" si="135"/>
        <v>0</v>
      </c>
      <c r="T1953" s="128">
        <f t="shared" si="136"/>
        <v>0</v>
      </c>
      <c r="U1953" s="129" t="str">
        <f>IFERROR(IF(#REF!="S",VLOOKUP('Raw Data'!A1953,References!#REF!,2,FALSE),(VLOOKUP($S1953,References!$B$3:$C$7,2,FALSE))),"")</f>
        <v/>
      </c>
      <c r="W1953" s="74" t="str">
        <f>IFERROR(VLOOKUP($O1953,'Customer List'!$A$1:$J$488,10,FALSE),"")</f>
        <v/>
      </c>
    </row>
    <row r="1954" spans="18:23">
      <c r="R1954" s="127">
        <f t="shared" si="135"/>
        <v>0</v>
      </c>
      <c r="T1954" s="128">
        <f t="shared" si="136"/>
        <v>0</v>
      </c>
      <c r="U1954" s="129" t="str">
        <f>IFERROR(IF(#REF!="S",VLOOKUP('Raw Data'!A1954,References!#REF!,2,FALSE),(VLOOKUP($S1954,References!$B$3:$C$7,2,FALSE))),"")</f>
        <v/>
      </c>
      <c r="W1954" s="74" t="str">
        <f>IFERROR(VLOOKUP($O1954,'Customer List'!$A$1:$J$488,10,FALSE),"")</f>
        <v/>
      </c>
    </row>
    <row r="1955" spans="18:23">
      <c r="R1955" s="127">
        <f t="shared" si="135"/>
        <v>0</v>
      </c>
      <c r="T1955" s="128">
        <f t="shared" si="136"/>
        <v>0</v>
      </c>
      <c r="U1955" s="129" t="str">
        <f>IFERROR(IF(#REF!="S",VLOOKUP('Raw Data'!A1955,References!#REF!,2,FALSE),(VLOOKUP($S1955,References!$B$3:$C$7,2,FALSE))),"")</f>
        <v/>
      </c>
      <c r="W1955" s="74" t="str">
        <f>IFERROR(VLOOKUP($O1955,'Customer List'!$A$1:$J$488,10,FALSE),"")</f>
        <v/>
      </c>
    </row>
    <row r="1956" spans="18:23">
      <c r="R1956" s="127">
        <f t="shared" si="135"/>
        <v>0</v>
      </c>
      <c r="T1956" s="128">
        <f t="shared" si="136"/>
        <v>0</v>
      </c>
      <c r="U1956" s="129" t="str">
        <f>IFERROR(IF(#REF!="S",VLOOKUP('Raw Data'!A1956,References!#REF!,2,FALSE),(VLOOKUP($S1956,References!$B$3:$C$7,2,FALSE))),"")</f>
        <v/>
      </c>
      <c r="W1956" s="74" t="str">
        <f>IFERROR(VLOOKUP($O1956,'Customer List'!$A$1:$J$488,10,FALSE),"")</f>
        <v/>
      </c>
    </row>
    <row r="1957" spans="18:23">
      <c r="R1957" s="127">
        <f t="shared" si="135"/>
        <v>0</v>
      </c>
      <c r="T1957" s="128">
        <f t="shared" si="136"/>
        <v>0</v>
      </c>
      <c r="U1957" s="129" t="str">
        <f>IFERROR(IF(#REF!="S",VLOOKUP('Raw Data'!A1957,References!#REF!,2,FALSE),(VLOOKUP($S1957,References!$B$3:$C$7,2,FALSE))),"")</f>
        <v/>
      </c>
      <c r="W1957" s="74" t="str">
        <f>IFERROR(VLOOKUP($O1957,'Customer List'!$A$1:$J$488,10,FALSE),"")</f>
        <v/>
      </c>
    </row>
    <row r="1958" spans="18:23">
      <c r="R1958" s="127">
        <f t="shared" ref="R1958:R2021" si="137">L1958-K1958</f>
        <v>0</v>
      </c>
      <c r="T1958" s="128">
        <f t="shared" si="136"/>
        <v>0</v>
      </c>
      <c r="U1958" s="129" t="str">
        <f>IFERROR(IF(#REF!="S",VLOOKUP('Raw Data'!A1958,References!#REF!,2,FALSE),(VLOOKUP($S1958,References!$B$3:$C$7,2,FALSE))),"")</f>
        <v/>
      </c>
      <c r="W1958" s="74" t="str">
        <f>IFERROR(VLOOKUP($O1958,'Customer List'!$A$1:$J$488,10,FALSE),"")</f>
        <v/>
      </c>
    </row>
    <row r="1959" spans="18:23">
      <c r="R1959" s="127">
        <f t="shared" si="137"/>
        <v>0</v>
      </c>
      <c r="T1959" s="128">
        <f t="shared" si="136"/>
        <v>0</v>
      </c>
      <c r="U1959" s="129" t="str">
        <f>IFERROR(IF(#REF!="S",VLOOKUP('Raw Data'!A1959,References!#REF!,2,FALSE),(VLOOKUP($S1959,References!$B$3:$C$7,2,FALSE))),"")</f>
        <v/>
      </c>
      <c r="W1959" s="74" t="str">
        <f>IFERROR(VLOOKUP($O1959,'Customer List'!$A$1:$J$488,10,FALSE),"")</f>
        <v/>
      </c>
    </row>
    <row r="1960" spans="18:23">
      <c r="R1960" s="127">
        <f t="shared" si="137"/>
        <v>0</v>
      </c>
      <c r="T1960" s="128">
        <f t="shared" si="136"/>
        <v>0</v>
      </c>
      <c r="U1960" s="129" t="str">
        <f>IFERROR(IF(#REF!="S",VLOOKUP('Raw Data'!A1960,References!#REF!,2,FALSE),(VLOOKUP($S1960,References!$B$3:$C$7,2,FALSE))),"")</f>
        <v/>
      </c>
      <c r="W1960" s="74" t="str">
        <f>IFERROR(VLOOKUP($O1960,'Customer List'!$A$1:$J$488,10,FALSE),"")</f>
        <v/>
      </c>
    </row>
    <row r="1961" spans="18:23">
      <c r="R1961" s="127">
        <f t="shared" si="137"/>
        <v>0</v>
      </c>
      <c r="T1961" s="128">
        <f t="shared" si="136"/>
        <v>0</v>
      </c>
      <c r="U1961" s="129" t="str">
        <f>IFERROR(IF(#REF!="S",VLOOKUP('Raw Data'!A1961,References!#REF!,2,FALSE),(VLOOKUP($S1961,References!$B$3:$C$7,2,FALSE))),"")</f>
        <v/>
      </c>
      <c r="W1961" s="74" t="str">
        <f>IFERROR(VLOOKUP($O1961,'Customer List'!$A$1:$J$488,10,FALSE),"")</f>
        <v/>
      </c>
    </row>
    <row r="1962" spans="18:23">
      <c r="R1962" s="127">
        <f t="shared" si="137"/>
        <v>0</v>
      </c>
      <c r="T1962" s="128">
        <f t="shared" si="136"/>
        <v>0</v>
      </c>
      <c r="U1962" s="129" t="str">
        <f>IFERROR(IF(#REF!="S",VLOOKUP('Raw Data'!A1962,References!#REF!,2,FALSE),(VLOOKUP($S1962,References!$B$3:$C$7,2,FALSE))),"")</f>
        <v/>
      </c>
      <c r="W1962" s="74" t="str">
        <f>IFERROR(VLOOKUP($O1962,'Customer List'!$A$1:$J$488,10,FALSE),"")</f>
        <v/>
      </c>
    </row>
    <row r="1963" spans="18:23">
      <c r="R1963" s="127">
        <f t="shared" si="137"/>
        <v>0</v>
      </c>
      <c r="T1963" s="128">
        <f t="shared" si="136"/>
        <v>0</v>
      </c>
      <c r="U1963" s="129" t="str">
        <f>IFERROR(IF(#REF!="S",VLOOKUP('Raw Data'!A1963,References!#REF!,2,FALSE),(VLOOKUP($S1963,References!$B$3:$C$7,2,FALSE))),"")</f>
        <v/>
      </c>
      <c r="W1963" s="74" t="str">
        <f>IFERROR(VLOOKUP($O1963,'Customer List'!$A$1:$J$488,10,FALSE),"")</f>
        <v/>
      </c>
    </row>
    <row r="1964" spans="18:23">
      <c r="R1964" s="127">
        <f t="shared" si="137"/>
        <v>0</v>
      </c>
      <c r="T1964" s="128">
        <f t="shared" si="136"/>
        <v>0</v>
      </c>
      <c r="U1964" s="129" t="str">
        <f>IFERROR(IF(#REF!="S",VLOOKUP('Raw Data'!A1964,References!#REF!,2,FALSE),(VLOOKUP($S1964,References!$B$3:$C$7,2,FALSE))),"")</f>
        <v/>
      </c>
      <c r="W1964" s="74" t="str">
        <f>IFERROR(VLOOKUP($O1964,'Customer List'!$A$1:$J$488,10,FALSE),"")</f>
        <v/>
      </c>
    </row>
    <row r="1965" spans="18:23">
      <c r="R1965" s="127">
        <f t="shared" si="137"/>
        <v>0</v>
      </c>
      <c r="T1965" s="128">
        <f t="shared" si="136"/>
        <v>0</v>
      </c>
      <c r="U1965" s="129" t="str">
        <f>IFERROR(IF(#REF!="S",VLOOKUP('Raw Data'!A1965,References!#REF!,2,FALSE),(VLOOKUP($S1965,References!$B$3:$C$7,2,FALSE))),"")</f>
        <v/>
      </c>
      <c r="W1965" s="74" t="str">
        <f>IFERROR(VLOOKUP($O1965,'Customer List'!$A$1:$J$488,10,FALSE),"")</f>
        <v/>
      </c>
    </row>
    <row r="1966" spans="18:23">
      <c r="R1966" s="127">
        <f t="shared" si="137"/>
        <v>0</v>
      </c>
      <c r="T1966" s="128">
        <f t="shared" si="136"/>
        <v>0</v>
      </c>
      <c r="U1966" s="129" t="str">
        <f>IFERROR(IF(#REF!="S",VLOOKUP('Raw Data'!A1966,References!#REF!,2,FALSE),(VLOOKUP($S1966,References!$B$3:$C$7,2,FALSE))),"")</f>
        <v/>
      </c>
      <c r="W1966" s="74" t="str">
        <f>IFERROR(VLOOKUP($O1966,'Customer List'!$A$1:$J$488,10,FALSE),"")</f>
        <v/>
      </c>
    </row>
    <row r="1967" spans="18:23">
      <c r="R1967" s="127">
        <f t="shared" si="137"/>
        <v>0</v>
      </c>
      <c r="T1967" s="128">
        <f t="shared" si="136"/>
        <v>0</v>
      </c>
      <c r="U1967" s="129" t="str">
        <f>IFERROR(IF(#REF!="S",VLOOKUP('Raw Data'!A1967,References!#REF!,2,FALSE),(VLOOKUP($S1967,References!$B$3:$C$7,2,FALSE))),"")</f>
        <v/>
      </c>
      <c r="W1967" s="74" t="str">
        <f>IFERROR(VLOOKUP($O1967,'Customer List'!$A$1:$J$488,10,FALSE),"")</f>
        <v/>
      </c>
    </row>
    <row r="1968" spans="18:23">
      <c r="R1968" s="127">
        <f t="shared" si="137"/>
        <v>0</v>
      </c>
      <c r="T1968" s="128">
        <f t="shared" si="136"/>
        <v>0</v>
      </c>
      <c r="U1968" s="129" t="str">
        <f>IFERROR(IF(#REF!="S",VLOOKUP('Raw Data'!A1968,References!#REF!,2,FALSE),(VLOOKUP($S1968,References!$B$3:$C$7,2,FALSE))),"")</f>
        <v/>
      </c>
      <c r="W1968" s="74" t="str">
        <f>IFERROR(VLOOKUP($O1968,'Customer List'!$A$1:$J$488,10,FALSE),"")</f>
        <v/>
      </c>
    </row>
    <row r="1969" spans="18:23">
      <c r="R1969" s="127">
        <f t="shared" si="137"/>
        <v>0</v>
      </c>
      <c r="T1969" s="128">
        <f t="shared" si="136"/>
        <v>0</v>
      </c>
      <c r="U1969" s="129" t="str">
        <f>IFERROR(IF(#REF!="S",VLOOKUP('Raw Data'!A1969,References!#REF!,2,FALSE),(VLOOKUP($S1969,References!$B$3:$C$7,2,FALSE))),"")</f>
        <v/>
      </c>
      <c r="W1969" s="74" t="str">
        <f>IFERROR(VLOOKUP($O1969,'Customer List'!$A$1:$J$488,10,FALSE),"")</f>
        <v/>
      </c>
    </row>
    <row r="1970" spans="18:23">
      <c r="R1970" s="127">
        <f t="shared" si="137"/>
        <v>0</v>
      </c>
      <c r="T1970" s="128">
        <f t="shared" si="136"/>
        <v>0</v>
      </c>
      <c r="U1970" s="129" t="str">
        <f>IFERROR(IF(#REF!="S",VLOOKUP('Raw Data'!A1970,References!#REF!,2,FALSE),(VLOOKUP($S1970,References!$B$3:$C$7,2,FALSE))),"")</f>
        <v/>
      </c>
      <c r="W1970" s="74" t="str">
        <f>IFERROR(VLOOKUP($O1970,'Customer List'!$A$1:$J$488,10,FALSE),"")</f>
        <v/>
      </c>
    </row>
    <row r="1971" spans="18:23">
      <c r="R1971" s="127">
        <f t="shared" si="137"/>
        <v>0</v>
      </c>
      <c r="T1971" s="128">
        <f t="shared" si="136"/>
        <v>0</v>
      </c>
      <c r="U1971" s="129" t="str">
        <f>IFERROR(IF(#REF!="S",VLOOKUP('Raw Data'!A1971,References!#REF!,2,FALSE),(VLOOKUP($S1971,References!$B$3:$C$7,2,FALSE))),"")</f>
        <v/>
      </c>
      <c r="W1971" s="74" t="str">
        <f>IFERROR(VLOOKUP($O1971,'Customer List'!$A$1:$J$488,10,FALSE),"")</f>
        <v/>
      </c>
    </row>
    <row r="1972" spans="18:23">
      <c r="R1972" s="127">
        <f t="shared" si="137"/>
        <v>0</v>
      </c>
      <c r="T1972" s="128">
        <f t="shared" si="136"/>
        <v>0</v>
      </c>
      <c r="U1972" s="129" t="str">
        <f>IFERROR(IF(#REF!="S",VLOOKUP('Raw Data'!A1972,References!#REF!,2,FALSE),(VLOOKUP($S1972,References!$B$3:$C$7,2,FALSE))),"")</f>
        <v/>
      </c>
      <c r="W1972" s="74" t="str">
        <f>IFERROR(VLOOKUP($O1972,'Customer List'!$A$1:$J$488,10,FALSE),"")</f>
        <v/>
      </c>
    </row>
    <row r="1973" spans="18:23">
      <c r="R1973" s="127">
        <f t="shared" si="137"/>
        <v>0</v>
      </c>
      <c r="T1973" s="128">
        <f t="shared" si="136"/>
        <v>0</v>
      </c>
      <c r="U1973" s="129" t="str">
        <f>IFERROR(IF(#REF!="S",VLOOKUP('Raw Data'!A1973,References!#REF!,2,FALSE),(VLOOKUP($S1973,References!$B$3:$C$7,2,FALSE))),"")</f>
        <v/>
      </c>
      <c r="W1973" s="74" t="str">
        <f>IFERROR(VLOOKUP($O1973,'Customer List'!$A$1:$J$488,10,FALSE),"")</f>
        <v/>
      </c>
    </row>
    <row r="1974" spans="18:23">
      <c r="R1974" s="127">
        <f t="shared" si="137"/>
        <v>0</v>
      </c>
      <c r="T1974" s="128">
        <f t="shared" si="136"/>
        <v>0</v>
      </c>
      <c r="U1974" s="129" t="str">
        <f>IFERROR(IF(#REF!="S",VLOOKUP('Raw Data'!A1974,References!#REF!,2,FALSE),(VLOOKUP($S1974,References!$B$3:$C$7,2,FALSE))),"")</f>
        <v/>
      </c>
      <c r="W1974" s="74" t="str">
        <f>IFERROR(VLOOKUP($O1974,'Customer List'!$A$1:$J$488,10,FALSE),"")</f>
        <v/>
      </c>
    </row>
    <row r="1975" spans="18:23">
      <c r="R1975" s="127">
        <f t="shared" si="137"/>
        <v>0</v>
      </c>
      <c r="T1975" s="128">
        <f t="shared" si="136"/>
        <v>0</v>
      </c>
      <c r="U1975" s="129" t="str">
        <f>IFERROR(IF(#REF!="S",VLOOKUP('Raw Data'!A1975,References!#REF!,2,FALSE),(VLOOKUP($S1975,References!$B$3:$C$7,2,FALSE))),"")</f>
        <v/>
      </c>
      <c r="W1975" s="74" t="str">
        <f>IFERROR(VLOOKUP($O1975,'Customer List'!$A$1:$J$488,10,FALSE),"")</f>
        <v/>
      </c>
    </row>
    <row r="1976" spans="18:23">
      <c r="R1976" s="127">
        <f t="shared" si="137"/>
        <v>0</v>
      </c>
      <c r="T1976" s="128">
        <f t="shared" si="136"/>
        <v>0</v>
      </c>
      <c r="U1976" s="129" t="str">
        <f>IFERROR(IF(#REF!="S",VLOOKUP('Raw Data'!A1976,References!#REF!,2,FALSE),(VLOOKUP($S1976,References!$B$3:$C$7,2,FALSE))),"")</f>
        <v/>
      </c>
      <c r="W1976" s="74" t="str">
        <f>IFERROR(VLOOKUP($O1976,'Customer List'!$A$1:$J$488,10,FALSE),"")</f>
        <v/>
      </c>
    </row>
    <row r="1977" spans="18:23">
      <c r="R1977" s="127">
        <f t="shared" si="137"/>
        <v>0</v>
      </c>
      <c r="T1977" s="128">
        <f t="shared" si="136"/>
        <v>0</v>
      </c>
      <c r="U1977" s="129" t="str">
        <f>IFERROR(IF(#REF!="S",VLOOKUP('Raw Data'!A1977,References!#REF!,2,FALSE),(VLOOKUP($S1977,References!$B$3:$C$7,2,FALSE))),"")</f>
        <v/>
      </c>
      <c r="W1977" s="74" t="str">
        <f>IFERROR(VLOOKUP($O1977,'Customer List'!$A$1:$J$488,10,FALSE),"")</f>
        <v/>
      </c>
    </row>
    <row r="1978" spans="18:23">
      <c r="R1978" s="127">
        <f t="shared" si="137"/>
        <v>0</v>
      </c>
      <c r="T1978" s="128">
        <f t="shared" si="136"/>
        <v>0</v>
      </c>
      <c r="U1978" s="129" t="str">
        <f>IFERROR(IF(#REF!="S",VLOOKUP('Raw Data'!A1978,References!#REF!,2,FALSE),(VLOOKUP($S1978,References!$B$3:$C$7,2,FALSE))),"")</f>
        <v/>
      </c>
      <c r="W1978" s="74" t="str">
        <f>IFERROR(VLOOKUP($O1978,'Customer List'!$A$1:$J$488,10,FALSE),"")</f>
        <v/>
      </c>
    </row>
    <row r="1979" spans="18:23">
      <c r="R1979" s="127">
        <f t="shared" si="137"/>
        <v>0</v>
      </c>
      <c r="T1979" s="128">
        <f t="shared" si="136"/>
        <v>0</v>
      </c>
      <c r="U1979" s="129" t="str">
        <f>IFERROR(IF(#REF!="S",VLOOKUP('Raw Data'!A1979,References!#REF!,2,FALSE),(VLOOKUP($S1979,References!$B$3:$C$7,2,FALSE))),"")</f>
        <v/>
      </c>
      <c r="W1979" s="74" t="str">
        <f>IFERROR(VLOOKUP($O1979,'Customer List'!$A$1:$J$488,10,FALSE),"")</f>
        <v/>
      </c>
    </row>
    <row r="1980" spans="18:23">
      <c r="R1980" s="127">
        <f t="shared" si="137"/>
        <v>0</v>
      </c>
      <c r="T1980" s="128">
        <f t="shared" si="136"/>
        <v>0</v>
      </c>
      <c r="U1980" s="129" t="str">
        <f>IFERROR(IF(#REF!="S",VLOOKUP('Raw Data'!A1980,References!#REF!,2,FALSE),(VLOOKUP($S1980,References!$B$3:$C$7,2,FALSE))),"")</f>
        <v/>
      </c>
      <c r="W1980" s="74" t="str">
        <f>IFERROR(VLOOKUP($O1980,'Customer List'!$A$1:$J$488,10,FALSE),"")</f>
        <v/>
      </c>
    </row>
    <row r="1981" spans="18:23">
      <c r="R1981" s="127">
        <f t="shared" si="137"/>
        <v>0</v>
      </c>
      <c r="T1981" s="128">
        <f t="shared" si="136"/>
        <v>0</v>
      </c>
      <c r="U1981" s="129" t="str">
        <f>IFERROR(IF(#REF!="S",VLOOKUP('Raw Data'!A1981,References!#REF!,2,FALSE),(VLOOKUP($S1981,References!$B$3:$C$7,2,FALSE))),"")</f>
        <v/>
      </c>
      <c r="W1981" s="74" t="str">
        <f>IFERROR(VLOOKUP($O1981,'Customer List'!$A$1:$J$488,10,FALSE),"")</f>
        <v/>
      </c>
    </row>
    <row r="1982" spans="18:23">
      <c r="R1982" s="127">
        <f t="shared" si="137"/>
        <v>0</v>
      </c>
      <c r="T1982" s="128">
        <f t="shared" si="136"/>
        <v>0</v>
      </c>
      <c r="U1982" s="129" t="str">
        <f>IFERROR(IF(#REF!="S",VLOOKUP('Raw Data'!A1982,References!#REF!,2,FALSE),(VLOOKUP($S1982,References!$B$3:$C$7,2,FALSE))),"")</f>
        <v/>
      </c>
      <c r="W1982" s="74" t="str">
        <f>IFERROR(VLOOKUP($O1982,'Customer List'!$A$1:$J$488,10,FALSE),"")</f>
        <v/>
      </c>
    </row>
    <row r="1983" spans="18:23">
      <c r="R1983" s="127">
        <f t="shared" si="137"/>
        <v>0</v>
      </c>
      <c r="T1983" s="128">
        <f t="shared" si="136"/>
        <v>0</v>
      </c>
      <c r="U1983" s="129" t="str">
        <f>IFERROR(IF(#REF!="S",VLOOKUP('Raw Data'!A1983,References!#REF!,2,FALSE),(VLOOKUP($S1983,References!$B$3:$C$7,2,FALSE))),"")</f>
        <v/>
      </c>
      <c r="W1983" s="74" t="str">
        <f>IFERROR(VLOOKUP($O1983,'Customer List'!$A$1:$J$488,10,FALSE),"")</f>
        <v/>
      </c>
    </row>
    <row r="1984" spans="18:23">
      <c r="R1984" s="127">
        <f t="shared" si="137"/>
        <v>0</v>
      </c>
      <c r="T1984" s="128">
        <f t="shared" si="136"/>
        <v>0</v>
      </c>
      <c r="U1984" s="129" t="str">
        <f>IFERROR(IF(#REF!="S",VLOOKUP('Raw Data'!A1984,References!#REF!,2,FALSE),(VLOOKUP($S1984,References!$B$3:$C$7,2,FALSE))),"")</f>
        <v/>
      </c>
      <c r="W1984" s="74" t="str">
        <f>IFERROR(VLOOKUP($O1984,'Customer List'!$A$1:$J$488,10,FALSE),"")</f>
        <v/>
      </c>
    </row>
    <row r="1985" spans="18:23">
      <c r="R1985" s="127">
        <f t="shared" si="137"/>
        <v>0</v>
      </c>
      <c r="T1985" s="128">
        <f t="shared" si="136"/>
        <v>0</v>
      </c>
      <c r="U1985" s="129" t="str">
        <f>IFERROR(IF(#REF!="S",VLOOKUP('Raw Data'!A1985,References!#REF!,2,FALSE),(VLOOKUP($S1985,References!$B$3:$C$7,2,FALSE))),"")</f>
        <v/>
      </c>
      <c r="W1985" s="74" t="str">
        <f>IFERROR(VLOOKUP($O1985,'Customer List'!$A$1:$J$488,10,FALSE),"")</f>
        <v/>
      </c>
    </row>
    <row r="1986" spans="18:23">
      <c r="R1986" s="127">
        <f t="shared" si="137"/>
        <v>0</v>
      </c>
      <c r="T1986" s="128">
        <f t="shared" si="136"/>
        <v>0</v>
      </c>
      <c r="U1986" s="129" t="str">
        <f>IFERROR(IF(#REF!="S",VLOOKUP('Raw Data'!A1986,References!#REF!,2,FALSE),(VLOOKUP($S1986,References!$B$3:$C$7,2,FALSE))),"")</f>
        <v/>
      </c>
      <c r="W1986" s="74" t="str">
        <f>IFERROR(VLOOKUP($O1986,'Customer List'!$A$1:$J$488,10,FALSE),"")</f>
        <v/>
      </c>
    </row>
    <row r="1987" spans="18:23">
      <c r="R1987" s="127">
        <f t="shared" si="137"/>
        <v>0</v>
      </c>
      <c r="T1987" s="128">
        <f t="shared" si="136"/>
        <v>0</v>
      </c>
      <c r="U1987" s="129" t="str">
        <f>IFERROR(IF(#REF!="S",VLOOKUP('Raw Data'!A1987,References!#REF!,2,FALSE),(VLOOKUP($S1987,References!$B$3:$C$7,2,FALSE))),"")</f>
        <v/>
      </c>
      <c r="W1987" s="74" t="str">
        <f>IFERROR(VLOOKUP($O1987,'Customer List'!$A$1:$J$488,10,FALSE),"")</f>
        <v/>
      </c>
    </row>
    <row r="1988" spans="18:23">
      <c r="R1988" s="127">
        <f t="shared" si="137"/>
        <v>0</v>
      </c>
      <c r="T1988" s="128">
        <f t="shared" si="136"/>
        <v>0</v>
      </c>
      <c r="U1988" s="129" t="str">
        <f>IFERROR(IF(#REF!="S",VLOOKUP('Raw Data'!A1988,References!#REF!,2,FALSE),(VLOOKUP($S1988,References!$B$3:$C$7,2,FALSE))),"")</f>
        <v/>
      </c>
      <c r="W1988" s="74" t="str">
        <f>IFERROR(VLOOKUP($O1988,'Customer List'!$A$1:$J$488,10,FALSE),"")</f>
        <v/>
      </c>
    </row>
    <row r="1989" spans="18:23">
      <c r="R1989" s="127">
        <f t="shared" si="137"/>
        <v>0</v>
      </c>
      <c r="T1989" s="128">
        <f t="shared" si="136"/>
        <v>0</v>
      </c>
      <c r="U1989" s="129" t="str">
        <f>IFERROR(IF(#REF!="S",VLOOKUP('Raw Data'!A1989,References!#REF!,2,FALSE),(VLOOKUP($S1989,References!$B$3:$C$7,2,FALSE))),"")</f>
        <v/>
      </c>
      <c r="W1989" s="74" t="str">
        <f>IFERROR(VLOOKUP($O1989,'Customer List'!$A$1:$J$488,10,FALSE),"")</f>
        <v/>
      </c>
    </row>
    <row r="1990" spans="18:23">
      <c r="R1990" s="127">
        <f t="shared" si="137"/>
        <v>0</v>
      </c>
      <c r="T1990" s="128">
        <f t="shared" si="136"/>
        <v>0</v>
      </c>
      <c r="U1990" s="129" t="str">
        <f>IFERROR(IF(#REF!="S",VLOOKUP('Raw Data'!A1990,References!#REF!,2,FALSE),(VLOOKUP($S1990,References!$B$3:$C$7,2,FALSE))),"")</f>
        <v/>
      </c>
      <c r="W1990" s="74" t="str">
        <f>IFERROR(VLOOKUP($O1990,'Customer List'!$A$1:$J$488,10,FALSE),"")</f>
        <v/>
      </c>
    </row>
    <row r="1991" spans="18:23">
      <c r="R1991" s="127">
        <f t="shared" si="137"/>
        <v>0</v>
      </c>
      <c r="T1991" s="128">
        <f t="shared" si="136"/>
        <v>0</v>
      </c>
      <c r="U1991" s="129" t="str">
        <f>IFERROR(IF(#REF!="S",VLOOKUP('Raw Data'!A1991,References!#REF!,2,FALSE),(VLOOKUP($S1991,References!$B$3:$C$7,2,FALSE))),"")</f>
        <v/>
      </c>
      <c r="W1991" s="74" t="str">
        <f>IFERROR(VLOOKUP($O1991,'Customer List'!$A$1:$J$488,10,FALSE),"")</f>
        <v/>
      </c>
    </row>
    <row r="1992" spans="18:23">
      <c r="R1992" s="127">
        <f t="shared" si="137"/>
        <v>0</v>
      </c>
      <c r="T1992" s="128">
        <f t="shared" si="136"/>
        <v>0</v>
      </c>
      <c r="U1992" s="129" t="str">
        <f>IFERROR(IF(#REF!="S",VLOOKUP('Raw Data'!A1992,References!#REF!,2,FALSE),(VLOOKUP($S1992,References!$B$3:$C$7,2,FALSE))),"")</f>
        <v/>
      </c>
      <c r="W1992" s="74" t="str">
        <f>IFERROR(VLOOKUP($O1992,'Customer List'!$A$1:$J$488,10,FALSE),"")</f>
        <v/>
      </c>
    </row>
    <row r="1993" spans="18:23">
      <c r="R1993" s="127">
        <f t="shared" si="137"/>
        <v>0</v>
      </c>
      <c r="T1993" s="128">
        <f t="shared" si="136"/>
        <v>0</v>
      </c>
      <c r="U1993" s="129" t="str">
        <f>IFERROR(IF(#REF!="S",VLOOKUP('Raw Data'!A1993,References!#REF!,2,FALSE),(VLOOKUP($S1993,References!$B$3:$C$7,2,FALSE))),"")</f>
        <v/>
      </c>
      <c r="W1993" s="74" t="str">
        <f>IFERROR(VLOOKUP($O1993,'Customer List'!$A$1:$J$488,10,FALSE),"")</f>
        <v/>
      </c>
    </row>
    <row r="1994" spans="18:23">
      <c r="R1994" s="127">
        <f t="shared" si="137"/>
        <v>0</v>
      </c>
      <c r="T1994" s="128">
        <f t="shared" ref="T1994:T2057" si="138">IF(S1994="50 - Cleaning Fee",1,HOUR($R1994)+MINUTE(R1994)/60)</f>
        <v>0</v>
      </c>
      <c r="U1994" s="129" t="str">
        <f>IFERROR(IF(#REF!="S",VLOOKUP('Raw Data'!A1994,References!#REF!,2,FALSE),(VLOOKUP($S1994,References!$B$3:$C$7,2,FALSE))),"")</f>
        <v/>
      </c>
      <c r="W1994" s="74" t="str">
        <f>IFERROR(VLOOKUP($O1994,'Customer List'!$A$1:$J$488,10,FALSE),"")</f>
        <v/>
      </c>
    </row>
    <row r="1995" spans="18:23">
      <c r="R1995" s="127">
        <f t="shared" si="137"/>
        <v>0</v>
      </c>
      <c r="T1995" s="128">
        <f t="shared" si="138"/>
        <v>0</v>
      </c>
      <c r="U1995" s="129" t="str">
        <f>IFERROR(IF(#REF!="S",VLOOKUP('Raw Data'!A1995,References!#REF!,2,FALSE),(VLOOKUP($S1995,References!$B$3:$C$7,2,FALSE))),"")</f>
        <v/>
      </c>
      <c r="W1995" s="74" t="str">
        <f>IFERROR(VLOOKUP($O1995,'Customer List'!$A$1:$J$488,10,FALSE),"")</f>
        <v/>
      </c>
    </row>
    <row r="1996" spans="18:23">
      <c r="R1996" s="127">
        <f t="shared" si="137"/>
        <v>0</v>
      </c>
      <c r="T1996" s="128">
        <f t="shared" si="138"/>
        <v>0</v>
      </c>
      <c r="U1996" s="129" t="str">
        <f>IFERROR(IF(#REF!="S",VLOOKUP('Raw Data'!A1996,References!#REF!,2,FALSE),(VLOOKUP($S1996,References!$B$3:$C$7,2,FALSE))),"")</f>
        <v/>
      </c>
      <c r="W1996" s="74" t="str">
        <f>IFERROR(VLOOKUP($O1996,'Customer List'!$A$1:$J$488,10,FALSE),"")</f>
        <v/>
      </c>
    </row>
    <row r="1997" spans="18:23">
      <c r="R1997" s="127">
        <f t="shared" si="137"/>
        <v>0</v>
      </c>
      <c r="T1997" s="128">
        <f t="shared" si="138"/>
        <v>0</v>
      </c>
      <c r="U1997" s="129" t="str">
        <f>IFERROR(IF(#REF!="S",VLOOKUP('Raw Data'!A1997,References!#REF!,2,FALSE),(VLOOKUP($S1997,References!$B$3:$C$7,2,FALSE))),"")</f>
        <v/>
      </c>
      <c r="W1997" s="74" t="str">
        <f>IFERROR(VLOOKUP($O1997,'Customer List'!$A$1:$J$488,10,FALSE),"")</f>
        <v/>
      </c>
    </row>
    <row r="1998" spans="18:23">
      <c r="R1998" s="127">
        <f t="shared" si="137"/>
        <v>0</v>
      </c>
      <c r="T1998" s="128">
        <f t="shared" si="138"/>
        <v>0</v>
      </c>
      <c r="U1998" s="129" t="str">
        <f>IFERROR(IF(#REF!="S",VLOOKUP('Raw Data'!A1998,References!#REF!,2,FALSE),(VLOOKUP($S1998,References!$B$3:$C$7,2,FALSE))),"")</f>
        <v/>
      </c>
      <c r="W1998" s="74" t="str">
        <f>IFERROR(VLOOKUP($O1998,'Customer List'!$A$1:$J$488,10,FALSE),"")</f>
        <v/>
      </c>
    </row>
    <row r="1999" spans="18:23">
      <c r="R1999" s="127">
        <f t="shared" si="137"/>
        <v>0</v>
      </c>
      <c r="T1999" s="128">
        <f t="shared" si="138"/>
        <v>0</v>
      </c>
      <c r="U1999" s="129" t="str">
        <f>IFERROR(IF(#REF!="S",VLOOKUP('Raw Data'!A1999,References!#REF!,2,FALSE),(VLOOKUP($S1999,References!$B$3:$C$7,2,FALSE))),"")</f>
        <v/>
      </c>
      <c r="W1999" s="74" t="str">
        <f>IFERROR(VLOOKUP($O1999,'Customer List'!$A$1:$J$488,10,FALSE),"")</f>
        <v/>
      </c>
    </row>
    <row r="2000" spans="18:23">
      <c r="R2000" s="127">
        <f t="shared" si="137"/>
        <v>0</v>
      </c>
      <c r="T2000" s="128">
        <f t="shared" si="138"/>
        <v>0</v>
      </c>
      <c r="U2000" s="129" t="str">
        <f>IFERROR(IF(#REF!="S",VLOOKUP('Raw Data'!A2000,References!#REF!,2,FALSE),(VLOOKUP($S2000,References!$B$3:$C$7,2,FALSE))),"")</f>
        <v/>
      </c>
      <c r="W2000" s="74" t="str">
        <f>IFERROR(VLOOKUP($O2000,'Customer List'!$A$1:$J$488,10,FALSE),"")</f>
        <v/>
      </c>
    </row>
    <row r="2001" spans="18:23">
      <c r="R2001" s="127">
        <f t="shared" si="137"/>
        <v>0</v>
      </c>
      <c r="T2001" s="128">
        <f t="shared" si="138"/>
        <v>0</v>
      </c>
      <c r="U2001" s="129" t="str">
        <f>IFERROR(IF(#REF!="S",VLOOKUP('Raw Data'!A2001,References!#REF!,2,FALSE),(VLOOKUP($S2001,References!$B$3:$C$7,2,FALSE))),"")</f>
        <v/>
      </c>
      <c r="W2001" s="74" t="str">
        <f>IFERROR(VLOOKUP($O2001,'Customer List'!$A$1:$J$488,10,FALSE),"")</f>
        <v/>
      </c>
    </row>
    <row r="2002" spans="18:23">
      <c r="R2002" s="127">
        <f t="shared" si="137"/>
        <v>0</v>
      </c>
      <c r="T2002" s="128">
        <f t="shared" si="138"/>
        <v>0</v>
      </c>
      <c r="U2002" s="129" t="str">
        <f>IFERROR(IF(#REF!="S",VLOOKUP('Raw Data'!A2002,References!#REF!,2,FALSE),(VLOOKUP($S2002,References!$B$3:$C$7,2,FALSE))),"")</f>
        <v/>
      </c>
      <c r="W2002" s="74" t="str">
        <f>IFERROR(VLOOKUP($O2002,'Customer List'!$A$1:$J$488,10,FALSE),"")</f>
        <v/>
      </c>
    </row>
    <row r="2003" spans="18:23">
      <c r="R2003" s="127">
        <f t="shared" si="137"/>
        <v>0</v>
      </c>
      <c r="T2003" s="128">
        <f t="shared" si="138"/>
        <v>0</v>
      </c>
      <c r="U2003" s="129" t="str">
        <f>IFERROR(IF(#REF!="S",VLOOKUP('Raw Data'!A2003,References!#REF!,2,FALSE),(VLOOKUP($S2003,References!$B$3:$C$7,2,FALSE))),"")</f>
        <v/>
      </c>
      <c r="W2003" s="74" t="str">
        <f>IFERROR(VLOOKUP($O2003,'Customer List'!$A$1:$J$488,10,FALSE),"")</f>
        <v/>
      </c>
    </row>
    <row r="2004" spans="18:23">
      <c r="R2004" s="127">
        <f t="shared" si="137"/>
        <v>0</v>
      </c>
      <c r="T2004" s="128">
        <f t="shared" si="138"/>
        <v>0</v>
      </c>
      <c r="U2004" s="129" t="str">
        <f>IFERROR(IF(#REF!="S",VLOOKUP('Raw Data'!A2004,References!#REF!,2,FALSE),(VLOOKUP($S2004,References!$B$3:$C$7,2,FALSE))),"")</f>
        <v/>
      </c>
      <c r="W2004" s="74" t="str">
        <f>IFERROR(VLOOKUP($O2004,'Customer List'!$A$1:$J$488,10,FALSE),"")</f>
        <v/>
      </c>
    </row>
    <row r="2005" spans="18:23">
      <c r="R2005" s="127">
        <f t="shared" si="137"/>
        <v>0</v>
      </c>
      <c r="T2005" s="128">
        <f t="shared" si="138"/>
        <v>0</v>
      </c>
      <c r="U2005" s="129" t="str">
        <f>IFERROR(IF(#REF!="S",VLOOKUP('Raw Data'!A2005,References!#REF!,2,FALSE),(VLOOKUP($S2005,References!$B$3:$C$7,2,FALSE))),"")</f>
        <v/>
      </c>
      <c r="W2005" s="74" t="str">
        <f>IFERROR(VLOOKUP($O2005,'Customer List'!$A$1:$J$488,10,FALSE),"")</f>
        <v/>
      </c>
    </row>
    <row r="2006" spans="18:23">
      <c r="R2006" s="127">
        <f t="shared" si="137"/>
        <v>0</v>
      </c>
      <c r="T2006" s="128">
        <f t="shared" si="138"/>
        <v>0</v>
      </c>
      <c r="U2006" s="129" t="str">
        <f>IFERROR(IF(#REF!="S",VLOOKUP('Raw Data'!A2006,References!#REF!,2,FALSE),(VLOOKUP($S2006,References!$B$3:$C$7,2,FALSE))),"")</f>
        <v/>
      </c>
      <c r="W2006" s="74" t="str">
        <f>IFERROR(VLOOKUP($O2006,'Customer List'!$A$1:$J$488,10,FALSE),"")</f>
        <v/>
      </c>
    </row>
    <row r="2007" spans="18:23">
      <c r="R2007" s="127">
        <f t="shared" si="137"/>
        <v>0</v>
      </c>
      <c r="T2007" s="128">
        <f t="shared" si="138"/>
        <v>0</v>
      </c>
      <c r="U2007" s="129" t="str">
        <f>IFERROR(IF(#REF!="S",VLOOKUP('Raw Data'!A2007,References!#REF!,2,FALSE),(VLOOKUP($S2007,References!$B$3:$C$7,2,FALSE))),"")</f>
        <v/>
      </c>
      <c r="W2007" s="74" t="str">
        <f>IFERROR(VLOOKUP($O2007,'Customer List'!$A$1:$J$488,10,FALSE),"")</f>
        <v/>
      </c>
    </row>
    <row r="2008" spans="18:23">
      <c r="R2008" s="127">
        <f t="shared" si="137"/>
        <v>0</v>
      </c>
      <c r="T2008" s="128">
        <f t="shared" si="138"/>
        <v>0</v>
      </c>
      <c r="U2008" s="129" t="str">
        <f>IFERROR(IF(#REF!="S",VLOOKUP('Raw Data'!A2008,References!#REF!,2,FALSE),(VLOOKUP($S2008,References!$B$3:$C$7,2,FALSE))),"")</f>
        <v/>
      </c>
      <c r="W2008" s="74" t="str">
        <f>IFERROR(VLOOKUP($O2008,'Customer List'!$A$1:$J$488,10,FALSE),"")</f>
        <v/>
      </c>
    </row>
    <row r="2009" spans="18:23">
      <c r="R2009" s="127">
        <f t="shared" si="137"/>
        <v>0</v>
      </c>
      <c r="T2009" s="128">
        <f t="shared" si="138"/>
        <v>0</v>
      </c>
      <c r="U2009" s="129" t="str">
        <f>IFERROR(IF(#REF!="S",VLOOKUP('Raw Data'!A2009,References!#REF!,2,FALSE),(VLOOKUP($S2009,References!$B$3:$C$7,2,FALSE))),"")</f>
        <v/>
      </c>
      <c r="W2009" s="74" t="str">
        <f>IFERROR(VLOOKUP($O2009,'Customer List'!$A$1:$J$488,10,FALSE),"")</f>
        <v/>
      </c>
    </row>
    <row r="2010" spans="18:23">
      <c r="R2010" s="127">
        <f t="shared" si="137"/>
        <v>0</v>
      </c>
      <c r="T2010" s="128">
        <f t="shared" si="138"/>
        <v>0</v>
      </c>
      <c r="U2010" s="129" t="str">
        <f>IFERROR(IF(#REF!="S",VLOOKUP('Raw Data'!A2010,References!#REF!,2,FALSE),(VLOOKUP($S2010,References!$B$3:$C$7,2,FALSE))),"")</f>
        <v/>
      </c>
      <c r="W2010" s="74" t="str">
        <f>IFERROR(VLOOKUP($O2010,'Customer List'!$A$1:$J$488,10,FALSE),"")</f>
        <v/>
      </c>
    </row>
    <row r="2011" spans="18:23">
      <c r="R2011" s="127">
        <f t="shared" si="137"/>
        <v>0</v>
      </c>
      <c r="T2011" s="128">
        <f t="shared" si="138"/>
        <v>0</v>
      </c>
      <c r="U2011" s="129" t="str">
        <f>IFERROR(IF(#REF!="S",VLOOKUP('Raw Data'!A2011,References!#REF!,2,FALSE),(VLOOKUP($S2011,References!$B$3:$C$7,2,FALSE))),"")</f>
        <v/>
      </c>
      <c r="W2011" s="74" t="str">
        <f>IFERROR(VLOOKUP($O2011,'Customer List'!$A$1:$J$488,10,FALSE),"")</f>
        <v/>
      </c>
    </row>
    <row r="2012" spans="18:23">
      <c r="R2012" s="127">
        <f t="shared" si="137"/>
        <v>0</v>
      </c>
      <c r="T2012" s="128">
        <f t="shared" si="138"/>
        <v>0</v>
      </c>
      <c r="U2012" s="129" t="str">
        <f>IFERROR(IF(#REF!="S",VLOOKUP('Raw Data'!A2012,References!#REF!,2,FALSE),(VLOOKUP($S2012,References!$B$3:$C$7,2,FALSE))),"")</f>
        <v/>
      </c>
      <c r="W2012" s="74" t="str">
        <f>IFERROR(VLOOKUP($O2012,'Customer List'!$A$1:$J$488,10,FALSE),"")</f>
        <v/>
      </c>
    </row>
    <row r="2013" spans="18:23">
      <c r="R2013" s="127">
        <f t="shared" si="137"/>
        <v>0</v>
      </c>
      <c r="T2013" s="128">
        <f t="shared" si="138"/>
        <v>0</v>
      </c>
      <c r="U2013" s="129" t="str">
        <f>IFERROR(IF(#REF!="S",VLOOKUP('Raw Data'!A2013,References!#REF!,2,FALSE),(VLOOKUP($S2013,References!$B$3:$C$7,2,FALSE))),"")</f>
        <v/>
      </c>
      <c r="W2013" s="74" t="str">
        <f>IFERROR(VLOOKUP($O2013,'Customer List'!$A$1:$J$488,10,FALSE),"")</f>
        <v/>
      </c>
    </row>
    <row r="2014" spans="18:23">
      <c r="R2014" s="127">
        <f t="shared" si="137"/>
        <v>0</v>
      </c>
      <c r="T2014" s="128">
        <f t="shared" si="138"/>
        <v>0</v>
      </c>
      <c r="U2014" s="129" t="str">
        <f>IFERROR(IF(#REF!="S",VLOOKUP('Raw Data'!A2014,References!#REF!,2,FALSE),(VLOOKUP($S2014,References!$B$3:$C$7,2,FALSE))),"")</f>
        <v/>
      </c>
      <c r="W2014" s="74" t="str">
        <f>IFERROR(VLOOKUP($O2014,'Customer List'!$A$1:$J$488,10,FALSE),"")</f>
        <v/>
      </c>
    </row>
    <row r="2015" spans="18:23">
      <c r="R2015" s="127">
        <f t="shared" si="137"/>
        <v>0</v>
      </c>
      <c r="T2015" s="128">
        <f t="shared" si="138"/>
        <v>0</v>
      </c>
      <c r="U2015" s="129" t="str">
        <f>IFERROR(IF(#REF!="S",VLOOKUP('Raw Data'!A2015,References!#REF!,2,FALSE),(VLOOKUP($S2015,References!$B$3:$C$7,2,FALSE))),"")</f>
        <v/>
      </c>
      <c r="W2015" s="74" t="str">
        <f>IFERROR(VLOOKUP($O2015,'Customer List'!$A$1:$J$488,10,FALSE),"")</f>
        <v/>
      </c>
    </row>
    <row r="2016" spans="18:23">
      <c r="R2016" s="127">
        <f t="shared" si="137"/>
        <v>0</v>
      </c>
      <c r="T2016" s="128">
        <f t="shared" si="138"/>
        <v>0</v>
      </c>
      <c r="U2016" s="129" t="str">
        <f>IFERROR(IF(#REF!="S",VLOOKUP('Raw Data'!A2016,References!#REF!,2,FALSE),(VLOOKUP($S2016,References!$B$3:$C$7,2,FALSE))),"")</f>
        <v/>
      </c>
      <c r="W2016" s="74" t="str">
        <f>IFERROR(VLOOKUP($O2016,'Customer List'!$A$1:$J$488,10,FALSE),"")</f>
        <v/>
      </c>
    </row>
    <row r="2017" spans="18:23">
      <c r="R2017" s="127">
        <f t="shared" si="137"/>
        <v>0</v>
      </c>
      <c r="T2017" s="128">
        <f t="shared" si="138"/>
        <v>0</v>
      </c>
      <c r="U2017" s="129" t="str">
        <f>IFERROR(IF(#REF!="S",VLOOKUP('Raw Data'!A2017,References!#REF!,2,FALSE),(VLOOKUP($S2017,References!$B$3:$C$7,2,FALSE))),"")</f>
        <v/>
      </c>
      <c r="W2017" s="74" t="str">
        <f>IFERROR(VLOOKUP($O2017,'Customer List'!$A$1:$J$488,10,FALSE),"")</f>
        <v/>
      </c>
    </row>
    <row r="2018" spans="18:23">
      <c r="R2018" s="127">
        <f t="shared" si="137"/>
        <v>0</v>
      </c>
      <c r="T2018" s="128">
        <f t="shared" si="138"/>
        <v>0</v>
      </c>
      <c r="U2018" s="129" t="str">
        <f>IFERROR(IF(#REF!="S",VLOOKUP('Raw Data'!A2018,References!#REF!,2,FALSE),(VLOOKUP($S2018,References!$B$3:$C$7,2,FALSE))),"")</f>
        <v/>
      </c>
      <c r="W2018" s="74" t="str">
        <f>IFERROR(VLOOKUP($O2018,'Customer List'!$A$1:$J$488,10,FALSE),"")</f>
        <v/>
      </c>
    </row>
    <row r="2019" spans="18:23">
      <c r="R2019" s="127">
        <f t="shared" si="137"/>
        <v>0</v>
      </c>
      <c r="T2019" s="128">
        <f t="shared" si="138"/>
        <v>0</v>
      </c>
      <c r="U2019" s="129" t="str">
        <f>IFERROR(IF(#REF!="S",VLOOKUP('Raw Data'!A2019,References!#REF!,2,FALSE),(VLOOKUP($S2019,References!$B$3:$C$7,2,FALSE))),"")</f>
        <v/>
      </c>
      <c r="W2019" s="74" t="str">
        <f>IFERROR(VLOOKUP($O2019,'Customer List'!$A$1:$J$488,10,FALSE),"")</f>
        <v/>
      </c>
    </row>
    <row r="2020" spans="18:23">
      <c r="R2020" s="127">
        <f t="shared" si="137"/>
        <v>0</v>
      </c>
      <c r="T2020" s="128">
        <f t="shared" si="138"/>
        <v>0</v>
      </c>
      <c r="U2020" s="129" t="str">
        <f>IFERROR(IF(#REF!="S",VLOOKUP('Raw Data'!A2020,References!#REF!,2,FALSE),(VLOOKUP($S2020,References!$B$3:$C$7,2,FALSE))),"")</f>
        <v/>
      </c>
      <c r="W2020" s="74" t="str">
        <f>IFERROR(VLOOKUP($O2020,'Customer List'!$A$1:$J$488,10,FALSE),"")</f>
        <v/>
      </c>
    </row>
    <row r="2021" spans="18:23">
      <c r="R2021" s="127">
        <f t="shared" si="137"/>
        <v>0</v>
      </c>
      <c r="T2021" s="128">
        <f t="shared" si="138"/>
        <v>0</v>
      </c>
      <c r="U2021" s="129" t="str">
        <f>IFERROR(IF(#REF!="S",VLOOKUP('Raw Data'!A2021,References!#REF!,2,FALSE),(VLOOKUP($S2021,References!$B$3:$C$7,2,FALSE))),"")</f>
        <v/>
      </c>
      <c r="W2021" s="74" t="str">
        <f>IFERROR(VLOOKUP($O2021,'Customer List'!$A$1:$J$488,10,FALSE),"")</f>
        <v/>
      </c>
    </row>
    <row r="2022" spans="18:23">
      <c r="R2022" s="127">
        <f t="shared" ref="R2022:R2085" si="139">L2022-K2022</f>
        <v>0</v>
      </c>
      <c r="T2022" s="128">
        <f t="shared" si="138"/>
        <v>0</v>
      </c>
      <c r="U2022" s="129" t="str">
        <f>IFERROR(IF(#REF!="S",VLOOKUP('Raw Data'!A2022,References!#REF!,2,FALSE),(VLOOKUP($S2022,References!$B$3:$C$7,2,FALSE))),"")</f>
        <v/>
      </c>
      <c r="W2022" s="74" t="str">
        <f>IFERROR(VLOOKUP($O2022,'Customer List'!$A$1:$J$488,10,FALSE),"")</f>
        <v/>
      </c>
    </row>
    <row r="2023" spans="18:23">
      <c r="R2023" s="127">
        <f t="shared" si="139"/>
        <v>0</v>
      </c>
      <c r="T2023" s="128">
        <f t="shared" si="138"/>
        <v>0</v>
      </c>
      <c r="U2023" s="129" t="str">
        <f>IFERROR(IF(#REF!="S",VLOOKUP('Raw Data'!A2023,References!#REF!,2,FALSE),(VLOOKUP($S2023,References!$B$3:$C$7,2,FALSE))),"")</f>
        <v/>
      </c>
      <c r="W2023" s="74" t="str">
        <f>IFERROR(VLOOKUP($O2023,'Customer List'!$A$1:$J$488,10,FALSE),"")</f>
        <v/>
      </c>
    </row>
    <row r="2024" spans="18:23">
      <c r="R2024" s="127">
        <f t="shared" si="139"/>
        <v>0</v>
      </c>
      <c r="T2024" s="128">
        <f t="shared" si="138"/>
        <v>0</v>
      </c>
      <c r="U2024" s="129" t="str">
        <f>IFERROR(IF(#REF!="S",VLOOKUP('Raw Data'!A2024,References!#REF!,2,FALSE),(VLOOKUP($S2024,References!$B$3:$C$7,2,FALSE))),"")</f>
        <v/>
      </c>
      <c r="W2024" s="74" t="str">
        <f>IFERROR(VLOOKUP($O2024,'Customer List'!$A$1:$J$488,10,FALSE),"")</f>
        <v/>
      </c>
    </row>
    <row r="2025" spans="18:23">
      <c r="R2025" s="127">
        <f t="shared" si="139"/>
        <v>0</v>
      </c>
      <c r="T2025" s="128">
        <f t="shared" si="138"/>
        <v>0</v>
      </c>
      <c r="U2025" s="129" t="str">
        <f>IFERROR(IF(#REF!="S",VLOOKUP('Raw Data'!A2025,References!#REF!,2,FALSE),(VLOOKUP($S2025,References!$B$3:$C$7,2,FALSE))),"")</f>
        <v/>
      </c>
      <c r="W2025" s="74" t="str">
        <f>IFERROR(VLOOKUP($O2025,'Customer List'!$A$1:$J$488,10,FALSE),"")</f>
        <v/>
      </c>
    </row>
    <row r="2026" spans="18:23">
      <c r="R2026" s="127">
        <f t="shared" si="139"/>
        <v>0</v>
      </c>
      <c r="T2026" s="128">
        <f t="shared" si="138"/>
        <v>0</v>
      </c>
      <c r="U2026" s="129" t="str">
        <f>IFERROR(IF(#REF!="S",VLOOKUP('Raw Data'!A2026,References!#REF!,2,FALSE),(VLOOKUP($S2026,References!$B$3:$C$7,2,FALSE))),"")</f>
        <v/>
      </c>
      <c r="W2026" s="74" t="str">
        <f>IFERROR(VLOOKUP($O2026,'Customer List'!$A$1:$J$488,10,FALSE),"")</f>
        <v/>
      </c>
    </row>
    <row r="2027" spans="18:23">
      <c r="R2027" s="127">
        <f t="shared" si="139"/>
        <v>0</v>
      </c>
      <c r="T2027" s="128">
        <f t="shared" si="138"/>
        <v>0</v>
      </c>
      <c r="U2027" s="129" t="str">
        <f>IFERROR(IF(#REF!="S",VLOOKUP('Raw Data'!A2027,References!#REF!,2,FALSE),(VLOOKUP($S2027,References!$B$3:$C$7,2,FALSE))),"")</f>
        <v/>
      </c>
      <c r="W2027" s="74" t="str">
        <f>IFERROR(VLOOKUP($O2027,'Customer List'!$A$1:$J$488,10,FALSE),"")</f>
        <v/>
      </c>
    </row>
    <row r="2028" spans="18:23">
      <c r="R2028" s="127">
        <f t="shared" si="139"/>
        <v>0</v>
      </c>
      <c r="T2028" s="128">
        <f t="shared" si="138"/>
        <v>0</v>
      </c>
      <c r="U2028" s="129" t="str">
        <f>IFERROR(IF(#REF!="S",VLOOKUP('Raw Data'!A2028,References!#REF!,2,FALSE),(VLOOKUP($S2028,References!$B$3:$C$7,2,FALSE))),"")</f>
        <v/>
      </c>
      <c r="W2028" s="74" t="str">
        <f>IFERROR(VLOOKUP($O2028,'Customer List'!$A$1:$J$488,10,FALSE),"")</f>
        <v/>
      </c>
    </row>
    <row r="2029" spans="18:23">
      <c r="R2029" s="127">
        <f t="shared" si="139"/>
        <v>0</v>
      </c>
      <c r="T2029" s="128">
        <f t="shared" si="138"/>
        <v>0</v>
      </c>
      <c r="U2029" s="129" t="str">
        <f>IFERROR(IF(#REF!="S",VLOOKUP('Raw Data'!A2029,References!#REF!,2,FALSE),(VLOOKUP($S2029,References!$B$3:$C$7,2,FALSE))),"")</f>
        <v/>
      </c>
      <c r="W2029" s="74" t="str">
        <f>IFERROR(VLOOKUP($O2029,'Customer List'!$A$1:$J$488,10,FALSE),"")</f>
        <v/>
      </c>
    </row>
    <row r="2030" spans="18:23">
      <c r="R2030" s="127">
        <f t="shared" si="139"/>
        <v>0</v>
      </c>
      <c r="T2030" s="128">
        <f t="shared" si="138"/>
        <v>0</v>
      </c>
      <c r="U2030" s="129" t="str">
        <f>IFERROR(IF(#REF!="S",VLOOKUP('Raw Data'!A2030,References!#REF!,2,FALSE),(VLOOKUP($S2030,References!$B$3:$C$7,2,FALSE))),"")</f>
        <v/>
      </c>
      <c r="W2030" s="74" t="str">
        <f>IFERROR(VLOOKUP($O2030,'Customer List'!$A$1:$J$488,10,FALSE),"")</f>
        <v/>
      </c>
    </row>
    <row r="2031" spans="18:23">
      <c r="R2031" s="127">
        <f t="shared" si="139"/>
        <v>0</v>
      </c>
      <c r="T2031" s="128">
        <f t="shared" si="138"/>
        <v>0</v>
      </c>
      <c r="U2031" s="129" t="str">
        <f>IFERROR(IF(#REF!="S",VLOOKUP('Raw Data'!A2031,References!#REF!,2,FALSE),(VLOOKUP($S2031,References!$B$3:$C$7,2,FALSE))),"")</f>
        <v/>
      </c>
      <c r="W2031" s="74" t="str">
        <f>IFERROR(VLOOKUP($O2031,'Customer List'!$A$1:$J$488,10,FALSE),"")</f>
        <v/>
      </c>
    </row>
    <row r="2032" spans="18:23">
      <c r="R2032" s="127">
        <f t="shared" si="139"/>
        <v>0</v>
      </c>
      <c r="T2032" s="128">
        <f t="shared" si="138"/>
        <v>0</v>
      </c>
      <c r="U2032" s="129" t="str">
        <f>IFERROR(IF(#REF!="S",VLOOKUP('Raw Data'!A2032,References!#REF!,2,FALSE),(VLOOKUP($S2032,References!$B$3:$C$7,2,FALSE))),"")</f>
        <v/>
      </c>
      <c r="W2032" s="74" t="str">
        <f>IFERROR(VLOOKUP($O2032,'Customer List'!$A$1:$J$488,10,FALSE),"")</f>
        <v/>
      </c>
    </row>
    <row r="2033" spans="18:23">
      <c r="R2033" s="127">
        <f t="shared" si="139"/>
        <v>0</v>
      </c>
      <c r="T2033" s="128">
        <f t="shared" si="138"/>
        <v>0</v>
      </c>
      <c r="U2033" s="129" t="str">
        <f>IFERROR(IF(#REF!="S",VLOOKUP('Raw Data'!A2033,References!#REF!,2,FALSE),(VLOOKUP($S2033,References!$B$3:$C$7,2,FALSE))),"")</f>
        <v/>
      </c>
      <c r="W2033" s="74" t="str">
        <f>IFERROR(VLOOKUP($O2033,'Customer List'!$A$1:$J$488,10,FALSE),"")</f>
        <v/>
      </c>
    </row>
    <row r="2034" spans="18:23">
      <c r="R2034" s="127">
        <f t="shared" si="139"/>
        <v>0</v>
      </c>
      <c r="T2034" s="128">
        <f t="shared" si="138"/>
        <v>0</v>
      </c>
      <c r="U2034" s="129" t="str">
        <f>IFERROR(IF(#REF!="S",VLOOKUP('Raw Data'!A2034,References!#REF!,2,FALSE),(VLOOKUP($S2034,References!$B$3:$C$7,2,FALSE))),"")</f>
        <v/>
      </c>
      <c r="W2034" s="74" t="str">
        <f>IFERROR(VLOOKUP($O2034,'Customer List'!$A$1:$J$488,10,FALSE),"")</f>
        <v/>
      </c>
    </row>
    <row r="2035" spans="18:23">
      <c r="R2035" s="127">
        <f t="shared" si="139"/>
        <v>0</v>
      </c>
      <c r="T2035" s="128">
        <f t="shared" si="138"/>
        <v>0</v>
      </c>
      <c r="U2035" s="129" t="str">
        <f>IFERROR(IF(#REF!="S",VLOOKUP('Raw Data'!A2035,References!#REF!,2,FALSE),(VLOOKUP($S2035,References!$B$3:$C$7,2,FALSE))),"")</f>
        <v/>
      </c>
      <c r="W2035" s="74" t="str">
        <f>IFERROR(VLOOKUP($O2035,'Customer List'!$A$1:$J$488,10,FALSE),"")</f>
        <v/>
      </c>
    </row>
    <row r="2036" spans="18:23">
      <c r="R2036" s="127">
        <f t="shared" si="139"/>
        <v>0</v>
      </c>
      <c r="T2036" s="128">
        <f t="shared" si="138"/>
        <v>0</v>
      </c>
      <c r="U2036" s="129" t="str">
        <f>IFERROR(IF(#REF!="S",VLOOKUP('Raw Data'!A2036,References!#REF!,2,FALSE),(VLOOKUP($S2036,References!$B$3:$C$7,2,FALSE))),"")</f>
        <v/>
      </c>
      <c r="W2036" s="74" t="str">
        <f>IFERROR(VLOOKUP($O2036,'Customer List'!$A$1:$J$488,10,FALSE),"")</f>
        <v/>
      </c>
    </row>
    <row r="2037" spans="18:23">
      <c r="R2037" s="127">
        <f t="shared" si="139"/>
        <v>0</v>
      </c>
      <c r="T2037" s="128">
        <f t="shared" si="138"/>
        <v>0</v>
      </c>
      <c r="U2037" s="129" t="str">
        <f>IFERROR(IF(#REF!="S",VLOOKUP('Raw Data'!A2037,References!#REF!,2,FALSE),(VLOOKUP($S2037,References!$B$3:$C$7,2,FALSE))),"")</f>
        <v/>
      </c>
      <c r="W2037" s="74" t="str">
        <f>IFERROR(VLOOKUP($O2037,'Customer List'!$A$1:$J$488,10,FALSE),"")</f>
        <v/>
      </c>
    </row>
    <row r="2038" spans="18:23">
      <c r="R2038" s="127">
        <f t="shared" si="139"/>
        <v>0</v>
      </c>
      <c r="T2038" s="128">
        <f t="shared" si="138"/>
        <v>0</v>
      </c>
      <c r="U2038" s="129" t="str">
        <f>IFERROR(IF(#REF!="S",VLOOKUP('Raw Data'!A2038,References!#REF!,2,FALSE),(VLOOKUP($S2038,References!$B$3:$C$7,2,FALSE))),"")</f>
        <v/>
      </c>
      <c r="W2038" s="74" t="str">
        <f>IFERROR(VLOOKUP($O2038,'Customer List'!$A$1:$J$488,10,FALSE),"")</f>
        <v/>
      </c>
    </row>
    <row r="2039" spans="18:23">
      <c r="R2039" s="127">
        <f t="shared" si="139"/>
        <v>0</v>
      </c>
      <c r="T2039" s="128">
        <f t="shared" si="138"/>
        <v>0</v>
      </c>
      <c r="U2039" s="129" t="str">
        <f>IFERROR(IF(#REF!="S",VLOOKUP('Raw Data'!A2039,References!#REF!,2,FALSE),(VLOOKUP($S2039,References!$B$3:$C$7,2,FALSE))),"")</f>
        <v/>
      </c>
      <c r="W2039" s="74" t="str">
        <f>IFERROR(VLOOKUP($O2039,'Customer List'!$A$1:$J$488,10,FALSE),"")</f>
        <v/>
      </c>
    </row>
    <row r="2040" spans="18:23">
      <c r="R2040" s="127">
        <f t="shared" si="139"/>
        <v>0</v>
      </c>
      <c r="T2040" s="128">
        <f t="shared" si="138"/>
        <v>0</v>
      </c>
      <c r="U2040" s="129" t="str">
        <f>IFERROR(IF(#REF!="S",VLOOKUP('Raw Data'!A2040,References!#REF!,2,FALSE),(VLOOKUP($S2040,References!$B$3:$C$7,2,FALSE))),"")</f>
        <v/>
      </c>
      <c r="W2040" s="74" t="str">
        <f>IFERROR(VLOOKUP($O2040,'Customer List'!$A$1:$J$488,10,FALSE),"")</f>
        <v/>
      </c>
    </row>
    <row r="2041" spans="18:23">
      <c r="R2041" s="127">
        <f t="shared" si="139"/>
        <v>0</v>
      </c>
      <c r="T2041" s="128">
        <f t="shared" si="138"/>
        <v>0</v>
      </c>
      <c r="U2041" s="129" t="str">
        <f>IFERROR(IF(#REF!="S",VLOOKUP('Raw Data'!A2041,References!#REF!,2,FALSE),(VLOOKUP($S2041,References!$B$3:$C$7,2,FALSE))),"")</f>
        <v/>
      </c>
      <c r="W2041" s="74" t="str">
        <f>IFERROR(VLOOKUP($O2041,'Customer List'!$A$1:$J$488,10,FALSE),"")</f>
        <v/>
      </c>
    </row>
    <row r="2042" spans="18:23">
      <c r="R2042" s="127">
        <f t="shared" si="139"/>
        <v>0</v>
      </c>
      <c r="T2042" s="128">
        <f t="shared" si="138"/>
        <v>0</v>
      </c>
      <c r="U2042" s="129" t="str">
        <f>IFERROR(IF(#REF!="S",VLOOKUP('Raw Data'!A2042,References!#REF!,2,FALSE),(VLOOKUP($S2042,References!$B$3:$C$7,2,FALSE))),"")</f>
        <v/>
      </c>
      <c r="W2042" s="74" t="str">
        <f>IFERROR(VLOOKUP($O2042,'Customer List'!$A$1:$J$488,10,FALSE),"")</f>
        <v/>
      </c>
    </row>
    <row r="2043" spans="18:23">
      <c r="R2043" s="127">
        <f t="shared" si="139"/>
        <v>0</v>
      </c>
      <c r="T2043" s="128">
        <f t="shared" si="138"/>
        <v>0</v>
      </c>
      <c r="U2043" s="129" t="str">
        <f>IFERROR(IF(#REF!="S",VLOOKUP('Raw Data'!A2043,References!#REF!,2,FALSE),(VLOOKUP($S2043,References!$B$3:$C$7,2,FALSE))),"")</f>
        <v/>
      </c>
      <c r="W2043" s="74" t="str">
        <f>IFERROR(VLOOKUP($O2043,'Customer List'!$A$1:$J$488,10,FALSE),"")</f>
        <v/>
      </c>
    </row>
    <row r="2044" spans="18:23">
      <c r="R2044" s="127">
        <f t="shared" si="139"/>
        <v>0</v>
      </c>
      <c r="T2044" s="128">
        <f t="shared" si="138"/>
        <v>0</v>
      </c>
      <c r="U2044" s="129" t="str">
        <f>IFERROR(IF(#REF!="S",VLOOKUP('Raw Data'!A2044,References!#REF!,2,FALSE),(VLOOKUP($S2044,References!$B$3:$C$7,2,FALSE))),"")</f>
        <v/>
      </c>
      <c r="W2044" s="74" t="str">
        <f>IFERROR(VLOOKUP($O2044,'Customer List'!$A$1:$J$488,10,FALSE),"")</f>
        <v/>
      </c>
    </row>
    <row r="2045" spans="18:23">
      <c r="R2045" s="127">
        <f t="shared" si="139"/>
        <v>0</v>
      </c>
      <c r="T2045" s="128">
        <f t="shared" si="138"/>
        <v>0</v>
      </c>
      <c r="U2045" s="129" t="str">
        <f>IFERROR(IF(#REF!="S",VLOOKUP('Raw Data'!A2045,References!#REF!,2,FALSE),(VLOOKUP($S2045,References!$B$3:$C$7,2,FALSE))),"")</f>
        <v/>
      </c>
      <c r="W2045" s="74" t="str">
        <f>IFERROR(VLOOKUP($O2045,'Customer List'!$A$1:$J$488,10,FALSE),"")</f>
        <v/>
      </c>
    </row>
    <row r="2046" spans="18:23">
      <c r="R2046" s="127">
        <f t="shared" si="139"/>
        <v>0</v>
      </c>
      <c r="T2046" s="128">
        <f t="shared" si="138"/>
        <v>0</v>
      </c>
      <c r="U2046" s="129" t="str">
        <f>IFERROR(IF(#REF!="S",VLOOKUP('Raw Data'!A2046,References!#REF!,2,FALSE),(VLOOKUP($S2046,References!$B$3:$C$7,2,FALSE))),"")</f>
        <v/>
      </c>
      <c r="W2046" s="74" t="str">
        <f>IFERROR(VLOOKUP($O2046,'Customer List'!$A$1:$J$488,10,FALSE),"")</f>
        <v/>
      </c>
    </row>
    <row r="2047" spans="18:23">
      <c r="R2047" s="127">
        <f t="shared" si="139"/>
        <v>0</v>
      </c>
      <c r="T2047" s="128">
        <f t="shared" si="138"/>
        <v>0</v>
      </c>
      <c r="U2047" s="129" t="str">
        <f>IFERROR(IF(#REF!="S",VLOOKUP('Raw Data'!A2047,References!#REF!,2,FALSE),(VLOOKUP($S2047,References!$B$3:$C$7,2,FALSE))),"")</f>
        <v/>
      </c>
      <c r="W2047" s="74" t="str">
        <f>IFERROR(VLOOKUP($O2047,'Customer List'!$A$1:$J$488,10,FALSE),"")</f>
        <v/>
      </c>
    </row>
    <row r="2048" spans="18:23">
      <c r="R2048" s="127">
        <f t="shared" si="139"/>
        <v>0</v>
      </c>
      <c r="T2048" s="128">
        <f t="shared" si="138"/>
        <v>0</v>
      </c>
      <c r="U2048" s="129" t="str">
        <f>IFERROR(IF(#REF!="S",VLOOKUP('Raw Data'!A2048,References!#REF!,2,FALSE),(VLOOKUP($S2048,References!$B$3:$C$7,2,FALSE))),"")</f>
        <v/>
      </c>
      <c r="W2048" s="74" t="str">
        <f>IFERROR(VLOOKUP($O2048,'Customer List'!$A$1:$J$488,10,FALSE),"")</f>
        <v/>
      </c>
    </row>
    <row r="2049" spans="18:23">
      <c r="R2049" s="127">
        <f t="shared" si="139"/>
        <v>0</v>
      </c>
      <c r="T2049" s="128">
        <f t="shared" si="138"/>
        <v>0</v>
      </c>
      <c r="U2049" s="129" t="str">
        <f>IFERROR(IF(#REF!="S",VLOOKUP('Raw Data'!A2049,References!#REF!,2,FALSE),(VLOOKUP($S2049,References!$B$3:$C$7,2,FALSE))),"")</f>
        <v/>
      </c>
      <c r="W2049" s="74" t="str">
        <f>IFERROR(VLOOKUP($O2049,'Customer List'!$A$1:$J$488,10,FALSE),"")</f>
        <v/>
      </c>
    </row>
    <row r="2050" spans="18:23">
      <c r="R2050" s="127">
        <f t="shared" si="139"/>
        <v>0</v>
      </c>
      <c r="T2050" s="128">
        <f t="shared" si="138"/>
        <v>0</v>
      </c>
      <c r="U2050" s="129" t="str">
        <f>IFERROR(IF(#REF!="S",VLOOKUP('Raw Data'!A2050,References!#REF!,2,FALSE),(VLOOKUP($S2050,References!$B$3:$C$7,2,FALSE))),"")</f>
        <v/>
      </c>
      <c r="W2050" s="74" t="str">
        <f>IFERROR(VLOOKUP($O2050,'Customer List'!$A$1:$J$488,10,FALSE),"")</f>
        <v/>
      </c>
    </row>
    <row r="2051" spans="18:23">
      <c r="R2051" s="127">
        <f t="shared" si="139"/>
        <v>0</v>
      </c>
      <c r="T2051" s="128">
        <f t="shared" si="138"/>
        <v>0</v>
      </c>
      <c r="U2051" s="129" t="str">
        <f>IFERROR(IF(#REF!="S",VLOOKUP('Raw Data'!A2051,References!#REF!,2,FALSE),(VLOOKUP($S2051,References!$B$3:$C$7,2,FALSE))),"")</f>
        <v/>
      </c>
      <c r="W2051" s="74" t="str">
        <f>IFERROR(VLOOKUP($O2051,'Customer List'!$A$1:$J$488,10,FALSE),"")</f>
        <v/>
      </c>
    </row>
    <row r="2052" spans="18:23">
      <c r="R2052" s="127">
        <f t="shared" si="139"/>
        <v>0</v>
      </c>
      <c r="T2052" s="128">
        <f t="shared" si="138"/>
        <v>0</v>
      </c>
      <c r="U2052" s="129" t="str">
        <f>IFERROR(IF(#REF!="S",VLOOKUP('Raw Data'!A2052,References!#REF!,2,FALSE),(VLOOKUP($S2052,References!$B$3:$C$7,2,FALSE))),"")</f>
        <v/>
      </c>
      <c r="W2052" s="74" t="str">
        <f>IFERROR(VLOOKUP($O2052,'Customer List'!$A$1:$J$488,10,FALSE),"")</f>
        <v/>
      </c>
    </row>
    <row r="2053" spans="18:23">
      <c r="R2053" s="127">
        <f t="shared" si="139"/>
        <v>0</v>
      </c>
      <c r="T2053" s="128">
        <f t="shared" si="138"/>
        <v>0</v>
      </c>
      <c r="U2053" s="129" t="str">
        <f>IFERROR(IF(#REF!="S",VLOOKUP('Raw Data'!A2053,References!#REF!,2,FALSE),(VLOOKUP($S2053,References!$B$3:$C$7,2,FALSE))),"")</f>
        <v/>
      </c>
      <c r="W2053" s="74" t="str">
        <f>IFERROR(VLOOKUP($O2053,'Customer List'!$A$1:$J$488,10,FALSE),"")</f>
        <v/>
      </c>
    </row>
    <row r="2054" spans="18:23">
      <c r="R2054" s="127">
        <f t="shared" si="139"/>
        <v>0</v>
      </c>
      <c r="T2054" s="128">
        <f t="shared" si="138"/>
        <v>0</v>
      </c>
      <c r="U2054" s="129" t="str">
        <f>IFERROR(IF(#REF!="S",VLOOKUP('Raw Data'!A2054,References!#REF!,2,FALSE),(VLOOKUP($S2054,References!$B$3:$C$7,2,FALSE))),"")</f>
        <v/>
      </c>
      <c r="W2054" s="74" t="str">
        <f>IFERROR(VLOOKUP($O2054,'Customer List'!$A$1:$J$488,10,FALSE),"")</f>
        <v/>
      </c>
    </row>
    <row r="2055" spans="18:23">
      <c r="R2055" s="127">
        <f t="shared" si="139"/>
        <v>0</v>
      </c>
      <c r="T2055" s="128">
        <f t="shared" si="138"/>
        <v>0</v>
      </c>
      <c r="U2055" s="129" t="str">
        <f>IFERROR(IF(#REF!="S",VLOOKUP('Raw Data'!A2055,References!#REF!,2,FALSE),(VLOOKUP($S2055,References!$B$3:$C$7,2,FALSE))),"")</f>
        <v/>
      </c>
      <c r="W2055" s="74" t="str">
        <f>IFERROR(VLOOKUP($O2055,'Customer List'!$A$1:$J$488,10,FALSE),"")</f>
        <v/>
      </c>
    </row>
    <row r="2056" spans="18:23">
      <c r="R2056" s="127">
        <f t="shared" si="139"/>
        <v>0</v>
      </c>
      <c r="T2056" s="128">
        <f t="shared" si="138"/>
        <v>0</v>
      </c>
      <c r="U2056" s="129" t="str">
        <f>IFERROR(IF(#REF!="S",VLOOKUP('Raw Data'!A2056,References!#REF!,2,FALSE),(VLOOKUP($S2056,References!$B$3:$C$7,2,FALSE))),"")</f>
        <v/>
      </c>
      <c r="W2056" s="74" t="str">
        <f>IFERROR(VLOOKUP($O2056,'Customer List'!$A$1:$J$488,10,FALSE),"")</f>
        <v/>
      </c>
    </row>
    <row r="2057" spans="18:23">
      <c r="R2057" s="127">
        <f t="shared" si="139"/>
        <v>0</v>
      </c>
      <c r="T2057" s="128">
        <f t="shared" si="138"/>
        <v>0</v>
      </c>
      <c r="U2057" s="129" t="str">
        <f>IFERROR(IF(#REF!="S",VLOOKUP('Raw Data'!A2057,References!#REF!,2,FALSE),(VLOOKUP($S2057,References!$B$3:$C$7,2,FALSE))),"")</f>
        <v/>
      </c>
      <c r="W2057" s="74" t="str">
        <f>IFERROR(VLOOKUP($O2057,'Customer List'!$A$1:$J$488,10,FALSE),"")</f>
        <v/>
      </c>
    </row>
    <row r="2058" spans="18:23">
      <c r="R2058" s="127">
        <f t="shared" si="139"/>
        <v>0</v>
      </c>
      <c r="T2058" s="128">
        <f t="shared" ref="T2058:T2121" si="140">IF(S2058="50 - Cleaning Fee",1,HOUR($R2058)+MINUTE(R2058)/60)</f>
        <v>0</v>
      </c>
      <c r="U2058" s="129" t="str">
        <f>IFERROR(IF(#REF!="S",VLOOKUP('Raw Data'!A2058,References!#REF!,2,FALSE),(VLOOKUP($S2058,References!$B$3:$C$7,2,FALSE))),"")</f>
        <v/>
      </c>
      <c r="W2058" s="74" t="str">
        <f>IFERROR(VLOOKUP($O2058,'Customer List'!$A$1:$J$488,10,FALSE),"")</f>
        <v/>
      </c>
    </row>
    <row r="2059" spans="18:23">
      <c r="R2059" s="127">
        <f t="shared" si="139"/>
        <v>0</v>
      </c>
      <c r="T2059" s="128">
        <f t="shared" si="140"/>
        <v>0</v>
      </c>
      <c r="U2059" s="129" t="str">
        <f>IFERROR(IF(#REF!="S",VLOOKUP('Raw Data'!A2059,References!#REF!,2,FALSE),(VLOOKUP($S2059,References!$B$3:$C$7,2,FALSE))),"")</f>
        <v/>
      </c>
      <c r="W2059" s="74" t="str">
        <f>IFERROR(VLOOKUP($O2059,'Customer List'!$A$1:$J$488,10,FALSE),"")</f>
        <v/>
      </c>
    </row>
    <row r="2060" spans="18:23">
      <c r="R2060" s="127">
        <f t="shared" si="139"/>
        <v>0</v>
      </c>
      <c r="T2060" s="128">
        <f t="shared" si="140"/>
        <v>0</v>
      </c>
      <c r="U2060" s="129" t="str">
        <f>IFERROR(IF(#REF!="S",VLOOKUP('Raw Data'!A2060,References!#REF!,2,FALSE),(VLOOKUP($S2060,References!$B$3:$C$7,2,FALSE))),"")</f>
        <v/>
      </c>
      <c r="W2060" s="74" t="str">
        <f>IFERROR(VLOOKUP($O2060,'Customer List'!$A$1:$J$488,10,FALSE),"")</f>
        <v/>
      </c>
    </row>
    <row r="2061" spans="18:23">
      <c r="R2061" s="127">
        <f t="shared" si="139"/>
        <v>0</v>
      </c>
      <c r="T2061" s="128">
        <f t="shared" si="140"/>
        <v>0</v>
      </c>
      <c r="U2061" s="129" t="str">
        <f>IFERROR(IF(#REF!="S",VLOOKUP('Raw Data'!A2061,References!#REF!,2,FALSE),(VLOOKUP($S2061,References!$B$3:$C$7,2,FALSE))),"")</f>
        <v/>
      </c>
      <c r="W2061" s="74" t="str">
        <f>IFERROR(VLOOKUP($O2061,'Customer List'!$A$1:$J$488,10,FALSE),"")</f>
        <v/>
      </c>
    </row>
    <row r="2062" spans="18:23">
      <c r="R2062" s="127">
        <f t="shared" si="139"/>
        <v>0</v>
      </c>
      <c r="T2062" s="128">
        <f t="shared" si="140"/>
        <v>0</v>
      </c>
      <c r="U2062" s="129" t="str">
        <f>IFERROR(IF(#REF!="S",VLOOKUP('Raw Data'!A2062,References!#REF!,2,FALSE),(VLOOKUP($S2062,References!$B$3:$C$7,2,FALSE))),"")</f>
        <v/>
      </c>
      <c r="W2062" s="74" t="str">
        <f>IFERROR(VLOOKUP($O2062,'Customer List'!$A$1:$J$488,10,FALSE),"")</f>
        <v/>
      </c>
    </row>
    <row r="2063" spans="18:23">
      <c r="R2063" s="127">
        <f t="shared" si="139"/>
        <v>0</v>
      </c>
      <c r="T2063" s="128">
        <f t="shared" si="140"/>
        <v>0</v>
      </c>
      <c r="U2063" s="129" t="str">
        <f>IFERROR(IF(#REF!="S",VLOOKUP('Raw Data'!A2063,References!#REF!,2,FALSE),(VLOOKUP($S2063,References!$B$3:$C$7,2,FALSE))),"")</f>
        <v/>
      </c>
      <c r="W2063" s="74" t="str">
        <f>IFERROR(VLOOKUP($O2063,'Customer List'!$A$1:$J$488,10,FALSE),"")</f>
        <v/>
      </c>
    </row>
    <row r="2064" spans="18:23">
      <c r="R2064" s="127">
        <f t="shared" si="139"/>
        <v>0</v>
      </c>
      <c r="T2064" s="128">
        <f t="shared" si="140"/>
        <v>0</v>
      </c>
      <c r="U2064" s="129" t="str">
        <f>IFERROR(IF(#REF!="S",VLOOKUP('Raw Data'!A2064,References!#REF!,2,FALSE),(VLOOKUP($S2064,References!$B$3:$C$7,2,FALSE))),"")</f>
        <v/>
      </c>
      <c r="W2064" s="74" t="str">
        <f>IFERROR(VLOOKUP($O2064,'Customer List'!$A$1:$J$488,10,FALSE),"")</f>
        <v/>
      </c>
    </row>
    <row r="2065" spans="18:23">
      <c r="R2065" s="127">
        <f t="shared" si="139"/>
        <v>0</v>
      </c>
      <c r="T2065" s="128">
        <f t="shared" si="140"/>
        <v>0</v>
      </c>
      <c r="U2065" s="129" t="str">
        <f>IFERROR(IF(#REF!="S",VLOOKUP('Raw Data'!A2065,References!#REF!,2,FALSE),(VLOOKUP($S2065,References!$B$3:$C$7,2,FALSE))),"")</f>
        <v/>
      </c>
      <c r="W2065" s="74" t="str">
        <f>IFERROR(VLOOKUP($O2065,'Customer List'!$A$1:$J$488,10,FALSE),"")</f>
        <v/>
      </c>
    </row>
    <row r="2066" spans="18:23">
      <c r="R2066" s="127">
        <f t="shared" si="139"/>
        <v>0</v>
      </c>
      <c r="T2066" s="128">
        <f t="shared" si="140"/>
        <v>0</v>
      </c>
      <c r="U2066" s="129" t="str">
        <f>IFERROR(IF(#REF!="S",VLOOKUP('Raw Data'!A2066,References!#REF!,2,FALSE),(VLOOKUP($S2066,References!$B$3:$C$7,2,FALSE))),"")</f>
        <v/>
      </c>
      <c r="W2066" s="74" t="str">
        <f>IFERROR(VLOOKUP($O2066,'Customer List'!$A$1:$J$488,10,FALSE),"")</f>
        <v/>
      </c>
    </row>
    <row r="2067" spans="18:23">
      <c r="R2067" s="127">
        <f t="shared" si="139"/>
        <v>0</v>
      </c>
      <c r="T2067" s="128">
        <f t="shared" si="140"/>
        <v>0</v>
      </c>
      <c r="U2067" s="129" t="str">
        <f>IFERROR(IF(#REF!="S",VLOOKUP('Raw Data'!A2067,References!#REF!,2,FALSE),(VLOOKUP($S2067,References!$B$3:$C$7,2,FALSE))),"")</f>
        <v/>
      </c>
      <c r="W2067" s="74" t="str">
        <f>IFERROR(VLOOKUP($O2067,'Customer List'!$A$1:$J$488,10,FALSE),"")</f>
        <v/>
      </c>
    </row>
    <row r="2068" spans="18:23">
      <c r="R2068" s="127">
        <f t="shared" si="139"/>
        <v>0</v>
      </c>
      <c r="T2068" s="128">
        <f t="shared" si="140"/>
        <v>0</v>
      </c>
      <c r="U2068" s="129" t="str">
        <f>IFERROR(IF(#REF!="S",VLOOKUP('Raw Data'!A2068,References!#REF!,2,FALSE),(VLOOKUP($S2068,References!$B$3:$C$7,2,FALSE))),"")</f>
        <v/>
      </c>
      <c r="W2068" s="74" t="str">
        <f>IFERROR(VLOOKUP($O2068,'Customer List'!$A$1:$J$488,10,FALSE),"")</f>
        <v/>
      </c>
    </row>
    <row r="2069" spans="18:23">
      <c r="R2069" s="127">
        <f t="shared" si="139"/>
        <v>0</v>
      </c>
      <c r="T2069" s="128">
        <f t="shared" si="140"/>
        <v>0</v>
      </c>
      <c r="U2069" s="129" t="str">
        <f>IFERROR(IF(#REF!="S",VLOOKUP('Raw Data'!A2069,References!#REF!,2,FALSE),(VLOOKUP($S2069,References!$B$3:$C$7,2,FALSE))),"")</f>
        <v/>
      </c>
      <c r="W2069" s="74" t="str">
        <f>IFERROR(VLOOKUP($O2069,'Customer List'!$A$1:$J$488,10,FALSE),"")</f>
        <v/>
      </c>
    </row>
    <row r="2070" spans="18:23">
      <c r="R2070" s="127">
        <f t="shared" si="139"/>
        <v>0</v>
      </c>
      <c r="T2070" s="128">
        <f t="shared" si="140"/>
        <v>0</v>
      </c>
      <c r="U2070" s="129" t="str">
        <f>IFERROR(IF(#REF!="S",VLOOKUP('Raw Data'!A2070,References!#REF!,2,FALSE),(VLOOKUP($S2070,References!$B$3:$C$7,2,FALSE))),"")</f>
        <v/>
      </c>
      <c r="W2070" s="74" t="str">
        <f>IFERROR(VLOOKUP($O2070,'Customer List'!$A$1:$J$488,10,FALSE),"")</f>
        <v/>
      </c>
    </row>
    <row r="2071" spans="18:23">
      <c r="R2071" s="127">
        <f t="shared" si="139"/>
        <v>0</v>
      </c>
      <c r="T2071" s="128">
        <f t="shared" si="140"/>
        <v>0</v>
      </c>
      <c r="U2071" s="129" t="str">
        <f>IFERROR(IF(#REF!="S",VLOOKUP('Raw Data'!A2071,References!#REF!,2,FALSE),(VLOOKUP($S2071,References!$B$3:$C$7,2,FALSE))),"")</f>
        <v/>
      </c>
      <c r="W2071" s="74" t="str">
        <f>IFERROR(VLOOKUP($O2071,'Customer List'!$A$1:$J$488,10,FALSE),"")</f>
        <v/>
      </c>
    </row>
    <row r="2072" spans="18:23">
      <c r="R2072" s="127">
        <f t="shared" si="139"/>
        <v>0</v>
      </c>
      <c r="T2072" s="128">
        <f t="shared" si="140"/>
        <v>0</v>
      </c>
      <c r="U2072" s="129" t="str">
        <f>IFERROR(IF(#REF!="S",VLOOKUP('Raw Data'!A2072,References!#REF!,2,FALSE),(VLOOKUP($S2072,References!$B$3:$C$7,2,FALSE))),"")</f>
        <v/>
      </c>
      <c r="W2072" s="74" t="str">
        <f>IFERROR(VLOOKUP($O2072,'Customer List'!$A$1:$J$488,10,FALSE),"")</f>
        <v/>
      </c>
    </row>
    <row r="2073" spans="18:23">
      <c r="R2073" s="127">
        <f t="shared" si="139"/>
        <v>0</v>
      </c>
      <c r="T2073" s="128">
        <f t="shared" si="140"/>
        <v>0</v>
      </c>
      <c r="U2073" s="129" t="str">
        <f>IFERROR(IF(#REF!="S",VLOOKUP('Raw Data'!A2073,References!#REF!,2,FALSE),(VLOOKUP($S2073,References!$B$3:$C$7,2,FALSE))),"")</f>
        <v/>
      </c>
      <c r="W2073" s="74" t="str">
        <f>IFERROR(VLOOKUP($O2073,'Customer List'!$A$1:$J$488,10,FALSE),"")</f>
        <v/>
      </c>
    </row>
    <row r="2074" spans="18:23">
      <c r="R2074" s="127">
        <f t="shared" si="139"/>
        <v>0</v>
      </c>
      <c r="T2074" s="128">
        <f t="shared" si="140"/>
        <v>0</v>
      </c>
      <c r="U2074" s="129" t="str">
        <f>IFERROR(IF(#REF!="S",VLOOKUP('Raw Data'!A2074,References!#REF!,2,FALSE),(VLOOKUP($S2074,References!$B$3:$C$7,2,FALSE))),"")</f>
        <v/>
      </c>
      <c r="W2074" s="74" t="str">
        <f>IFERROR(VLOOKUP($O2074,'Customer List'!$A$1:$J$488,10,FALSE),"")</f>
        <v/>
      </c>
    </row>
    <row r="2075" spans="18:23">
      <c r="R2075" s="127">
        <f t="shared" si="139"/>
        <v>0</v>
      </c>
      <c r="T2075" s="128">
        <f t="shared" si="140"/>
        <v>0</v>
      </c>
      <c r="U2075" s="129" t="str">
        <f>IFERROR(IF(#REF!="S",VLOOKUP('Raw Data'!A2075,References!#REF!,2,FALSE),(VLOOKUP($S2075,References!$B$3:$C$7,2,FALSE))),"")</f>
        <v/>
      </c>
      <c r="W2075" s="74" t="str">
        <f>IFERROR(VLOOKUP($O2075,'Customer List'!$A$1:$J$488,10,FALSE),"")</f>
        <v/>
      </c>
    </row>
    <row r="2076" spans="18:23">
      <c r="R2076" s="127">
        <f t="shared" si="139"/>
        <v>0</v>
      </c>
      <c r="T2076" s="128">
        <f t="shared" si="140"/>
        <v>0</v>
      </c>
      <c r="U2076" s="129" t="str">
        <f>IFERROR(IF(#REF!="S",VLOOKUP('Raw Data'!A2076,References!#REF!,2,FALSE),(VLOOKUP($S2076,References!$B$3:$C$7,2,FALSE))),"")</f>
        <v/>
      </c>
      <c r="W2076" s="74" t="str">
        <f>IFERROR(VLOOKUP($O2076,'Customer List'!$A$1:$J$488,10,FALSE),"")</f>
        <v/>
      </c>
    </row>
    <row r="2077" spans="18:23">
      <c r="R2077" s="127">
        <f t="shared" si="139"/>
        <v>0</v>
      </c>
      <c r="T2077" s="128">
        <f t="shared" si="140"/>
        <v>0</v>
      </c>
      <c r="U2077" s="129" t="str">
        <f>IFERROR(IF(#REF!="S",VLOOKUP('Raw Data'!A2077,References!#REF!,2,FALSE),(VLOOKUP($S2077,References!$B$3:$C$7,2,FALSE))),"")</f>
        <v/>
      </c>
      <c r="W2077" s="74" t="str">
        <f>IFERROR(VLOOKUP($O2077,'Customer List'!$A$1:$J$488,10,FALSE),"")</f>
        <v/>
      </c>
    </row>
    <row r="2078" spans="18:23">
      <c r="R2078" s="127">
        <f t="shared" si="139"/>
        <v>0</v>
      </c>
      <c r="T2078" s="128">
        <f t="shared" si="140"/>
        <v>0</v>
      </c>
      <c r="U2078" s="129" t="str">
        <f>IFERROR(IF(#REF!="S",VLOOKUP('Raw Data'!A2078,References!#REF!,2,FALSE),(VLOOKUP($S2078,References!$B$3:$C$7,2,FALSE))),"")</f>
        <v/>
      </c>
      <c r="W2078" s="74" t="str">
        <f>IFERROR(VLOOKUP($O2078,'Customer List'!$A$1:$J$488,10,FALSE),"")</f>
        <v/>
      </c>
    </row>
    <row r="2079" spans="18:23">
      <c r="R2079" s="127">
        <f t="shared" si="139"/>
        <v>0</v>
      </c>
      <c r="T2079" s="128">
        <f t="shared" si="140"/>
        <v>0</v>
      </c>
      <c r="U2079" s="129" t="str">
        <f>IFERROR(IF(#REF!="S",VLOOKUP('Raw Data'!A2079,References!#REF!,2,FALSE),(VLOOKUP($S2079,References!$B$3:$C$7,2,FALSE))),"")</f>
        <v/>
      </c>
      <c r="W2079" s="74" t="str">
        <f>IFERROR(VLOOKUP($O2079,'Customer List'!$A$1:$J$488,10,FALSE),"")</f>
        <v/>
      </c>
    </row>
    <row r="2080" spans="18:23">
      <c r="R2080" s="127">
        <f t="shared" si="139"/>
        <v>0</v>
      </c>
      <c r="T2080" s="128">
        <f t="shared" si="140"/>
        <v>0</v>
      </c>
      <c r="U2080" s="129" t="str">
        <f>IFERROR(IF(#REF!="S",VLOOKUP('Raw Data'!A2080,References!#REF!,2,FALSE),(VLOOKUP($S2080,References!$B$3:$C$7,2,FALSE))),"")</f>
        <v/>
      </c>
      <c r="W2080" s="74" t="str">
        <f>IFERROR(VLOOKUP($O2080,'Customer List'!$A$1:$J$488,10,FALSE),"")</f>
        <v/>
      </c>
    </row>
    <row r="2081" spans="18:23">
      <c r="R2081" s="127">
        <f t="shared" si="139"/>
        <v>0</v>
      </c>
      <c r="T2081" s="128">
        <f t="shared" si="140"/>
        <v>0</v>
      </c>
      <c r="U2081" s="129" t="str">
        <f>IFERROR(IF(#REF!="S",VLOOKUP('Raw Data'!A2081,References!#REF!,2,FALSE),(VLOOKUP($S2081,References!$B$3:$C$7,2,FALSE))),"")</f>
        <v/>
      </c>
      <c r="W2081" s="74" t="str">
        <f>IFERROR(VLOOKUP($O2081,'Customer List'!$A$1:$J$488,10,FALSE),"")</f>
        <v/>
      </c>
    </row>
    <row r="2082" spans="18:23">
      <c r="R2082" s="127">
        <f t="shared" si="139"/>
        <v>0</v>
      </c>
      <c r="T2082" s="128">
        <f t="shared" si="140"/>
        <v>0</v>
      </c>
      <c r="U2082" s="129" t="str">
        <f>IFERROR(IF(#REF!="S",VLOOKUP('Raw Data'!A2082,References!#REF!,2,FALSE),(VLOOKUP($S2082,References!$B$3:$C$7,2,FALSE))),"")</f>
        <v/>
      </c>
      <c r="W2082" s="74" t="str">
        <f>IFERROR(VLOOKUP($O2082,'Customer List'!$A$1:$J$488,10,FALSE),"")</f>
        <v/>
      </c>
    </row>
    <row r="2083" spans="18:23">
      <c r="R2083" s="127">
        <f t="shared" si="139"/>
        <v>0</v>
      </c>
      <c r="T2083" s="128">
        <f t="shared" si="140"/>
        <v>0</v>
      </c>
      <c r="U2083" s="129" t="str">
        <f>IFERROR(IF(#REF!="S",VLOOKUP('Raw Data'!A2083,References!#REF!,2,FALSE),(VLOOKUP($S2083,References!$B$3:$C$7,2,FALSE))),"")</f>
        <v/>
      </c>
      <c r="W2083" s="74" t="str">
        <f>IFERROR(VLOOKUP($O2083,'Customer List'!$A$1:$J$488,10,FALSE),"")</f>
        <v/>
      </c>
    </row>
    <row r="2084" spans="18:23">
      <c r="R2084" s="127">
        <f t="shared" si="139"/>
        <v>0</v>
      </c>
      <c r="T2084" s="128">
        <f t="shared" si="140"/>
        <v>0</v>
      </c>
      <c r="U2084" s="129" t="str">
        <f>IFERROR(IF(#REF!="S",VLOOKUP('Raw Data'!A2084,References!#REF!,2,FALSE),(VLOOKUP($S2084,References!$B$3:$C$7,2,FALSE))),"")</f>
        <v/>
      </c>
      <c r="W2084" s="74" t="str">
        <f>IFERROR(VLOOKUP($O2084,'Customer List'!$A$1:$J$488,10,FALSE),"")</f>
        <v/>
      </c>
    </row>
    <row r="2085" spans="18:23">
      <c r="R2085" s="127">
        <f t="shared" si="139"/>
        <v>0</v>
      </c>
      <c r="T2085" s="128">
        <f t="shared" si="140"/>
        <v>0</v>
      </c>
      <c r="U2085" s="129" t="str">
        <f>IFERROR(IF(#REF!="S",VLOOKUP('Raw Data'!A2085,References!#REF!,2,FALSE),(VLOOKUP($S2085,References!$B$3:$C$7,2,FALSE))),"")</f>
        <v/>
      </c>
      <c r="W2085" s="74" t="str">
        <f>IFERROR(VLOOKUP($O2085,'Customer List'!$A$1:$J$488,10,FALSE),"")</f>
        <v/>
      </c>
    </row>
    <row r="2086" spans="18:23">
      <c r="R2086" s="127">
        <f t="shared" ref="R2086:R2149" si="141">L2086-K2086</f>
        <v>0</v>
      </c>
      <c r="T2086" s="128">
        <f t="shared" si="140"/>
        <v>0</v>
      </c>
      <c r="U2086" s="129" t="str">
        <f>IFERROR(IF(#REF!="S",VLOOKUP('Raw Data'!A2086,References!#REF!,2,FALSE),(VLOOKUP($S2086,References!$B$3:$C$7,2,FALSE))),"")</f>
        <v/>
      </c>
      <c r="W2086" s="74" t="str">
        <f>IFERROR(VLOOKUP($O2086,'Customer List'!$A$1:$J$488,10,FALSE),"")</f>
        <v/>
      </c>
    </row>
    <row r="2087" spans="18:23">
      <c r="R2087" s="127">
        <f t="shared" si="141"/>
        <v>0</v>
      </c>
      <c r="T2087" s="128">
        <f t="shared" si="140"/>
        <v>0</v>
      </c>
      <c r="U2087" s="129" t="str">
        <f>IFERROR(IF(#REF!="S",VLOOKUP('Raw Data'!A2087,References!#REF!,2,FALSE),(VLOOKUP($S2087,References!$B$3:$C$7,2,FALSE))),"")</f>
        <v/>
      </c>
      <c r="W2087" s="74" t="str">
        <f>IFERROR(VLOOKUP($O2087,'Customer List'!$A$1:$J$488,10,FALSE),"")</f>
        <v/>
      </c>
    </row>
    <row r="2088" spans="18:23">
      <c r="R2088" s="127">
        <f t="shared" si="141"/>
        <v>0</v>
      </c>
      <c r="T2088" s="128">
        <f t="shared" si="140"/>
        <v>0</v>
      </c>
      <c r="U2088" s="129" t="str">
        <f>IFERROR(IF(#REF!="S",VLOOKUP('Raw Data'!A2088,References!#REF!,2,FALSE),(VLOOKUP($S2088,References!$B$3:$C$7,2,FALSE))),"")</f>
        <v/>
      </c>
      <c r="W2088" s="74" t="str">
        <f>IFERROR(VLOOKUP($O2088,'Customer List'!$A$1:$J$488,10,FALSE),"")</f>
        <v/>
      </c>
    </row>
    <row r="2089" spans="18:23">
      <c r="R2089" s="127">
        <f t="shared" si="141"/>
        <v>0</v>
      </c>
      <c r="T2089" s="128">
        <f t="shared" si="140"/>
        <v>0</v>
      </c>
      <c r="U2089" s="129" t="str">
        <f>IFERROR(IF(#REF!="S",VLOOKUP('Raw Data'!A2089,References!#REF!,2,FALSE),(VLOOKUP($S2089,References!$B$3:$C$7,2,FALSE))),"")</f>
        <v/>
      </c>
      <c r="W2089" s="74" t="str">
        <f>IFERROR(VLOOKUP($O2089,'Customer List'!$A$1:$J$488,10,FALSE),"")</f>
        <v/>
      </c>
    </row>
    <row r="2090" spans="18:23">
      <c r="R2090" s="127">
        <f t="shared" si="141"/>
        <v>0</v>
      </c>
      <c r="T2090" s="128">
        <f t="shared" si="140"/>
        <v>0</v>
      </c>
      <c r="U2090" s="129" t="str">
        <f>IFERROR(IF(#REF!="S",VLOOKUP('Raw Data'!A2090,References!#REF!,2,FALSE),(VLOOKUP($S2090,References!$B$3:$C$7,2,FALSE))),"")</f>
        <v/>
      </c>
      <c r="W2090" s="74" t="str">
        <f>IFERROR(VLOOKUP($O2090,'Customer List'!$A$1:$J$488,10,FALSE),"")</f>
        <v/>
      </c>
    </row>
    <row r="2091" spans="18:23">
      <c r="R2091" s="127">
        <f t="shared" si="141"/>
        <v>0</v>
      </c>
      <c r="T2091" s="128">
        <f t="shared" si="140"/>
        <v>0</v>
      </c>
      <c r="U2091" s="129" t="str">
        <f>IFERROR(IF(#REF!="S",VLOOKUP('Raw Data'!A2091,References!#REF!,2,FALSE),(VLOOKUP($S2091,References!$B$3:$C$7,2,FALSE))),"")</f>
        <v/>
      </c>
      <c r="W2091" s="74" t="str">
        <f>IFERROR(VLOOKUP($O2091,'Customer List'!$A$1:$J$488,10,FALSE),"")</f>
        <v/>
      </c>
    </row>
    <row r="2092" spans="18:23">
      <c r="R2092" s="127">
        <f t="shared" si="141"/>
        <v>0</v>
      </c>
      <c r="T2092" s="128">
        <f t="shared" si="140"/>
        <v>0</v>
      </c>
      <c r="U2092" s="129" t="str">
        <f>IFERROR(IF(#REF!="S",VLOOKUP('Raw Data'!A2092,References!#REF!,2,FALSE),(VLOOKUP($S2092,References!$B$3:$C$7,2,FALSE))),"")</f>
        <v/>
      </c>
      <c r="W2092" s="74" t="str">
        <f>IFERROR(VLOOKUP($O2092,'Customer List'!$A$1:$J$488,10,FALSE),"")</f>
        <v/>
      </c>
    </row>
    <row r="2093" spans="18:23">
      <c r="R2093" s="127">
        <f t="shared" si="141"/>
        <v>0</v>
      </c>
      <c r="T2093" s="128">
        <f t="shared" si="140"/>
        <v>0</v>
      </c>
      <c r="U2093" s="129" t="str">
        <f>IFERROR(IF(#REF!="S",VLOOKUP('Raw Data'!A2093,References!#REF!,2,FALSE),(VLOOKUP($S2093,References!$B$3:$C$7,2,FALSE))),"")</f>
        <v/>
      </c>
      <c r="W2093" s="74" t="str">
        <f>IFERROR(VLOOKUP($O2093,'Customer List'!$A$1:$J$488,10,FALSE),"")</f>
        <v/>
      </c>
    </row>
    <row r="2094" spans="18:23">
      <c r="R2094" s="127">
        <f t="shared" si="141"/>
        <v>0</v>
      </c>
      <c r="T2094" s="128">
        <f t="shared" si="140"/>
        <v>0</v>
      </c>
      <c r="U2094" s="129" t="str">
        <f>IFERROR(IF(#REF!="S",VLOOKUP('Raw Data'!A2094,References!#REF!,2,FALSE),(VLOOKUP($S2094,References!$B$3:$C$7,2,FALSE))),"")</f>
        <v/>
      </c>
      <c r="W2094" s="74" t="str">
        <f>IFERROR(VLOOKUP($O2094,'Customer List'!$A$1:$J$488,10,FALSE),"")</f>
        <v/>
      </c>
    </row>
    <row r="2095" spans="18:23">
      <c r="R2095" s="127">
        <f t="shared" si="141"/>
        <v>0</v>
      </c>
      <c r="T2095" s="128">
        <f t="shared" si="140"/>
        <v>0</v>
      </c>
      <c r="U2095" s="129" t="str">
        <f>IFERROR(IF(#REF!="S",VLOOKUP('Raw Data'!A2095,References!#REF!,2,FALSE),(VLOOKUP($S2095,References!$B$3:$C$7,2,FALSE))),"")</f>
        <v/>
      </c>
      <c r="W2095" s="74" t="str">
        <f>IFERROR(VLOOKUP($O2095,'Customer List'!$A$1:$J$488,10,FALSE),"")</f>
        <v/>
      </c>
    </row>
    <row r="2096" spans="18:23">
      <c r="R2096" s="127">
        <f t="shared" si="141"/>
        <v>0</v>
      </c>
      <c r="T2096" s="128">
        <f t="shared" si="140"/>
        <v>0</v>
      </c>
      <c r="U2096" s="129" t="str">
        <f>IFERROR(IF(#REF!="S",VLOOKUP('Raw Data'!A2096,References!#REF!,2,FALSE),(VLOOKUP($S2096,References!$B$3:$C$7,2,FALSE))),"")</f>
        <v/>
      </c>
      <c r="W2096" s="74" t="str">
        <f>IFERROR(VLOOKUP($O2096,'Customer List'!$A$1:$J$488,10,FALSE),"")</f>
        <v/>
      </c>
    </row>
    <row r="2097" spans="18:23">
      <c r="R2097" s="127">
        <f t="shared" si="141"/>
        <v>0</v>
      </c>
      <c r="T2097" s="128">
        <f t="shared" si="140"/>
        <v>0</v>
      </c>
      <c r="U2097" s="129" t="str">
        <f>IFERROR(IF(#REF!="S",VLOOKUP('Raw Data'!A2097,References!#REF!,2,FALSE),(VLOOKUP($S2097,References!$B$3:$C$7,2,FALSE))),"")</f>
        <v/>
      </c>
      <c r="W2097" s="74" t="str">
        <f>IFERROR(VLOOKUP($O2097,'Customer List'!$A$1:$J$488,10,FALSE),"")</f>
        <v/>
      </c>
    </row>
    <row r="2098" spans="18:23">
      <c r="R2098" s="127">
        <f t="shared" si="141"/>
        <v>0</v>
      </c>
      <c r="T2098" s="128">
        <f t="shared" si="140"/>
        <v>0</v>
      </c>
      <c r="U2098" s="129" t="str">
        <f>IFERROR(IF(#REF!="S",VLOOKUP('Raw Data'!A2098,References!#REF!,2,FALSE),(VLOOKUP($S2098,References!$B$3:$C$7,2,FALSE))),"")</f>
        <v/>
      </c>
      <c r="W2098" s="74" t="str">
        <f>IFERROR(VLOOKUP($O2098,'Customer List'!$A$1:$J$488,10,FALSE),"")</f>
        <v/>
      </c>
    </row>
    <row r="2099" spans="18:23">
      <c r="R2099" s="127">
        <f t="shared" si="141"/>
        <v>0</v>
      </c>
      <c r="T2099" s="128">
        <f t="shared" si="140"/>
        <v>0</v>
      </c>
      <c r="U2099" s="129" t="str">
        <f>IFERROR(IF(#REF!="S",VLOOKUP('Raw Data'!A2099,References!#REF!,2,FALSE),(VLOOKUP($S2099,References!$B$3:$C$7,2,FALSE))),"")</f>
        <v/>
      </c>
      <c r="W2099" s="74" t="str">
        <f>IFERROR(VLOOKUP($O2099,'Customer List'!$A$1:$J$488,10,FALSE),"")</f>
        <v/>
      </c>
    </row>
    <row r="2100" spans="18:23">
      <c r="R2100" s="127">
        <f t="shared" si="141"/>
        <v>0</v>
      </c>
      <c r="T2100" s="128">
        <f t="shared" si="140"/>
        <v>0</v>
      </c>
      <c r="U2100" s="129" t="str">
        <f>IFERROR(IF(#REF!="S",VLOOKUP('Raw Data'!A2100,References!#REF!,2,FALSE),(VLOOKUP($S2100,References!$B$3:$C$7,2,FALSE))),"")</f>
        <v/>
      </c>
      <c r="W2100" s="74" t="str">
        <f>IFERROR(VLOOKUP($O2100,'Customer List'!$A$1:$J$488,10,FALSE),"")</f>
        <v/>
      </c>
    </row>
    <row r="2101" spans="18:23">
      <c r="R2101" s="127">
        <f t="shared" si="141"/>
        <v>0</v>
      </c>
      <c r="T2101" s="128">
        <f t="shared" si="140"/>
        <v>0</v>
      </c>
      <c r="U2101" s="129" t="str">
        <f>IFERROR(IF(#REF!="S",VLOOKUP('Raw Data'!A2101,References!#REF!,2,FALSE),(VLOOKUP($S2101,References!$B$3:$C$7,2,FALSE))),"")</f>
        <v/>
      </c>
      <c r="W2101" s="74" t="str">
        <f>IFERROR(VLOOKUP($O2101,'Customer List'!$A$1:$J$488,10,FALSE),"")</f>
        <v/>
      </c>
    </row>
    <row r="2102" spans="18:23">
      <c r="R2102" s="127">
        <f t="shared" si="141"/>
        <v>0</v>
      </c>
      <c r="T2102" s="128">
        <f t="shared" si="140"/>
        <v>0</v>
      </c>
      <c r="U2102" s="129" t="str">
        <f>IFERROR(IF(#REF!="S",VLOOKUP('Raw Data'!A2102,References!#REF!,2,FALSE),(VLOOKUP($S2102,References!$B$3:$C$7,2,FALSE))),"")</f>
        <v/>
      </c>
      <c r="W2102" s="74" t="str">
        <f>IFERROR(VLOOKUP($O2102,'Customer List'!$A$1:$J$488,10,FALSE),"")</f>
        <v/>
      </c>
    </row>
    <row r="2103" spans="18:23">
      <c r="R2103" s="127">
        <f t="shared" si="141"/>
        <v>0</v>
      </c>
      <c r="T2103" s="128">
        <f t="shared" si="140"/>
        <v>0</v>
      </c>
      <c r="U2103" s="129" t="str">
        <f>IFERROR(IF(#REF!="S",VLOOKUP('Raw Data'!A2103,References!#REF!,2,FALSE),(VLOOKUP($S2103,References!$B$3:$C$7,2,FALSE))),"")</f>
        <v/>
      </c>
      <c r="W2103" s="74" t="str">
        <f>IFERROR(VLOOKUP($O2103,'Customer List'!$A$1:$J$488,10,FALSE),"")</f>
        <v/>
      </c>
    </row>
    <row r="2104" spans="18:23">
      <c r="R2104" s="127">
        <f t="shared" si="141"/>
        <v>0</v>
      </c>
      <c r="T2104" s="128">
        <f t="shared" si="140"/>
        <v>0</v>
      </c>
      <c r="U2104" s="129" t="str">
        <f>IFERROR(IF(#REF!="S",VLOOKUP('Raw Data'!A2104,References!#REF!,2,FALSE),(VLOOKUP($S2104,References!$B$3:$C$7,2,FALSE))),"")</f>
        <v/>
      </c>
      <c r="W2104" s="74" t="str">
        <f>IFERROR(VLOOKUP($O2104,'Customer List'!$A$1:$J$488,10,FALSE),"")</f>
        <v/>
      </c>
    </row>
    <row r="2105" spans="18:23">
      <c r="R2105" s="127">
        <f t="shared" si="141"/>
        <v>0</v>
      </c>
      <c r="T2105" s="128">
        <f t="shared" si="140"/>
        <v>0</v>
      </c>
      <c r="U2105" s="129" t="str">
        <f>IFERROR(IF(#REF!="S",VLOOKUP('Raw Data'!A2105,References!#REF!,2,FALSE),(VLOOKUP($S2105,References!$B$3:$C$7,2,FALSE))),"")</f>
        <v/>
      </c>
      <c r="W2105" s="74" t="str">
        <f>IFERROR(VLOOKUP($O2105,'Customer List'!$A$1:$J$488,10,FALSE),"")</f>
        <v/>
      </c>
    </row>
    <row r="2106" spans="18:23">
      <c r="R2106" s="127">
        <f t="shared" si="141"/>
        <v>0</v>
      </c>
      <c r="T2106" s="128">
        <f t="shared" si="140"/>
        <v>0</v>
      </c>
      <c r="U2106" s="129" t="str">
        <f>IFERROR(IF(#REF!="S",VLOOKUP('Raw Data'!A2106,References!#REF!,2,FALSE),(VLOOKUP($S2106,References!$B$3:$C$7,2,FALSE))),"")</f>
        <v/>
      </c>
      <c r="W2106" s="74" t="str">
        <f>IFERROR(VLOOKUP($O2106,'Customer List'!$A$1:$J$488,10,FALSE),"")</f>
        <v/>
      </c>
    </row>
    <row r="2107" spans="18:23">
      <c r="R2107" s="127">
        <f t="shared" si="141"/>
        <v>0</v>
      </c>
      <c r="T2107" s="128">
        <f t="shared" si="140"/>
        <v>0</v>
      </c>
      <c r="U2107" s="129" t="str">
        <f>IFERROR(IF(#REF!="S",VLOOKUP('Raw Data'!A2107,References!#REF!,2,FALSE),(VLOOKUP($S2107,References!$B$3:$C$7,2,FALSE))),"")</f>
        <v/>
      </c>
      <c r="W2107" s="74" t="str">
        <f>IFERROR(VLOOKUP($O2107,'Customer List'!$A$1:$J$488,10,FALSE),"")</f>
        <v/>
      </c>
    </row>
    <row r="2108" spans="18:23">
      <c r="R2108" s="127">
        <f t="shared" si="141"/>
        <v>0</v>
      </c>
      <c r="T2108" s="128">
        <f t="shared" si="140"/>
        <v>0</v>
      </c>
      <c r="U2108" s="129" t="str">
        <f>IFERROR(IF(#REF!="S",VLOOKUP('Raw Data'!A2108,References!#REF!,2,FALSE),(VLOOKUP($S2108,References!$B$3:$C$7,2,FALSE))),"")</f>
        <v/>
      </c>
      <c r="W2108" s="74" t="str">
        <f>IFERROR(VLOOKUP($O2108,'Customer List'!$A$1:$J$488,10,FALSE),"")</f>
        <v/>
      </c>
    </row>
    <row r="2109" spans="18:23">
      <c r="R2109" s="127">
        <f t="shared" si="141"/>
        <v>0</v>
      </c>
      <c r="T2109" s="128">
        <f t="shared" si="140"/>
        <v>0</v>
      </c>
      <c r="U2109" s="129" t="str">
        <f>IFERROR(IF(#REF!="S",VLOOKUP('Raw Data'!A2109,References!#REF!,2,FALSE),(VLOOKUP($S2109,References!$B$3:$C$7,2,FALSE))),"")</f>
        <v/>
      </c>
      <c r="W2109" s="74" t="str">
        <f>IFERROR(VLOOKUP($O2109,'Customer List'!$A$1:$J$488,10,FALSE),"")</f>
        <v/>
      </c>
    </row>
    <row r="2110" spans="18:23">
      <c r="R2110" s="127">
        <f t="shared" si="141"/>
        <v>0</v>
      </c>
      <c r="T2110" s="128">
        <f t="shared" si="140"/>
        <v>0</v>
      </c>
      <c r="U2110" s="129" t="str">
        <f>IFERROR(IF(#REF!="S",VLOOKUP('Raw Data'!A2110,References!#REF!,2,FALSE),(VLOOKUP($S2110,References!$B$3:$C$7,2,FALSE))),"")</f>
        <v/>
      </c>
      <c r="W2110" s="74" t="str">
        <f>IFERROR(VLOOKUP($O2110,'Customer List'!$A$1:$J$488,10,FALSE),"")</f>
        <v/>
      </c>
    </row>
    <row r="2111" spans="18:23">
      <c r="R2111" s="127">
        <f t="shared" si="141"/>
        <v>0</v>
      </c>
      <c r="T2111" s="128">
        <f t="shared" si="140"/>
        <v>0</v>
      </c>
      <c r="U2111" s="129" t="str">
        <f>IFERROR(IF(#REF!="S",VLOOKUP('Raw Data'!A2111,References!#REF!,2,FALSE),(VLOOKUP($S2111,References!$B$3:$C$7,2,FALSE))),"")</f>
        <v/>
      </c>
      <c r="W2111" s="74" t="str">
        <f>IFERROR(VLOOKUP($O2111,'Customer List'!$A$1:$J$488,10,FALSE),"")</f>
        <v/>
      </c>
    </row>
    <row r="2112" spans="18:23">
      <c r="R2112" s="127">
        <f t="shared" si="141"/>
        <v>0</v>
      </c>
      <c r="T2112" s="128">
        <f t="shared" si="140"/>
        <v>0</v>
      </c>
      <c r="U2112" s="129" t="str">
        <f>IFERROR(IF(#REF!="S",VLOOKUP('Raw Data'!A2112,References!#REF!,2,FALSE),(VLOOKUP($S2112,References!$B$3:$C$7,2,FALSE))),"")</f>
        <v/>
      </c>
      <c r="W2112" s="74" t="str">
        <f>IFERROR(VLOOKUP($O2112,'Customer List'!$A$1:$J$488,10,FALSE),"")</f>
        <v/>
      </c>
    </row>
    <row r="2113" spans="18:23">
      <c r="R2113" s="127">
        <f t="shared" si="141"/>
        <v>0</v>
      </c>
      <c r="T2113" s="128">
        <f t="shared" si="140"/>
        <v>0</v>
      </c>
      <c r="U2113" s="129" t="str">
        <f>IFERROR(IF(#REF!="S",VLOOKUP('Raw Data'!A2113,References!#REF!,2,FALSE),(VLOOKUP($S2113,References!$B$3:$C$7,2,FALSE))),"")</f>
        <v/>
      </c>
      <c r="W2113" s="74" t="str">
        <f>IFERROR(VLOOKUP($O2113,'Customer List'!$A$1:$J$488,10,FALSE),"")</f>
        <v/>
      </c>
    </row>
    <row r="2114" spans="18:23">
      <c r="R2114" s="127">
        <f t="shared" si="141"/>
        <v>0</v>
      </c>
      <c r="T2114" s="128">
        <f t="shared" si="140"/>
        <v>0</v>
      </c>
      <c r="U2114" s="129" t="str">
        <f>IFERROR(IF(#REF!="S",VLOOKUP('Raw Data'!A2114,References!#REF!,2,FALSE),(VLOOKUP($S2114,References!$B$3:$C$7,2,FALSE))),"")</f>
        <v/>
      </c>
      <c r="W2114" s="74" t="str">
        <f>IFERROR(VLOOKUP($O2114,'Customer List'!$A$1:$J$488,10,FALSE),"")</f>
        <v/>
      </c>
    </row>
    <row r="2115" spans="18:23">
      <c r="R2115" s="127">
        <f t="shared" si="141"/>
        <v>0</v>
      </c>
      <c r="T2115" s="128">
        <f t="shared" si="140"/>
        <v>0</v>
      </c>
      <c r="U2115" s="129" t="str">
        <f>IFERROR(IF(#REF!="S",VLOOKUP('Raw Data'!A2115,References!#REF!,2,FALSE),(VLOOKUP($S2115,References!$B$3:$C$7,2,FALSE))),"")</f>
        <v/>
      </c>
      <c r="W2115" s="74" t="str">
        <f>IFERROR(VLOOKUP($O2115,'Customer List'!$A$1:$J$488,10,FALSE),"")</f>
        <v/>
      </c>
    </row>
    <row r="2116" spans="18:23">
      <c r="R2116" s="127">
        <f t="shared" si="141"/>
        <v>0</v>
      </c>
      <c r="T2116" s="128">
        <f t="shared" si="140"/>
        <v>0</v>
      </c>
      <c r="U2116" s="129" t="str">
        <f>IFERROR(IF(#REF!="S",VLOOKUP('Raw Data'!A2116,References!#REF!,2,FALSE),(VLOOKUP($S2116,References!$B$3:$C$7,2,FALSE))),"")</f>
        <v/>
      </c>
      <c r="W2116" s="74" t="str">
        <f>IFERROR(VLOOKUP($O2116,'Customer List'!$A$1:$J$488,10,FALSE),"")</f>
        <v/>
      </c>
    </row>
    <row r="2117" spans="18:23">
      <c r="R2117" s="127">
        <f t="shared" si="141"/>
        <v>0</v>
      </c>
      <c r="T2117" s="128">
        <f t="shared" si="140"/>
        <v>0</v>
      </c>
      <c r="U2117" s="129" t="str">
        <f>IFERROR(IF(#REF!="S",VLOOKUP('Raw Data'!A2117,References!#REF!,2,FALSE),(VLOOKUP($S2117,References!$B$3:$C$7,2,FALSE))),"")</f>
        <v/>
      </c>
      <c r="W2117" s="74" t="str">
        <f>IFERROR(VLOOKUP($O2117,'Customer List'!$A$1:$J$488,10,FALSE),"")</f>
        <v/>
      </c>
    </row>
    <row r="2118" spans="18:23">
      <c r="R2118" s="127">
        <f t="shared" si="141"/>
        <v>0</v>
      </c>
      <c r="T2118" s="128">
        <f t="shared" si="140"/>
        <v>0</v>
      </c>
      <c r="U2118" s="129" t="str">
        <f>IFERROR(IF(#REF!="S",VLOOKUP('Raw Data'!A2118,References!#REF!,2,FALSE),(VLOOKUP($S2118,References!$B$3:$C$7,2,FALSE))),"")</f>
        <v/>
      </c>
      <c r="W2118" s="74" t="str">
        <f>IFERROR(VLOOKUP($O2118,'Customer List'!$A$1:$J$488,10,FALSE),"")</f>
        <v/>
      </c>
    </row>
    <row r="2119" spans="18:23">
      <c r="R2119" s="127">
        <f t="shared" si="141"/>
        <v>0</v>
      </c>
      <c r="T2119" s="128">
        <f t="shared" si="140"/>
        <v>0</v>
      </c>
      <c r="U2119" s="129" t="str">
        <f>IFERROR(IF(#REF!="S",VLOOKUP('Raw Data'!A2119,References!#REF!,2,FALSE),(VLOOKUP($S2119,References!$B$3:$C$7,2,FALSE))),"")</f>
        <v/>
      </c>
      <c r="W2119" s="74" t="str">
        <f>IFERROR(VLOOKUP($O2119,'Customer List'!$A$1:$J$488,10,FALSE),"")</f>
        <v/>
      </c>
    </row>
    <row r="2120" spans="18:23">
      <c r="R2120" s="127">
        <f t="shared" si="141"/>
        <v>0</v>
      </c>
      <c r="T2120" s="128">
        <f t="shared" si="140"/>
        <v>0</v>
      </c>
      <c r="U2120" s="129" t="str">
        <f>IFERROR(IF(#REF!="S",VLOOKUP('Raw Data'!A2120,References!#REF!,2,FALSE),(VLOOKUP($S2120,References!$B$3:$C$7,2,FALSE))),"")</f>
        <v/>
      </c>
      <c r="W2120" s="74" t="str">
        <f>IFERROR(VLOOKUP($O2120,'Customer List'!$A$1:$J$488,10,FALSE),"")</f>
        <v/>
      </c>
    </row>
    <row r="2121" spans="18:23">
      <c r="R2121" s="127">
        <f t="shared" si="141"/>
        <v>0</v>
      </c>
      <c r="T2121" s="128">
        <f t="shared" si="140"/>
        <v>0</v>
      </c>
      <c r="U2121" s="129" t="str">
        <f>IFERROR(IF(#REF!="S",VLOOKUP('Raw Data'!A2121,References!#REF!,2,FALSE),(VLOOKUP($S2121,References!$B$3:$C$7,2,FALSE))),"")</f>
        <v/>
      </c>
      <c r="W2121" s="74" t="str">
        <f>IFERROR(VLOOKUP($O2121,'Customer List'!$A$1:$J$488,10,FALSE),"")</f>
        <v/>
      </c>
    </row>
    <row r="2122" spans="18:23">
      <c r="R2122" s="127">
        <f t="shared" si="141"/>
        <v>0</v>
      </c>
      <c r="T2122" s="128">
        <f t="shared" ref="T2122:T2185" si="142">IF(S2122="50 - Cleaning Fee",1,HOUR($R2122)+MINUTE(R2122)/60)</f>
        <v>0</v>
      </c>
      <c r="U2122" s="129" t="str">
        <f>IFERROR(IF(#REF!="S",VLOOKUP('Raw Data'!A2122,References!#REF!,2,FALSE),(VLOOKUP($S2122,References!$B$3:$C$7,2,FALSE))),"")</f>
        <v/>
      </c>
      <c r="W2122" s="74" t="str">
        <f>IFERROR(VLOOKUP($O2122,'Customer List'!$A$1:$J$488,10,FALSE),"")</f>
        <v/>
      </c>
    </row>
    <row r="2123" spans="18:23">
      <c r="R2123" s="127">
        <f t="shared" si="141"/>
        <v>0</v>
      </c>
      <c r="T2123" s="128">
        <f t="shared" si="142"/>
        <v>0</v>
      </c>
      <c r="U2123" s="129" t="str">
        <f>IFERROR(IF(#REF!="S",VLOOKUP('Raw Data'!A2123,References!#REF!,2,FALSE),(VLOOKUP($S2123,References!$B$3:$C$7,2,FALSE))),"")</f>
        <v/>
      </c>
      <c r="W2123" s="74" t="str">
        <f>IFERROR(VLOOKUP($O2123,'Customer List'!$A$1:$J$488,10,FALSE),"")</f>
        <v/>
      </c>
    </row>
    <row r="2124" spans="18:23">
      <c r="R2124" s="127">
        <f t="shared" si="141"/>
        <v>0</v>
      </c>
      <c r="T2124" s="128">
        <f t="shared" si="142"/>
        <v>0</v>
      </c>
      <c r="U2124" s="129" t="str">
        <f>IFERROR(IF(#REF!="S",VLOOKUP('Raw Data'!A2124,References!#REF!,2,FALSE),(VLOOKUP($S2124,References!$B$3:$C$7,2,FALSE))),"")</f>
        <v/>
      </c>
      <c r="W2124" s="74" t="str">
        <f>IFERROR(VLOOKUP($O2124,'Customer List'!$A$1:$J$488,10,FALSE),"")</f>
        <v/>
      </c>
    </row>
    <row r="2125" spans="18:23">
      <c r="R2125" s="127">
        <f t="shared" si="141"/>
        <v>0</v>
      </c>
      <c r="T2125" s="128">
        <f t="shared" si="142"/>
        <v>0</v>
      </c>
      <c r="U2125" s="129" t="str">
        <f>IFERROR(IF(#REF!="S",VLOOKUP('Raw Data'!A2125,References!#REF!,2,FALSE),(VLOOKUP($S2125,References!$B$3:$C$7,2,FALSE))),"")</f>
        <v/>
      </c>
      <c r="W2125" s="74" t="str">
        <f>IFERROR(VLOOKUP($O2125,'Customer List'!$A$1:$J$488,10,FALSE),"")</f>
        <v/>
      </c>
    </row>
    <row r="2126" spans="18:23">
      <c r="R2126" s="127">
        <f t="shared" si="141"/>
        <v>0</v>
      </c>
      <c r="T2126" s="128">
        <f t="shared" si="142"/>
        <v>0</v>
      </c>
      <c r="U2126" s="129" t="str">
        <f>IFERROR(IF(#REF!="S",VLOOKUP('Raw Data'!A2126,References!#REF!,2,FALSE),(VLOOKUP($S2126,References!$B$3:$C$7,2,FALSE))),"")</f>
        <v/>
      </c>
      <c r="W2126" s="74" t="str">
        <f>IFERROR(VLOOKUP($O2126,'Customer List'!$A$1:$J$488,10,FALSE),"")</f>
        <v/>
      </c>
    </row>
    <row r="2127" spans="18:23">
      <c r="R2127" s="127">
        <f t="shared" si="141"/>
        <v>0</v>
      </c>
      <c r="T2127" s="128">
        <f t="shared" si="142"/>
        <v>0</v>
      </c>
      <c r="U2127" s="129" t="str">
        <f>IFERROR(IF(#REF!="S",VLOOKUP('Raw Data'!A2127,References!#REF!,2,FALSE),(VLOOKUP($S2127,References!$B$3:$C$7,2,FALSE))),"")</f>
        <v/>
      </c>
      <c r="W2127" s="74" t="str">
        <f>IFERROR(VLOOKUP($O2127,'Customer List'!$A$1:$J$488,10,FALSE),"")</f>
        <v/>
      </c>
    </row>
    <row r="2128" spans="18:23">
      <c r="R2128" s="127">
        <f t="shared" si="141"/>
        <v>0</v>
      </c>
      <c r="T2128" s="128">
        <f t="shared" si="142"/>
        <v>0</v>
      </c>
      <c r="U2128" s="129" t="str">
        <f>IFERROR(IF(#REF!="S",VLOOKUP('Raw Data'!A2128,References!#REF!,2,FALSE),(VLOOKUP($S2128,References!$B$3:$C$7,2,FALSE))),"")</f>
        <v/>
      </c>
      <c r="W2128" s="74" t="str">
        <f>IFERROR(VLOOKUP($O2128,'Customer List'!$A$1:$J$488,10,FALSE),"")</f>
        <v/>
      </c>
    </row>
    <row r="2129" spans="18:23">
      <c r="R2129" s="127">
        <f t="shared" si="141"/>
        <v>0</v>
      </c>
      <c r="T2129" s="128">
        <f t="shared" si="142"/>
        <v>0</v>
      </c>
      <c r="U2129" s="129" t="str">
        <f>IFERROR(IF(#REF!="S",VLOOKUP('Raw Data'!A2129,References!#REF!,2,FALSE),(VLOOKUP($S2129,References!$B$3:$C$7,2,FALSE))),"")</f>
        <v/>
      </c>
      <c r="W2129" s="74" t="str">
        <f>IFERROR(VLOOKUP($O2129,'Customer List'!$A$1:$J$488,10,FALSE),"")</f>
        <v/>
      </c>
    </row>
    <row r="2130" spans="18:23">
      <c r="R2130" s="127">
        <f t="shared" si="141"/>
        <v>0</v>
      </c>
      <c r="T2130" s="128">
        <f t="shared" si="142"/>
        <v>0</v>
      </c>
      <c r="U2130" s="129" t="str">
        <f>IFERROR(IF(#REF!="S",VLOOKUP('Raw Data'!A2130,References!#REF!,2,FALSE),(VLOOKUP($S2130,References!$B$3:$C$7,2,FALSE))),"")</f>
        <v/>
      </c>
      <c r="W2130" s="74" t="str">
        <f>IFERROR(VLOOKUP($O2130,'Customer List'!$A$1:$J$488,10,FALSE),"")</f>
        <v/>
      </c>
    </row>
    <row r="2131" spans="18:23">
      <c r="R2131" s="127">
        <f t="shared" si="141"/>
        <v>0</v>
      </c>
      <c r="T2131" s="128">
        <f t="shared" si="142"/>
        <v>0</v>
      </c>
      <c r="U2131" s="129" t="str">
        <f>IFERROR(IF(#REF!="S",VLOOKUP('Raw Data'!A2131,References!#REF!,2,FALSE),(VLOOKUP($S2131,References!$B$3:$C$7,2,FALSE))),"")</f>
        <v/>
      </c>
      <c r="W2131" s="74" t="str">
        <f>IFERROR(VLOOKUP($O2131,'Customer List'!$A$1:$J$488,10,FALSE),"")</f>
        <v/>
      </c>
    </row>
    <row r="2132" spans="18:23">
      <c r="R2132" s="127">
        <f t="shared" si="141"/>
        <v>0</v>
      </c>
      <c r="T2132" s="128">
        <f t="shared" si="142"/>
        <v>0</v>
      </c>
      <c r="U2132" s="129" t="str">
        <f>IFERROR(IF(#REF!="S",VLOOKUP('Raw Data'!A2132,References!#REF!,2,FALSE),(VLOOKUP($S2132,References!$B$3:$C$7,2,FALSE))),"")</f>
        <v/>
      </c>
      <c r="W2132" s="74" t="str">
        <f>IFERROR(VLOOKUP($O2132,'Customer List'!$A$1:$J$488,10,FALSE),"")</f>
        <v/>
      </c>
    </row>
    <row r="2133" spans="18:23">
      <c r="R2133" s="127">
        <f t="shared" si="141"/>
        <v>0</v>
      </c>
      <c r="T2133" s="128">
        <f t="shared" si="142"/>
        <v>0</v>
      </c>
      <c r="U2133" s="129" t="str">
        <f>IFERROR(IF(#REF!="S",VLOOKUP('Raw Data'!A2133,References!#REF!,2,FALSE),(VLOOKUP($S2133,References!$B$3:$C$7,2,FALSE))),"")</f>
        <v/>
      </c>
      <c r="W2133" s="74" t="str">
        <f>IFERROR(VLOOKUP($O2133,'Customer List'!$A$1:$J$488,10,FALSE),"")</f>
        <v/>
      </c>
    </row>
    <row r="2134" spans="18:23">
      <c r="R2134" s="127">
        <f t="shared" si="141"/>
        <v>0</v>
      </c>
      <c r="T2134" s="128">
        <f t="shared" si="142"/>
        <v>0</v>
      </c>
      <c r="U2134" s="129" t="str">
        <f>IFERROR(IF(#REF!="S",VLOOKUP('Raw Data'!A2134,References!#REF!,2,FALSE),(VLOOKUP($S2134,References!$B$3:$C$7,2,FALSE))),"")</f>
        <v/>
      </c>
      <c r="W2134" s="74" t="str">
        <f>IFERROR(VLOOKUP($O2134,'Customer List'!$A$1:$J$488,10,FALSE),"")</f>
        <v/>
      </c>
    </row>
    <row r="2135" spans="18:23">
      <c r="R2135" s="127">
        <f t="shared" si="141"/>
        <v>0</v>
      </c>
      <c r="T2135" s="128">
        <f t="shared" si="142"/>
        <v>0</v>
      </c>
      <c r="U2135" s="129" t="str">
        <f>IFERROR(IF(#REF!="S",VLOOKUP('Raw Data'!A2135,References!#REF!,2,FALSE),(VLOOKUP($S2135,References!$B$3:$C$7,2,FALSE))),"")</f>
        <v/>
      </c>
      <c r="W2135" s="74" t="str">
        <f>IFERROR(VLOOKUP($O2135,'Customer List'!$A$1:$J$488,10,FALSE),"")</f>
        <v/>
      </c>
    </row>
    <row r="2136" spans="18:23">
      <c r="R2136" s="127">
        <f t="shared" si="141"/>
        <v>0</v>
      </c>
      <c r="T2136" s="128">
        <f t="shared" si="142"/>
        <v>0</v>
      </c>
      <c r="U2136" s="129" t="str">
        <f>IFERROR(IF(#REF!="S",VLOOKUP('Raw Data'!A2136,References!#REF!,2,FALSE),(VLOOKUP($S2136,References!$B$3:$C$7,2,FALSE))),"")</f>
        <v/>
      </c>
      <c r="W2136" s="74" t="str">
        <f>IFERROR(VLOOKUP($O2136,'Customer List'!$A$1:$J$488,10,FALSE),"")</f>
        <v/>
      </c>
    </row>
    <row r="2137" spans="18:23">
      <c r="R2137" s="127">
        <f t="shared" si="141"/>
        <v>0</v>
      </c>
      <c r="T2137" s="128">
        <f t="shared" si="142"/>
        <v>0</v>
      </c>
      <c r="U2137" s="129" t="str">
        <f>IFERROR(IF(#REF!="S",VLOOKUP('Raw Data'!A2137,References!#REF!,2,FALSE),(VLOOKUP($S2137,References!$B$3:$C$7,2,FALSE))),"")</f>
        <v/>
      </c>
      <c r="W2137" s="74" t="str">
        <f>IFERROR(VLOOKUP($O2137,'Customer List'!$A$1:$J$488,10,FALSE),"")</f>
        <v/>
      </c>
    </row>
    <row r="2138" spans="18:23">
      <c r="R2138" s="127">
        <f t="shared" si="141"/>
        <v>0</v>
      </c>
      <c r="T2138" s="128">
        <f t="shared" si="142"/>
        <v>0</v>
      </c>
      <c r="U2138" s="129" t="str">
        <f>IFERROR(IF(#REF!="S",VLOOKUP('Raw Data'!A2138,References!#REF!,2,FALSE),(VLOOKUP($S2138,References!$B$3:$C$7,2,FALSE))),"")</f>
        <v/>
      </c>
      <c r="W2138" s="74" t="str">
        <f>IFERROR(VLOOKUP($O2138,'Customer List'!$A$1:$J$488,10,FALSE),"")</f>
        <v/>
      </c>
    </row>
    <row r="2139" spans="18:23">
      <c r="R2139" s="127">
        <f t="shared" si="141"/>
        <v>0</v>
      </c>
      <c r="T2139" s="128">
        <f t="shared" si="142"/>
        <v>0</v>
      </c>
      <c r="U2139" s="129" t="str">
        <f>IFERROR(IF(#REF!="S",VLOOKUP('Raw Data'!A2139,References!#REF!,2,FALSE),(VLOOKUP($S2139,References!$B$3:$C$7,2,FALSE))),"")</f>
        <v/>
      </c>
      <c r="W2139" s="74" t="str">
        <f>IFERROR(VLOOKUP($O2139,'Customer List'!$A$1:$J$488,10,FALSE),"")</f>
        <v/>
      </c>
    </row>
    <row r="2140" spans="18:23">
      <c r="R2140" s="127">
        <f t="shared" si="141"/>
        <v>0</v>
      </c>
      <c r="T2140" s="128">
        <f t="shared" si="142"/>
        <v>0</v>
      </c>
      <c r="U2140" s="129" t="str">
        <f>IFERROR(IF(#REF!="S",VLOOKUP('Raw Data'!A2140,References!#REF!,2,FALSE),(VLOOKUP($S2140,References!$B$3:$C$7,2,FALSE))),"")</f>
        <v/>
      </c>
      <c r="W2140" s="74" t="str">
        <f>IFERROR(VLOOKUP($O2140,'Customer List'!$A$1:$J$488,10,FALSE),"")</f>
        <v/>
      </c>
    </row>
    <row r="2141" spans="18:23">
      <c r="R2141" s="127">
        <f t="shared" si="141"/>
        <v>0</v>
      </c>
      <c r="T2141" s="128">
        <f t="shared" si="142"/>
        <v>0</v>
      </c>
      <c r="U2141" s="129" t="str">
        <f>IFERROR(IF(#REF!="S",VLOOKUP('Raw Data'!A2141,References!#REF!,2,FALSE),(VLOOKUP($S2141,References!$B$3:$C$7,2,FALSE))),"")</f>
        <v/>
      </c>
      <c r="W2141" s="74" t="str">
        <f>IFERROR(VLOOKUP($O2141,'Customer List'!$A$1:$J$488,10,FALSE),"")</f>
        <v/>
      </c>
    </row>
    <row r="2142" spans="18:23">
      <c r="R2142" s="127">
        <f t="shared" si="141"/>
        <v>0</v>
      </c>
      <c r="T2142" s="128">
        <f t="shared" si="142"/>
        <v>0</v>
      </c>
      <c r="U2142" s="129" t="str">
        <f>IFERROR(IF(#REF!="S",VLOOKUP('Raw Data'!A2142,References!#REF!,2,FALSE),(VLOOKUP($S2142,References!$B$3:$C$7,2,FALSE))),"")</f>
        <v/>
      </c>
      <c r="W2142" s="74" t="str">
        <f>IFERROR(VLOOKUP($O2142,'Customer List'!$A$1:$J$488,10,FALSE),"")</f>
        <v/>
      </c>
    </row>
    <row r="2143" spans="18:23">
      <c r="R2143" s="127">
        <f t="shared" si="141"/>
        <v>0</v>
      </c>
      <c r="T2143" s="128">
        <f t="shared" si="142"/>
        <v>0</v>
      </c>
      <c r="U2143" s="129" t="str">
        <f>IFERROR(IF(#REF!="S",VLOOKUP('Raw Data'!A2143,References!#REF!,2,FALSE),(VLOOKUP($S2143,References!$B$3:$C$7,2,FALSE))),"")</f>
        <v/>
      </c>
      <c r="W2143" s="74" t="str">
        <f>IFERROR(VLOOKUP($O2143,'Customer List'!$A$1:$J$488,10,FALSE),"")</f>
        <v/>
      </c>
    </row>
    <row r="2144" spans="18:23">
      <c r="R2144" s="127">
        <f t="shared" si="141"/>
        <v>0</v>
      </c>
      <c r="T2144" s="128">
        <f t="shared" si="142"/>
        <v>0</v>
      </c>
      <c r="U2144" s="129" t="str">
        <f>IFERROR(IF(#REF!="S",VLOOKUP('Raw Data'!A2144,References!#REF!,2,FALSE),(VLOOKUP($S2144,References!$B$3:$C$7,2,FALSE))),"")</f>
        <v/>
      </c>
      <c r="W2144" s="74" t="str">
        <f>IFERROR(VLOOKUP($O2144,'Customer List'!$A$1:$J$488,10,FALSE),"")</f>
        <v/>
      </c>
    </row>
    <row r="2145" spans="18:23">
      <c r="R2145" s="127">
        <f t="shared" si="141"/>
        <v>0</v>
      </c>
      <c r="T2145" s="128">
        <f t="shared" si="142"/>
        <v>0</v>
      </c>
      <c r="U2145" s="129" t="str">
        <f>IFERROR(IF(#REF!="S",VLOOKUP('Raw Data'!A2145,References!#REF!,2,FALSE),(VLOOKUP($S2145,References!$B$3:$C$7,2,FALSE))),"")</f>
        <v/>
      </c>
      <c r="W2145" s="74" t="str">
        <f>IFERROR(VLOOKUP($O2145,'Customer List'!$A$1:$J$488,10,FALSE),"")</f>
        <v/>
      </c>
    </row>
    <row r="2146" spans="18:23">
      <c r="R2146" s="127">
        <f t="shared" si="141"/>
        <v>0</v>
      </c>
      <c r="T2146" s="128">
        <f t="shared" si="142"/>
        <v>0</v>
      </c>
      <c r="U2146" s="129" t="str">
        <f>IFERROR(IF(#REF!="S",VLOOKUP('Raw Data'!A2146,References!#REF!,2,FALSE),(VLOOKUP($S2146,References!$B$3:$C$7,2,FALSE))),"")</f>
        <v/>
      </c>
      <c r="W2146" s="74" t="str">
        <f>IFERROR(VLOOKUP($O2146,'Customer List'!$A$1:$J$488,10,FALSE),"")</f>
        <v/>
      </c>
    </row>
    <row r="2147" spans="18:23">
      <c r="R2147" s="127">
        <f t="shared" si="141"/>
        <v>0</v>
      </c>
      <c r="T2147" s="128">
        <f t="shared" si="142"/>
        <v>0</v>
      </c>
      <c r="U2147" s="129" t="str">
        <f>IFERROR(IF(#REF!="S",VLOOKUP('Raw Data'!A2147,References!#REF!,2,FALSE),(VLOOKUP($S2147,References!$B$3:$C$7,2,FALSE))),"")</f>
        <v/>
      </c>
      <c r="W2147" s="74" t="str">
        <f>IFERROR(VLOOKUP($O2147,'Customer List'!$A$1:$J$488,10,FALSE),"")</f>
        <v/>
      </c>
    </row>
    <row r="2148" spans="18:23">
      <c r="R2148" s="127">
        <f t="shared" si="141"/>
        <v>0</v>
      </c>
      <c r="T2148" s="128">
        <f t="shared" si="142"/>
        <v>0</v>
      </c>
      <c r="U2148" s="129" t="str">
        <f>IFERROR(IF(#REF!="S",VLOOKUP('Raw Data'!A2148,References!#REF!,2,FALSE),(VLOOKUP($S2148,References!$B$3:$C$7,2,FALSE))),"")</f>
        <v/>
      </c>
      <c r="W2148" s="74" t="str">
        <f>IFERROR(VLOOKUP($O2148,'Customer List'!$A$1:$J$488,10,FALSE),"")</f>
        <v/>
      </c>
    </row>
    <row r="2149" spans="18:23">
      <c r="R2149" s="127">
        <f t="shared" si="141"/>
        <v>0</v>
      </c>
      <c r="T2149" s="128">
        <f t="shared" si="142"/>
        <v>0</v>
      </c>
      <c r="U2149" s="129" t="str">
        <f>IFERROR(IF(#REF!="S",VLOOKUP('Raw Data'!A2149,References!#REF!,2,FALSE),(VLOOKUP($S2149,References!$B$3:$C$7,2,FALSE))),"")</f>
        <v/>
      </c>
      <c r="W2149" s="74" t="str">
        <f>IFERROR(VLOOKUP($O2149,'Customer List'!$A$1:$J$488,10,FALSE),"")</f>
        <v/>
      </c>
    </row>
    <row r="2150" spans="18:23">
      <c r="R2150" s="127">
        <f t="shared" ref="R2150:R2213" si="143">L2150-K2150</f>
        <v>0</v>
      </c>
      <c r="T2150" s="128">
        <f t="shared" si="142"/>
        <v>0</v>
      </c>
      <c r="U2150" s="129" t="str">
        <f>IFERROR(IF(#REF!="S",VLOOKUP('Raw Data'!A2150,References!#REF!,2,FALSE),(VLOOKUP($S2150,References!$B$3:$C$7,2,FALSE))),"")</f>
        <v/>
      </c>
      <c r="W2150" s="74" t="str">
        <f>IFERROR(VLOOKUP($O2150,'Customer List'!$A$1:$J$488,10,FALSE),"")</f>
        <v/>
      </c>
    </row>
    <row r="2151" spans="18:23">
      <c r="R2151" s="127">
        <f t="shared" si="143"/>
        <v>0</v>
      </c>
      <c r="T2151" s="128">
        <f t="shared" si="142"/>
        <v>0</v>
      </c>
      <c r="U2151" s="129" t="str">
        <f>IFERROR(IF(#REF!="S",VLOOKUP('Raw Data'!A2151,References!#REF!,2,FALSE),(VLOOKUP($S2151,References!$B$3:$C$7,2,FALSE))),"")</f>
        <v/>
      </c>
      <c r="W2151" s="74" t="str">
        <f>IFERROR(VLOOKUP($O2151,'Customer List'!$A$1:$J$488,10,FALSE),"")</f>
        <v/>
      </c>
    </row>
    <row r="2152" spans="18:23">
      <c r="R2152" s="127">
        <f t="shared" si="143"/>
        <v>0</v>
      </c>
      <c r="T2152" s="128">
        <f t="shared" si="142"/>
        <v>0</v>
      </c>
      <c r="U2152" s="129" t="str">
        <f>IFERROR(IF(#REF!="S",VLOOKUP('Raw Data'!A2152,References!#REF!,2,FALSE),(VLOOKUP($S2152,References!$B$3:$C$7,2,FALSE))),"")</f>
        <v/>
      </c>
      <c r="W2152" s="74" t="str">
        <f>IFERROR(VLOOKUP($O2152,'Customer List'!$A$1:$J$488,10,FALSE),"")</f>
        <v/>
      </c>
    </row>
    <row r="2153" spans="18:23">
      <c r="R2153" s="127">
        <f t="shared" si="143"/>
        <v>0</v>
      </c>
      <c r="T2153" s="128">
        <f t="shared" si="142"/>
        <v>0</v>
      </c>
      <c r="U2153" s="129" t="str">
        <f>IFERROR(IF(#REF!="S",VLOOKUP('Raw Data'!A2153,References!#REF!,2,FALSE),(VLOOKUP($S2153,References!$B$3:$C$7,2,FALSE))),"")</f>
        <v/>
      </c>
      <c r="W2153" s="74" t="str">
        <f>IFERROR(VLOOKUP($O2153,'Customer List'!$A$1:$J$488,10,FALSE),"")</f>
        <v/>
      </c>
    </row>
    <row r="2154" spans="18:23">
      <c r="R2154" s="127">
        <f t="shared" si="143"/>
        <v>0</v>
      </c>
      <c r="T2154" s="128">
        <f t="shared" si="142"/>
        <v>0</v>
      </c>
      <c r="U2154" s="129" t="str">
        <f>IFERROR(IF(#REF!="S",VLOOKUP('Raw Data'!A2154,References!#REF!,2,FALSE),(VLOOKUP($S2154,References!$B$3:$C$7,2,FALSE))),"")</f>
        <v/>
      </c>
      <c r="W2154" s="74" t="str">
        <f>IFERROR(VLOOKUP($O2154,'Customer List'!$A$1:$J$488,10,FALSE),"")</f>
        <v/>
      </c>
    </row>
    <row r="2155" spans="18:23">
      <c r="R2155" s="127">
        <f t="shared" si="143"/>
        <v>0</v>
      </c>
      <c r="T2155" s="128">
        <f t="shared" si="142"/>
        <v>0</v>
      </c>
      <c r="U2155" s="129" t="str">
        <f>IFERROR(IF(#REF!="S",VLOOKUP('Raw Data'!A2155,References!#REF!,2,FALSE),(VLOOKUP($S2155,References!$B$3:$C$7,2,FALSE))),"")</f>
        <v/>
      </c>
      <c r="W2155" s="74" t="str">
        <f>IFERROR(VLOOKUP($O2155,'Customer List'!$A$1:$J$488,10,FALSE),"")</f>
        <v/>
      </c>
    </row>
    <row r="2156" spans="18:23">
      <c r="R2156" s="127">
        <f t="shared" si="143"/>
        <v>0</v>
      </c>
      <c r="T2156" s="128">
        <f t="shared" si="142"/>
        <v>0</v>
      </c>
      <c r="U2156" s="129" t="str">
        <f>IFERROR(IF(#REF!="S",VLOOKUP('Raw Data'!A2156,References!#REF!,2,FALSE),(VLOOKUP($S2156,References!$B$3:$C$7,2,FALSE))),"")</f>
        <v/>
      </c>
      <c r="W2156" s="74" t="str">
        <f>IFERROR(VLOOKUP($O2156,'Customer List'!$A$1:$J$488,10,FALSE),"")</f>
        <v/>
      </c>
    </row>
    <row r="2157" spans="18:23">
      <c r="R2157" s="127">
        <f t="shared" si="143"/>
        <v>0</v>
      </c>
      <c r="T2157" s="128">
        <f t="shared" si="142"/>
        <v>0</v>
      </c>
      <c r="U2157" s="129" t="str">
        <f>IFERROR(IF(#REF!="S",VLOOKUP('Raw Data'!A2157,References!#REF!,2,FALSE),(VLOOKUP($S2157,References!$B$3:$C$7,2,FALSE))),"")</f>
        <v/>
      </c>
      <c r="W2157" s="74" t="str">
        <f>IFERROR(VLOOKUP($O2157,'Customer List'!$A$1:$J$488,10,FALSE),"")</f>
        <v/>
      </c>
    </row>
    <row r="2158" spans="18:23">
      <c r="R2158" s="127">
        <f t="shared" si="143"/>
        <v>0</v>
      </c>
      <c r="T2158" s="128">
        <f t="shared" si="142"/>
        <v>0</v>
      </c>
      <c r="U2158" s="129" t="str">
        <f>IFERROR(IF(#REF!="S",VLOOKUP('Raw Data'!A2158,References!#REF!,2,FALSE),(VLOOKUP($S2158,References!$B$3:$C$7,2,FALSE))),"")</f>
        <v/>
      </c>
      <c r="W2158" s="74" t="str">
        <f>IFERROR(VLOOKUP($O2158,'Customer List'!$A$1:$J$488,10,FALSE),"")</f>
        <v/>
      </c>
    </row>
    <row r="2159" spans="18:23">
      <c r="R2159" s="127">
        <f t="shared" si="143"/>
        <v>0</v>
      </c>
      <c r="T2159" s="128">
        <f t="shared" si="142"/>
        <v>0</v>
      </c>
      <c r="U2159" s="129" t="str">
        <f>IFERROR(IF(#REF!="S",VLOOKUP('Raw Data'!A2159,References!#REF!,2,FALSE),(VLOOKUP($S2159,References!$B$3:$C$7,2,FALSE))),"")</f>
        <v/>
      </c>
      <c r="W2159" s="74" t="str">
        <f>IFERROR(VLOOKUP($O2159,'Customer List'!$A$1:$J$488,10,FALSE),"")</f>
        <v/>
      </c>
    </row>
    <row r="2160" spans="18:23">
      <c r="R2160" s="127">
        <f t="shared" si="143"/>
        <v>0</v>
      </c>
      <c r="T2160" s="128">
        <f t="shared" si="142"/>
        <v>0</v>
      </c>
      <c r="U2160" s="129" t="str">
        <f>IFERROR(IF(#REF!="S",VLOOKUP('Raw Data'!A2160,References!#REF!,2,FALSE),(VLOOKUP($S2160,References!$B$3:$C$7,2,FALSE))),"")</f>
        <v/>
      </c>
      <c r="W2160" s="74" t="str">
        <f>IFERROR(VLOOKUP($O2160,'Customer List'!$A$1:$J$488,10,FALSE),"")</f>
        <v/>
      </c>
    </row>
    <row r="2161" spans="18:23">
      <c r="R2161" s="127">
        <f t="shared" si="143"/>
        <v>0</v>
      </c>
      <c r="T2161" s="128">
        <f t="shared" si="142"/>
        <v>0</v>
      </c>
      <c r="U2161" s="129" t="str">
        <f>IFERROR(IF(#REF!="S",VLOOKUP('Raw Data'!A2161,References!#REF!,2,FALSE),(VLOOKUP($S2161,References!$B$3:$C$7,2,FALSE))),"")</f>
        <v/>
      </c>
      <c r="W2161" s="74" t="str">
        <f>IFERROR(VLOOKUP($O2161,'Customer List'!$A$1:$J$488,10,FALSE),"")</f>
        <v/>
      </c>
    </row>
    <row r="2162" spans="18:23">
      <c r="R2162" s="127">
        <f t="shared" si="143"/>
        <v>0</v>
      </c>
      <c r="T2162" s="128">
        <f t="shared" si="142"/>
        <v>0</v>
      </c>
      <c r="U2162" s="129" t="str">
        <f>IFERROR(IF(#REF!="S",VLOOKUP('Raw Data'!A2162,References!#REF!,2,FALSE),(VLOOKUP($S2162,References!$B$3:$C$7,2,FALSE))),"")</f>
        <v/>
      </c>
      <c r="W2162" s="74" t="str">
        <f>IFERROR(VLOOKUP($O2162,'Customer List'!$A$1:$J$488,10,FALSE),"")</f>
        <v/>
      </c>
    </row>
    <row r="2163" spans="18:23">
      <c r="R2163" s="127">
        <f t="shared" si="143"/>
        <v>0</v>
      </c>
      <c r="T2163" s="128">
        <f t="shared" si="142"/>
        <v>0</v>
      </c>
      <c r="U2163" s="129" t="str">
        <f>IFERROR(IF(#REF!="S",VLOOKUP('Raw Data'!A2163,References!#REF!,2,FALSE),(VLOOKUP($S2163,References!$B$3:$C$7,2,FALSE))),"")</f>
        <v/>
      </c>
      <c r="W2163" s="74" t="str">
        <f>IFERROR(VLOOKUP($O2163,'Customer List'!$A$1:$J$488,10,FALSE),"")</f>
        <v/>
      </c>
    </row>
    <row r="2164" spans="18:23">
      <c r="R2164" s="127">
        <f t="shared" si="143"/>
        <v>0</v>
      </c>
      <c r="T2164" s="128">
        <f t="shared" si="142"/>
        <v>0</v>
      </c>
      <c r="U2164" s="129" t="str">
        <f>IFERROR(IF(#REF!="S",VLOOKUP('Raw Data'!A2164,References!#REF!,2,FALSE),(VLOOKUP($S2164,References!$B$3:$C$7,2,FALSE))),"")</f>
        <v/>
      </c>
      <c r="W2164" s="74" t="str">
        <f>IFERROR(VLOOKUP($O2164,'Customer List'!$A$1:$J$488,10,FALSE),"")</f>
        <v/>
      </c>
    </row>
    <row r="2165" spans="18:23">
      <c r="R2165" s="127">
        <f t="shared" si="143"/>
        <v>0</v>
      </c>
      <c r="T2165" s="128">
        <f t="shared" si="142"/>
        <v>0</v>
      </c>
      <c r="U2165" s="129" t="str">
        <f>IFERROR(IF(#REF!="S",VLOOKUP('Raw Data'!A2165,References!#REF!,2,FALSE),(VLOOKUP($S2165,References!$B$3:$C$7,2,FALSE))),"")</f>
        <v/>
      </c>
      <c r="W2165" s="74" t="str">
        <f>IFERROR(VLOOKUP($O2165,'Customer List'!$A$1:$J$488,10,FALSE),"")</f>
        <v/>
      </c>
    </row>
    <row r="2166" spans="18:23">
      <c r="R2166" s="127">
        <f t="shared" si="143"/>
        <v>0</v>
      </c>
      <c r="T2166" s="128">
        <f t="shared" si="142"/>
        <v>0</v>
      </c>
      <c r="U2166" s="129" t="str">
        <f>IFERROR(IF(#REF!="S",VLOOKUP('Raw Data'!A2166,References!#REF!,2,FALSE),(VLOOKUP($S2166,References!$B$3:$C$7,2,FALSE))),"")</f>
        <v/>
      </c>
      <c r="W2166" s="74" t="str">
        <f>IFERROR(VLOOKUP($O2166,'Customer List'!$A$1:$J$488,10,FALSE),"")</f>
        <v/>
      </c>
    </row>
    <row r="2167" spans="18:23">
      <c r="R2167" s="127">
        <f t="shared" si="143"/>
        <v>0</v>
      </c>
      <c r="T2167" s="128">
        <f t="shared" si="142"/>
        <v>0</v>
      </c>
      <c r="U2167" s="129" t="str">
        <f>IFERROR(IF(#REF!="S",VLOOKUP('Raw Data'!A2167,References!#REF!,2,FALSE),(VLOOKUP($S2167,References!$B$3:$C$7,2,FALSE))),"")</f>
        <v/>
      </c>
      <c r="W2167" s="74" t="str">
        <f>IFERROR(VLOOKUP($O2167,'Customer List'!$A$1:$J$488,10,FALSE),"")</f>
        <v/>
      </c>
    </row>
    <row r="2168" spans="18:23">
      <c r="R2168" s="127">
        <f t="shared" si="143"/>
        <v>0</v>
      </c>
      <c r="T2168" s="128">
        <f t="shared" si="142"/>
        <v>0</v>
      </c>
      <c r="U2168" s="129" t="str">
        <f>IFERROR(IF(#REF!="S",VLOOKUP('Raw Data'!A2168,References!#REF!,2,FALSE),(VLOOKUP($S2168,References!$B$3:$C$7,2,FALSE))),"")</f>
        <v/>
      </c>
      <c r="W2168" s="74" t="str">
        <f>IFERROR(VLOOKUP($O2168,'Customer List'!$A$1:$J$488,10,FALSE),"")</f>
        <v/>
      </c>
    </row>
    <row r="2169" spans="18:23">
      <c r="R2169" s="127">
        <f t="shared" si="143"/>
        <v>0</v>
      </c>
      <c r="T2169" s="128">
        <f t="shared" si="142"/>
        <v>0</v>
      </c>
      <c r="U2169" s="129" t="str">
        <f>IFERROR(IF(#REF!="S",VLOOKUP('Raw Data'!A2169,References!#REF!,2,FALSE),(VLOOKUP($S2169,References!$B$3:$C$7,2,FALSE))),"")</f>
        <v/>
      </c>
      <c r="W2169" s="74" t="str">
        <f>IFERROR(VLOOKUP($O2169,'Customer List'!$A$1:$J$488,10,FALSE),"")</f>
        <v/>
      </c>
    </row>
    <row r="2170" spans="18:23">
      <c r="R2170" s="127">
        <f t="shared" si="143"/>
        <v>0</v>
      </c>
      <c r="T2170" s="128">
        <f t="shared" si="142"/>
        <v>0</v>
      </c>
      <c r="U2170" s="129" t="str">
        <f>IFERROR(IF(#REF!="S",VLOOKUP('Raw Data'!A2170,References!#REF!,2,FALSE),(VLOOKUP($S2170,References!$B$3:$C$7,2,FALSE))),"")</f>
        <v/>
      </c>
      <c r="W2170" s="74" t="str">
        <f>IFERROR(VLOOKUP($O2170,'Customer List'!$A$1:$J$488,10,FALSE),"")</f>
        <v/>
      </c>
    </row>
    <row r="2171" spans="18:23">
      <c r="R2171" s="127">
        <f t="shared" si="143"/>
        <v>0</v>
      </c>
      <c r="T2171" s="128">
        <f t="shared" si="142"/>
        <v>0</v>
      </c>
      <c r="U2171" s="129" t="str">
        <f>IFERROR(IF(#REF!="S",VLOOKUP('Raw Data'!A2171,References!#REF!,2,FALSE),(VLOOKUP($S2171,References!$B$3:$C$7,2,FALSE))),"")</f>
        <v/>
      </c>
      <c r="W2171" s="74" t="str">
        <f>IFERROR(VLOOKUP($O2171,'Customer List'!$A$1:$J$488,10,FALSE),"")</f>
        <v/>
      </c>
    </row>
    <row r="2172" spans="18:23">
      <c r="R2172" s="127">
        <f t="shared" si="143"/>
        <v>0</v>
      </c>
      <c r="T2172" s="128">
        <f t="shared" si="142"/>
        <v>0</v>
      </c>
      <c r="U2172" s="129" t="str">
        <f>IFERROR(IF(#REF!="S",VLOOKUP('Raw Data'!A2172,References!#REF!,2,FALSE),(VLOOKUP($S2172,References!$B$3:$C$7,2,FALSE))),"")</f>
        <v/>
      </c>
      <c r="W2172" s="74" t="str">
        <f>IFERROR(VLOOKUP($O2172,'Customer List'!$A$1:$J$488,10,FALSE),"")</f>
        <v/>
      </c>
    </row>
    <row r="2173" spans="18:23">
      <c r="R2173" s="127">
        <f t="shared" si="143"/>
        <v>0</v>
      </c>
      <c r="T2173" s="128">
        <f t="shared" si="142"/>
        <v>0</v>
      </c>
      <c r="U2173" s="129" t="str">
        <f>IFERROR(IF(#REF!="S",VLOOKUP('Raw Data'!A2173,References!#REF!,2,FALSE),(VLOOKUP($S2173,References!$B$3:$C$7,2,FALSE))),"")</f>
        <v/>
      </c>
      <c r="W2173" s="74" t="str">
        <f>IFERROR(VLOOKUP($O2173,'Customer List'!$A$1:$J$488,10,FALSE),"")</f>
        <v/>
      </c>
    </row>
    <row r="2174" spans="18:23">
      <c r="R2174" s="127">
        <f t="shared" si="143"/>
        <v>0</v>
      </c>
      <c r="T2174" s="128">
        <f t="shared" si="142"/>
        <v>0</v>
      </c>
      <c r="U2174" s="129" t="str">
        <f>IFERROR(IF(#REF!="S",VLOOKUP('Raw Data'!A2174,References!#REF!,2,FALSE),(VLOOKUP($S2174,References!$B$3:$C$7,2,FALSE))),"")</f>
        <v/>
      </c>
      <c r="W2174" s="74" t="str">
        <f>IFERROR(VLOOKUP($O2174,'Customer List'!$A$1:$J$488,10,FALSE),"")</f>
        <v/>
      </c>
    </row>
    <row r="2175" spans="18:23">
      <c r="R2175" s="127">
        <f t="shared" si="143"/>
        <v>0</v>
      </c>
      <c r="T2175" s="128">
        <f t="shared" si="142"/>
        <v>0</v>
      </c>
      <c r="U2175" s="129" t="str">
        <f>IFERROR(IF(#REF!="S",VLOOKUP('Raw Data'!A2175,References!#REF!,2,FALSE),(VLOOKUP($S2175,References!$B$3:$C$7,2,FALSE))),"")</f>
        <v/>
      </c>
      <c r="W2175" s="74" t="str">
        <f>IFERROR(VLOOKUP($O2175,'Customer List'!$A$1:$J$488,10,FALSE),"")</f>
        <v/>
      </c>
    </row>
    <row r="2176" spans="18:23">
      <c r="R2176" s="127">
        <f t="shared" si="143"/>
        <v>0</v>
      </c>
      <c r="T2176" s="128">
        <f t="shared" si="142"/>
        <v>0</v>
      </c>
      <c r="U2176" s="129" t="str">
        <f>IFERROR(IF(#REF!="S",VLOOKUP('Raw Data'!A2176,References!#REF!,2,FALSE),(VLOOKUP($S2176,References!$B$3:$C$7,2,FALSE))),"")</f>
        <v/>
      </c>
      <c r="W2176" s="74" t="str">
        <f>IFERROR(VLOOKUP($O2176,'Customer List'!$A$1:$J$488,10,FALSE),"")</f>
        <v/>
      </c>
    </row>
    <row r="2177" spans="18:23">
      <c r="R2177" s="127">
        <f t="shared" si="143"/>
        <v>0</v>
      </c>
      <c r="T2177" s="128">
        <f t="shared" si="142"/>
        <v>0</v>
      </c>
      <c r="U2177" s="129" t="str">
        <f>IFERROR(IF(#REF!="S",VLOOKUP('Raw Data'!A2177,References!#REF!,2,FALSE),(VLOOKUP($S2177,References!$B$3:$C$7,2,FALSE))),"")</f>
        <v/>
      </c>
      <c r="W2177" s="74" t="str">
        <f>IFERROR(VLOOKUP($O2177,'Customer List'!$A$1:$J$488,10,FALSE),"")</f>
        <v/>
      </c>
    </row>
    <row r="2178" spans="18:23">
      <c r="R2178" s="127">
        <f t="shared" si="143"/>
        <v>0</v>
      </c>
      <c r="T2178" s="128">
        <f t="shared" si="142"/>
        <v>0</v>
      </c>
      <c r="U2178" s="129" t="str">
        <f>IFERROR(IF(#REF!="S",VLOOKUP('Raw Data'!A2178,References!#REF!,2,FALSE),(VLOOKUP($S2178,References!$B$3:$C$7,2,FALSE))),"")</f>
        <v/>
      </c>
      <c r="W2178" s="74" t="str">
        <f>IFERROR(VLOOKUP($O2178,'Customer List'!$A$1:$J$488,10,FALSE),"")</f>
        <v/>
      </c>
    </row>
    <row r="2179" spans="18:23">
      <c r="R2179" s="127">
        <f t="shared" si="143"/>
        <v>0</v>
      </c>
      <c r="T2179" s="128">
        <f t="shared" si="142"/>
        <v>0</v>
      </c>
      <c r="U2179" s="129" t="str">
        <f>IFERROR(IF(#REF!="S",VLOOKUP('Raw Data'!A2179,References!#REF!,2,FALSE),(VLOOKUP($S2179,References!$B$3:$C$7,2,FALSE))),"")</f>
        <v/>
      </c>
      <c r="W2179" s="74" t="str">
        <f>IFERROR(VLOOKUP($O2179,'Customer List'!$A$1:$J$488,10,FALSE),"")</f>
        <v/>
      </c>
    </row>
    <row r="2180" spans="18:23">
      <c r="R2180" s="127">
        <f t="shared" si="143"/>
        <v>0</v>
      </c>
      <c r="T2180" s="128">
        <f t="shared" si="142"/>
        <v>0</v>
      </c>
      <c r="U2180" s="129" t="str">
        <f>IFERROR(IF(#REF!="S",VLOOKUP('Raw Data'!A2180,References!#REF!,2,FALSE),(VLOOKUP($S2180,References!$B$3:$C$7,2,FALSE))),"")</f>
        <v/>
      </c>
      <c r="W2180" s="74" t="str">
        <f>IFERROR(VLOOKUP($O2180,'Customer List'!$A$1:$J$488,10,FALSE),"")</f>
        <v/>
      </c>
    </row>
    <row r="2181" spans="18:23">
      <c r="R2181" s="127">
        <f t="shared" si="143"/>
        <v>0</v>
      </c>
      <c r="T2181" s="128">
        <f t="shared" si="142"/>
        <v>0</v>
      </c>
      <c r="U2181" s="129" t="str">
        <f>IFERROR(IF(#REF!="S",VLOOKUP('Raw Data'!A2181,References!#REF!,2,FALSE),(VLOOKUP($S2181,References!$B$3:$C$7,2,FALSE))),"")</f>
        <v/>
      </c>
      <c r="W2181" s="74" t="str">
        <f>IFERROR(VLOOKUP($O2181,'Customer List'!$A$1:$J$488,10,FALSE),"")</f>
        <v/>
      </c>
    </row>
    <row r="2182" spans="18:23">
      <c r="R2182" s="127">
        <f t="shared" si="143"/>
        <v>0</v>
      </c>
      <c r="T2182" s="128">
        <f t="shared" si="142"/>
        <v>0</v>
      </c>
      <c r="U2182" s="129" t="str">
        <f>IFERROR(IF(#REF!="S",VLOOKUP('Raw Data'!A2182,References!#REF!,2,FALSE),(VLOOKUP($S2182,References!$B$3:$C$7,2,FALSE))),"")</f>
        <v/>
      </c>
      <c r="W2182" s="74" t="str">
        <f>IFERROR(VLOOKUP($O2182,'Customer List'!$A$1:$J$488,10,FALSE),"")</f>
        <v/>
      </c>
    </row>
    <row r="2183" spans="18:23">
      <c r="R2183" s="127">
        <f t="shared" si="143"/>
        <v>0</v>
      </c>
      <c r="T2183" s="128">
        <f t="shared" si="142"/>
        <v>0</v>
      </c>
      <c r="U2183" s="129" t="str">
        <f>IFERROR(IF(#REF!="S",VLOOKUP('Raw Data'!A2183,References!#REF!,2,FALSE),(VLOOKUP($S2183,References!$B$3:$C$7,2,FALSE))),"")</f>
        <v/>
      </c>
      <c r="W2183" s="74" t="str">
        <f>IFERROR(VLOOKUP($O2183,'Customer List'!$A$1:$J$488,10,FALSE),"")</f>
        <v/>
      </c>
    </row>
    <row r="2184" spans="18:23">
      <c r="R2184" s="127">
        <f t="shared" si="143"/>
        <v>0</v>
      </c>
      <c r="T2184" s="128">
        <f t="shared" si="142"/>
        <v>0</v>
      </c>
      <c r="U2184" s="129" t="str">
        <f>IFERROR(IF(#REF!="S",VLOOKUP('Raw Data'!A2184,References!#REF!,2,FALSE),(VLOOKUP($S2184,References!$B$3:$C$7,2,FALSE))),"")</f>
        <v/>
      </c>
      <c r="W2184" s="74" t="str">
        <f>IFERROR(VLOOKUP($O2184,'Customer List'!$A$1:$J$488,10,FALSE),"")</f>
        <v/>
      </c>
    </row>
    <row r="2185" spans="18:23">
      <c r="R2185" s="127">
        <f t="shared" si="143"/>
        <v>0</v>
      </c>
      <c r="T2185" s="128">
        <f t="shared" si="142"/>
        <v>0</v>
      </c>
      <c r="U2185" s="129" t="str">
        <f>IFERROR(IF(#REF!="S",VLOOKUP('Raw Data'!A2185,References!#REF!,2,FALSE),(VLOOKUP($S2185,References!$B$3:$C$7,2,FALSE))),"")</f>
        <v/>
      </c>
      <c r="W2185" s="74" t="str">
        <f>IFERROR(VLOOKUP($O2185,'Customer List'!$A$1:$J$488,10,FALSE),"")</f>
        <v/>
      </c>
    </row>
    <row r="2186" spans="18:23">
      <c r="R2186" s="127">
        <f t="shared" si="143"/>
        <v>0</v>
      </c>
      <c r="T2186" s="128">
        <f t="shared" ref="T2186:T2249" si="144">IF(S2186="50 - Cleaning Fee",1,HOUR($R2186)+MINUTE(R2186)/60)</f>
        <v>0</v>
      </c>
      <c r="U2186" s="129" t="str">
        <f>IFERROR(IF(#REF!="S",VLOOKUP('Raw Data'!A2186,References!#REF!,2,FALSE),(VLOOKUP($S2186,References!$B$3:$C$7,2,FALSE))),"")</f>
        <v/>
      </c>
      <c r="W2186" s="74" t="str">
        <f>IFERROR(VLOOKUP($O2186,'Customer List'!$A$1:$J$488,10,FALSE),"")</f>
        <v/>
      </c>
    </row>
    <row r="2187" spans="18:23">
      <c r="R2187" s="127">
        <f t="shared" si="143"/>
        <v>0</v>
      </c>
      <c r="T2187" s="128">
        <f t="shared" si="144"/>
        <v>0</v>
      </c>
      <c r="U2187" s="129" t="str">
        <f>IFERROR(IF(#REF!="S",VLOOKUP('Raw Data'!A2187,References!#REF!,2,FALSE),(VLOOKUP($S2187,References!$B$3:$C$7,2,FALSE))),"")</f>
        <v/>
      </c>
      <c r="W2187" s="74" t="str">
        <f>IFERROR(VLOOKUP($O2187,'Customer List'!$A$1:$J$488,10,FALSE),"")</f>
        <v/>
      </c>
    </row>
    <row r="2188" spans="18:23">
      <c r="R2188" s="127">
        <f t="shared" si="143"/>
        <v>0</v>
      </c>
      <c r="T2188" s="128">
        <f t="shared" si="144"/>
        <v>0</v>
      </c>
      <c r="U2188" s="129" t="str">
        <f>IFERROR(IF(#REF!="S",VLOOKUP('Raw Data'!A2188,References!#REF!,2,FALSE),(VLOOKUP($S2188,References!$B$3:$C$7,2,FALSE))),"")</f>
        <v/>
      </c>
      <c r="W2188" s="74" t="str">
        <f>IFERROR(VLOOKUP($O2188,'Customer List'!$A$1:$J$488,10,FALSE),"")</f>
        <v/>
      </c>
    </row>
    <row r="2189" spans="18:23">
      <c r="R2189" s="127">
        <f t="shared" si="143"/>
        <v>0</v>
      </c>
      <c r="T2189" s="128">
        <f t="shared" si="144"/>
        <v>0</v>
      </c>
      <c r="U2189" s="129" t="str">
        <f>IFERROR(IF(#REF!="S",VLOOKUP('Raw Data'!A2189,References!#REF!,2,FALSE),(VLOOKUP($S2189,References!$B$3:$C$7,2,FALSE))),"")</f>
        <v/>
      </c>
      <c r="W2189" s="74" t="str">
        <f>IFERROR(VLOOKUP($O2189,'Customer List'!$A$1:$J$488,10,FALSE),"")</f>
        <v/>
      </c>
    </row>
    <row r="2190" spans="18:23">
      <c r="R2190" s="127">
        <f t="shared" si="143"/>
        <v>0</v>
      </c>
      <c r="T2190" s="128">
        <f t="shared" si="144"/>
        <v>0</v>
      </c>
      <c r="U2190" s="129" t="str">
        <f>IFERROR(IF(#REF!="S",VLOOKUP('Raw Data'!A2190,References!#REF!,2,FALSE),(VLOOKUP($S2190,References!$B$3:$C$7,2,FALSE))),"")</f>
        <v/>
      </c>
      <c r="W2190" s="74" t="str">
        <f>IFERROR(VLOOKUP($O2190,'Customer List'!$A$1:$J$488,10,FALSE),"")</f>
        <v/>
      </c>
    </row>
    <row r="2191" spans="18:23">
      <c r="R2191" s="127">
        <f t="shared" si="143"/>
        <v>0</v>
      </c>
      <c r="T2191" s="128">
        <f t="shared" si="144"/>
        <v>0</v>
      </c>
      <c r="U2191" s="129" t="str">
        <f>IFERROR(IF(#REF!="S",VLOOKUP('Raw Data'!A2191,References!#REF!,2,FALSE),(VLOOKUP($S2191,References!$B$3:$C$7,2,FALSE))),"")</f>
        <v/>
      </c>
      <c r="W2191" s="74" t="str">
        <f>IFERROR(VLOOKUP($O2191,'Customer List'!$A$1:$J$488,10,FALSE),"")</f>
        <v/>
      </c>
    </row>
    <row r="2192" spans="18:23">
      <c r="R2192" s="127">
        <f t="shared" si="143"/>
        <v>0</v>
      </c>
      <c r="T2192" s="128">
        <f t="shared" si="144"/>
        <v>0</v>
      </c>
      <c r="U2192" s="129" t="str">
        <f>IFERROR(IF(#REF!="S",VLOOKUP('Raw Data'!A2192,References!#REF!,2,FALSE),(VLOOKUP($S2192,References!$B$3:$C$7,2,FALSE))),"")</f>
        <v/>
      </c>
      <c r="W2192" s="74" t="str">
        <f>IFERROR(VLOOKUP($O2192,'Customer List'!$A$1:$J$488,10,FALSE),"")</f>
        <v/>
      </c>
    </row>
    <row r="2193" spans="18:23">
      <c r="R2193" s="127">
        <f t="shared" si="143"/>
        <v>0</v>
      </c>
      <c r="T2193" s="128">
        <f t="shared" si="144"/>
        <v>0</v>
      </c>
      <c r="U2193" s="129" t="str">
        <f>IFERROR(IF(#REF!="S",VLOOKUP('Raw Data'!A2193,References!#REF!,2,FALSE),(VLOOKUP($S2193,References!$B$3:$C$7,2,FALSE))),"")</f>
        <v/>
      </c>
      <c r="W2193" s="74" t="str">
        <f>IFERROR(VLOOKUP($O2193,'Customer List'!$A$1:$J$488,10,FALSE),"")</f>
        <v/>
      </c>
    </row>
    <row r="2194" spans="18:23">
      <c r="R2194" s="127">
        <f t="shared" si="143"/>
        <v>0</v>
      </c>
      <c r="T2194" s="128">
        <f t="shared" si="144"/>
        <v>0</v>
      </c>
      <c r="U2194" s="129" t="str">
        <f>IFERROR(IF(#REF!="S",VLOOKUP('Raw Data'!A2194,References!#REF!,2,FALSE),(VLOOKUP($S2194,References!$B$3:$C$7,2,FALSE))),"")</f>
        <v/>
      </c>
      <c r="W2194" s="74" t="str">
        <f>IFERROR(VLOOKUP($O2194,'Customer List'!$A$1:$J$488,10,FALSE),"")</f>
        <v/>
      </c>
    </row>
    <row r="2195" spans="18:23">
      <c r="R2195" s="127">
        <f t="shared" si="143"/>
        <v>0</v>
      </c>
      <c r="T2195" s="128">
        <f t="shared" si="144"/>
        <v>0</v>
      </c>
      <c r="U2195" s="129" t="str">
        <f>IFERROR(IF(#REF!="S",VLOOKUP('Raw Data'!A2195,References!#REF!,2,FALSE),(VLOOKUP($S2195,References!$B$3:$C$7,2,FALSE))),"")</f>
        <v/>
      </c>
      <c r="W2195" s="74" t="str">
        <f>IFERROR(VLOOKUP($O2195,'Customer List'!$A$1:$J$488,10,FALSE),"")</f>
        <v/>
      </c>
    </row>
    <row r="2196" spans="18:23">
      <c r="R2196" s="127">
        <f t="shared" si="143"/>
        <v>0</v>
      </c>
      <c r="T2196" s="128">
        <f t="shared" si="144"/>
        <v>0</v>
      </c>
      <c r="U2196" s="129" t="str">
        <f>IFERROR(IF(#REF!="S",VLOOKUP('Raw Data'!A2196,References!#REF!,2,FALSE),(VLOOKUP($S2196,References!$B$3:$C$7,2,FALSE))),"")</f>
        <v/>
      </c>
      <c r="W2196" s="74" t="str">
        <f>IFERROR(VLOOKUP($O2196,'Customer List'!$A$1:$J$488,10,FALSE),"")</f>
        <v/>
      </c>
    </row>
    <row r="2197" spans="18:23">
      <c r="R2197" s="127">
        <f t="shared" si="143"/>
        <v>0</v>
      </c>
      <c r="T2197" s="128">
        <f t="shared" si="144"/>
        <v>0</v>
      </c>
      <c r="U2197" s="129" t="str">
        <f>IFERROR(IF(#REF!="S",VLOOKUP('Raw Data'!A2197,References!#REF!,2,FALSE),(VLOOKUP($S2197,References!$B$3:$C$7,2,FALSE))),"")</f>
        <v/>
      </c>
      <c r="W2197" s="74" t="str">
        <f>IFERROR(VLOOKUP($O2197,'Customer List'!$A$1:$J$488,10,FALSE),"")</f>
        <v/>
      </c>
    </row>
    <row r="2198" spans="18:23">
      <c r="R2198" s="127">
        <f t="shared" si="143"/>
        <v>0</v>
      </c>
      <c r="T2198" s="128">
        <f t="shared" si="144"/>
        <v>0</v>
      </c>
      <c r="U2198" s="129" t="str">
        <f>IFERROR(IF(#REF!="S",VLOOKUP('Raw Data'!A2198,References!#REF!,2,FALSE),(VLOOKUP($S2198,References!$B$3:$C$7,2,FALSE))),"")</f>
        <v/>
      </c>
      <c r="W2198" s="74" t="str">
        <f>IFERROR(VLOOKUP($O2198,'Customer List'!$A$1:$J$488,10,FALSE),"")</f>
        <v/>
      </c>
    </row>
    <row r="2199" spans="18:23">
      <c r="R2199" s="127">
        <f t="shared" si="143"/>
        <v>0</v>
      </c>
      <c r="T2199" s="128">
        <f t="shared" si="144"/>
        <v>0</v>
      </c>
      <c r="U2199" s="129" t="str">
        <f>IFERROR(IF(#REF!="S",VLOOKUP('Raw Data'!A2199,References!#REF!,2,FALSE),(VLOOKUP($S2199,References!$B$3:$C$7,2,FALSE))),"")</f>
        <v/>
      </c>
      <c r="W2199" s="74" t="str">
        <f>IFERROR(VLOOKUP($O2199,'Customer List'!$A$1:$J$488,10,FALSE),"")</f>
        <v/>
      </c>
    </row>
    <row r="2200" spans="18:23">
      <c r="R2200" s="127">
        <f t="shared" si="143"/>
        <v>0</v>
      </c>
      <c r="T2200" s="128">
        <f t="shared" si="144"/>
        <v>0</v>
      </c>
      <c r="U2200" s="129" t="str">
        <f>IFERROR(IF(#REF!="S",VLOOKUP('Raw Data'!A2200,References!#REF!,2,FALSE),(VLOOKUP($S2200,References!$B$3:$C$7,2,FALSE))),"")</f>
        <v/>
      </c>
      <c r="W2200" s="74" t="str">
        <f>IFERROR(VLOOKUP($O2200,'Customer List'!$A$1:$J$488,10,FALSE),"")</f>
        <v/>
      </c>
    </row>
    <row r="2201" spans="18:23">
      <c r="R2201" s="127">
        <f t="shared" si="143"/>
        <v>0</v>
      </c>
      <c r="T2201" s="128">
        <f t="shared" si="144"/>
        <v>0</v>
      </c>
      <c r="U2201" s="129" t="str">
        <f>IFERROR(IF(#REF!="S",VLOOKUP('Raw Data'!A2201,References!#REF!,2,FALSE),(VLOOKUP($S2201,References!$B$3:$C$7,2,FALSE))),"")</f>
        <v/>
      </c>
      <c r="W2201" s="74" t="str">
        <f>IFERROR(VLOOKUP($O2201,'Customer List'!$A$1:$J$488,10,FALSE),"")</f>
        <v/>
      </c>
    </row>
    <row r="2202" spans="18:23">
      <c r="R2202" s="127">
        <f t="shared" si="143"/>
        <v>0</v>
      </c>
      <c r="T2202" s="128">
        <f t="shared" si="144"/>
        <v>0</v>
      </c>
      <c r="U2202" s="129" t="str">
        <f>IFERROR(IF(#REF!="S",VLOOKUP('Raw Data'!A2202,References!#REF!,2,FALSE),(VLOOKUP($S2202,References!$B$3:$C$7,2,FALSE))),"")</f>
        <v/>
      </c>
      <c r="W2202" s="74" t="str">
        <f>IFERROR(VLOOKUP($O2202,'Customer List'!$A$1:$J$488,10,FALSE),"")</f>
        <v/>
      </c>
    </row>
    <row r="2203" spans="18:23">
      <c r="R2203" s="127">
        <f t="shared" si="143"/>
        <v>0</v>
      </c>
      <c r="T2203" s="128">
        <f t="shared" si="144"/>
        <v>0</v>
      </c>
      <c r="U2203" s="129" t="str">
        <f>IFERROR(IF(#REF!="S",VLOOKUP('Raw Data'!A2203,References!#REF!,2,FALSE),(VLOOKUP($S2203,References!$B$3:$C$7,2,FALSE))),"")</f>
        <v/>
      </c>
      <c r="W2203" s="74" t="str">
        <f>IFERROR(VLOOKUP($O2203,'Customer List'!$A$1:$J$488,10,FALSE),"")</f>
        <v/>
      </c>
    </row>
    <row r="2204" spans="18:23">
      <c r="R2204" s="127">
        <f t="shared" si="143"/>
        <v>0</v>
      </c>
      <c r="T2204" s="128">
        <f t="shared" si="144"/>
        <v>0</v>
      </c>
      <c r="U2204" s="129" t="str">
        <f>IFERROR(IF(#REF!="S",VLOOKUP('Raw Data'!A2204,References!#REF!,2,FALSE),(VLOOKUP($S2204,References!$B$3:$C$7,2,FALSE))),"")</f>
        <v/>
      </c>
      <c r="W2204" s="74" t="str">
        <f>IFERROR(VLOOKUP($O2204,'Customer List'!$A$1:$J$488,10,FALSE),"")</f>
        <v/>
      </c>
    </row>
    <row r="2205" spans="18:23">
      <c r="R2205" s="127">
        <f t="shared" si="143"/>
        <v>0</v>
      </c>
      <c r="T2205" s="128">
        <f t="shared" si="144"/>
        <v>0</v>
      </c>
      <c r="U2205" s="129" t="str">
        <f>IFERROR(IF(#REF!="S",VLOOKUP('Raw Data'!A2205,References!#REF!,2,FALSE),(VLOOKUP($S2205,References!$B$3:$C$7,2,FALSE))),"")</f>
        <v/>
      </c>
      <c r="W2205" s="74" t="str">
        <f>IFERROR(VLOOKUP($O2205,'Customer List'!$A$1:$J$488,10,FALSE),"")</f>
        <v/>
      </c>
    </row>
    <row r="2206" spans="18:23">
      <c r="R2206" s="127">
        <f t="shared" si="143"/>
        <v>0</v>
      </c>
      <c r="T2206" s="128">
        <f t="shared" si="144"/>
        <v>0</v>
      </c>
      <c r="U2206" s="129" t="str">
        <f>IFERROR(IF(#REF!="S",VLOOKUP('Raw Data'!A2206,References!#REF!,2,FALSE),(VLOOKUP($S2206,References!$B$3:$C$7,2,FALSE))),"")</f>
        <v/>
      </c>
      <c r="W2206" s="74" t="str">
        <f>IFERROR(VLOOKUP($O2206,'Customer List'!$A$1:$J$488,10,FALSE),"")</f>
        <v/>
      </c>
    </row>
    <row r="2207" spans="18:23">
      <c r="R2207" s="127">
        <f t="shared" si="143"/>
        <v>0</v>
      </c>
      <c r="T2207" s="128">
        <f t="shared" si="144"/>
        <v>0</v>
      </c>
      <c r="U2207" s="129" t="str">
        <f>IFERROR(IF(#REF!="S",VLOOKUP('Raw Data'!A2207,References!#REF!,2,FALSE),(VLOOKUP($S2207,References!$B$3:$C$7,2,FALSE))),"")</f>
        <v/>
      </c>
      <c r="W2207" s="74" t="str">
        <f>IFERROR(VLOOKUP($O2207,'Customer List'!$A$1:$J$488,10,FALSE),"")</f>
        <v/>
      </c>
    </row>
    <row r="2208" spans="18:23">
      <c r="R2208" s="127">
        <f t="shared" si="143"/>
        <v>0</v>
      </c>
      <c r="T2208" s="128">
        <f t="shared" si="144"/>
        <v>0</v>
      </c>
      <c r="U2208" s="129" t="str">
        <f>IFERROR(IF(#REF!="S",VLOOKUP('Raw Data'!A2208,References!#REF!,2,FALSE),(VLOOKUP($S2208,References!$B$3:$C$7,2,FALSE))),"")</f>
        <v/>
      </c>
      <c r="W2208" s="74" t="str">
        <f>IFERROR(VLOOKUP($O2208,'Customer List'!$A$1:$J$488,10,FALSE),"")</f>
        <v/>
      </c>
    </row>
    <row r="2209" spans="18:23">
      <c r="R2209" s="127">
        <f t="shared" si="143"/>
        <v>0</v>
      </c>
      <c r="T2209" s="128">
        <f t="shared" si="144"/>
        <v>0</v>
      </c>
      <c r="U2209" s="129" t="str">
        <f>IFERROR(IF(#REF!="S",VLOOKUP('Raw Data'!A2209,References!#REF!,2,FALSE),(VLOOKUP($S2209,References!$B$3:$C$7,2,FALSE))),"")</f>
        <v/>
      </c>
      <c r="W2209" s="74" t="str">
        <f>IFERROR(VLOOKUP($O2209,'Customer List'!$A$1:$J$488,10,FALSE),"")</f>
        <v/>
      </c>
    </row>
    <row r="2210" spans="18:23">
      <c r="R2210" s="127">
        <f t="shared" si="143"/>
        <v>0</v>
      </c>
      <c r="T2210" s="128">
        <f t="shared" si="144"/>
        <v>0</v>
      </c>
      <c r="U2210" s="129" t="str">
        <f>IFERROR(IF(#REF!="S",VLOOKUP('Raw Data'!A2210,References!#REF!,2,FALSE),(VLOOKUP($S2210,References!$B$3:$C$7,2,FALSE))),"")</f>
        <v/>
      </c>
      <c r="W2210" s="74" t="str">
        <f>IFERROR(VLOOKUP($O2210,'Customer List'!$A$1:$J$488,10,FALSE),"")</f>
        <v/>
      </c>
    </row>
    <row r="2211" spans="18:23">
      <c r="R2211" s="127">
        <f t="shared" si="143"/>
        <v>0</v>
      </c>
      <c r="T2211" s="128">
        <f t="shared" si="144"/>
        <v>0</v>
      </c>
      <c r="U2211" s="129" t="str">
        <f>IFERROR(IF(#REF!="S",VLOOKUP('Raw Data'!A2211,References!#REF!,2,FALSE),(VLOOKUP($S2211,References!$B$3:$C$7,2,FALSE))),"")</f>
        <v/>
      </c>
      <c r="W2211" s="74" t="str">
        <f>IFERROR(VLOOKUP($O2211,'Customer List'!$A$1:$J$488,10,FALSE),"")</f>
        <v/>
      </c>
    </row>
    <row r="2212" spans="18:23">
      <c r="R2212" s="127">
        <f t="shared" si="143"/>
        <v>0</v>
      </c>
      <c r="T2212" s="128">
        <f t="shared" si="144"/>
        <v>0</v>
      </c>
      <c r="U2212" s="129" t="str">
        <f>IFERROR(IF(#REF!="S",VLOOKUP('Raw Data'!A2212,References!#REF!,2,FALSE),(VLOOKUP($S2212,References!$B$3:$C$7,2,FALSE))),"")</f>
        <v/>
      </c>
      <c r="W2212" s="74" t="str">
        <f>IFERROR(VLOOKUP($O2212,'Customer List'!$A$1:$J$488,10,FALSE),"")</f>
        <v/>
      </c>
    </row>
    <row r="2213" spans="18:23">
      <c r="R2213" s="127">
        <f t="shared" si="143"/>
        <v>0</v>
      </c>
      <c r="T2213" s="128">
        <f t="shared" si="144"/>
        <v>0</v>
      </c>
      <c r="U2213" s="129" t="str">
        <f>IFERROR(IF(#REF!="S",VLOOKUP('Raw Data'!A2213,References!#REF!,2,FALSE),(VLOOKUP($S2213,References!$B$3:$C$7,2,FALSE))),"")</f>
        <v/>
      </c>
      <c r="W2213" s="74" t="str">
        <f>IFERROR(VLOOKUP($O2213,'Customer List'!$A$1:$J$488,10,FALSE),"")</f>
        <v/>
      </c>
    </row>
    <row r="2214" spans="18:23">
      <c r="R2214" s="127">
        <f t="shared" ref="R2214:R2277" si="145">L2214-K2214</f>
        <v>0</v>
      </c>
      <c r="T2214" s="128">
        <f t="shared" si="144"/>
        <v>0</v>
      </c>
      <c r="U2214" s="129" t="str">
        <f>IFERROR(IF(#REF!="S",VLOOKUP('Raw Data'!A2214,References!#REF!,2,FALSE),(VLOOKUP($S2214,References!$B$3:$C$7,2,FALSE))),"")</f>
        <v/>
      </c>
      <c r="W2214" s="74" t="str">
        <f>IFERROR(VLOOKUP($O2214,'Customer List'!$A$1:$J$488,10,FALSE),"")</f>
        <v/>
      </c>
    </row>
    <row r="2215" spans="18:23">
      <c r="R2215" s="127">
        <f t="shared" si="145"/>
        <v>0</v>
      </c>
      <c r="T2215" s="128">
        <f t="shared" si="144"/>
        <v>0</v>
      </c>
      <c r="U2215" s="129" t="str">
        <f>IFERROR(IF(#REF!="S",VLOOKUP('Raw Data'!A2215,References!#REF!,2,FALSE),(VLOOKUP($S2215,References!$B$3:$C$7,2,FALSE))),"")</f>
        <v/>
      </c>
      <c r="W2215" s="74" t="str">
        <f>IFERROR(VLOOKUP($O2215,'Customer List'!$A$1:$J$488,10,FALSE),"")</f>
        <v/>
      </c>
    </row>
    <row r="2216" spans="18:23">
      <c r="R2216" s="127">
        <f t="shared" si="145"/>
        <v>0</v>
      </c>
      <c r="T2216" s="128">
        <f t="shared" si="144"/>
        <v>0</v>
      </c>
      <c r="U2216" s="129" t="str">
        <f>IFERROR(IF(#REF!="S",VLOOKUP('Raw Data'!A2216,References!#REF!,2,FALSE),(VLOOKUP($S2216,References!$B$3:$C$7,2,FALSE))),"")</f>
        <v/>
      </c>
      <c r="W2216" s="74" t="str">
        <f>IFERROR(VLOOKUP($O2216,'Customer List'!$A$1:$J$488,10,FALSE),"")</f>
        <v/>
      </c>
    </row>
    <row r="2217" spans="18:23">
      <c r="R2217" s="127">
        <f t="shared" si="145"/>
        <v>0</v>
      </c>
      <c r="T2217" s="128">
        <f t="shared" si="144"/>
        <v>0</v>
      </c>
      <c r="U2217" s="129" t="str">
        <f>IFERROR(IF(#REF!="S",VLOOKUP('Raw Data'!A2217,References!#REF!,2,FALSE),(VLOOKUP($S2217,References!$B$3:$C$7,2,FALSE))),"")</f>
        <v/>
      </c>
      <c r="W2217" s="74" t="str">
        <f>IFERROR(VLOOKUP($O2217,'Customer List'!$A$1:$J$488,10,FALSE),"")</f>
        <v/>
      </c>
    </row>
    <row r="2218" spans="18:23">
      <c r="R2218" s="127">
        <f t="shared" si="145"/>
        <v>0</v>
      </c>
      <c r="T2218" s="128">
        <f t="shared" si="144"/>
        <v>0</v>
      </c>
      <c r="U2218" s="129" t="str">
        <f>IFERROR(IF(#REF!="S",VLOOKUP('Raw Data'!A2218,References!#REF!,2,FALSE),(VLOOKUP($S2218,References!$B$3:$C$7,2,FALSE))),"")</f>
        <v/>
      </c>
      <c r="W2218" s="74" t="str">
        <f>IFERROR(VLOOKUP($O2218,'Customer List'!$A$1:$J$488,10,FALSE),"")</f>
        <v/>
      </c>
    </row>
    <row r="2219" spans="18:23">
      <c r="R2219" s="127">
        <f t="shared" si="145"/>
        <v>0</v>
      </c>
      <c r="T2219" s="128">
        <f t="shared" si="144"/>
        <v>0</v>
      </c>
      <c r="U2219" s="129" t="str">
        <f>IFERROR(IF(#REF!="S",VLOOKUP('Raw Data'!A2219,References!#REF!,2,FALSE),(VLOOKUP($S2219,References!$B$3:$C$7,2,FALSE))),"")</f>
        <v/>
      </c>
      <c r="W2219" s="74" t="str">
        <f>IFERROR(VLOOKUP($O2219,'Customer List'!$A$1:$J$488,10,FALSE),"")</f>
        <v/>
      </c>
    </row>
    <row r="2220" spans="18:23">
      <c r="R2220" s="127">
        <f t="shared" si="145"/>
        <v>0</v>
      </c>
      <c r="T2220" s="128">
        <f t="shared" si="144"/>
        <v>0</v>
      </c>
      <c r="U2220" s="129" t="str">
        <f>IFERROR(IF(#REF!="S",VLOOKUP('Raw Data'!A2220,References!#REF!,2,FALSE),(VLOOKUP($S2220,References!$B$3:$C$7,2,FALSE))),"")</f>
        <v/>
      </c>
      <c r="W2220" s="74" t="str">
        <f>IFERROR(VLOOKUP($O2220,'Customer List'!$A$1:$J$488,10,FALSE),"")</f>
        <v/>
      </c>
    </row>
    <row r="2221" spans="18:23">
      <c r="R2221" s="127">
        <f t="shared" si="145"/>
        <v>0</v>
      </c>
      <c r="T2221" s="128">
        <f t="shared" si="144"/>
        <v>0</v>
      </c>
      <c r="U2221" s="129" t="str">
        <f>IFERROR(IF(#REF!="S",VLOOKUP('Raw Data'!A2221,References!#REF!,2,FALSE),(VLOOKUP($S2221,References!$B$3:$C$7,2,FALSE))),"")</f>
        <v/>
      </c>
      <c r="W2221" s="74" t="str">
        <f>IFERROR(VLOOKUP($O2221,'Customer List'!$A$1:$J$488,10,FALSE),"")</f>
        <v/>
      </c>
    </row>
    <row r="2222" spans="18:23">
      <c r="R2222" s="127">
        <f t="shared" si="145"/>
        <v>0</v>
      </c>
      <c r="T2222" s="128">
        <f t="shared" si="144"/>
        <v>0</v>
      </c>
      <c r="U2222" s="129" t="str">
        <f>IFERROR(IF(#REF!="S",VLOOKUP('Raw Data'!A2222,References!#REF!,2,FALSE),(VLOOKUP($S2222,References!$B$3:$C$7,2,FALSE))),"")</f>
        <v/>
      </c>
      <c r="W2222" s="74" t="str">
        <f>IFERROR(VLOOKUP($O2222,'Customer List'!$A$1:$J$488,10,FALSE),"")</f>
        <v/>
      </c>
    </row>
    <row r="2223" spans="18:23">
      <c r="R2223" s="127">
        <f t="shared" si="145"/>
        <v>0</v>
      </c>
      <c r="T2223" s="128">
        <f t="shared" si="144"/>
        <v>0</v>
      </c>
      <c r="U2223" s="129" t="str">
        <f>IFERROR(IF(#REF!="S",VLOOKUP('Raw Data'!A2223,References!#REF!,2,FALSE),(VLOOKUP($S2223,References!$B$3:$C$7,2,FALSE))),"")</f>
        <v/>
      </c>
      <c r="W2223" s="74" t="str">
        <f>IFERROR(VLOOKUP($O2223,'Customer List'!$A$1:$J$488,10,FALSE),"")</f>
        <v/>
      </c>
    </row>
    <row r="2224" spans="18:23">
      <c r="R2224" s="127">
        <f t="shared" si="145"/>
        <v>0</v>
      </c>
      <c r="T2224" s="128">
        <f t="shared" si="144"/>
        <v>0</v>
      </c>
      <c r="U2224" s="129" t="str">
        <f>IFERROR(IF(#REF!="S",VLOOKUP('Raw Data'!A2224,References!#REF!,2,FALSE),(VLOOKUP($S2224,References!$B$3:$C$7,2,FALSE))),"")</f>
        <v/>
      </c>
      <c r="W2224" s="74" t="str">
        <f>IFERROR(VLOOKUP($O2224,'Customer List'!$A$1:$J$488,10,FALSE),"")</f>
        <v/>
      </c>
    </row>
    <row r="2225" spans="18:23">
      <c r="R2225" s="127">
        <f t="shared" si="145"/>
        <v>0</v>
      </c>
      <c r="T2225" s="128">
        <f t="shared" si="144"/>
        <v>0</v>
      </c>
      <c r="U2225" s="129" t="str">
        <f>IFERROR(IF(#REF!="S",VLOOKUP('Raw Data'!A2225,References!#REF!,2,FALSE),(VLOOKUP($S2225,References!$B$3:$C$7,2,FALSE))),"")</f>
        <v/>
      </c>
      <c r="W2225" s="74" t="str">
        <f>IFERROR(VLOOKUP($O2225,'Customer List'!$A$1:$J$488,10,FALSE),"")</f>
        <v/>
      </c>
    </row>
    <row r="2226" spans="18:23">
      <c r="R2226" s="127">
        <f t="shared" si="145"/>
        <v>0</v>
      </c>
      <c r="T2226" s="128">
        <f t="shared" si="144"/>
        <v>0</v>
      </c>
      <c r="U2226" s="129" t="str">
        <f>IFERROR(IF(#REF!="S",VLOOKUP('Raw Data'!A2226,References!#REF!,2,FALSE),(VLOOKUP($S2226,References!$B$3:$C$7,2,FALSE))),"")</f>
        <v/>
      </c>
      <c r="W2226" s="74" t="str">
        <f>IFERROR(VLOOKUP($O2226,'Customer List'!$A$1:$J$488,10,FALSE),"")</f>
        <v/>
      </c>
    </row>
    <row r="2227" spans="18:23">
      <c r="R2227" s="127">
        <f t="shared" si="145"/>
        <v>0</v>
      </c>
      <c r="T2227" s="128">
        <f t="shared" si="144"/>
        <v>0</v>
      </c>
      <c r="U2227" s="129" t="str">
        <f>IFERROR(IF(#REF!="S",VLOOKUP('Raw Data'!A2227,References!#REF!,2,FALSE),(VLOOKUP($S2227,References!$B$3:$C$7,2,FALSE))),"")</f>
        <v/>
      </c>
      <c r="W2227" s="74" t="str">
        <f>IFERROR(VLOOKUP($O2227,'Customer List'!$A$1:$J$488,10,FALSE),"")</f>
        <v/>
      </c>
    </row>
    <row r="2228" spans="18:23">
      <c r="R2228" s="127">
        <f t="shared" si="145"/>
        <v>0</v>
      </c>
      <c r="T2228" s="128">
        <f t="shared" si="144"/>
        <v>0</v>
      </c>
      <c r="U2228" s="129" t="str">
        <f>IFERROR(IF(#REF!="S",VLOOKUP('Raw Data'!A2228,References!#REF!,2,FALSE),(VLOOKUP($S2228,References!$B$3:$C$7,2,FALSE))),"")</f>
        <v/>
      </c>
      <c r="W2228" s="74" t="str">
        <f>IFERROR(VLOOKUP($O2228,'Customer List'!$A$1:$J$488,10,FALSE),"")</f>
        <v/>
      </c>
    </row>
    <row r="2229" spans="18:23">
      <c r="R2229" s="127">
        <f t="shared" si="145"/>
        <v>0</v>
      </c>
      <c r="T2229" s="128">
        <f t="shared" si="144"/>
        <v>0</v>
      </c>
      <c r="U2229" s="129" t="str">
        <f>IFERROR(IF(#REF!="S",VLOOKUP('Raw Data'!A2229,References!#REF!,2,FALSE),(VLOOKUP($S2229,References!$B$3:$C$7,2,FALSE))),"")</f>
        <v/>
      </c>
      <c r="W2229" s="74" t="str">
        <f>IFERROR(VLOOKUP($O2229,'Customer List'!$A$1:$J$488,10,FALSE),"")</f>
        <v/>
      </c>
    </row>
    <row r="2230" spans="18:23">
      <c r="R2230" s="127">
        <f t="shared" si="145"/>
        <v>0</v>
      </c>
      <c r="T2230" s="128">
        <f t="shared" si="144"/>
        <v>0</v>
      </c>
      <c r="U2230" s="129" t="str">
        <f>IFERROR(IF(#REF!="S",VLOOKUP('Raw Data'!A2230,References!#REF!,2,FALSE),(VLOOKUP($S2230,References!$B$3:$C$7,2,FALSE))),"")</f>
        <v/>
      </c>
      <c r="W2230" s="74" t="str">
        <f>IFERROR(VLOOKUP($O2230,'Customer List'!$A$1:$J$488,10,FALSE),"")</f>
        <v/>
      </c>
    </row>
    <row r="2231" spans="18:23">
      <c r="R2231" s="127">
        <f t="shared" si="145"/>
        <v>0</v>
      </c>
      <c r="T2231" s="128">
        <f t="shared" si="144"/>
        <v>0</v>
      </c>
      <c r="U2231" s="129" t="str">
        <f>IFERROR(IF(#REF!="S",VLOOKUP('Raw Data'!A2231,References!#REF!,2,FALSE),(VLOOKUP($S2231,References!$B$3:$C$7,2,FALSE))),"")</f>
        <v/>
      </c>
      <c r="W2231" s="74" t="str">
        <f>IFERROR(VLOOKUP($O2231,'Customer List'!$A$1:$J$488,10,FALSE),"")</f>
        <v/>
      </c>
    </row>
    <row r="2232" spans="18:23">
      <c r="R2232" s="127">
        <f t="shared" si="145"/>
        <v>0</v>
      </c>
      <c r="T2232" s="128">
        <f t="shared" si="144"/>
        <v>0</v>
      </c>
      <c r="U2232" s="129" t="str">
        <f>IFERROR(IF(#REF!="S",VLOOKUP('Raw Data'!A2232,References!#REF!,2,FALSE),(VLOOKUP($S2232,References!$B$3:$C$7,2,FALSE))),"")</f>
        <v/>
      </c>
      <c r="W2232" s="74" t="str">
        <f>IFERROR(VLOOKUP($O2232,'Customer List'!$A$1:$J$488,10,FALSE),"")</f>
        <v/>
      </c>
    </row>
    <row r="2233" spans="18:23">
      <c r="R2233" s="127">
        <f t="shared" si="145"/>
        <v>0</v>
      </c>
      <c r="T2233" s="128">
        <f t="shared" si="144"/>
        <v>0</v>
      </c>
      <c r="U2233" s="129" t="str">
        <f>IFERROR(IF(#REF!="S",VLOOKUP('Raw Data'!A2233,References!#REF!,2,FALSE),(VLOOKUP($S2233,References!$B$3:$C$7,2,FALSE))),"")</f>
        <v/>
      </c>
      <c r="W2233" s="74" t="str">
        <f>IFERROR(VLOOKUP($O2233,'Customer List'!$A$1:$J$488,10,FALSE),"")</f>
        <v/>
      </c>
    </row>
    <row r="2234" spans="18:23">
      <c r="R2234" s="127">
        <f t="shared" si="145"/>
        <v>0</v>
      </c>
      <c r="T2234" s="128">
        <f t="shared" si="144"/>
        <v>0</v>
      </c>
      <c r="U2234" s="129" t="str">
        <f>IFERROR(IF(#REF!="S",VLOOKUP('Raw Data'!A2234,References!#REF!,2,FALSE),(VLOOKUP($S2234,References!$B$3:$C$7,2,FALSE))),"")</f>
        <v/>
      </c>
      <c r="W2234" s="74" t="str">
        <f>IFERROR(VLOOKUP($O2234,'Customer List'!$A$1:$J$488,10,FALSE),"")</f>
        <v/>
      </c>
    </row>
    <row r="2235" spans="18:23">
      <c r="R2235" s="127">
        <f t="shared" si="145"/>
        <v>0</v>
      </c>
      <c r="T2235" s="128">
        <f t="shared" si="144"/>
        <v>0</v>
      </c>
      <c r="U2235" s="129" t="str">
        <f>IFERROR(IF(#REF!="S",VLOOKUP('Raw Data'!A2235,References!#REF!,2,FALSE),(VLOOKUP($S2235,References!$B$3:$C$7,2,FALSE))),"")</f>
        <v/>
      </c>
      <c r="W2235" s="74" t="str">
        <f>IFERROR(VLOOKUP($O2235,'Customer List'!$A$1:$J$488,10,FALSE),"")</f>
        <v/>
      </c>
    </row>
    <row r="2236" spans="18:23">
      <c r="R2236" s="127">
        <f t="shared" si="145"/>
        <v>0</v>
      </c>
      <c r="T2236" s="128">
        <f t="shared" si="144"/>
        <v>0</v>
      </c>
      <c r="U2236" s="129" t="str">
        <f>IFERROR(IF(#REF!="S",VLOOKUP('Raw Data'!A2236,References!#REF!,2,FALSE),(VLOOKUP($S2236,References!$B$3:$C$7,2,FALSE))),"")</f>
        <v/>
      </c>
      <c r="W2236" s="74" t="str">
        <f>IFERROR(VLOOKUP($O2236,'Customer List'!$A$1:$J$488,10,FALSE),"")</f>
        <v/>
      </c>
    </row>
    <row r="2237" spans="18:23">
      <c r="R2237" s="127">
        <f t="shared" si="145"/>
        <v>0</v>
      </c>
      <c r="T2237" s="128">
        <f t="shared" si="144"/>
        <v>0</v>
      </c>
      <c r="U2237" s="129" t="str">
        <f>IFERROR(IF(#REF!="S",VLOOKUP('Raw Data'!A2237,References!#REF!,2,FALSE),(VLOOKUP($S2237,References!$B$3:$C$7,2,FALSE))),"")</f>
        <v/>
      </c>
      <c r="W2237" s="74" t="str">
        <f>IFERROR(VLOOKUP($O2237,'Customer List'!$A$1:$J$488,10,FALSE),"")</f>
        <v/>
      </c>
    </row>
    <row r="2238" spans="18:23">
      <c r="R2238" s="127">
        <f t="shared" si="145"/>
        <v>0</v>
      </c>
      <c r="T2238" s="128">
        <f t="shared" si="144"/>
        <v>0</v>
      </c>
      <c r="U2238" s="129" t="str">
        <f>IFERROR(IF(#REF!="S",VLOOKUP('Raw Data'!A2238,References!#REF!,2,FALSE),(VLOOKUP($S2238,References!$B$3:$C$7,2,FALSE))),"")</f>
        <v/>
      </c>
      <c r="W2238" s="74" t="str">
        <f>IFERROR(VLOOKUP($O2238,'Customer List'!$A$1:$J$488,10,FALSE),"")</f>
        <v/>
      </c>
    </row>
    <row r="2239" spans="18:23">
      <c r="R2239" s="127">
        <f t="shared" si="145"/>
        <v>0</v>
      </c>
      <c r="T2239" s="128">
        <f t="shared" si="144"/>
        <v>0</v>
      </c>
      <c r="U2239" s="129" t="str">
        <f>IFERROR(IF(#REF!="S",VLOOKUP('Raw Data'!A2239,References!#REF!,2,FALSE),(VLOOKUP($S2239,References!$B$3:$C$7,2,FALSE))),"")</f>
        <v/>
      </c>
      <c r="W2239" s="74" t="str">
        <f>IFERROR(VLOOKUP($O2239,'Customer List'!$A$1:$J$488,10,FALSE),"")</f>
        <v/>
      </c>
    </row>
    <row r="2240" spans="18:23">
      <c r="R2240" s="127">
        <f t="shared" si="145"/>
        <v>0</v>
      </c>
      <c r="T2240" s="128">
        <f t="shared" si="144"/>
        <v>0</v>
      </c>
      <c r="U2240" s="129" t="str">
        <f>IFERROR(IF(#REF!="S",VLOOKUP('Raw Data'!A2240,References!#REF!,2,FALSE),(VLOOKUP($S2240,References!$B$3:$C$7,2,FALSE))),"")</f>
        <v/>
      </c>
      <c r="W2240" s="74" t="str">
        <f>IFERROR(VLOOKUP($O2240,'Customer List'!$A$1:$J$488,10,FALSE),"")</f>
        <v/>
      </c>
    </row>
    <row r="2241" spans="18:23">
      <c r="R2241" s="127">
        <f t="shared" si="145"/>
        <v>0</v>
      </c>
      <c r="T2241" s="128">
        <f t="shared" si="144"/>
        <v>0</v>
      </c>
      <c r="U2241" s="129" t="str">
        <f>IFERROR(IF(#REF!="S",VLOOKUP('Raw Data'!A2241,References!#REF!,2,FALSE),(VLOOKUP($S2241,References!$B$3:$C$7,2,FALSE))),"")</f>
        <v/>
      </c>
      <c r="W2241" s="74" t="str">
        <f>IFERROR(VLOOKUP($O2241,'Customer List'!$A$1:$J$488,10,FALSE),"")</f>
        <v/>
      </c>
    </row>
    <row r="2242" spans="18:23">
      <c r="R2242" s="127">
        <f t="shared" si="145"/>
        <v>0</v>
      </c>
      <c r="T2242" s="128">
        <f t="shared" si="144"/>
        <v>0</v>
      </c>
      <c r="U2242" s="129" t="str">
        <f>IFERROR(IF(#REF!="S",VLOOKUP('Raw Data'!A2242,References!#REF!,2,FALSE),(VLOOKUP($S2242,References!$B$3:$C$7,2,FALSE))),"")</f>
        <v/>
      </c>
      <c r="W2242" s="74" t="str">
        <f>IFERROR(VLOOKUP($O2242,'Customer List'!$A$1:$J$488,10,FALSE),"")</f>
        <v/>
      </c>
    </row>
    <row r="2243" spans="18:23">
      <c r="R2243" s="127">
        <f t="shared" si="145"/>
        <v>0</v>
      </c>
      <c r="T2243" s="128">
        <f t="shared" si="144"/>
        <v>0</v>
      </c>
      <c r="U2243" s="129" t="str">
        <f>IFERROR(IF(#REF!="S",VLOOKUP('Raw Data'!A2243,References!#REF!,2,FALSE),(VLOOKUP($S2243,References!$B$3:$C$7,2,FALSE))),"")</f>
        <v/>
      </c>
      <c r="W2243" s="74" t="str">
        <f>IFERROR(VLOOKUP($O2243,'Customer List'!$A$1:$J$488,10,FALSE),"")</f>
        <v/>
      </c>
    </row>
    <row r="2244" spans="18:23">
      <c r="R2244" s="127">
        <f t="shared" si="145"/>
        <v>0</v>
      </c>
      <c r="T2244" s="128">
        <f t="shared" si="144"/>
        <v>0</v>
      </c>
      <c r="U2244" s="129" t="str">
        <f>IFERROR(IF(#REF!="S",VLOOKUP('Raw Data'!A2244,References!#REF!,2,FALSE),(VLOOKUP($S2244,References!$B$3:$C$7,2,FALSE))),"")</f>
        <v/>
      </c>
      <c r="W2244" s="74" t="str">
        <f>IFERROR(VLOOKUP($O2244,'Customer List'!$A$1:$J$488,10,FALSE),"")</f>
        <v/>
      </c>
    </row>
    <row r="2245" spans="18:23">
      <c r="R2245" s="127">
        <f t="shared" si="145"/>
        <v>0</v>
      </c>
      <c r="T2245" s="128">
        <f t="shared" si="144"/>
        <v>0</v>
      </c>
      <c r="U2245" s="129" t="str">
        <f>IFERROR(IF(#REF!="S",VLOOKUP('Raw Data'!A2245,References!#REF!,2,FALSE),(VLOOKUP($S2245,References!$B$3:$C$7,2,FALSE))),"")</f>
        <v/>
      </c>
      <c r="W2245" s="74" t="str">
        <f>IFERROR(VLOOKUP($O2245,'Customer List'!$A$1:$J$488,10,FALSE),"")</f>
        <v/>
      </c>
    </row>
    <row r="2246" spans="18:23">
      <c r="R2246" s="127">
        <f t="shared" si="145"/>
        <v>0</v>
      </c>
      <c r="T2246" s="128">
        <f t="shared" si="144"/>
        <v>0</v>
      </c>
      <c r="U2246" s="129" t="str">
        <f>IFERROR(IF(#REF!="S",VLOOKUP('Raw Data'!A2246,References!#REF!,2,FALSE),(VLOOKUP($S2246,References!$B$3:$C$7,2,FALSE))),"")</f>
        <v/>
      </c>
      <c r="W2246" s="74" t="str">
        <f>IFERROR(VLOOKUP($O2246,'Customer List'!$A$1:$J$488,10,FALSE),"")</f>
        <v/>
      </c>
    </row>
    <row r="2247" spans="18:23">
      <c r="R2247" s="127">
        <f t="shared" si="145"/>
        <v>0</v>
      </c>
      <c r="T2247" s="128">
        <f t="shared" si="144"/>
        <v>0</v>
      </c>
      <c r="U2247" s="129" t="str">
        <f>IFERROR(IF(#REF!="S",VLOOKUP('Raw Data'!A2247,References!#REF!,2,FALSE),(VLOOKUP($S2247,References!$B$3:$C$7,2,FALSE))),"")</f>
        <v/>
      </c>
      <c r="W2247" s="74" t="str">
        <f>IFERROR(VLOOKUP($O2247,'Customer List'!$A$1:$J$488,10,FALSE),"")</f>
        <v/>
      </c>
    </row>
    <row r="2248" spans="18:23">
      <c r="R2248" s="127">
        <f t="shared" si="145"/>
        <v>0</v>
      </c>
      <c r="T2248" s="128">
        <f t="shared" si="144"/>
        <v>0</v>
      </c>
      <c r="U2248" s="129" t="str">
        <f>IFERROR(IF(#REF!="S",VLOOKUP('Raw Data'!A2248,References!#REF!,2,FALSE),(VLOOKUP($S2248,References!$B$3:$C$7,2,FALSE))),"")</f>
        <v/>
      </c>
      <c r="W2248" s="74" t="str">
        <f>IFERROR(VLOOKUP($O2248,'Customer List'!$A$1:$J$488,10,FALSE),"")</f>
        <v/>
      </c>
    </row>
    <row r="2249" spans="18:23">
      <c r="R2249" s="127">
        <f t="shared" si="145"/>
        <v>0</v>
      </c>
      <c r="T2249" s="128">
        <f t="shared" si="144"/>
        <v>0</v>
      </c>
      <c r="U2249" s="129" t="str">
        <f>IFERROR(IF(#REF!="S",VLOOKUP('Raw Data'!A2249,References!#REF!,2,FALSE),(VLOOKUP($S2249,References!$B$3:$C$7,2,FALSE))),"")</f>
        <v/>
      </c>
      <c r="W2249" s="74" t="str">
        <f>IFERROR(VLOOKUP($O2249,'Customer List'!$A$1:$J$488,10,FALSE),"")</f>
        <v/>
      </c>
    </row>
    <row r="2250" spans="18:23">
      <c r="R2250" s="127">
        <f t="shared" si="145"/>
        <v>0</v>
      </c>
      <c r="T2250" s="128">
        <f t="shared" ref="T2250:T2313" si="146">IF(S2250="50 - Cleaning Fee",1,HOUR($R2250)+MINUTE(R2250)/60)</f>
        <v>0</v>
      </c>
      <c r="U2250" s="129" t="str">
        <f>IFERROR(IF(#REF!="S",VLOOKUP('Raw Data'!A2250,References!#REF!,2,FALSE),(VLOOKUP($S2250,References!$B$3:$C$7,2,FALSE))),"")</f>
        <v/>
      </c>
      <c r="W2250" s="74" t="str">
        <f>IFERROR(VLOOKUP($O2250,'Customer List'!$A$1:$J$488,10,FALSE),"")</f>
        <v/>
      </c>
    </row>
    <row r="2251" spans="18:23">
      <c r="R2251" s="127">
        <f t="shared" si="145"/>
        <v>0</v>
      </c>
      <c r="T2251" s="128">
        <f t="shared" si="146"/>
        <v>0</v>
      </c>
      <c r="U2251" s="129" t="str">
        <f>IFERROR(IF(#REF!="S",VLOOKUP('Raw Data'!A2251,References!#REF!,2,FALSE),(VLOOKUP($S2251,References!$B$3:$C$7,2,FALSE))),"")</f>
        <v/>
      </c>
      <c r="W2251" s="74" t="str">
        <f>IFERROR(VLOOKUP($O2251,'Customer List'!$A$1:$J$488,10,FALSE),"")</f>
        <v/>
      </c>
    </row>
    <row r="2252" spans="18:23">
      <c r="R2252" s="127">
        <f t="shared" si="145"/>
        <v>0</v>
      </c>
      <c r="T2252" s="128">
        <f t="shared" si="146"/>
        <v>0</v>
      </c>
      <c r="U2252" s="129" t="str">
        <f>IFERROR(IF(#REF!="S",VLOOKUP('Raw Data'!A2252,References!#REF!,2,FALSE),(VLOOKUP($S2252,References!$B$3:$C$7,2,FALSE))),"")</f>
        <v/>
      </c>
      <c r="W2252" s="74" t="str">
        <f>IFERROR(VLOOKUP($O2252,'Customer List'!$A$1:$J$488,10,FALSE),"")</f>
        <v/>
      </c>
    </row>
    <row r="2253" spans="18:23">
      <c r="R2253" s="127">
        <f t="shared" si="145"/>
        <v>0</v>
      </c>
      <c r="T2253" s="128">
        <f t="shared" si="146"/>
        <v>0</v>
      </c>
      <c r="U2253" s="129" t="str">
        <f>IFERROR(IF(#REF!="S",VLOOKUP('Raw Data'!A2253,References!#REF!,2,FALSE),(VLOOKUP($S2253,References!$B$3:$C$7,2,FALSE))),"")</f>
        <v/>
      </c>
      <c r="W2253" s="74" t="str">
        <f>IFERROR(VLOOKUP($O2253,'Customer List'!$A$1:$J$488,10,FALSE),"")</f>
        <v/>
      </c>
    </row>
    <row r="2254" spans="18:23">
      <c r="R2254" s="127">
        <f t="shared" si="145"/>
        <v>0</v>
      </c>
      <c r="T2254" s="128">
        <f t="shared" si="146"/>
        <v>0</v>
      </c>
      <c r="U2254" s="129" t="str">
        <f>IFERROR(IF(#REF!="S",VLOOKUP('Raw Data'!A2254,References!#REF!,2,FALSE),(VLOOKUP($S2254,References!$B$3:$C$7,2,FALSE))),"")</f>
        <v/>
      </c>
      <c r="W2254" s="74" t="str">
        <f>IFERROR(VLOOKUP($O2254,'Customer List'!$A$1:$J$488,10,FALSE),"")</f>
        <v/>
      </c>
    </row>
    <row r="2255" spans="18:23">
      <c r="R2255" s="127">
        <f t="shared" si="145"/>
        <v>0</v>
      </c>
      <c r="T2255" s="128">
        <f t="shared" si="146"/>
        <v>0</v>
      </c>
      <c r="U2255" s="129" t="str">
        <f>IFERROR(IF(#REF!="S",VLOOKUP('Raw Data'!A2255,References!#REF!,2,FALSE),(VLOOKUP($S2255,References!$B$3:$C$7,2,FALSE))),"")</f>
        <v/>
      </c>
      <c r="W2255" s="74" t="str">
        <f>IFERROR(VLOOKUP($O2255,'Customer List'!$A$1:$J$488,10,FALSE),"")</f>
        <v/>
      </c>
    </row>
    <row r="2256" spans="18:23">
      <c r="R2256" s="127">
        <f t="shared" si="145"/>
        <v>0</v>
      </c>
      <c r="T2256" s="128">
        <f t="shared" si="146"/>
        <v>0</v>
      </c>
      <c r="U2256" s="129" t="str">
        <f>IFERROR(IF(#REF!="S",VLOOKUP('Raw Data'!A2256,References!#REF!,2,FALSE),(VLOOKUP($S2256,References!$B$3:$C$7,2,FALSE))),"")</f>
        <v/>
      </c>
      <c r="W2256" s="74" t="str">
        <f>IFERROR(VLOOKUP($O2256,'Customer List'!$A$1:$J$488,10,FALSE),"")</f>
        <v/>
      </c>
    </row>
    <row r="2257" spans="18:23">
      <c r="R2257" s="127">
        <f t="shared" si="145"/>
        <v>0</v>
      </c>
      <c r="T2257" s="128">
        <f t="shared" si="146"/>
        <v>0</v>
      </c>
      <c r="U2257" s="129" t="str">
        <f>IFERROR(IF(#REF!="S",VLOOKUP('Raw Data'!A2257,References!#REF!,2,FALSE),(VLOOKUP($S2257,References!$B$3:$C$7,2,FALSE))),"")</f>
        <v/>
      </c>
      <c r="W2257" s="74" t="str">
        <f>IFERROR(VLOOKUP($O2257,'Customer List'!$A$1:$J$488,10,FALSE),"")</f>
        <v/>
      </c>
    </row>
    <row r="2258" spans="18:23">
      <c r="R2258" s="127">
        <f t="shared" si="145"/>
        <v>0</v>
      </c>
      <c r="T2258" s="128">
        <f t="shared" si="146"/>
        <v>0</v>
      </c>
      <c r="U2258" s="129" t="str">
        <f>IFERROR(IF(#REF!="S",VLOOKUP('Raw Data'!A2258,References!#REF!,2,FALSE),(VLOOKUP($S2258,References!$B$3:$C$7,2,FALSE))),"")</f>
        <v/>
      </c>
      <c r="W2258" s="74" t="str">
        <f>IFERROR(VLOOKUP($O2258,'Customer List'!$A$1:$J$488,10,FALSE),"")</f>
        <v/>
      </c>
    </row>
    <row r="2259" spans="18:23">
      <c r="R2259" s="127">
        <f t="shared" si="145"/>
        <v>0</v>
      </c>
      <c r="T2259" s="128">
        <f t="shared" si="146"/>
        <v>0</v>
      </c>
      <c r="U2259" s="129" t="str">
        <f>IFERROR(IF(#REF!="S",VLOOKUP('Raw Data'!A2259,References!#REF!,2,FALSE),(VLOOKUP($S2259,References!$B$3:$C$7,2,FALSE))),"")</f>
        <v/>
      </c>
      <c r="W2259" s="74" t="str">
        <f>IFERROR(VLOOKUP($O2259,'Customer List'!$A$1:$J$488,10,FALSE),"")</f>
        <v/>
      </c>
    </row>
    <row r="2260" spans="18:23">
      <c r="R2260" s="127">
        <f t="shared" si="145"/>
        <v>0</v>
      </c>
      <c r="T2260" s="128">
        <f t="shared" si="146"/>
        <v>0</v>
      </c>
      <c r="U2260" s="129" t="str">
        <f>IFERROR(IF(#REF!="S",VLOOKUP('Raw Data'!A2260,References!#REF!,2,FALSE),(VLOOKUP($S2260,References!$B$3:$C$7,2,FALSE))),"")</f>
        <v/>
      </c>
      <c r="W2260" s="74" t="str">
        <f>IFERROR(VLOOKUP($O2260,'Customer List'!$A$1:$J$488,10,FALSE),"")</f>
        <v/>
      </c>
    </row>
    <row r="2261" spans="18:23">
      <c r="R2261" s="127">
        <f t="shared" si="145"/>
        <v>0</v>
      </c>
      <c r="T2261" s="128">
        <f t="shared" si="146"/>
        <v>0</v>
      </c>
      <c r="U2261" s="129" t="str">
        <f>IFERROR(IF(#REF!="S",VLOOKUP('Raw Data'!A2261,References!#REF!,2,FALSE),(VLOOKUP($S2261,References!$B$3:$C$7,2,FALSE))),"")</f>
        <v/>
      </c>
      <c r="W2261" s="74" t="str">
        <f>IFERROR(VLOOKUP($O2261,'Customer List'!$A$1:$J$488,10,FALSE),"")</f>
        <v/>
      </c>
    </row>
    <row r="2262" spans="18:23">
      <c r="R2262" s="127">
        <f t="shared" si="145"/>
        <v>0</v>
      </c>
      <c r="T2262" s="128">
        <f t="shared" si="146"/>
        <v>0</v>
      </c>
      <c r="U2262" s="129" t="str">
        <f>IFERROR(IF(#REF!="S",VLOOKUP('Raw Data'!A2262,References!#REF!,2,FALSE),(VLOOKUP($S2262,References!$B$3:$C$7,2,FALSE))),"")</f>
        <v/>
      </c>
      <c r="W2262" s="74" t="str">
        <f>IFERROR(VLOOKUP($O2262,'Customer List'!$A$1:$J$488,10,FALSE),"")</f>
        <v/>
      </c>
    </row>
    <row r="2263" spans="18:23">
      <c r="R2263" s="127">
        <f t="shared" si="145"/>
        <v>0</v>
      </c>
      <c r="T2263" s="128">
        <f t="shared" si="146"/>
        <v>0</v>
      </c>
      <c r="U2263" s="129" t="str">
        <f>IFERROR(IF(#REF!="S",VLOOKUP('Raw Data'!A2263,References!#REF!,2,FALSE),(VLOOKUP($S2263,References!$B$3:$C$7,2,FALSE))),"")</f>
        <v/>
      </c>
      <c r="W2263" s="74" t="str">
        <f>IFERROR(VLOOKUP($O2263,'Customer List'!$A$1:$J$488,10,FALSE),"")</f>
        <v/>
      </c>
    </row>
    <row r="2264" spans="18:23">
      <c r="R2264" s="127">
        <f t="shared" si="145"/>
        <v>0</v>
      </c>
      <c r="T2264" s="128">
        <f t="shared" si="146"/>
        <v>0</v>
      </c>
      <c r="U2264" s="129" t="str">
        <f>IFERROR(IF(#REF!="S",VLOOKUP('Raw Data'!A2264,References!#REF!,2,FALSE),(VLOOKUP($S2264,References!$B$3:$C$7,2,FALSE))),"")</f>
        <v/>
      </c>
      <c r="W2264" s="74" t="str">
        <f>IFERROR(VLOOKUP($O2264,'Customer List'!$A$1:$J$488,10,FALSE),"")</f>
        <v/>
      </c>
    </row>
    <row r="2265" spans="18:23">
      <c r="R2265" s="127">
        <f t="shared" si="145"/>
        <v>0</v>
      </c>
      <c r="T2265" s="128">
        <f t="shared" si="146"/>
        <v>0</v>
      </c>
      <c r="U2265" s="129" t="str">
        <f>IFERROR(IF(#REF!="S",VLOOKUP('Raw Data'!A2265,References!#REF!,2,FALSE),(VLOOKUP($S2265,References!$B$3:$C$7,2,FALSE))),"")</f>
        <v/>
      </c>
      <c r="W2265" s="74" t="str">
        <f>IFERROR(VLOOKUP($O2265,'Customer List'!$A$1:$J$488,10,FALSE),"")</f>
        <v/>
      </c>
    </row>
    <row r="2266" spans="18:23">
      <c r="R2266" s="127">
        <f t="shared" si="145"/>
        <v>0</v>
      </c>
      <c r="T2266" s="128">
        <f t="shared" si="146"/>
        <v>0</v>
      </c>
      <c r="U2266" s="129" t="str">
        <f>IFERROR(IF(#REF!="S",VLOOKUP('Raw Data'!A2266,References!#REF!,2,FALSE),(VLOOKUP($S2266,References!$B$3:$C$7,2,FALSE))),"")</f>
        <v/>
      </c>
      <c r="W2266" s="74" t="str">
        <f>IFERROR(VLOOKUP($O2266,'Customer List'!$A$1:$J$488,10,FALSE),"")</f>
        <v/>
      </c>
    </row>
    <row r="2267" spans="18:23">
      <c r="R2267" s="127">
        <f t="shared" si="145"/>
        <v>0</v>
      </c>
      <c r="T2267" s="128">
        <f t="shared" si="146"/>
        <v>0</v>
      </c>
      <c r="U2267" s="129" t="str">
        <f>IFERROR(IF(#REF!="S",VLOOKUP('Raw Data'!A2267,References!#REF!,2,FALSE),(VLOOKUP($S2267,References!$B$3:$C$7,2,FALSE))),"")</f>
        <v/>
      </c>
      <c r="W2267" s="74" t="str">
        <f>IFERROR(VLOOKUP($O2267,'Customer List'!$A$1:$J$488,10,FALSE),"")</f>
        <v/>
      </c>
    </row>
    <row r="2268" spans="18:23">
      <c r="R2268" s="127">
        <f t="shared" si="145"/>
        <v>0</v>
      </c>
      <c r="T2268" s="128">
        <f t="shared" si="146"/>
        <v>0</v>
      </c>
      <c r="U2268" s="129" t="str">
        <f>IFERROR(IF(#REF!="S",VLOOKUP('Raw Data'!A2268,References!#REF!,2,FALSE),(VLOOKUP($S2268,References!$B$3:$C$7,2,FALSE))),"")</f>
        <v/>
      </c>
      <c r="W2268" s="74" t="str">
        <f>IFERROR(VLOOKUP($O2268,'Customer List'!$A$1:$J$488,10,FALSE),"")</f>
        <v/>
      </c>
    </row>
    <row r="2269" spans="18:23">
      <c r="R2269" s="127">
        <f t="shared" si="145"/>
        <v>0</v>
      </c>
      <c r="T2269" s="128">
        <f t="shared" si="146"/>
        <v>0</v>
      </c>
      <c r="U2269" s="129" t="str">
        <f>IFERROR(IF(#REF!="S",VLOOKUP('Raw Data'!A2269,References!#REF!,2,FALSE),(VLOOKUP($S2269,References!$B$3:$C$7,2,FALSE))),"")</f>
        <v/>
      </c>
      <c r="W2269" s="74" t="str">
        <f>IFERROR(VLOOKUP($O2269,'Customer List'!$A$1:$J$488,10,FALSE),"")</f>
        <v/>
      </c>
    </row>
    <row r="2270" spans="18:23">
      <c r="R2270" s="127">
        <f t="shared" si="145"/>
        <v>0</v>
      </c>
      <c r="T2270" s="128">
        <f t="shared" si="146"/>
        <v>0</v>
      </c>
      <c r="U2270" s="129" t="str">
        <f>IFERROR(IF(#REF!="S",VLOOKUP('Raw Data'!A2270,References!#REF!,2,FALSE),(VLOOKUP($S2270,References!$B$3:$C$7,2,FALSE))),"")</f>
        <v/>
      </c>
      <c r="W2270" s="74" t="str">
        <f>IFERROR(VLOOKUP($O2270,'Customer List'!$A$1:$J$488,10,FALSE),"")</f>
        <v/>
      </c>
    </row>
    <row r="2271" spans="18:23">
      <c r="R2271" s="127">
        <f t="shared" si="145"/>
        <v>0</v>
      </c>
      <c r="T2271" s="128">
        <f t="shared" si="146"/>
        <v>0</v>
      </c>
      <c r="U2271" s="129" t="str">
        <f>IFERROR(IF(#REF!="S",VLOOKUP('Raw Data'!A2271,References!#REF!,2,FALSE),(VLOOKUP($S2271,References!$B$3:$C$7,2,FALSE))),"")</f>
        <v/>
      </c>
      <c r="W2271" s="74" t="str">
        <f>IFERROR(VLOOKUP($O2271,'Customer List'!$A$1:$J$488,10,FALSE),"")</f>
        <v/>
      </c>
    </row>
    <row r="2272" spans="18:23">
      <c r="R2272" s="127">
        <f t="shared" si="145"/>
        <v>0</v>
      </c>
      <c r="T2272" s="128">
        <f t="shared" si="146"/>
        <v>0</v>
      </c>
      <c r="U2272" s="129" t="str">
        <f>IFERROR(IF(#REF!="S",VLOOKUP('Raw Data'!A2272,References!#REF!,2,FALSE),(VLOOKUP($S2272,References!$B$3:$C$7,2,FALSE))),"")</f>
        <v/>
      </c>
      <c r="W2272" s="74" t="str">
        <f>IFERROR(VLOOKUP($O2272,'Customer List'!$A$1:$J$488,10,FALSE),"")</f>
        <v/>
      </c>
    </row>
    <row r="2273" spans="18:23">
      <c r="R2273" s="127">
        <f t="shared" si="145"/>
        <v>0</v>
      </c>
      <c r="T2273" s="128">
        <f t="shared" si="146"/>
        <v>0</v>
      </c>
      <c r="U2273" s="129" t="str">
        <f>IFERROR(IF(#REF!="S",VLOOKUP('Raw Data'!A2273,References!#REF!,2,FALSE),(VLOOKUP($S2273,References!$B$3:$C$7,2,FALSE))),"")</f>
        <v/>
      </c>
      <c r="W2273" s="74" t="str">
        <f>IFERROR(VLOOKUP($O2273,'Customer List'!$A$1:$J$488,10,FALSE),"")</f>
        <v/>
      </c>
    </row>
    <row r="2274" spans="18:23">
      <c r="R2274" s="127">
        <f t="shared" si="145"/>
        <v>0</v>
      </c>
      <c r="T2274" s="128">
        <f t="shared" si="146"/>
        <v>0</v>
      </c>
      <c r="U2274" s="129" t="str">
        <f>IFERROR(IF(#REF!="S",VLOOKUP('Raw Data'!A2274,References!#REF!,2,FALSE),(VLOOKUP($S2274,References!$B$3:$C$7,2,FALSE))),"")</f>
        <v/>
      </c>
      <c r="W2274" s="74" t="str">
        <f>IFERROR(VLOOKUP($O2274,'Customer List'!$A$1:$J$488,10,FALSE),"")</f>
        <v/>
      </c>
    </row>
    <row r="2275" spans="18:23">
      <c r="R2275" s="127">
        <f t="shared" si="145"/>
        <v>0</v>
      </c>
      <c r="T2275" s="128">
        <f t="shared" si="146"/>
        <v>0</v>
      </c>
      <c r="U2275" s="129" t="str">
        <f>IFERROR(IF(#REF!="S",VLOOKUP('Raw Data'!A2275,References!#REF!,2,FALSE),(VLOOKUP($S2275,References!$B$3:$C$7,2,FALSE))),"")</f>
        <v/>
      </c>
      <c r="W2275" s="74" t="str">
        <f>IFERROR(VLOOKUP($O2275,'Customer List'!$A$1:$J$488,10,FALSE),"")</f>
        <v/>
      </c>
    </row>
    <row r="2276" spans="18:23">
      <c r="R2276" s="127">
        <f t="shared" si="145"/>
        <v>0</v>
      </c>
      <c r="T2276" s="128">
        <f t="shared" si="146"/>
        <v>0</v>
      </c>
      <c r="U2276" s="129" t="str">
        <f>IFERROR(IF(#REF!="S",VLOOKUP('Raw Data'!A2276,References!#REF!,2,FALSE),(VLOOKUP($S2276,References!$B$3:$C$7,2,FALSE))),"")</f>
        <v/>
      </c>
      <c r="W2276" s="74" t="str">
        <f>IFERROR(VLOOKUP($O2276,'Customer List'!$A$1:$J$488,10,FALSE),"")</f>
        <v/>
      </c>
    </row>
    <row r="2277" spans="18:23">
      <c r="R2277" s="127">
        <f t="shared" si="145"/>
        <v>0</v>
      </c>
      <c r="T2277" s="128">
        <f t="shared" si="146"/>
        <v>0</v>
      </c>
      <c r="U2277" s="129" t="str">
        <f>IFERROR(IF(#REF!="S",VLOOKUP('Raw Data'!A2277,References!#REF!,2,FALSE),(VLOOKUP($S2277,References!$B$3:$C$7,2,FALSE))),"")</f>
        <v/>
      </c>
      <c r="W2277" s="74" t="str">
        <f>IFERROR(VLOOKUP($O2277,'Customer List'!$A$1:$J$488,10,FALSE),"")</f>
        <v/>
      </c>
    </row>
    <row r="2278" spans="18:23">
      <c r="R2278" s="127">
        <f t="shared" ref="R2278:R2341" si="147">L2278-K2278</f>
        <v>0</v>
      </c>
      <c r="T2278" s="128">
        <f t="shared" si="146"/>
        <v>0</v>
      </c>
      <c r="U2278" s="129" t="str">
        <f>IFERROR(IF(#REF!="S",VLOOKUP('Raw Data'!A2278,References!#REF!,2,FALSE),(VLOOKUP($S2278,References!$B$3:$C$7,2,FALSE))),"")</f>
        <v/>
      </c>
      <c r="W2278" s="74" t="str">
        <f>IFERROR(VLOOKUP($O2278,'Customer List'!$A$1:$J$488,10,FALSE),"")</f>
        <v/>
      </c>
    </row>
    <row r="2279" spans="18:23">
      <c r="R2279" s="127">
        <f t="shared" si="147"/>
        <v>0</v>
      </c>
      <c r="T2279" s="128">
        <f t="shared" si="146"/>
        <v>0</v>
      </c>
      <c r="U2279" s="129" t="str">
        <f>IFERROR(IF(#REF!="S",VLOOKUP('Raw Data'!A2279,References!#REF!,2,FALSE),(VLOOKUP($S2279,References!$B$3:$C$7,2,FALSE))),"")</f>
        <v/>
      </c>
      <c r="W2279" s="74" t="str">
        <f>IFERROR(VLOOKUP($O2279,'Customer List'!$A$1:$J$488,10,FALSE),"")</f>
        <v/>
      </c>
    </row>
    <row r="2280" spans="18:23">
      <c r="R2280" s="127">
        <f t="shared" si="147"/>
        <v>0</v>
      </c>
      <c r="T2280" s="128">
        <f t="shared" si="146"/>
        <v>0</v>
      </c>
      <c r="U2280" s="129" t="str">
        <f>IFERROR(IF(#REF!="S",VLOOKUP('Raw Data'!A2280,References!#REF!,2,FALSE),(VLOOKUP($S2280,References!$B$3:$C$7,2,FALSE))),"")</f>
        <v/>
      </c>
      <c r="W2280" s="74" t="str">
        <f>IFERROR(VLOOKUP($O2280,'Customer List'!$A$1:$J$488,10,FALSE),"")</f>
        <v/>
      </c>
    </row>
    <row r="2281" spans="18:23">
      <c r="R2281" s="127">
        <f t="shared" si="147"/>
        <v>0</v>
      </c>
      <c r="T2281" s="128">
        <f t="shared" si="146"/>
        <v>0</v>
      </c>
      <c r="U2281" s="129" t="str">
        <f>IFERROR(IF(#REF!="S",VLOOKUP('Raw Data'!A2281,References!#REF!,2,FALSE),(VLOOKUP($S2281,References!$B$3:$C$7,2,FALSE))),"")</f>
        <v/>
      </c>
      <c r="W2281" s="74" t="str">
        <f>IFERROR(VLOOKUP($O2281,'Customer List'!$A$1:$J$488,10,FALSE),"")</f>
        <v/>
      </c>
    </row>
    <row r="2282" spans="18:23">
      <c r="R2282" s="127">
        <f t="shared" si="147"/>
        <v>0</v>
      </c>
      <c r="T2282" s="128">
        <f t="shared" si="146"/>
        <v>0</v>
      </c>
      <c r="U2282" s="129" t="str">
        <f>IFERROR(IF(#REF!="S",VLOOKUP('Raw Data'!A2282,References!#REF!,2,FALSE),(VLOOKUP($S2282,References!$B$3:$C$7,2,FALSE))),"")</f>
        <v/>
      </c>
      <c r="W2282" s="74" t="str">
        <f>IFERROR(VLOOKUP($O2282,'Customer List'!$A$1:$J$488,10,FALSE),"")</f>
        <v/>
      </c>
    </row>
    <row r="2283" spans="18:23">
      <c r="R2283" s="127">
        <f t="shared" si="147"/>
        <v>0</v>
      </c>
      <c r="T2283" s="128">
        <f t="shared" si="146"/>
        <v>0</v>
      </c>
      <c r="U2283" s="129" t="str">
        <f>IFERROR(IF(#REF!="S",VLOOKUP('Raw Data'!A2283,References!#REF!,2,FALSE),(VLOOKUP($S2283,References!$B$3:$C$7,2,FALSE))),"")</f>
        <v/>
      </c>
      <c r="W2283" s="74" t="str">
        <f>IFERROR(VLOOKUP($O2283,'Customer List'!$A$1:$J$488,10,FALSE),"")</f>
        <v/>
      </c>
    </row>
    <row r="2284" spans="18:23">
      <c r="R2284" s="127">
        <f t="shared" si="147"/>
        <v>0</v>
      </c>
      <c r="T2284" s="128">
        <f t="shared" si="146"/>
        <v>0</v>
      </c>
      <c r="U2284" s="129" t="str">
        <f>IFERROR(IF(#REF!="S",VLOOKUP('Raw Data'!A2284,References!#REF!,2,FALSE),(VLOOKUP($S2284,References!$B$3:$C$7,2,FALSE))),"")</f>
        <v/>
      </c>
      <c r="W2284" s="74" t="str">
        <f>IFERROR(VLOOKUP($O2284,'Customer List'!$A$1:$J$488,10,FALSE),"")</f>
        <v/>
      </c>
    </row>
    <row r="2285" spans="18:23">
      <c r="R2285" s="127">
        <f t="shared" si="147"/>
        <v>0</v>
      </c>
      <c r="T2285" s="128">
        <f t="shared" si="146"/>
        <v>0</v>
      </c>
      <c r="U2285" s="129" t="str">
        <f>IFERROR(IF(#REF!="S",VLOOKUP('Raw Data'!A2285,References!#REF!,2,FALSE),(VLOOKUP($S2285,References!$B$3:$C$7,2,FALSE))),"")</f>
        <v/>
      </c>
      <c r="W2285" s="74" t="str">
        <f>IFERROR(VLOOKUP($O2285,'Customer List'!$A$1:$J$488,10,FALSE),"")</f>
        <v/>
      </c>
    </row>
    <row r="2286" spans="18:23">
      <c r="R2286" s="127">
        <f t="shared" si="147"/>
        <v>0</v>
      </c>
      <c r="T2286" s="128">
        <f t="shared" si="146"/>
        <v>0</v>
      </c>
      <c r="U2286" s="129" t="str">
        <f>IFERROR(IF(#REF!="S",VLOOKUP('Raw Data'!A2286,References!#REF!,2,FALSE),(VLOOKUP($S2286,References!$B$3:$C$7,2,FALSE))),"")</f>
        <v/>
      </c>
      <c r="W2286" s="74" t="str">
        <f>IFERROR(VLOOKUP($O2286,'Customer List'!$A$1:$J$488,10,FALSE),"")</f>
        <v/>
      </c>
    </row>
    <row r="2287" spans="18:23">
      <c r="R2287" s="127">
        <f t="shared" si="147"/>
        <v>0</v>
      </c>
      <c r="T2287" s="128">
        <f t="shared" si="146"/>
        <v>0</v>
      </c>
      <c r="U2287" s="129" t="str">
        <f>IFERROR(IF(#REF!="S",VLOOKUP('Raw Data'!A2287,References!#REF!,2,FALSE),(VLOOKUP($S2287,References!$B$3:$C$7,2,FALSE))),"")</f>
        <v/>
      </c>
      <c r="W2287" s="74" t="str">
        <f>IFERROR(VLOOKUP($O2287,'Customer List'!$A$1:$J$488,10,FALSE),"")</f>
        <v/>
      </c>
    </row>
    <row r="2288" spans="18:23">
      <c r="R2288" s="127">
        <f t="shared" si="147"/>
        <v>0</v>
      </c>
      <c r="T2288" s="128">
        <f t="shared" si="146"/>
        <v>0</v>
      </c>
      <c r="U2288" s="129" t="str">
        <f>IFERROR(IF(#REF!="S",VLOOKUP('Raw Data'!A2288,References!#REF!,2,FALSE),(VLOOKUP($S2288,References!$B$3:$C$7,2,FALSE))),"")</f>
        <v/>
      </c>
      <c r="W2288" s="74" t="str">
        <f>IFERROR(VLOOKUP($O2288,'Customer List'!$A$1:$J$488,10,FALSE),"")</f>
        <v/>
      </c>
    </row>
    <row r="2289" spans="18:23">
      <c r="R2289" s="127">
        <f t="shared" si="147"/>
        <v>0</v>
      </c>
      <c r="T2289" s="128">
        <f t="shared" si="146"/>
        <v>0</v>
      </c>
      <c r="U2289" s="129" t="str">
        <f>IFERROR(IF(#REF!="S",VLOOKUP('Raw Data'!A2289,References!#REF!,2,FALSE),(VLOOKUP($S2289,References!$B$3:$C$7,2,FALSE))),"")</f>
        <v/>
      </c>
      <c r="W2289" s="74" t="str">
        <f>IFERROR(VLOOKUP($O2289,'Customer List'!$A$1:$J$488,10,FALSE),"")</f>
        <v/>
      </c>
    </row>
    <row r="2290" spans="18:23">
      <c r="R2290" s="127">
        <f t="shared" si="147"/>
        <v>0</v>
      </c>
      <c r="T2290" s="128">
        <f t="shared" si="146"/>
        <v>0</v>
      </c>
      <c r="U2290" s="129" t="str">
        <f>IFERROR(IF(#REF!="S",VLOOKUP('Raw Data'!A2290,References!#REF!,2,FALSE),(VLOOKUP($S2290,References!$B$3:$C$7,2,FALSE))),"")</f>
        <v/>
      </c>
      <c r="W2290" s="74" t="str">
        <f>IFERROR(VLOOKUP($O2290,'Customer List'!$A$1:$J$488,10,FALSE),"")</f>
        <v/>
      </c>
    </row>
    <row r="2291" spans="18:23">
      <c r="R2291" s="127">
        <f t="shared" si="147"/>
        <v>0</v>
      </c>
      <c r="T2291" s="128">
        <f t="shared" si="146"/>
        <v>0</v>
      </c>
      <c r="U2291" s="129" t="str">
        <f>IFERROR(IF(#REF!="S",VLOOKUP('Raw Data'!A2291,References!#REF!,2,FALSE),(VLOOKUP($S2291,References!$B$3:$C$7,2,FALSE))),"")</f>
        <v/>
      </c>
      <c r="W2291" s="74" t="str">
        <f>IFERROR(VLOOKUP($O2291,'Customer List'!$A$1:$J$488,10,FALSE),"")</f>
        <v/>
      </c>
    </row>
    <row r="2292" spans="18:23">
      <c r="R2292" s="127">
        <f t="shared" si="147"/>
        <v>0</v>
      </c>
      <c r="T2292" s="128">
        <f t="shared" si="146"/>
        <v>0</v>
      </c>
      <c r="U2292" s="129" t="str">
        <f>IFERROR(IF(#REF!="S",VLOOKUP('Raw Data'!A2292,References!#REF!,2,FALSE),(VLOOKUP($S2292,References!$B$3:$C$7,2,FALSE))),"")</f>
        <v/>
      </c>
      <c r="W2292" s="74" t="str">
        <f>IFERROR(VLOOKUP($O2292,'Customer List'!$A$1:$J$488,10,FALSE),"")</f>
        <v/>
      </c>
    </row>
    <row r="2293" spans="18:23">
      <c r="R2293" s="127">
        <f t="shared" si="147"/>
        <v>0</v>
      </c>
      <c r="T2293" s="128">
        <f t="shared" si="146"/>
        <v>0</v>
      </c>
      <c r="U2293" s="129" t="str">
        <f>IFERROR(IF(#REF!="S",VLOOKUP('Raw Data'!A2293,References!#REF!,2,FALSE),(VLOOKUP($S2293,References!$B$3:$C$7,2,FALSE))),"")</f>
        <v/>
      </c>
      <c r="W2293" s="74" t="str">
        <f>IFERROR(VLOOKUP($O2293,'Customer List'!$A$1:$J$488,10,FALSE),"")</f>
        <v/>
      </c>
    </row>
    <row r="2294" spans="18:23">
      <c r="R2294" s="127">
        <f t="shared" si="147"/>
        <v>0</v>
      </c>
      <c r="T2294" s="128">
        <f t="shared" si="146"/>
        <v>0</v>
      </c>
      <c r="U2294" s="129" t="str">
        <f>IFERROR(IF(#REF!="S",VLOOKUP('Raw Data'!A2294,References!#REF!,2,FALSE),(VLOOKUP($S2294,References!$B$3:$C$7,2,FALSE))),"")</f>
        <v/>
      </c>
      <c r="W2294" s="74" t="str">
        <f>IFERROR(VLOOKUP($O2294,'Customer List'!$A$1:$J$488,10,FALSE),"")</f>
        <v/>
      </c>
    </row>
    <row r="2295" spans="18:23">
      <c r="R2295" s="127">
        <f t="shared" si="147"/>
        <v>0</v>
      </c>
      <c r="T2295" s="128">
        <f t="shared" si="146"/>
        <v>0</v>
      </c>
      <c r="U2295" s="129" t="str">
        <f>IFERROR(IF(#REF!="S",VLOOKUP('Raw Data'!A2295,References!#REF!,2,FALSE),(VLOOKUP($S2295,References!$B$3:$C$7,2,FALSE))),"")</f>
        <v/>
      </c>
      <c r="W2295" s="74" t="str">
        <f>IFERROR(VLOOKUP($O2295,'Customer List'!$A$1:$J$488,10,FALSE),"")</f>
        <v/>
      </c>
    </row>
    <row r="2296" spans="18:23">
      <c r="R2296" s="127">
        <f t="shared" si="147"/>
        <v>0</v>
      </c>
      <c r="T2296" s="128">
        <f t="shared" si="146"/>
        <v>0</v>
      </c>
      <c r="U2296" s="129" t="str">
        <f>IFERROR(IF(#REF!="S",VLOOKUP('Raw Data'!A2296,References!#REF!,2,FALSE),(VLOOKUP($S2296,References!$B$3:$C$7,2,FALSE))),"")</f>
        <v/>
      </c>
      <c r="W2296" s="74" t="str">
        <f>IFERROR(VLOOKUP($O2296,'Customer List'!$A$1:$J$488,10,FALSE),"")</f>
        <v/>
      </c>
    </row>
    <row r="2297" spans="18:23">
      <c r="R2297" s="127">
        <f t="shared" si="147"/>
        <v>0</v>
      </c>
      <c r="T2297" s="128">
        <f t="shared" si="146"/>
        <v>0</v>
      </c>
      <c r="U2297" s="129" t="str">
        <f>IFERROR(IF(#REF!="S",VLOOKUP('Raw Data'!A2297,References!#REF!,2,FALSE),(VLOOKUP($S2297,References!$B$3:$C$7,2,FALSE))),"")</f>
        <v/>
      </c>
      <c r="W2297" s="74" t="str">
        <f>IFERROR(VLOOKUP($O2297,'Customer List'!$A$1:$J$488,10,FALSE),"")</f>
        <v/>
      </c>
    </row>
    <row r="2298" spans="18:23">
      <c r="R2298" s="127">
        <f t="shared" si="147"/>
        <v>0</v>
      </c>
      <c r="T2298" s="128">
        <f t="shared" si="146"/>
        <v>0</v>
      </c>
      <c r="U2298" s="129" t="str">
        <f>IFERROR(IF(#REF!="S",VLOOKUP('Raw Data'!A2298,References!#REF!,2,FALSE),(VLOOKUP($S2298,References!$B$3:$C$7,2,FALSE))),"")</f>
        <v/>
      </c>
      <c r="W2298" s="74" t="str">
        <f>IFERROR(VLOOKUP($O2298,'Customer List'!$A$1:$J$488,10,FALSE),"")</f>
        <v/>
      </c>
    </row>
    <row r="2299" spans="18:23">
      <c r="R2299" s="127">
        <f t="shared" si="147"/>
        <v>0</v>
      </c>
      <c r="T2299" s="128">
        <f t="shared" si="146"/>
        <v>0</v>
      </c>
      <c r="U2299" s="129" t="str">
        <f>IFERROR(IF(#REF!="S",VLOOKUP('Raw Data'!A2299,References!#REF!,2,FALSE),(VLOOKUP($S2299,References!$B$3:$C$7,2,FALSE))),"")</f>
        <v/>
      </c>
      <c r="W2299" s="74" t="str">
        <f>IFERROR(VLOOKUP($O2299,'Customer List'!$A$1:$J$488,10,FALSE),"")</f>
        <v/>
      </c>
    </row>
    <row r="2300" spans="18:23">
      <c r="R2300" s="127">
        <f t="shared" si="147"/>
        <v>0</v>
      </c>
      <c r="T2300" s="128">
        <f t="shared" si="146"/>
        <v>0</v>
      </c>
      <c r="U2300" s="129" t="str">
        <f>IFERROR(IF(#REF!="S",VLOOKUP('Raw Data'!A2300,References!#REF!,2,FALSE),(VLOOKUP($S2300,References!$B$3:$C$7,2,FALSE))),"")</f>
        <v/>
      </c>
      <c r="W2300" s="74" t="str">
        <f>IFERROR(VLOOKUP($O2300,'Customer List'!$A$1:$J$488,10,FALSE),"")</f>
        <v/>
      </c>
    </row>
    <row r="2301" spans="18:23">
      <c r="R2301" s="127">
        <f t="shared" si="147"/>
        <v>0</v>
      </c>
      <c r="T2301" s="128">
        <f t="shared" si="146"/>
        <v>0</v>
      </c>
      <c r="U2301" s="129" t="str">
        <f>IFERROR(IF(#REF!="S",VLOOKUP('Raw Data'!A2301,References!#REF!,2,FALSE),(VLOOKUP($S2301,References!$B$3:$C$7,2,FALSE))),"")</f>
        <v/>
      </c>
      <c r="W2301" s="74" t="str">
        <f>IFERROR(VLOOKUP($O2301,'Customer List'!$A$1:$J$488,10,FALSE),"")</f>
        <v/>
      </c>
    </row>
    <row r="2302" spans="18:23">
      <c r="R2302" s="127">
        <f t="shared" si="147"/>
        <v>0</v>
      </c>
      <c r="T2302" s="128">
        <f t="shared" si="146"/>
        <v>0</v>
      </c>
      <c r="U2302" s="129" t="str">
        <f>IFERROR(IF(#REF!="S",VLOOKUP('Raw Data'!A2302,References!#REF!,2,FALSE),(VLOOKUP($S2302,References!$B$3:$C$7,2,FALSE))),"")</f>
        <v/>
      </c>
      <c r="W2302" s="74" t="str">
        <f>IFERROR(VLOOKUP($O2302,'Customer List'!$A$1:$J$488,10,FALSE),"")</f>
        <v/>
      </c>
    </row>
    <row r="2303" spans="18:23">
      <c r="R2303" s="127">
        <f t="shared" si="147"/>
        <v>0</v>
      </c>
      <c r="T2303" s="128">
        <f t="shared" si="146"/>
        <v>0</v>
      </c>
      <c r="U2303" s="129" t="str">
        <f>IFERROR(IF(#REF!="S",VLOOKUP('Raw Data'!A2303,References!#REF!,2,FALSE),(VLOOKUP($S2303,References!$B$3:$C$7,2,FALSE))),"")</f>
        <v/>
      </c>
      <c r="W2303" s="74" t="str">
        <f>IFERROR(VLOOKUP($O2303,'Customer List'!$A$1:$J$488,10,FALSE),"")</f>
        <v/>
      </c>
    </row>
    <row r="2304" spans="18:23">
      <c r="R2304" s="127">
        <f t="shared" si="147"/>
        <v>0</v>
      </c>
      <c r="T2304" s="128">
        <f t="shared" si="146"/>
        <v>0</v>
      </c>
      <c r="U2304" s="129" t="str">
        <f>IFERROR(IF(#REF!="S",VLOOKUP('Raw Data'!A2304,References!#REF!,2,FALSE),(VLOOKUP($S2304,References!$B$3:$C$7,2,FALSE))),"")</f>
        <v/>
      </c>
      <c r="W2304" s="74" t="str">
        <f>IFERROR(VLOOKUP($O2304,'Customer List'!$A$1:$J$488,10,FALSE),"")</f>
        <v/>
      </c>
    </row>
    <row r="2305" spans="18:23">
      <c r="R2305" s="127">
        <f t="shared" si="147"/>
        <v>0</v>
      </c>
      <c r="T2305" s="128">
        <f t="shared" si="146"/>
        <v>0</v>
      </c>
      <c r="U2305" s="129" t="str">
        <f>IFERROR(IF(#REF!="S",VLOOKUP('Raw Data'!A2305,References!#REF!,2,FALSE),(VLOOKUP($S2305,References!$B$3:$C$7,2,FALSE))),"")</f>
        <v/>
      </c>
      <c r="W2305" s="74" t="str">
        <f>IFERROR(VLOOKUP($O2305,'Customer List'!$A$1:$J$488,10,FALSE),"")</f>
        <v/>
      </c>
    </row>
    <row r="2306" spans="18:23">
      <c r="R2306" s="127">
        <f t="shared" si="147"/>
        <v>0</v>
      </c>
      <c r="T2306" s="128">
        <f t="shared" si="146"/>
        <v>0</v>
      </c>
      <c r="U2306" s="129" t="str">
        <f>IFERROR(IF(#REF!="S",VLOOKUP('Raw Data'!A2306,References!#REF!,2,FALSE),(VLOOKUP($S2306,References!$B$3:$C$7,2,FALSE))),"")</f>
        <v/>
      </c>
      <c r="W2306" s="74" t="str">
        <f>IFERROR(VLOOKUP($O2306,'Customer List'!$A$1:$J$488,10,FALSE),"")</f>
        <v/>
      </c>
    </row>
    <row r="2307" spans="18:23">
      <c r="R2307" s="127">
        <f t="shared" si="147"/>
        <v>0</v>
      </c>
      <c r="T2307" s="128">
        <f t="shared" si="146"/>
        <v>0</v>
      </c>
      <c r="U2307" s="129" t="str">
        <f>IFERROR(IF(#REF!="S",VLOOKUP('Raw Data'!A2307,References!#REF!,2,FALSE),(VLOOKUP($S2307,References!$B$3:$C$7,2,FALSE))),"")</f>
        <v/>
      </c>
      <c r="W2307" s="74" t="str">
        <f>IFERROR(VLOOKUP($O2307,'Customer List'!$A$1:$J$488,10,FALSE),"")</f>
        <v/>
      </c>
    </row>
    <row r="2308" spans="18:23">
      <c r="R2308" s="127">
        <f t="shared" si="147"/>
        <v>0</v>
      </c>
      <c r="T2308" s="128">
        <f t="shared" si="146"/>
        <v>0</v>
      </c>
      <c r="U2308" s="129" t="str">
        <f>IFERROR(IF(#REF!="S",VLOOKUP('Raw Data'!A2308,References!#REF!,2,FALSE),(VLOOKUP($S2308,References!$B$3:$C$7,2,FALSE))),"")</f>
        <v/>
      </c>
      <c r="W2308" s="74" t="str">
        <f>IFERROR(VLOOKUP($O2308,'Customer List'!$A$1:$J$488,10,FALSE),"")</f>
        <v/>
      </c>
    </row>
    <row r="2309" spans="18:23">
      <c r="R2309" s="127">
        <f t="shared" si="147"/>
        <v>0</v>
      </c>
      <c r="T2309" s="128">
        <f t="shared" si="146"/>
        <v>0</v>
      </c>
      <c r="U2309" s="129" t="str">
        <f>IFERROR(IF(#REF!="S",VLOOKUP('Raw Data'!A2309,References!#REF!,2,FALSE),(VLOOKUP($S2309,References!$B$3:$C$7,2,FALSE))),"")</f>
        <v/>
      </c>
      <c r="W2309" s="74" t="str">
        <f>IFERROR(VLOOKUP($O2309,'Customer List'!$A$1:$J$488,10,FALSE),"")</f>
        <v/>
      </c>
    </row>
    <row r="2310" spans="18:23">
      <c r="R2310" s="127">
        <f t="shared" si="147"/>
        <v>0</v>
      </c>
      <c r="T2310" s="128">
        <f t="shared" si="146"/>
        <v>0</v>
      </c>
      <c r="U2310" s="129" t="str">
        <f>IFERROR(IF(#REF!="S",VLOOKUP('Raw Data'!A2310,References!#REF!,2,FALSE),(VLOOKUP($S2310,References!$B$3:$C$7,2,FALSE))),"")</f>
        <v/>
      </c>
      <c r="W2310" s="74" t="str">
        <f>IFERROR(VLOOKUP($O2310,'Customer List'!$A$1:$J$488,10,FALSE),"")</f>
        <v/>
      </c>
    </row>
    <row r="2311" spans="18:23">
      <c r="R2311" s="127">
        <f t="shared" si="147"/>
        <v>0</v>
      </c>
      <c r="T2311" s="128">
        <f t="shared" si="146"/>
        <v>0</v>
      </c>
      <c r="U2311" s="129" t="str">
        <f>IFERROR(IF(#REF!="S",VLOOKUP('Raw Data'!A2311,References!#REF!,2,FALSE),(VLOOKUP($S2311,References!$B$3:$C$7,2,FALSE))),"")</f>
        <v/>
      </c>
      <c r="W2311" s="74" t="str">
        <f>IFERROR(VLOOKUP($O2311,'Customer List'!$A$1:$J$488,10,FALSE),"")</f>
        <v/>
      </c>
    </row>
    <row r="2312" spans="18:23">
      <c r="R2312" s="127">
        <f t="shared" si="147"/>
        <v>0</v>
      </c>
      <c r="T2312" s="128">
        <f t="shared" si="146"/>
        <v>0</v>
      </c>
      <c r="U2312" s="129" t="str">
        <f>IFERROR(IF(#REF!="S",VLOOKUP('Raw Data'!A2312,References!#REF!,2,FALSE),(VLOOKUP($S2312,References!$B$3:$C$7,2,FALSE))),"")</f>
        <v/>
      </c>
      <c r="W2312" s="74" t="str">
        <f>IFERROR(VLOOKUP($O2312,'Customer List'!$A$1:$J$488,10,FALSE),"")</f>
        <v/>
      </c>
    </row>
    <row r="2313" spans="18:23">
      <c r="R2313" s="127">
        <f t="shared" si="147"/>
        <v>0</v>
      </c>
      <c r="T2313" s="128">
        <f t="shared" si="146"/>
        <v>0</v>
      </c>
      <c r="U2313" s="129" t="str">
        <f>IFERROR(IF(#REF!="S",VLOOKUP('Raw Data'!A2313,References!#REF!,2,FALSE),(VLOOKUP($S2313,References!$B$3:$C$7,2,FALSE))),"")</f>
        <v/>
      </c>
      <c r="W2313" s="74" t="str">
        <f>IFERROR(VLOOKUP($O2313,'Customer List'!$A$1:$J$488,10,FALSE),"")</f>
        <v/>
      </c>
    </row>
    <row r="2314" spans="18:23">
      <c r="R2314" s="127">
        <f t="shared" si="147"/>
        <v>0</v>
      </c>
      <c r="T2314" s="128">
        <f t="shared" ref="T2314:T2377" si="148">IF(S2314="50 - Cleaning Fee",1,HOUR($R2314)+MINUTE(R2314)/60)</f>
        <v>0</v>
      </c>
      <c r="U2314" s="129" t="str">
        <f>IFERROR(IF(#REF!="S",VLOOKUP('Raw Data'!A2314,References!#REF!,2,FALSE),(VLOOKUP($S2314,References!$B$3:$C$7,2,FALSE))),"")</f>
        <v/>
      </c>
      <c r="W2314" s="74" t="str">
        <f>IFERROR(VLOOKUP($O2314,'Customer List'!$A$1:$J$488,10,FALSE),"")</f>
        <v/>
      </c>
    </row>
    <row r="2315" spans="18:23">
      <c r="R2315" s="127">
        <f t="shared" si="147"/>
        <v>0</v>
      </c>
      <c r="T2315" s="128">
        <f t="shared" si="148"/>
        <v>0</v>
      </c>
      <c r="U2315" s="129" t="str">
        <f>IFERROR(IF(#REF!="S",VLOOKUP('Raw Data'!A2315,References!#REF!,2,FALSE),(VLOOKUP($S2315,References!$B$3:$C$7,2,FALSE))),"")</f>
        <v/>
      </c>
      <c r="W2315" s="74" t="str">
        <f>IFERROR(VLOOKUP($O2315,'Customer List'!$A$1:$J$488,10,FALSE),"")</f>
        <v/>
      </c>
    </row>
    <row r="2316" spans="18:23">
      <c r="R2316" s="127">
        <f t="shared" si="147"/>
        <v>0</v>
      </c>
      <c r="T2316" s="128">
        <f t="shared" si="148"/>
        <v>0</v>
      </c>
      <c r="U2316" s="129" t="str">
        <f>IFERROR(IF(#REF!="S",VLOOKUP('Raw Data'!A2316,References!#REF!,2,FALSE),(VLOOKUP($S2316,References!$B$3:$C$7,2,FALSE))),"")</f>
        <v/>
      </c>
      <c r="W2316" s="74" t="str">
        <f>IFERROR(VLOOKUP($O2316,'Customer List'!$A$1:$J$488,10,FALSE),"")</f>
        <v/>
      </c>
    </row>
    <row r="2317" spans="18:23">
      <c r="R2317" s="127">
        <f t="shared" si="147"/>
        <v>0</v>
      </c>
      <c r="T2317" s="128">
        <f t="shared" si="148"/>
        <v>0</v>
      </c>
      <c r="U2317" s="129" t="str">
        <f>IFERROR(IF(#REF!="S",VLOOKUP('Raw Data'!A2317,References!#REF!,2,FALSE),(VLOOKUP($S2317,References!$B$3:$C$7,2,FALSE))),"")</f>
        <v/>
      </c>
      <c r="W2317" s="74" t="str">
        <f>IFERROR(VLOOKUP($O2317,'Customer List'!$A$1:$J$488,10,FALSE),"")</f>
        <v/>
      </c>
    </row>
    <row r="2318" spans="18:23">
      <c r="R2318" s="127">
        <f t="shared" si="147"/>
        <v>0</v>
      </c>
      <c r="T2318" s="128">
        <f t="shared" si="148"/>
        <v>0</v>
      </c>
      <c r="U2318" s="129" t="str">
        <f>IFERROR(IF(#REF!="S",VLOOKUP('Raw Data'!A2318,References!#REF!,2,FALSE),(VLOOKUP($S2318,References!$B$3:$C$7,2,FALSE))),"")</f>
        <v/>
      </c>
      <c r="W2318" s="74" t="str">
        <f>IFERROR(VLOOKUP($O2318,'Customer List'!$A$1:$J$488,10,FALSE),"")</f>
        <v/>
      </c>
    </row>
    <row r="2319" spans="18:23">
      <c r="R2319" s="127">
        <f t="shared" si="147"/>
        <v>0</v>
      </c>
      <c r="T2319" s="128">
        <f t="shared" si="148"/>
        <v>0</v>
      </c>
      <c r="U2319" s="129" t="str">
        <f>IFERROR(IF(#REF!="S",VLOOKUP('Raw Data'!A2319,References!#REF!,2,FALSE),(VLOOKUP($S2319,References!$B$3:$C$7,2,FALSE))),"")</f>
        <v/>
      </c>
      <c r="W2319" s="74" t="str">
        <f>IFERROR(VLOOKUP($O2319,'Customer List'!$A$1:$J$488,10,FALSE),"")</f>
        <v/>
      </c>
    </row>
    <row r="2320" spans="18:23">
      <c r="R2320" s="127">
        <f t="shared" si="147"/>
        <v>0</v>
      </c>
      <c r="T2320" s="128">
        <f t="shared" si="148"/>
        <v>0</v>
      </c>
      <c r="U2320" s="129" t="str">
        <f>IFERROR(IF(#REF!="S",VLOOKUP('Raw Data'!A2320,References!#REF!,2,FALSE),(VLOOKUP($S2320,References!$B$3:$C$7,2,FALSE))),"")</f>
        <v/>
      </c>
      <c r="W2320" s="74" t="str">
        <f>IFERROR(VLOOKUP($O2320,'Customer List'!$A$1:$J$488,10,FALSE),"")</f>
        <v/>
      </c>
    </row>
    <row r="2321" spans="18:23">
      <c r="R2321" s="127">
        <f t="shared" si="147"/>
        <v>0</v>
      </c>
      <c r="T2321" s="128">
        <f t="shared" si="148"/>
        <v>0</v>
      </c>
      <c r="U2321" s="129" t="str">
        <f>IFERROR(IF(#REF!="S",VLOOKUP('Raw Data'!A2321,References!#REF!,2,FALSE),(VLOOKUP($S2321,References!$B$3:$C$7,2,FALSE))),"")</f>
        <v/>
      </c>
      <c r="W2321" s="74" t="str">
        <f>IFERROR(VLOOKUP($O2321,'Customer List'!$A$1:$J$488,10,FALSE),"")</f>
        <v/>
      </c>
    </row>
    <row r="2322" spans="18:23">
      <c r="R2322" s="127">
        <f t="shared" si="147"/>
        <v>0</v>
      </c>
      <c r="T2322" s="128">
        <f t="shared" si="148"/>
        <v>0</v>
      </c>
      <c r="U2322" s="129" t="str">
        <f>IFERROR(IF(#REF!="S",VLOOKUP('Raw Data'!A2322,References!#REF!,2,FALSE),(VLOOKUP($S2322,References!$B$3:$C$7,2,FALSE))),"")</f>
        <v/>
      </c>
      <c r="W2322" s="74" t="str">
        <f>IFERROR(VLOOKUP($O2322,'Customer List'!$A$1:$J$488,10,FALSE),"")</f>
        <v/>
      </c>
    </row>
    <row r="2323" spans="18:23">
      <c r="R2323" s="127">
        <f t="shared" si="147"/>
        <v>0</v>
      </c>
      <c r="T2323" s="128">
        <f t="shared" si="148"/>
        <v>0</v>
      </c>
      <c r="U2323" s="129" t="str">
        <f>IFERROR(IF(#REF!="S",VLOOKUP('Raw Data'!A2323,References!#REF!,2,FALSE),(VLOOKUP($S2323,References!$B$3:$C$7,2,FALSE))),"")</f>
        <v/>
      </c>
      <c r="W2323" s="74" t="str">
        <f>IFERROR(VLOOKUP($O2323,'Customer List'!$A$1:$J$488,10,FALSE),"")</f>
        <v/>
      </c>
    </row>
    <row r="2324" spans="18:23">
      <c r="R2324" s="127">
        <f t="shared" si="147"/>
        <v>0</v>
      </c>
      <c r="T2324" s="128">
        <f t="shared" si="148"/>
        <v>0</v>
      </c>
      <c r="U2324" s="129" t="str">
        <f>IFERROR(IF(#REF!="S",VLOOKUP('Raw Data'!A2324,References!#REF!,2,FALSE),(VLOOKUP($S2324,References!$B$3:$C$7,2,FALSE))),"")</f>
        <v/>
      </c>
      <c r="W2324" s="74" t="str">
        <f>IFERROR(VLOOKUP($O2324,'Customer List'!$A$1:$J$488,10,FALSE),"")</f>
        <v/>
      </c>
    </row>
    <row r="2325" spans="18:23">
      <c r="R2325" s="127">
        <f t="shared" si="147"/>
        <v>0</v>
      </c>
      <c r="T2325" s="128">
        <f t="shared" si="148"/>
        <v>0</v>
      </c>
      <c r="U2325" s="129" t="str">
        <f>IFERROR(IF(#REF!="S",VLOOKUP('Raw Data'!A2325,References!#REF!,2,FALSE),(VLOOKUP($S2325,References!$B$3:$C$7,2,FALSE))),"")</f>
        <v/>
      </c>
      <c r="W2325" s="74" t="str">
        <f>IFERROR(VLOOKUP($O2325,'Customer List'!$A$1:$J$488,10,FALSE),"")</f>
        <v/>
      </c>
    </row>
    <row r="2326" spans="18:23">
      <c r="R2326" s="127">
        <f t="shared" si="147"/>
        <v>0</v>
      </c>
      <c r="T2326" s="128">
        <f t="shared" si="148"/>
        <v>0</v>
      </c>
      <c r="U2326" s="129" t="str">
        <f>IFERROR(IF(#REF!="S",VLOOKUP('Raw Data'!A2326,References!#REF!,2,FALSE),(VLOOKUP($S2326,References!$B$3:$C$7,2,FALSE))),"")</f>
        <v/>
      </c>
      <c r="W2326" s="74" t="str">
        <f>IFERROR(VLOOKUP($O2326,'Customer List'!$A$1:$J$488,10,FALSE),"")</f>
        <v/>
      </c>
    </row>
    <row r="2327" spans="18:23">
      <c r="R2327" s="127">
        <f t="shared" si="147"/>
        <v>0</v>
      </c>
      <c r="T2327" s="128">
        <f t="shared" si="148"/>
        <v>0</v>
      </c>
      <c r="U2327" s="129" t="str">
        <f>IFERROR(IF(#REF!="S",VLOOKUP('Raw Data'!A2327,References!#REF!,2,FALSE),(VLOOKUP($S2327,References!$B$3:$C$7,2,FALSE))),"")</f>
        <v/>
      </c>
      <c r="W2327" s="74" t="str">
        <f>IFERROR(VLOOKUP($O2327,'Customer List'!$A$1:$J$488,10,FALSE),"")</f>
        <v/>
      </c>
    </row>
    <row r="2328" spans="18:23">
      <c r="R2328" s="127">
        <f t="shared" si="147"/>
        <v>0</v>
      </c>
      <c r="T2328" s="128">
        <f t="shared" si="148"/>
        <v>0</v>
      </c>
      <c r="U2328" s="129" t="str">
        <f>IFERROR(IF(#REF!="S",VLOOKUP('Raw Data'!A2328,References!#REF!,2,FALSE),(VLOOKUP($S2328,References!$B$3:$C$7,2,FALSE))),"")</f>
        <v/>
      </c>
      <c r="W2328" s="74" t="str">
        <f>IFERROR(VLOOKUP($O2328,'Customer List'!$A$1:$J$488,10,FALSE),"")</f>
        <v/>
      </c>
    </row>
    <row r="2329" spans="18:23">
      <c r="R2329" s="127">
        <f t="shared" si="147"/>
        <v>0</v>
      </c>
      <c r="T2329" s="128">
        <f t="shared" si="148"/>
        <v>0</v>
      </c>
      <c r="U2329" s="129" t="str">
        <f>IFERROR(IF(#REF!="S",VLOOKUP('Raw Data'!A2329,References!#REF!,2,FALSE),(VLOOKUP($S2329,References!$B$3:$C$7,2,FALSE))),"")</f>
        <v/>
      </c>
      <c r="W2329" s="74" t="str">
        <f>IFERROR(VLOOKUP($O2329,'Customer List'!$A$1:$J$488,10,FALSE),"")</f>
        <v/>
      </c>
    </row>
    <row r="2330" spans="18:23">
      <c r="R2330" s="127">
        <f t="shared" si="147"/>
        <v>0</v>
      </c>
      <c r="T2330" s="128">
        <f t="shared" si="148"/>
        <v>0</v>
      </c>
      <c r="U2330" s="129" t="str">
        <f>IFERROR(IF(#REF!="S",VLOOKUP('Raw Data'!A2330,References!#REF!,2,FALSE),(VLOOKUP($S2330,References!$B$3:$C$7,2,FALSE))),"")</f>
        <v/>
      </c>
      <c r="W2330" s="74" t="str">
        <f>IFERROR(VLOOKUP($O2330,'Customer List'!$A$1:$J$488,10,FALSE),"")</f>
        <v/>
      </c>
    </row>
    <row r="2331" spans="18:23">
      <c r="R2331" s="127">
        <f t="shared" si="147"/>
        <v>0</v>
      </c>
      <c r="T2331" s="128">
        <f t="shared" si="148"/>
        <v>0</v>
      </c>
      <c r="U2331" s="129" t="str">
        <f>IFERROR(IF(#REF!="S",VLOOKUP('Raw Data'!A2331,References!#REF!,2,FALSE),(VLOOKUP($S2331,References!$B$3:$C$7,2,FALSE))),"")</f>
        <v/>
      </c>
      <c r="W2331" s="74" t="str">
        <f>IFERROR(VLOOKUP($O2331,'Customer List'!$A$1:$J$488,10,FALSE),"")</f>
        <v/>
      </c>
    </row>
    <row r="2332" spans="18:23">
      <c r="R2332" s="127">
        <f t="shared" si="147"/>
        <v>0</v>
      </c>
      <c r="T2332" s="128">
        <f t="shared" si="148"/>
        <v>0</v>
      </c>
      <c r="U2332" s="129" t="str">
        <f>IFERROR(IF(#REF!="S",VLOOKUP('Raw Data'!A2332,References!#REF!,2,FALSE),(VLOOKUP($S2332,References!$B$3:$C$7,2,FALSE))),"")</f>
        <v/>
      </c>
      <c r="W2332" s="74" t="str">
        <f>IFERROR(VLOOKUP($O2332,'Customer List'!$A$1:$J$488,10,FALSE),"")</f>
        <v/>
      </c>
    </row>
    <row r="2333" spans="18:23">
      <c r="R2333" s="127">
        <f t="shared" si="147"/>
        <v>0</v>
      </c>
      <c r="T2333" s="128">
        <f t="shared" si="148"/>
        <v>0</v>
      </c>
      <c r="U2333" s="129" t="str">
        <f>IFERROR(IF(#REF!="S",VLOOKUP('Raw Data'!A2333,References!#REF!,2,FALSE),(VLOOKUP($S2333,References!$B$3:$C$7,2,FALSE))),"")</f>
        <v/>
      </c>
      <c r="W2333" s="74" t="str">
        <f>IFERROR(VLOOKUP($O2333,'Customer List'!$A$1:$J$488,10,FALSE),"")</f>
        <v/>
      </c>
    </row>
    <row r="2334" spans="18:23">
      <c r="R2334" s="127">
        <f t="shared" si="147"/>
        <v>0</v>
      </c>
      <c r="T2334" s="128">
        <f t="shared" si="148"/>
        <v>0</v>
      </c>
      <c r="U2334" s="129" t="str">
        <f>IFERROR(IF(#REF!="S",VLOOKUP('Raw Data'!A2334,References!#REF!,2,FALSE),(VLOOKUP($S2334,References!$B$3:$C$7,2,FALSE))),"")</f>
        <v/>
      </c>
      <c r="W2334" s="74" t="str">
        <f>IFERROR(VLOOKUP($O2334,'Customer List'!$A$1:$J$488,10,FALSE),"")</f>
        <v/>
      </c>
    </row>
    <row r="2335" spans="18:23">
      <c r="R2335" s="127">
        <f t="shared" si="147"/>
        <v>0</v>
      </c>
      <c r="T2335" s="128">
        <f t="shared" si="148"/>
        <v>0</v>
      </c>
      <c r="U2335" s="129" t="str">
        <f>IFERROR(IF(#REF!="S",VLOOKUP('Raw Data'!A2335,References!#REF!,2,FALSE),(VLOOKUP($S2335,References!$B$3:$C$7,2,FALSE))),"")</f>
        <v/>
      </c>
      <c r="W2335" s="74" t="str">
        <f>IFERROR(VLOOKUP($O2335,'Customer List'!$A$1:$J$488,10,FALSE),"")</f>
        <v/>
      </c>
    </row>
    <row r="2336" spans="18:23">
      <c r="R2336" s="127">
        <f t="shared" si="147"/>
        <v>0</v>
      </c>
      <c r="T2336" s="128">
        <f t="shared" si="148"/>
        <v>0</v>
      </c>
      <c r="U2336" s="129" t="str">
        <f>IFERROR(IF(#REF!="S",VLOOKUP('Raw Data'!A2336,References!#REF!,2,FALSE),(VLOOKUP($S2336,References!$B$3:$C$7,2,FALSE))),"")</f>
        <v/>
      </c>
      <c r="W2336" s="74" t="str">
        <f>IFERROR(VLOOKUP($O2336,'Customer List'!$A$1:$J$488,10,FALSE),"")</f>
        <v/>
      </c>
    </row>
    <row r="2337" spans="18:23">
      <c r="R2337" s="127">
        <f t="shared" si="147"/>
        <v>0</v>
      </c>
      <c r="T2337" s="128">
        <f t="shared" si="148"/>
        <v>0</v>
      </c>
      <c r="U2337" s="129" t="str">
        <f>IFERROR(IF(#REF!="S",VLOOKUP('Raw Data'!A2337,References!#REF!,2,FALSE),(VLOOKUP($S2337,References!$B$3:$C$7,2,FALSE))),"")</f>
        <v/>
      </c>
      <c r="W2337" s="74" t="str">
        <f>IFERROR(VLOOKUP($O2337,'Customer List'!$A$1:$J$488,10,FALSE),"")</f>
        <v/>
      </c>
    </row>
    <row r="2338" spans="18:23">
      <c r="R2338" s="127">
        <f t="shared" si="147"/>
        <v>0</v>
      </c>
      <c r="T2338" s="128">
        <f t="shared" si="148"/>
        <v>0</v>
      </c>
      <c r="U2338" s="129" t="str">
        <f>IFERROR(IF(#REF!="S",VLOOKUP('Raw Data'!A2338,References!#REF!,2,FALSE),(VLOOKUP($S2338,References!$B$3:$C$7,2,FALSE))),"")</f>
        <v/>
      </c>
      <c r="W2338" s="74" t="str">
        <f>IFERROR(VLOOKUP($O2338,'Customer List'!$A$1:$J$488,10,FALSE),"")</f>
        <v/>
      </c>
    </row>
    <row r="2339" spans="18:23">
      <c r="R2339" s="127">
        <f t="shared" si="147"/>
        <v>0</v>
      </c>
      <c r="T2339" s="128">
        <f t="shared" si="148"/>
        <v>0</v>
      </c>
      <c r="U2339" s="129" t="str">
        <f>IFERROR(IF(#REF!="S",VLOOKUP('Raw Data'!A2339,References!#REF!,2,FALSE),(VLOOKUP($S2339,References!$B$3:$C$7,2,FALSE))),"")</f>
        <v/>
      </c>
      <c r="W2339" s="74" t="str">
        <f>IFERROR(VLOOKUP($O2339,'Customer List'!$A$1:$J$488,10,FALSE),"")</f>
        <v/>
      </c>
    </row>
    <row r="2340" spans="18:23">
      <c r="R2340" s="127">
        <f t="shared" si="147"/>
        <v>0</v>
      </c>
      <c r="T2340" s="128">
        <f t="shared" si="148"/>
        <v>0</v>
      </c>
      <c r="U2340" s="129" t="str">
        <f>IFERROR(IF(#REF!="S",VLOOKUP('Raw Data'!A2340,References!#REF!,2,FALSE),(VLOOKUP($S2340,References!$B$3:$C$7,2,FALSE))),"")</f>
        <v/>
      </c>
      <c r="W2340" s="74" t="str">
        <f>IFERROR(VLOOKUP($O2340,'Customer List'!$A$1:$J$488,10,FALSE),"")</f>
        <v/>
      </c>
    </row>
    <row r="2341" spans="18:23">
      <c r="R2341" s="127">
        <f t="shared" si="147"/>
        <v>0</v>
      </c>
      <c r="T2341" s="128">
        <f t="shared" si="148"/>
        <v>0</v>
      </c>
      <c r="U2341" s="129" t="str">
        <f>IFERROR(IF(#REF!="S",VLOOKUP('Raw Data'!A2341,References!#REF!,2,FALSE),(VLOOKUP($S2341,References!$B$3:$C$7,2,FALSE))),"")</f>
        <v/>
      </c>
      <c r="W2341" s="74" t="str">
        <f>IFERROR(VLOOKUP($O2341,'Customer List'!$A$1:$J$488,10,FALSE),"")</f>
        <v/>
      </c>
    </row>
    <row r="2342" spans="18:23">
      <c r="R2342" s="127">
        <f t="shared" ref="R2342:R2401" si="149">L2342-K2342</f>
        <v>0</v>
      </c>
      <c r="T2342" s="128">
        <f t="shared" si="148"/>
        <v>0</v>
      </c>
      <c r="U2342" s="129" t="str">
        <f>IFERROR(IF(#REF!="S",VLOOKUP('Raw Data'!A2342,References!#REF!,2,FALSE),(VLOOKUP($S2342,References!$B$3:$C$7,2,FALSE))),"")</f>
        <v/>
      </c>
      <c r="W2342" s="74" t="str">
        <f>IFERROR(VLOOKUP($O2342,'Customer List'!$A$1:$J$488,10,FALSE),"")</f>
        <v/>
      </c>
    </row>
    <row r="2343" spans="18:23">
      <c r="R2343" s="127">
        <f t="shared" si="149"/>
        <v>0</v>
      </c>
      <c r="T2343" s="128">
        <f t="shared" si="148"/>
        <v>0</v>
      </c>
      <c r="U2343" s="129" t="str">
        <f>IFERROR(IF(#REF!="S",VLOOKUP('Raw Data'!A2343,References!#REF!,2,FALSE),(VLOOKUP($S2343,References!$B$3:$C$7,2,FALSE))),"")</f>
        <v/>
      </c>
      <c r="W2343" s="74" t="str">
        <f>IFERROR(VLOOKUP($O2343,'Customer List'!$A$1:$J$488,10,FALSE),"")</f>
        <v/>
      </c>
    </row>
    <row r="2344" spans="18:23">
      <c r="R2344" s="127">
        <f t="shared" si="149"/>
        <v>0</v>
      </c>
      <c r="T2344" s="128">
        <f t="shared" si="148"/>
        <v>0</v>
      </c>
      <c r="U2344" s="129" t="str">
        <f>IFERROR(IF(#REF!="S",VLOOKUP('Raw Data'!A2344,References!#REF!,2,FALSE),(VLOOKUP($S2344,References!$B$3:$C$7,2,FALSE))),"")</f>
        <v/>
      </c>
      <c r="W2344" s="74" t="str">
        <f>IFERROR(VLOOKUP($O2344,'Customer List'!$A$1:$J$488,10,FALSE),"")</f>
        <v/>
      </c>
    </row>
    <row r="2345" spans="18:23">
      <c r="R2345" s="127">
        <f t="shared" si="149"/>
        <v>0</v>
      </c>
      <c r="T2345" s="128">
        <f t="shared" si="148"/>
        <v>0</v>
      </c>
      <c r="U2345" s="129" t="str">
        <f>IFERROR(IF(#REF!="S",VLOOKUP('Raw Data'!A2345,References!#REF!,2,FALSE),(VLOOKUP($S2345,References!$B$3:$C$7,2,FALSE))),"")</f>
        <v/>
      </c>
      <c r="W2345" s="74" t="str">
        <f>IFERROR(VLOOKUP($O2345,'Customer List'!$A$1:$J$488,10,FALSE),"")</f>
        <v/>
      </c>
    </row>
    <row r="2346" spans="18:23">
      <c r="R2346" s="127">
        <f t="shared" si="149"/>
        <v>0</v>
      </c>
      <c r="T2346" s="128">
        <f t="shared" si="148"/>
        <v>0</v>
      </c>
      <c r="U2346" s="129" t="str">
        <f>IFERROR(IF(#REF!="S",VLOOKUP('Raw Data'!A2346,References!#REF!,2,FALSE),(VLOOKUP($S2346,References!$B$3:$C$7,2,FALSE))),"")</f>
        <v/>
      </c>
      <c r="W2346" s="74" t="str">
        <f>IFERROR(VLOOKUP($O2346,'Customer List'!$A$1:$J$488,10,FALSE),"")</f>
        <v/>
      </c>
    </row>
    <row r="2347" spans="18:23">
      <c r="R2347" s="127">
        <f t="shared" si="149"/>
        <v>0</v>
      </c>
      <c r="T2347" s="128">
        <f t="shared" si="148"/>
        <v>0</v>
      </c>
      <c r="U2347" s="129" t="str">
        <f>IFERROR(IF(#REF!="S",VLOOKUP('Raw Data'!A2347,References!#REF!,2,FALSE),(VLOOKUP($S2347,References!$B$3:$C$7,2,FALSE))),"")</f>
        <v/>
      </c>
      <c r="W2347" s="74" t="str">
        <f>IFERROR(VLOOKUP($O2347,'Customer List'!$A$1:$J$488,10,FALSE),"")</f>
        <v/>
      </c>
    </row>
    <row r="2348" spans="18:23">
      <c r="R2348" s="127">
        <f t="shared" si="149"/>
        <v>0</v>
      </c>
      <c r="T2348" s="128">
        <f t="shared" si="148"/>
        <v>0</v>
      </c>
      <c r="U2348" s="129" t="str">
        <f>IFERROR(IF(#REF!="S",VLOOKUP('Raw Data'!A2348,References!#REF!,2,FALSE),(VLOOKUP($S2348,References!$B$3:$C$7,2,FALSE))),"")</f>
        <v/>
      </c>
      <c r="W2348" s="74" t="str">
        <f>IFERROR(VLOOKUP($O2348,'Customer List'!$A$1:$J$488,10,FALSE),"")</f>
        <v/>
      </c>
    </row>
    <row r="2349" spans="18:23">
      <c r="R2349" s="127">
        <f t="shared" si="149"/>
        <v>0</v>
      </c>
      <c r="T2349" s="128">
        <f t="shared" si="148"/>
        <v>0</v>
      </c>
      <c r="U2349" s="129" t="str">
        <f>IFERROR(IF(#REF!="S",VLOOKUP('Raw Data'!A2349,References!#REF!,2,FALSE),(VLOOKUP($S2349,References!$B$3:$C$7,2,FALSE))),"")</f>
        <v/>
      </c>
      <c r="W2349" s="74" t="str">
        <f>IFERROR(VLOOKUP($O2349,'Customer List'!$A$1:$J$488,10,FALSE),"")</f>
        <v/>
      </c>
    </row>
    <row r="2350" spans="18:23">
      <c r="R2350" s="127">
        <f t="shared" si="149"/>
        <v>0</v>
      </c>
      <c r="T2350" s="128">
        <f t="shared" si="148"/>
        <v>0</v>
      </c>
      <c r="U2350" s="129" t="str">
        <f>IFERROR(IF(#REF!="S",VLOOKUP('Raw Data'!A2350,References!#REF!,2,FALSE),(VLOOKUP($S2350,References!$B$3:$C$7,2,FALSE))),"")</f>
        <v/>
      </c>
      <c r="W2350" s="74" t="str">
        <f>IFERROR(VLOOKUP($O2350,'Customer List'!$A$1:$J$488,10,FALSE),"")</f>
        <v/>
      </c>
    </row>
    <row r="2351" spans="18:23">
      <c r="R2351" s="127">
        <f t="shared" si="149"/>
        <v>0</v>
      </c>
      <c r="T2351" s="128">
        <f t="shared" si="148"/>
        <v>0</v>
      </c>
      <c r="U2351" s="129" t="str">
        <f>IFERROR(IF(#REF!="S",VLOOKUP('Raw Data'!A2351,References!#REF!,2,FALSE),(VLOOKUP($S2351,References!$B$3:$C$7,2,FALSE))),"")</f>
        <v/>
      </c>
      <c r="W2351" s="74" t="str">
        <f>IFERROR(VLOOKUP($O2351,'Customer List'!$A$1:$J$488,10,FALSE),"")</f>
        <v/>
      </c>
    </row>
    <row r="2352" spans="18:23">
      <c r="R2352" s="127">
        <f t="shared" si="149"/>
        <v>0</v>
      </c>
      <c r="T2352" s="128">
        <f t="shared" si="148"/>
        <v>0</v>
      </c>
      <c r="U2352" s="129" t="str">
        <f>IFERROR(IF(#REF!="S",VLOOKUP('Raw Data'!A2352,References!#REF!,2,FALSE),(VLOOKUP($S2352,References!$B$3:$C$7,2,FALSE))),"")</f>
        <v/>
      </c>
      <c r="W2352" s="74" t="str">
        <f>IFERROR(VLOOKUP($O2352,'Customer List'!$A$1:$J$488,10,FALSE),"")</f>
        <v/>
      </c>
    </row>
    <row r="2353" spans="18:23">
      <c r="R2353" s="127">
        <f t="shared" si="149"/>
        <v>0</v>
      </c>
      <c r="T2353" s="128">
        <f t="shared" si="148"/>
        <v>0</v>
      </c>
      <c r="U2353" s="129" t="str">
        <f>IFERROR(IF(#REF!="S",VLOOKUP('Raw Data'!A2353,References!#REF!,2,FALSE),(VLOOKUP($S2353,References!$B$3:$C$7,2,FALSE))),"")</f>
        <v/>
      </c>
      <c r="W2353" s="74" t="str">
        <f>IFERROR(VLOOKUP($O2353,'Customer List'!$A$1:$J$488,10,FALSE),"")</f>
        <v/>
      </c>
    </row>
    <row r="2354" spans="18:23">
      <c r="R2354" s="127">
        <f t="shared" si="149"/>
        <v>0</v>
      </c>
      <c r="T2354" s="128">
        <f t="shared" si="148"/>
        <v>0</v>
      </c>
      <c r="U2354" s="129" t="str">
        <f>IFERROR(IF(#REF!="S",VLOOKUP('Raw Data'!A2354,References!#REF!,2,FALSE),(VLOOKUP($S2354,References!$B$3:$C$7,2,FALSE))),"")</f>
        <v/>
      </c>
      <c r="W2354" s="74" t="str">
        <f>IFERROR(VLOOKUP($O2354,'Customer List'!$A$1:$J$488,10,FALSE),"")</f>
        <v/>
      </c>
    </row>
    <row r="2355" spans="18:23">
      <c r="R2355" s="127">
        <f t="shared" si="149"/>
        <v>0</v>
      </c>
      <c r="T2355" s="128">
        <f t="shared" si="148"/>
        <v>0</v>
      </c>
      <c r="U2355" s="129" t="str">
        <f>IFERROR(IF(#REF!="S",VLOOKUP('Raw Data'!A2355,References!#REF!,2,FALSE),(VLOOKUP($S2355,References!$B$3:$C$7,2,FALSE))),"")</f>
        <v/>
      </c>
      <c r="W2355" s="74" t="str">
        <f>IFERROR(VLOOKUP($O2355,'Customer List'!$A$1:$J$488,10,FALSE),"")</f>
        <v/>
      </c>
    </row>
    <row r="2356" spans="18:23">
      <c r="R2356" s="127">
        <f t="shared" si="149"/>
        <v>0</v>
      </c>
      <c r="T2356" s="128">
        <f t="shared" si="148"/>
        <v>0</v>
      </c>
      <c r="U2356" s="129" t="str">
        <f>IFERROR(IF(#REF!="S",VLOOKUP('Raw Data'!A2356,References!#REF!,2,FALSE),(VLOOKUP($S2356,References!$B$3:$C$7,2,FALSE))),"")</f>
        <v/>
      </c>
      <c r="W2356" s="74" t="str">
        <f>IFERROR(VLOOKUP($O2356,'Customer List'!$A$1:$J$488,10,FALSE),"")</f>
        <v/>
      </c>
    </row>
    <row r="2357" spans="18:23">
      <c r="R2357" s="127">
        <f t="shared" si="149"/>
        <v>0</v>
      </c>
      <c r="T2357" s="128">
        <f t="shared" si="148"/>
        <v>0</v>
      </c>
      <c r="U2357" s="129" t="str">
        <f>IFERROR(IF(#REF!="S",VLOOKUP('Raw Data'!A2357,References!#REF!,2,FALSE),(VLOOKUP($S2357,References!$B$3:$C$7,2,FALSE))),"")</f>
        <v/>
      </c>
      <c r="W2357" s="74" t="str">
        <f>IFERROR(VLOOKUP($O2357,'Customer List'!$A$1:$J$488,10,FALSE),"")</f>
        <v/>
      </c>
    </row>
    <row r="2358" spans="18:23">
      <c r="R2358" s="127">
        <f t="shared" si="149"/>
        <v>0</v>
      </c>
      <c r="T2358" s="128">
        <f t="shared" si="148"/>
        <v>0</v>
      </c>
      <c r="U2358" s="129" t="str">
        <f>IFERROR(IF(#REF!="S",VLOOKUP('Raw Data'!A2358,References!#REF!,2,FALSE),(VLOOKUP($S2358,References!$B$3:$C$7,2,FALSE))),"")</f>
        <v/>
      </c>
      <c r="W2358" s="74" t="str">
        <f>IFERROR(VLOOKUP($O2358,'Customer List'!$A$1:$J$488,10,FALSE),"")</f>
        <v/>
      </c>
    </row>
    <row r="2359" spans="18:23">
      <c r="R2359" s="127">
        <f t="shared" si="149"/>
        <v>0</v>
      </c>
      <c r="T2359" s="128">
        <f t="shared" si="148"/>
        <v>0</v>
      </c>
      <c r="U2359" s="129" t="str">
        <f>IFERROR(IF(#REF!="S",VLOOKUP('Raw Data'!A2359,References!#REF!,2,FALSE),(VLOOKUP($S2359,References!$B$3:$C$7,2,FALSE))),"")</f>
        <v/>
      </c>
      <c r="W2359" s="74" t="str">
        <f>IFERROR(VLOOKUP($O2359,'Customer List'!$A$1:$J$488,10,FALSE),"")</f>
        <v/>
      </c>
    </row>
    <row r="2360" spans="18:23">
      <c r="R2360" s="127">
        <f t="shared" si="149"/>
        <v>0</v>
      </c>
      <c r="T2360" s="128">
        <f t="shared" si="148"/>
        <v>0</v>
      </c>
      <c r="U2360" s="129" t="str">
        <f>IFERROR(IF(#REF!="S",VLOOKUP('Raw Data'!A2360,References!#REF!,2,FALSE),(VLOOKUP($S2360,References!$B$3:$C$7,2,FALSE))),"")</f>
        <v/>
      </c>
      <c r="W2360" s="74" t="str">
        <f>IFERROR(VLOOKUP($O2360,'Customer List'!$A$1:$J$488,10,FALSE),"")</f>
        <v/>
      </c>
    </row>
    <row r="2361" spans="18:23">
      <c r="R2361" s="127">
        <f t="shared" si="149"/>
        <v>0</v>
      </c>
      <c r="T2361" s="128">
        <f t="shared" si="148"/>
        <v>0</v>
      </c>
      <c r="U2361" s="129" t="str">
        <f>IFERROR(IF(#REF!="S",VLOOKUP('Raw Data'!A2361,References!#REF!,2,FALSE),(VLOOKUP($S2361,References!$B$3:$C$7,2,FALSE))),"")</f>
        <v/>
      </c>
      <c r="W2361" s="74" t="str">
        <f>IFERROR(VLOOKUP($O2361,'Customer List'!$A$1:$J$488,10,FALSE),"")</f>
        <v/>
      </c>
    </row>
    <row r="2362" spans="18:23">
      <c r="R2362" s="127">
        <f t="shared" si="149"/>
        <v>0</v>
      </c>
      <c r="T2362" s="128">
        <f t="shared" si="148"/>
        <v>0</v>
      </c>
      <c r="U2362" s="129" t="str">
        <f>IFERROR(IF(#REF!="S",VLOOKUP('Raw Data'!A2362,References!#REF!,2,FALSE),(VLOOKUP($S2362,References!$B$3:$C$7,2,FALSE))),"")</f>
        <v/>
      </c>
      <c r="W2362" s="74" t="str">
        <f>IFERROR(VLOOKUP($O2362,'Customer List'!$A$1:$J$488,10,FALSE),"")</f>
        <v/>
      </c>
    </row>
    <row r="2363" spans="18:23">
      <c r="R2363" s="127">
        <f t="shared" si="149"/>
        <v>0</v>
      </c>
      <c r="T2363" s="128">
        <f t="shared" si="148"/>
        <v>0</v>
      </c>
      <c r="U2363" s="129" t="str">
        <f>IFERROR(IF(#REF!="S",VLOOKUP('Raw Data'!A2363,References!#REF!,2,FALSE),(VLOOKUP($S2363,References!$B$3:$C$7,2,FALSE))),"")</f>
        <v/>
      </c>
      <c r="W2363" s="74" t="str">
        <f>IFERROR(VLOOKUP($O2363,'Customer List'!$A$1:$J$488,10,FALSE),"")</f>
        <v/>
      </c>
    </row>
    <row r="2364" spans="18:23">
      <c r="R2364" s="127">
        <f t="shared" si="149"/>
        <v>0</v>
      </c>
      <c r="T2364" s="128">
        <f t="shared" si="148"/>
        <v>0</v>
      </c>
      <c r="U2364" s="129" t="str">
        <f>IFERROR(IF(#REF!="S",VLOOKUP('Raw Data'!A2364,References!#REF!,2,FALSE),(VLOOKUP($S2364,References!$B$3:$C$7,2,FALSE))),"")</f>
        <v/>
      </c>
      <c r="W2364" s="74" t="str">
        <f>IFERROR(VLOOKUP($O2364,'Customer List'!$A$1:$J$488,10,FALSE),"")</f>
        <v/>
      </c>
    </row>
    <row r="2365" spans="18:23">
      <c r="R2365" s="127">
        <f t="shared" si="149"/>
        <v>0</v>
      </c>
      <c r="T2365" s="128">
        <f t="shared" si="148"/>
        <v>0</v>
      </c>
      <c r="U2365" s="129" t="str">
        <f>IFERROR(IF(#REF!="S",VLOOKUP('Raw Data'!A2365,References!#REF!,2,FALSE),(VLOOKUP($S2365,References!$B$3:$C$7,2,FALSE))),"")</f>
        <v/>
      </c>
      <c r="W2365" s="74" t="str">
        <f>IFERROR(VLOOKUP($O2365,'Customer List'!$A$1:$J$488,10,FALSE),"")</f>
        <v/>
      </c>
    </row>
    <row r="2366" spans="18:23">
      <c r="R2366" s="127">
        <f t="shared" si="149"/>
        <v>0</v>
      </c>
      <c r="T2366" s="128">
        <f t="shared" si="148"/>
        <v>0</v>
      </c>
      <c r="U2366" s="129" t="str">
        <f>IFERROR(IF(#REF!="S",VLOOKUP('Raw Data'!A2366,References!#REF!,2,FALSE),(VLOOKUP($S2366,References!$B$3:$C$7,2,FALSE))),"")</f>
        <v/>
      </c>
      <c r="W2366" s="74" t="str">
        <f>IFERROR(VLOOKUP($O2366,'Customer List'!$A$1:$J$488,10,FALSE),"")</f>
        <v/>
      </c>
    </row>
    <row r="2367" spans="18:23">
      <c r="R2367" s="127">
        <f t="shared" si="149"/>
        <v>0</v>
      </c>
      <c r="T2367" s="128">
        <f t="shared" si="148"/>
        <v>0</v>
      </c>
      <c r="U2367" s="129" t="str">
        <f>IFERROR(IF(#REF!="S",VLOOKUP('Raw Data'!A2367,References!#REF!,2,FALSE),(VLOOKUP($S2367,References!$B$3:$C$7,2,FALSE))),"")</f>
        <v/>
      </c>
      <c r="W2367" s="74" t="str">
        <f>IFERROR(VLOOKUP($O2367,'Customer List'!$A$1:$J$488,10,FALSE),"")</f>
        <v/>
      </c>
    </row>
    <row r="2368" spans="18:23">
      <c r="R2368" s="127">
        <f t="shared" si="149"/>
        <v>0</v>
      </c>
      <c r="T2368" s="128">
        <f t="shared" si="148"/>
        <v>0</v>
      </c>
      <c r="U2368" s="129" t="str">
        <f>IFERROR(IF(#REF!="S",VLOOKUP('Raw Data'!A2368,References!#REF!,2,FALSE),(VLOOKUP($S2368,References!$B$3:$C$7,2,FALSE))),"")</f>
        <v/>
      </c>
      <c r="W2368" s="74" t="str">
        <f>IFERROR(VLOOKUP($O2368,'Customer List'!$A$1:$J$488,10,FALSE),"")</f>
        <v/>
      </c>
    </row>
    <row r="2369" spans="18:23">
      <c r="R2369" s="127">
        <f t="shared" si="149"/>
        <v>0</v>
      </c>
      <c r="T2369" s="128">
        <f t="shared" si="148"/>
        <v>0</v>
      </c>
      <c r="U2369" s="129" t="str">
        <f>IFERROR(IF(#REF!="S",VLOOKUP('Raw Data'!A2369,References!#REF!,2,FALSE),(VLOOKUP($S2369,References!$B$3:$C$7,2,FALSE))),"")</f>
        <v/>
      </c>
      <c r="W2369" s="74" t="str">
        <f>IFERROR(VLOOKUP($O2369,'Customer List'!$A$1:$J$488,10,FALSE),"")</f>
        <v/>
      </c>
    </row>
    <row r="2370" spans="18:23">
      <c r="R2370" s="127">
        <f t="shared" si="149"/>
        <v>0</v>
      </c>
      <c r="T2370" s="128">
        <f t="shared" si="148"/>
        <v>0</v>
      </c>
      <c r="U2370" s="129" t="str">
        <f>IFERROR(IF(#REF!="S",VLOOKUP('Raw Data'!A2370,References!#REF!,2,FALSE),(VLOOKUP($S2370,References!$B$3:$C$7,2,FALSE))),"")</f>
        <v/>
      </c>
      <c r="W2370" s="74" t="str">
        <f>IFERROR(VLOOKUP($O2370,'Customer List'!$A$1:$J$488,10,FALSE),"")</f>
        <v/>
      </c>
    </row>
    <row r="2371" spans="18:23">
      <c r="R2371" s="127">
        <f t="shared" si="149"/>
        <v>0</v>
      </c>
      <c r="T2371" s="128">
        <f t="shared" si="148"/>
        <v>0</v>
      </c>
      <c r="U2371" s="129" t="str">
        <f>IFERROR(IF(#REF!="S",VLOOKUP('Raw Data'!A2371,References!#REF!,2,FALSE),(VLOOKUP($S2371,References!$B$3:$C$7,2,FALSE))),"")</f>
        <v/>
      </c>
      <c r="W2371" s="74" t="str">
        <f>IFERROR(VLOOKUP($O2371,'Customer List'!$A$1:$J$488,10,FALSE),"")</f>
        <v/>
      </c>
    </row>
    <row r="2372" spans="18:23">
      <c r="R2372" s="127">
        <f t="shared" si="149"/>
        <v>0</v>
      </c>
      <c r="T2372" s="128">
        <f t="shared" si="148"/>
        <v>0</v>
      </c>
      <c r="U2372" s="129" t="str">
        <f>IFERROR(IF(#REF!="S",VLOOKUP('Raw Data'!A2372,References!#REF!,2,FALSE),(VLOOKUP($S2372,References!$B$3:$C$7,2,FALSE))),"")</f>
        <v/>
      </c>
      <c r="W2372" s="74" t="str">
        <f>IFERROR(VLOOKUP($O2372,'Customer List'!$A$1:$J$488,10,FALSE),"")</f>
        <v/>
      </c>
    </row>
    <row r="2373" spans="18:23">
      <c r="R2373" s="127">
        <f t="shared" si="149"/>
        <v>0</v>
      </c>
      <c r="T2373" s="128">
        <f t="shared" si="148"/>
        <v>0</v>
      </c>
      <c r="U2373" s="129" t="str">
        <f>IFERROR(IF(#REF!="S",VLOOKUP('Raw Data'!A2373,References!#REF!,2,FALSE),(VLOOKUP($S2373,References!$B$3:$C$7,2,FALSE))),"")</f>
        <v/>
      </c>
      <c r="W2373" s="74" t="str">
        <f>IFERROR(VLOOKUP($O2373,'Customer List'!$A$1:$J$488,10,FALSE),"")</f>
        <v/>
      </c>
    </row>
    <row r="2374" spans="18:23">
      <c r="R2374" s="127">
        <f t="shared" si="149"/>
        <v>0</v>
      </c>
      <c r="T2374" s="128">
        <f t="shared" si="148"/>
        <v>0</v>
      </c>
      <c r="U2374" s="129" t="str">
        <f>IFERROR(IF(#REF!="S",VLOOKUP('Raw Data'!A2374,References!#REF!,2,FALSE),(VLOOKUP($S2374,References!$B$3:$C$7,2,FALSE))),"")</f>
        <v/>
      </c>
      <c r="W2374" s="74" t="str">
        <f>IFERROR(VLOOKUP($O2374,'Customer List'!$A$1:$J$488,10,FALSE),"")</f>
        <v/>
      </c>
    </row>
    <row r="2375" spans="18:23">
      <c r="R2375" s="127">
        <f t="shared" si="149"/>
        <v>0</v>
      </c>
      <c r="T2375" s="128">
        <f t="shared" si="148"/>
        <v>0</v>
      </c>
      <c r="U2375" s="129" t="str">
        <f>IFERROR(IF(#REF!="S",VLOOKUP('Raw Data'!A2375,References!#REF!,2,FALSE),(VLOOKUP($S2375,References!$B$3:$C$7,2,FALSE))),"")</f>
        <v/>
      </c>
      <c r="W2375" s="74" t="str">
        <f>IFERROR(VLOOKUP($O2375,'Customer List'!$A$1:$J$488,10,FALSE),"")</f>
        <v/>
      </c>
    </row>
    <row r="2376" spans="18:23">
      <c r="R2376" s="127">
        <f t="shared" si="149"/>
        <v>0</v>
      </c>
      <c r="T2376" s="128">
        <f t="shared" si="148"/>
        <v>0</v>
      </c>
      <c r="U2376" s="129" t="str">
        <f>IFERROR(IF(#REF!="S",VLOOKUP('Raw Data'!A2376,References!#REF!,2,FALSE),(VLOOKUP($S2376,References!$B$3:$C$7,2,FALSE))),"")</f>
        <v/>
      </c>
      <c r="W2376" s="74" t="str">
        <f>IFERROR(VLOOKUP($O2376,'Customer List'!$A$1:$J$488,10,FALSE),"")</f>
        <v/>
      </c>
    </row>
    <row r="2377" spans="18:23">
      <c r="R2377" s="127">
        <f t="shared" si="149"/>
        <v>0</v>
      </c>
      <c r="T2377" s="128">
        <f t="shared" si="148"/>
        <v>0</v>
      </c>
      <c r="U2377" s="129" t="str">
        <f>IFERROR(IF(#REF!="S",VLOOKUP('Raw Data'!A2377,References!#REF!,2,FALSE),(VLOOKUP($S2377,References!$B$3:$C$7,2,FALSE))),"")</f>
        <v/>
      </c>
      <c r="W2377" s="74" t="str">
        <f>IFERROR(VLOOKUP($O2377,'Customer List'!$A$1:$J$488,10,FALSE),"")</f>
        <v/>
      </c>
    </row>
    <row r="2378" spans="18:23">
      <c r="R2378" s="127">
        <f t="shared" si="149"/>
        <v>0</v>
      </c>
      <c r="T2378" s="128">
        <f t="shared" ref="T2378:T2441" si="150">IF(S2378="50 - Cleaning Fee",1,HOUR($R2378)+MINUTE(R2378)/60)</f>
        <v>0</v>
      </c>
      <c r="U2378" s="129" t="str">
        <f>IFERROR(IF(#REF!="S",VLOOKUP('Raw Data'!A2378,References!#REF!,2,FALSE),(VLOOKUP($S2378,References!$B$3:$C$7,2,FALSE))),"")</f>
        <v/>
      </c>
      <c r="W2378" s="74" t="str">
        <f>IFERROR(VLOOKUP($O2378,'Customer List'!$A$1:$J$488,10,FALSE),"")</f>
        <v/>
      </c>
    </row>
    <row r="2379" spans="18:23">
      <c r="R2379" s="127">
        <f t="shared" si="149"/>
        <v>0</v>
      </c>
      <c r="T2379" s="128">
        <f t="shared" si="150"/>
        <v>0</v>
      </c>
      <c r="U2379" s="129" t="str">
        <f>IFERROR(IF(#REF!="S",VLOOKUP('Raw Data'!A2379,References!#REF!,2,FALSE),(VLOOKUP($S2379,References!$B$3:$C$7,2,FALSE))),"")</f>
        <v/>
      </c>
      <c r="W2379" s="74" t="str">
        <f>IFERROR(VLOOKUP($O2379,'Customer List'!$A$1:$J$488,10,FALSE),"")</f>
        <v/>
      </c>
    </row>
    <row r="2380" spans="18:23">
      <c r="R2380" s="127">
        <f t="shared" si="149"/>
        <v>0</v>
      </c>
      <c r="T2380" s="128">
        <f t="shared" si="150"/>
        <v>0</v>
      </c>
      <c r="U2380" s="129" t="str">
        <f>IFERROR(IF(#REF!="S",VLOOKUP('Raw Data'!A2380,References!#REF!,2,FALSE),(VLOOKUP($S2380,References!$B$3:$C$7,2,FALSE))),"")</f>
        <v/>
      </c>
      <c r="W2380" s="74" t="str">
        <f>IFERROR(VLOOKUP($O2380,'Customer List'!$A$1:$J$488,10,FALSE),"")</f>
        <v/>
      </c>
    </row>
    <row r="2381" spans="18:23">
      <c r="R2381" s="127">
        <f t="shared" si="149"/>
        <v>0</v>
      </c>
      <c r="T2381" s="128">
        <f t="shared" si="150"/>
        <v>0</v>
      </c>
      <c r="U2381" s="129" t="str">
        <f>IFERROR(IF(#REF!="S",VLOOKUP('Raw Data'!A2381,References!#REF!,2,FALSE),(VLOOKUP($S2381,References!$B$3:$C$7,2,FALSE))),"")</f>
        <v/>
      </c>
      <c r="W2381" s="74" t="str">
        <f>IFERROR(VLOOKUP($O2381,'Customer List'!$A$1:$J$488,10,FALSE),"")</f>
        <v/>
      </c>
    </row>
    <row r="2382" spans="18:23">
      <c r="R2382" s="127">
        <f t="shared" si="149"/>
        <v>0</v>
      </c>
      <c r="T2382" s="128">
        <f t="shared" si="150"/>
        <v>0</v>
      </c>
      <c r="U2382" s="129" t="str">
        <f>IFERROR(IF(#REF!="S",VLOOKUP('Raw Data'!A2382,References!#REF!,2,FALSE),(VLOOKUP($S2382,References!$B$3:$C$7,2,FALSE))),"")</f>
        <v/>
      </c>
      <c r="W2382" s="74" t="str">
        <f>IFERROR(VLOOKUP($O2382,'Customer List'!$A$1:$J$488,10,FALSE),"")</f>
        <v/>
      </c>
    </row>
    <row r="2383" spans="18:23">
      <c r="R2383" s="127">
        <f t="shared" si="149"/>
        <v>0</v>
      </c>
      <c r="T2383" s="128">
        <f t="shared" si="150"/>
        <v>0</v>
      </c>
      <c r="U2383" s="129" t="str">
        <f>IFERROR(IF(#REF!="S",VLOOKUP('Raw Data'!A2383,References!#REF!,2,FALSE),(VLOOKUP($S2383,References!$B$3:$C$7,2,FALSE))),"")</f>
        <v/>
      </c>
      <c r="W2383" s="74" t="str">
        <f>IFERROR(VLOOKUP($O2383,'Customer List'!$A$1:$J$488,10,FALSE),"")</f>
        <v/>
      </c>
    </row>
    <row r="2384" spans="18:23">
      <c r="R2384" s="127">
        <f t="shared" si="149"/>
        <v>0</v>
      </c>
      <c r="T2384" s="128">
        <f t="shared" si="150"/>
        <v>0</v>
      </c>
      <c r="U2384" s="129" t="str">
        <f>IFERROR(IF(#REF!="S",VLOOKUP('Raw Data'!A2384,References!#REF!,2,FALSE),(VLOOKUP($S2384,References!$B$3:$C$7,2,FALSE))),"")</f>
        <v/>
      </c>
      <c r="W2384" s="74" t="str">
        <f>IFERROR(VLOOKUP($O2384,'Customer List'!$A$1:$J$488,10,FALSE),"")</f>
        <v/>
      </c>
    </row>
    <row r="2385" spans="18:23">
      <c r="R2385" s="127">
        <f t="shared" si="149"/>
        <v>0</v>
      </c>
      <c r="T2385" s="128">
        <f t="shared" si="150"/>
        <v>0</v>
      </c>
      <c r="U2385" s="129" t="str">
        <f>IFERROR(IF(#REF!="S",VLOOKUP('Raw Data'!A2385,References!#REF!,2,FALSE),(VLOOKUP($S2385,References!$B$3:$C$7,2,FALSE))),"")</f>
        <v/>
      </c>
      <c r="W2385" s="74" t="str">
        <f>IFERROR(VLOOKUP($O2385,'Customer List'!$A$1:$J$488,10,FALSE),"")</f>
        <v/>
      </c>
    </row>
    <row r="2386" spans="18:23">
      <c r="R2386" s="127">
        <f t="shared" si="149"/>
        <v>0</v>
      </c>
      <c r="T2386" s="128">
        <f t="shared" si="150"/>
        <v>0</v>
      </c>
      <c r="U2386" s="129" t="str">
        <f>IFERROR(IF(#REF!="S",VLOOKUP('Raw Data'!A2386,References!#REF!,2,FALSE),(VLOOKUP($S2386,References!$B$3:$C$7,2,FALSE))),"")</f>
        <v/>
      </c>
      <c r="W2386" s="74" t="str">
        <f>IFERROR(VLOOKUP($O2386,'Customer List'!$A$1:$J$488,10,FALSE),"")</f>
        <v/>
      </c>
    </row>
    <row r="2387" spans="18:23">
      <c r="R2387" s="127">
        <f t="shared" si="149"/>
        <v>0</v>
      </c>
      <c r="T2387" s="128">
        <f t="shared" si="150"/>
        <v>0</v>
      </c>
      <c r="U2387" s="129" t="str">
        <f>IFERROR(IF(#REF!="S",VLOOKUP('Raw Data'!A2387,References!#REF!,2,FALSE),(VLOOKUP($S2387,References!$B$3:$C$7,2,FALSE))),"")</f>
        <v/>
      </c>
      <c r="W2387" s="74" t="str">
        <f>IFERROR(VLOOKUP($O2387,'Customer List'!$A$1:$J$488,10,FALSE),"")</f>
        <v/>
      </c>
    </row>
    <row r="2388" spans="18:23">
      <c r="R2388" s="127">
        <f t="shared" si="149"/>
        <v>0</v>
      </c>
      <c r="T2388" s="128">
        <f t="shared" si="150"/>
        <v>0</v>
      </c>
      <c r="U2388" s="129" t="str">
        <f>IFERROR(IF(#REF!="S",VLOOKUP('Raw Data'!A2388,References!#REF!,2,FALSE),(VLOOKUP($S2388,References!$B$3:$C$7,2,FALSE))),"")</f>
        <v/>
      </c>
      <c r="W2388" s="74" t="str">
        <f>IFERROR(VLOOKUP($O2388,'Customer List'!$A$1:$J$488,10,FALSE),"")</f>
        <v/>
      </c>
    </row>
    <row r="2389" spans="18:23">
      <c r="R2389" s="127">
        <f t="shared" si="149"/>
        <v>0</v>
      </c>
      <c r="T2389" s="128">
        <f t="shared" si="150"/>
        <v>0</v>
      </c>
      <c r="U2389" s="129" t="str">
        <f>IFERROR(IF(#REF!="S",VLOOKUP('Raw Data'!A2389,References!#REF!,2,FALSE),(VLOOKUP($S2389,References!$B$3:$C$7,2,FALSE))),"")</f>
        <v/>
      </c>
      <c r="W2389" s="74" t="str">
        <f>IFERROR(VLOOKUP($O2389,'Customer List'!$A$1:$J$488,10,FALSE),"")</f>
        <v/>
      </c>
    </row>
    <row r="2390" spans="18:23">
      <c r="R2390" s="127">
        <f t="shared" si="149"/>
        <v>0</v>
      </c>
      <c r="T2390" s="128">
        <f t="shared" si="150"/>
        <v>0</v>
      </c>
      <c r="U2390" s="129" t="str">
        <f>IFERROR(IF(#REF!="S",VLOOKUP('Raw Data'!A2390,References!#REF!,2,FALSE),(VLOOKUP($S2390,References!$B$3:$C$7,2,FALSE))),"")</f>
        <v/>
      </c>
      <c r="W2390" s="74" t="str">
        <f>IFERROR(VLOOKUP($O2390,'Customer List'!$A$1:$J$488,10,FALSE),"")</f>
        <v/>
      </c>
    </row>
    <row r="2391" spans="18:23">
      <c r="R2391" s="127">
        <f t="shared" si="149"/>
        <v>0</v>
      </c>
      <c r="T2391" s="128">
        <f t="shared" si="150"/>
        <v>0</v>
      </c>
      <c r="U2391" s="129" t="str">
        <f>IFERROR(IF(#REF!="S",VLOOKUP('Raw Data'!A2391,References!#REF!,2,FALSE),(VLOOKUP($S2391,References!$B$3:$C$7,2,FALSE))),"")</f>
        <v/>
      </c>
      <c r="W2391" s="74" t="str">
        <f>IFERROR(VLOOKUP($O2391,'Customer List'!$A$1:$J$488,10,FALSE),"")</f>
        <v/>
      </c>
    </row>
    <row r="2392" spans="18:23">
      <c r="R2392" s="127">
        <f t="shared" si="149"/>
        <v>0</v>
      </c>
      <c r="T2392" s="128">
        <f t="shared" si="150"/>
        <v>0</v>
      </c>
      <c r="U2392" s="129" t="str">
        <f>IFERROR(IF(#REF!="S",VLOOKUP('Raw Data'!A2392,References!#REF!,2,FALSE),(VLOOKUP($S2392,References!$B$3:$C$7,2,FALSE))),"")</f>
        <v/>
      </c>
      <c r="W2392" s="74" t="str">
        <f>IFERROR(VLOOKUP($O2392,'Customer List'!$A$1:$J$488,10,FALSE),"")</f>
        <v/>
      </c>
    </row>
    <row r="2393" spans="18:23">
      <c r="R2393" s="127">
        <f t="shared" si="149"/>
        <v>0</v>
      </c>
      <c r="T2393" s="128">
        <f t="shared" si="150"/>
        <v>0</v>
      </c>
      <c r="U2393" s="129" t="str">
        <f>IFERROR(IF(#REF!="S",VLOOKUP('Raw Data'!A2393,References!#REF!,2,FALSE),(VLOOKUP($S2393,References!$B$3:$C$7,2,FALSE))),"")</f>
        <v/>
      </c>
      <c r="W2393" s="74" t="str">
        <f>IFERROR(VLOOKUP($O2393,'Customer List'!$A$1:$J$488,10,FALSE),"")</f>
        <v/>
      </c>
    </row>
    <row r="2394" spans="18:23">
      <c r="R2394" s="127">
        <f t="shared" si="149"/>
        <v>0</v>
      </c>
      <c r="T2394" s="128">
        <f t="shared" si="150"/>
        <v>0</v>
      </c>
      <c r="U2394" s="129" t="str">
        <f>IFERROR(IF(#REF!="S",VLOOKUP('Raw Data'!A2394,References!#REF!,2,FALSE),(VLOOKUP($S2394,References!$B$3:$C$7,2,FALSE))),"")</f>
        <v/>
      </c>
      <c r="W2394" s="74" t="str">
        <f>IFERROR(VLOOKUP($O2394,'Customer List'!$A$1:$J$488,10,FALSE),"")</f>
        <v/>
      </c>
    </row>
    <row r="2395" spans="18:23">
      <c r="R2395" s="127">
        <f t="shared" si="149"/>
        <v>0</v>
      </c>
      <c r="T2395" s="128">
        <f t="shared" si="150"/>
        <v>0</v>
      </c>
      <c r="U2395" s="129" t="str">
        <f>IFERROR(IF(#REF!="S",VLOOKUP('Raw Data'!A2395,References!#REF!,2,FALSE),(VLOOKUP($S2395,References!$B$3:$C$7,2,FALSE))),"")</f>
        <v/>
      </c>
      <c r="W2395" s="74" t="str">
        <f>IFERROR(VLOOKUP($O2395,'Customer List'!$A$1:$J$488,10,FALSE),"")</f>
        <v/>
      </c>
    </row>
    <row r="2396" spans="18:23">
      <c r="R2396" s="127">
        <f t="shared" si="149"/>
        <v>0</v>
      </c>
      <c r="T2396" s="128">
        <f t="shared" si="150"/>
        <v>0</v>
      </c>
      <c r="U2396" s="129" t="str">
        <f>IFERROR(IF(#REF!="S",VLOOKUP('Raw Data'!A2396,References!#REF!,2,FALSE),(VLOOKUP($S2396,References!$B$3:$C$7,2,FALSE))),"")</f>
        <v/>
      </c>
      <c r="W2396" s="74" t="str">
        <f>IFERROR(VLOOKUP($O2396,'Customer List'!$A$1:$J$488,10,FALSE),"")</f>
        <v/>
      </c>
    </row>
    <row r="2397" spans="18:23">
      <c r="R2397" s="127">
        <f t="shared" si="149"/>
        <v>0</v>
      </c>
      <c r="T2397" s="128">
        <f t="shared" si="150"/>
        <v>0</v>
      </c>
      <c r="U2397" s="129" t="str">
        <f>IFERROR(IF(#REF!="S",VLOOKUP('Raw Data'!A2397,References!#REF!,2,FALSE),(VLOOKUP($S2397,References!$B$3:$C$7,2,FALSE))),"")</f>
        <v/>
      </c>
      <c r="W2397" s="74" t="str">
        <f>IFERROR(VLOOKUP($O2397,'Customer List'!$A$1:$J$488,10,FALSE),"")</f>
        <v/>
      </c>
    </row>
    <row r="2398" spans="18:23">
      <c r="R2398" s="127">
        <f t="shared" si="149"/>
        <v>0</v>
      </c>
      <c r="T2398" s="128">
        <f t="shared" si="150"/>
        <v>0</v>
      </c>
      <c r="U2398" s="129" t="str">
        <f>IFERROR(IF(#REF!="S",VLOOKUP('Raw Data'!A2398,References!#REF!,2,FALSE),(VLOOKUP($S2398,References!$B$3:$C$7,2,FALSE))),"")</f>
        <v/>
      </c>
      <c r="W2398" s="74" t="str">
        <f>IFERROR(VLOOKUP($O2398,'Customer List'!$A$1:$J$488,10,FALSE),"")</f>
        <v/>
      </c>
    </row>
    <row r="2399" spans="18:23">
      <c r="R2399" s="127">
        <f t="shared" si="149"/>
        <v>0</v>
      </c>
      <c r="T2399" s="128">
        <f t="shared" si="150"/>
        <v>0</v>
      </c>
      <c r="U2399" s="129" t="str">
        <f>IFERROR(IF(#REF!="S",VLOOKUP('Raw Data'!A2399,References!#REF!,2,FALSE),(VLOOKUP($S2399,References!$B$3:$C$7,2,FALSE))),"")</f>
        <v/>
      </c>
      <c r="W2399" s="74" t="str">
        <f>IFERROR(VLOOKUP($O2399,'Customer List'!$A$1:$J$488,10,FALSE),"")</f>
        <v/>
      </c>
    </row>
    <row r="2400" spans="18:23">
      <c r="R2400" s="127">
        <f t="shared" si="149"/>
        <v>0</v>
      </c>
      <c r="T2400" s="128">
        <f t="shared" si="150"/>
        <v>0</v>
      </c>
      <c r="U2400" s="129" t="str">
        <f>IFERROR(IF(#REF!="S",VLOOKUP('Raw Data'!A2400,References!#REF!,2,FALSE),(VLOOKUP($S2400,References!$B$3:$C$7,2,FALSE))),"")</f>
        <v/>
      </c>
      <c r="W2400" s="74" t="str">
        <f>IFERROR(VLOOKUP($O2400,'Customer List'!$A$1:$J$488,10,FALSE),"")</f>
        <v/>
      </c>
    </row>
    <row r="2401" spans="18:23">
      <c r="R2401" s="127">
        <f t="shared" si="149"/>
        <v>0</v>
      </c>
      <c r="T2401" s="128">
        <f t="shared" si="150"/>
        <v>0</v>
      </c>
      <c r="U2401" s="129" t="str">
        <f>IFERROR(IF(#REF!="S",VLOOKUP('Raw Data'!A2401,References!#REF!,2,FALSE),(VLOOKUP($S2401,References!$B$3:$C$7,2,FALSE))),"")</f>
        <v/>
      </c>
      <c r="W2401" s="74" t="str">
        <f>IFERROR(VLOOKUP($O2401,'Customer List'!$A$1:$J$488,10,FALSE),"")</f>
        <v/>
      </c>
    </row>
    <row r="2402" spans="18:23">
      <c r="R2402" s="127">
        <f t="shared" ref="R2402:R2465" si="151">L2402-K2402</f>
        <v>0</v>
      </c>
      <c r="T2402" s="128">
        <f t="shared" si="150"/>
        <v>0</v>
      </c>
      <c r="U2402" s="129" t="str">
        <f>IFERROR(IF(#REF!="S",VLOOKUP('Raw Data'!A2402,References!#REF!,2,FALSE),(VLOOKUP($S2402,References!$B$3:$C$7,2,FALSE))),"")</f>
        <v/>
      </c>
      <c r="W2402" s="74" t="str">
        <f>IFERROR(VLOOKUP($O2402,'Customer List'!$A$1:$J$488,10,FALSE),"")</f>
        <v/>
      </c>
    </row>
    <row r="2403" spans="18:23">
      <c r="R2403" s="127">
        <f t="shared" si="151"/>
        <v>0</v>
      </c>
      <c r="T2403" s="128">
        <f t="shared" si="150"/>
        <v>0</v>
      </c>
      <c r="U2403" s="129" t="str">
        <f>IFERROR(IF(#REF!="S",VLOOKUP('Raw Data'!A2403,References!#REF!,2,FALSE),(VLOOKUP($S2403,References!$B$3:$C$7,2,FALSE))),"")</f>
        <v/>
      </c>
      <c r="W2403" s="74" t="str">
        <f>IFERROR(VLOOKUP($O2403,'Customer List'!$A$1:$J$488,10,FALSE),"")</f>
        <v/>
      </c>
    </row>
    <row r="2404" spans="18:23">
      <c r="R2404" s="127">
        <f t="shared" si="151"/>
        <v>0</v>
      </c>
      <c r="T2404" s="128">
        <f t="shared" si="150"/>
        <v>0</v>
      </c>
      <c r="U2404" s="129" t="str">
        <f>IFERROR(IF(#REF!="S",VLOOKUP('Raw Data'!A2404,References!#REF!,2,FALSE),(VLOOKUP($S2404,References!$B$3:$C$7,2,FALSE))),"")</f>
        <v/>
      </c>
      <c r="W2404" s="74" t="str">
        <f>IFERROR(VLOOKUP($O2404,'Customer List'!$A$1:$J$488,10,FALSE),"")</f>
        <v/>
      </c>
    </row>
    <row r="2405" spans="18:23">
      <c r="R2405" s="127">
        <f t="shared" si="151"/>
        <v>0</v>
      </c>
      <c r="T2405" s="128">
        <f t="shared" si="150"/>
        <v>0</v>
      </c>
      <c r="U2405" s="129" t="str">
        <f>IFERROR(IF(#REF!="S",VLOOKUP('Raw Data'!A2405,References!#REF!,2,FALSE),(VLOOKUP($S2405,References!$B$3:$C$7,2,FALSE))),"")</f>
        <v/>
      </c>
      <c r="W2405" s="74" t="str">
        <f>IFERROR(VLOOKUP($O2405,'Customer List'!$A$1:$J$488,10,FALSE),"")</f>
        <v/>
      </c>
    </row>
    <row r="2406" spans="18:23">
      <c r="R2406" s="127">
        <f t="shared" si="151"/>
        <v>0</v>
      </c>
      <c r="T2406" s="128">
        <f t="shared" si="150"/>
        <v>0</v>
      </c>
      <c r="U2406" s="129" t="str">
        <f>IFERROR(IF(#REF!="S",VLOOKUP('Raw Data'!A2406,References!#REF!,2,FALSE),(VLOOKUP($S2406,References!$B$3:$C$7,2,FALSE))),"")</f>
        <v/>
      </c>
      <c r="W2406" s="74" t="str">
        <f>IFERROR(VLOOKUP($O2406,'Customer List'!$A$1:$J$488,10,FALSE),"")</f>
        <v/>
      </c>
    </row>
    <row r="2407" spans="18:23">
      <c r="R2407" s="127">
        <f t="shared" si="151"/>
        <v>0</v>
      </c>
      <c r="T2407" s="128">
        <f t="shared" si="150"/>
        <v>0</v>
      </c>
      <c r="U2407" s="129" t="str">
        <f>IFERROR(IF(#REF!="S",VLOOKUP('Raw Data'!A2407,References!#REF!,2,FALSE),(VLOOKUP($S2407,References!$B$3:$C$7,2,FALSE))),"")</f>
        <v/>
      </c>
      <c r="W2407" s="74" t="str">
        <f>IFERROR(VLOOKUP($O2407,'Customer List'!$A$1:$J$488,10,FALSE),"")</f>
        <v/>
      </c>
    </row>
    <row r="2408" spans="18:23">
      <c r="R2408" s="127">
        <f t="shared" si="151"/>
        <v>0</v>
      </c>
      <c r="T2408" s="128">
        <f t="shared" si="150"/>
        <v>0</v>
      </c>
      <c r="U2408" s="129" t="str">
        <f>IFERROR(IF(#REF!="S",VLOOKUP('Raw Data'!A2408,References!#REF!,2,FALSE),(VLOOKUP($S2408,References!$B$3:$C$7,2,FALSE))),"")</f>
        <v/>
      </c>
      <c r="W2408" s="74" t="str">
        <f>IFERROR(VLOOKUP($O2408,'Customer List'!$A$1:$J$488,10,FALSE),"")</f>
        <v/>
      </c>
    </row>
    <row r="2409" spans="18:23">
      <c r="R2409" s="127">
        <f t="shared" si="151"/>
        <v>0</v>
      </c>
      <c r="T2409" s="128">
        <f t="shared" si="150"/>
        <v>0</v>
      </c>
      <c r="U2409" s="129" t="str">
        <f>IFERROR(IF(#REF!="S",VLOOKUP('Raw Data'!A2409,References!#REF!,2,FALSE),(VLOOKUP($S2409,References!$B$3:$C$7,2,FALSE))),"")</f>
        <v/>
      </c>
      <c r="W2409" s="74" t="str">
        <f>IFERROR(VLOOKUP($O2409,'Customer List'!$A$1:$J$488,10,FALSE),"")</f>
        <v/>
      </c>
    </row>
    <row r="2410" spans="18:23">
      <c r="R2410" s="127">
        <f t="shared" si="151"/>
        <v>0</v>
      </c>
      <c r="T2410" s="128">
        <f t="shared" si="150"/>
        <v>0</v>
      </c>
      <c r="U2410" s="129" t="str">
        <f>IFERROR(IF(#REF!="S",VLOOKUP('Raw Data'!A2410,References!#REF!,2,FALSE),(VLOOKUP($S2410,References!$B$3:$C$7,2,FALSE))),"")</f>
        <v/>
      </c>
      <c r="W2410" s="74" t="str">
        <f>IFERROR(VLOOKUP($O2410,'Customer List'!$A$1:$J$488,10,FALSE),"")</f>
        <v/>
      </c>
    </row>
    <row r="2411" spans="18:23">
      <c r="R2411" s="127">
        <f t="shared" si="151"/>
        <v>0</v>
      </c>
      <c r="T2411" s="128">
        <f t="shared" si="150"/>
        <v>0</v>
      </c>
      <c r="U2411" s="129" t="str">
        <f>IFERROR(IF(#REF!="S",VLOOKUP('Raw Data'!A2411,References!#REF!,2,FALSE),(VLOOKUP($S2411,References!$B$3:$C$7,2,FALSE))),"")</f>
        <v/>
      </c>
      <c r="W2411" s="74" t="str">
        <f>IFERROR(VLOOKUP($O2411,'Customer List'!$A$1:$J$488,10,FALSE),"")</f>
        <v/>
      </c>
    </row>
    <row r="2412" spans="18:23">
      <c r="R2412" s="127">
        <f t="shared" si="151"/>
        <v>0</v>
      </c>
      <c r="T2412" s="128">
        <f t="shared" si="150"/>
        <v>0</v>
      </c>
      <c r="U2412" s="129" t="str">
        <f>IFERROR(IF(#REF!="S",VLOOKUP('Raw Data'!A2412,References!#REF!,2,FALSE),(VLOOKUP($S2412,References!$B$3:$C$7,2,FALSE))),"")</f>
        <v/>
      </c>
      <c r="W2412" s="74" t="str">
        <f>IFERROR(VLOOKUP($O2412,'Customer List'!$A$1:$J$488,10,FALSE),"")</f>
        <v/>
      </c>
    </row>
    <row r="2413" spans="18:23">
      <c r="R2413" s="127">
        <f t="shared" si="151"/>
        <v>0</v>
      </c>
      <c r="T2413" s="128">
        <f t="shared" si="150"/>
        <v>0</v>
      </c>
      <c r="U2413" s="129" t="str">
        <f>IFERROR(IF(#REF!="S",VLOOKUP('Raw Data'!A2413,References!#REF!,2,FALSE),(VLOOKUP($S2413,References!$B$3:$C$7,2,FALSE))),"")</f>
        <v/>
      </c>
      <c r="W2413" s="74" t="str">
        <f>IFERROR(VLOOKUP($O2413,'Customer List'!$A$1:$J$488,10,FALSE),"")</f>
        <v/>
      </c>
    </row>
    <row r="2414" spans="18:23">
      <c r="R2414" s="127">
        <f t="shared" si="151"/>
        <v>0</v>
      </c>
      <c r="T2414" s="128">
        <f t="shared" si="150"/>
        <v>0</v>
      </c>
      <c r="U2414" s="129" t="str">
        <f>IFERROR(IF(#REF!="S",VLOOKUP('Raw Data'!A2414,References!#REF!,2,FALSE),(VLOOKUP($S2414,References!$B$3:$C$7,2,FALSE))),"")</f>
        <v/>
      </c>
      <c r="W2414" s="74" t="str">
        <f>IFERROR(VLOOKUP($O2414,'Customer List'!$A$1:$J$488,10,FALSE),"")</f>
        <v/>
      </c>
    </row>
    <row r="2415" spans="18:23">
      <c r="R2415" s="127">
        <f t="shared" si="151"/>
        <v>0</v>
      </c>
      <c r="T2415" s="128">
        <f t="shared" si="150"/>
        <v>0</v>
      </c>
      <c r="U2415" s="129" t="str">
        <f>IFERROR(IF(#REF!="S",VLOOKUP('Raw Data'!A2415,References!#REF!,2,FALSE),(VLOOKUP($S2415,References!$B$3:$C$7,2,FALSE))),"")</f>
        <v/>
      </c>
      <c r="W2415" s="74" t="str">
        <f>IFERROR(VLOOKUP($O2415,'Customer List'!$A$1:$J$488,10,FALSE),"")</f>
        <v/>
      </c>
    </row>
    <row r="2416" spans="18:23">
      <c r="R2416" s="127">
        <f t="shared" si="151"/>
        <v>0</v>
      </c>
      <c r="T2416" s="128">
        <f t="shared" si="150"/>
        <v>0</v>
      </c>
      <c r="U2416" s="129" t="str">
        <f>IFERROR(IF(#REF!="S",VLOOKUP('Raw Data'!A2416,References!#REF!,2,FALSE),(VLOOKUP($S2416,References!$B$3:$C$7,2,FALSE))),"")</f>
        <v/>
      </c>
      <c r="W2416" s="74" t="str">
        <f>IFERROR(VLOOKUP($O2416,'Customer List'!$A$1:$J$488,10,FALSE),"")</f>
        <v/>
      </c>
    </row>
    <row r="2417" spans="18:23">
      <c r="R2417" s="127">
        <f t="shared" si="151"/>
        <v>0</v>
      </c>
      <c r="T2417" s="128">
        <f t="shared" si="150"/>
        <v>0</v>
      </c>
      <c r="U2417" s="129" t="str">
        <f>IFERROR(IF(#REF!="S",VLOOKUP('Raw Data'!A2417,References!#REF!,2,FALSE),(VLOOKUP($S2417,References!$B$3:$C$7,2,FALSE))),"")</f>
        <v/>
      </c>
      <c r="W2417" s="74" t="str">
        <f>IFERROR(VLOOKUP($O2417,'Customer List'!$A$1:$J$488,10,FALSE),"")</f>
        <v/>
      </c>
    </row>
    <row r="2418" spans="18:23">
      <c r="R2418" s="127">
        <f t="shared" si="151"/>
        <v>0</v>
      </c>
      <c r="T2418" s="128">
        <f t="shared" si="150"/>
        <v>0</v>
      </c>
      <c r="U2418" s="129" t="str">
        <f>IFERROR(IF(#REF!="S",VLOOKUP('Raw Data'!A2418,References!#REF!,2,FALSE),(VLOOKUP($S2418,References!$B$3:$C$7,2,FALSE))),"")</f>
        <v/>
      </c>
      <c r="W2418" s="74" t="str">
        <f>IFERROR(VLOOKUP($O2418,'Customer List'!$A$1:$J$488,10,FALSE),"")</f>
        <v/>
      </c>
    </row>
    <row r="2419" spans="18:23">
      <c r="R2419" s="127">
        <f t="shared" si="151"/>
        <v>0</v>
      </c>
      <c r="T2419" s="128">
        <f t="shared" si="150"/>
        <v>0</v>
      </c>
      <c r="U2419" s="129" t="str">
        <f>IFERROR(IF(#REF!="S",VLOOKUP('Raw Data'!A2419,References!#REF!,2,FALSE),(VLOOKUP($S2419,References!$B$3:$C$7,2,FALSE))),"")</f>
        <v/>
      </c>
      <c r="W2419" s="74" t="str">
        <f>IFERROR(VLOOKUP($O2419,'Customer List'!$A$1:$J$488,10,FALSE),"")</f>
        <v/>
      </c>
    </row>
    <row r="2420" spans="18:23">
      <c r="R2420" s="127">
        <f t="shared" si="151"/>
        <v>0</v>
      </c>
      <c r="T2420" s="128">
        <f t="shared" si="150"/>
        <v>0</v>
      </c>
      <c r="U2420" s="129" t="str">
        <f>IFERROR(IF(#REF!="S",VLOOKUP('Raw Data'!A2420,References!#REF!,2,FALSE),(VLOOKUP($S2420,References!$B$3:$C$7,2,FALSE))),"")</f>
        <v/>
      </c>
      <c r="W2420" s="74" t="str">
        <f>IFERROR(VLOOKUP($O2420,'Customer List'!$A$1:$J$488,10,FALSE),"")</f>
        <v/>
      </c>
    </row>
    <row r="2421" spans="18:23">
      <c r="R2421" s="127">
        <f t="shared" si="151"/>
        <v>0</v>
      </c>
      <c r="T2421" s="128">
        <f t="shared" si="150"/>
        <v>0</v>
      </c>
      <c r="U2421" s="129" t="str">
        <f>IFERROR(IF(#REF!="S",VLOOKUP('Raw Data'!A2421,References!#REF!,2,FALSE),(VLOOKUP($S2421,References!$B$3:$C$7,2,FALSE))),"")</f>
        <v/>
      </c>
      <c r="W2421" s="74" t="str">
        <f>IFERROR(VLOOKUP($O2421,'Customer List'!$A$1:$J$488,10,FALSE),"")</f>
        <v/>
      </c>
    </row>
    <row r="2422" spans="18:23">
      <c r="R2422" s="127">
        <f t="shared" si="151"/>
        <v>0</v>
      </c>
      <c r="T2422" s="128">
        <f t="shared" si="150"/>
        <v>0</v>
      </c>
      <c r="U2422" s="129" t="str">
        <f>IFERROR(IF(#REF!="S",VLOOKUP('Raw Data'!A2422,References!#REF!,2,FALSE),(VLOOKUP($S2422,References!$B$3:$C$7,2,FALSE))),"")</f>
        <v/>
      </c>
      <c r="W2422" s="74" t="str">
        <f>IFERROR(VLOOKUP($O2422,'Customer List'!$A$1:$J$488,10,FALSE),"")</f>
        <v/>
      </c>
    </row>
    <row r="2423" spans="18:23">
      <c r="R2423" s="127">
        <f t="shared" si="151"/>
        <v>0</v>
      </c>
      <c r="T2423" s="128">
        <f t="shared" si="150"/>
        <v>0</v>
      </c>
      <c r="U2423" s="129" t="str">
        <f>IFERROR(IF(#REF!="S",VLOOKUP('Raw Data'!A2423,References!#REF!,2,FALSE),(VLOOKUP($S2423,References!$B$3:$C$7,2,FALSE))),"")</f>
        <v/>
      </c>
      <c r="W2423" s="74" t="str">
        <f>IFERROR(VLOOKUP($O2423,'Customer List'!$A$1:$J$488,10,FALSE),"")</f>
        <v/>
      </c>
    </row>
    <row r="2424" spans="18:23">
      <c r="R2424" s="127">
        <f t="shared" si="151"/>
        <v>0</v>
      </c>
      <c r="T2424" s="128">
        <f t="shared" si="150"/>
        <v>0</v>
      </c>
      <c r="U2424" s="129" t="str">
        <f>IFERROR(IF(#REF!="S",VLOOKUP('Raw Data'!A2424,References!#REF!,2,FALSE),(VLOOKUP($S2424,References!$B$3:$C$7,2,FALSE))),"")</f>
        <v/>
      </c>
      <c r="W2424" s="74" t="str">
        <f>IFERROR(VLOOKUP($O2424,'Customer List'!$A$1:$J$488,10,FALSE),"")</f>
        <v/>
      </c>
    </row>
    <row r="2425" spans="18:23">
      <c r="R2425" s="127">
        <f t="shared" si="151"/>
        <v>0</v>
      </c>
      <c r="T2425" s="128">
        <f t="shared" si="150"/>
        <v>0</v>
      </c>
      <c r="U2425" s="129" t="str">
        <f>IFERROR(IF(#REF!="S",VLOOKUP('Raw Data'!A2425,References!#REF!,2,FALSE),(VLOOKUP($S2425,References!$B$3:$C$7,2,FALSE))),"")</f>
        <v/>
      </c>
      <c r="W2425" s="74" t="str">
        <f>IFERROR(VLOOKUP($O2425,'Customer List'!$A$1:$J$488,10,FALSE),"")</f>
        <v/>
      </c>
    </row>
    <row r="2426" spans="18:23">
      <c r="R2426" s="127">
        <f t="shared" si="151"/>
        <v>0</v>
      </c>
      <c r="T2426" s="128">
        <f t="shared" si="150"/>
        <v>0</v>
      </c>
      <c r="U2426" s="129" t="str">
        <f>IFERROR(IF(#REF!="S",VLOOKUP('Raw Data'!A2426,References!#REF!,2,FALSE),(VLOOKUP($S2426,References!$B$3:$C$7,2,FALSE))),"")</f>
        <v/>
      </c>
      <c r="W2426" s="74" t="str">
        <f>IFERROR(VLOOKUP($O2426,'Customer List'!$A$1:$J$488,10,FALSE),"")</f>
        <v/>
      </c>
    </row>
    <row r="2427" spans="18:23">
      <c r="R2427" s="127">
        <f t="shared" si="151"/>
        <v>0</v>
      </c>
      <c r="T2427" s="128">
        <f t="shared" si="150"/>
        <v>0</v>
      </c>
      <c r="U2427" s="129" t="str">
        <f>IFERROR(IF(#REF!="S",VLOOKUP('Raw Data'!A2427,References!#REF!,2,FALSE),(VLOOKUP($S2427,References!$B$3:$C$7,2,FALSE))),"")</f>
        <v/>
      </c>
      <c r="W2427" s="74" t="str">
        <f>IFERROR(VLOOKUP($O2427,'Customer List'!$A$1:$J$488,10,FALSE),"")</f>
        <v/>
      </c>
    </row>
    <row r="2428" spans="18:23">
      <c r="R2428" s="127">
        <f t="shared" si="151"/>
        <v>0</v>
      </c>
      <c r="T2428" s="128">
        <f t="shared" si="150"/>
        <v>0</v>
      </c>
      <c r="U2428" s="129" t="str">
        <f>IFERROR(IF(#REF!="S",VLOOKUP('Raw Data'!A2428,References!#REF!,2,FALSE),(VLOOKUP($S2428,References!$B$3:$C$7,2,FALSE))),"")</f>
        <v/>
      </c>
      <c r="W2428" s="74" t="str">
        <f>IFERROR(VLOOKUP($O2428,'Customer List'!$A$1:$J$488,10,FALSE),"")</f>
        <v/>
      </c>
    </row>
    <row r="2429" spans="18:23">
      <c r="R2429" s="127">
        <f t="shared" si="151"/>
        <v>0</v>
      </c>
      <c r="T2429" s="128">
        <f t="shared" si="150"/>
        <v>0</v>
      </c>
      <c r="U2429" s="129" t="str">
        <f>IFERROR(IF(#REF!="S",VLOOKUP('Raw Data'!A2429,References!#REF!,2,FALSE),(VLOOKUP($S2429,References!$B$3:$C$7,2,FALSE))),"")</f>
        <v/>
      </c>
      <c r="W2429" s="74" t="str">
        <f>IFERROR(VLOOKUP($O2429,'Customer List'!$A$1:$J$488,10,FALSE),"")</f>
        <v/>
      </c>
    </row>
    <row r="2430" spans="18:23">
      <c r="R2430" s="127">
        <f t="shared" si="151"/>
        <v>0</v>
      </c>
      <c r="T2430" s="128">
        <f t="shared" si="150"/>
        <v>0</v>
      </c>
      <c r="U2430" s="129" t="str">
        <f>IFERROR(IF(#REF!="S",VLOOKUP('Raw Data'!A2430,References!#REF!,2,FALSE),(VLOOKUP($S2430,References!$B$3:$C$7,2,FALSE))),"")</f>
        <v/>
      </c>
      <c r="W2430" s="74" t="str">
        <f>IFERROR(VLOOKUP($O2430,'Customer List'!$A$1:$J$488,10,FALSE),"")</f>
        <v/>
      </c>
    </row>
    <row r="2431" spans="18:23">
      <c r="R2431" s="127">
        <f t="shared" si="151"/>
        <v>0</v>
      </c>
      <c r="T2431" s="128">
        <f t="shared" si="150"/>
        <v>0</v>
      </c>
      <c r="U2431" s="129" t="str">
        <f>IFERROR(IF(#REF!="S",VLOOKUP('Raw Data'!A2431,References!#REF!,2,FALSE),(VLOOKUP($S2431,References!$B$3:$C$7,2,FALSE))),"")</f>
        <v/>
      </c>
      <c r="W2431" s="74" t="str">
        <f>IFERROR(VLOOKUP($O2431,'Customer List'!$A$1:$J$488,10,FALSE),"")</f>
        <v/>
      </c>
    </row>
    <row r="2432" spans="18:23">
      <c r="R2432" s="127">
        <f t="shared" si="151"/>
        <v>0</v>
      </c>
      <c r="T2432" s="128">
        <f t="shared" si="150"/>
        <v>0</v>
      </c>
      <c r="U2432" s="129" t="str">
        <f>IFERROR(IF(#REF!="S",VLOOKUP('Raw Data'!A2432,References!#REF!,2,FALSE),(VLOOKUP($S2432,References!$B$3:$C$7,2,FALSE))),"")</f>
        <v/>
      </c>
      <c r="W2432" s="74" t="str">
        <f>IFERROR(VLOOKUP($O2432,'Customer List'!$A$1:$J$488,10,FALSE),"")</f>
        <v/>
      </c>
    </row>
    <row r="2433" spans="18:23">
      <c r="R2433" s="127">
        <f t="shared" si="151"/>
        <v>0</v>
      </c>
      <c r="T2433" s="128">
        <f t="shared" si="150"/>
        <v>0</v>
      </c>
      <c r="U2433" s="129" t="str">
        <f>IFERROR(IF(#REF!="S",VLOOKUP('Raw Data'!A2433,References!#REF!,2,FALSE),(VLOOKUP($S2433,References!$B$3:$C$7,2,FALSE))),"")</f>
        <v/>
      </c>
      <c r="W2433" s="74" t="str">
        <f>IFERROR(VLOOKUP($O2433,'Customer List'!$A$1:$J$488,10,FALSE),"")</f>
        <v/>
      </c>
    </row>
    <row r="2434" spans="18:23">
      <c r="R2434" s="127">
        <f t="shared" si="151"/>
        <v>0</v>
      </c>
      <c r="T2434" s="128">
        <f t="shared" si="150"/>
        <v>0</v>
      </c>
      <c r="U2434" s="129" t="str">
        <f>IFERROR(IF(#REF!="S",VLOOKUP('Raw Data'!A2434,References!#REF!,2,FALSE),(VLOOKUP($S2434,References!$B$3:$C$7,2,FALSE))),"")</f>
        <v/>
      </c>
      <c r="W2434" s="74" t="str">
        <f>IFERROR(VLOOKUP($O2434,'Customer List'!$A$1:$J$488,10,FALSE),"")</f>
        <v/>
      </c>
    </row>
    <row r="2435" spans="18:23">
      <c r="R2435" s="127">
        <f t="shared" si="151"/>
        <v>0</v>
      </c>
      <c r="T2435" s="128">
        <f t="shared" si="150"/>
        <v>0</v>
      </c>
      <c r="U2435" s="129" t="str">
        <f>IFERROR(IF(#REF!="S",VLOOKUP('Raw Data'!A2435,References!#REF!,2,FALSE),(VLOOKUP($S2435,References!$B$3:$C$7,2,FALSE))),"")</f>
        <v/>
      </c>
      <c r="W2435" s="74" t="str">
        <f>IFERROR(VLOOKUP($O2435,'Customer List'!$A$1:$J$488,10,FALSE),"")</f>
        <v/>
      </c>
    </row>
    <row r="2436" spans="18:23">
      <c r="R2436" s="127">
        <f t="shared" si="151"/>
        <v>0</v>
      </c>
      <c r="T2436" s="128">
        <f t="shared" si="150"/>
        <v>0</v>
      </c>
      <c r="U2436" s="129" t="str">
        <f>IFERROR(IF(#REF!="S",VLOOKUP('Raw Data'!A2436,References!#REF!,2,FALSE),(VLOOKUP($S2436,References!$B$3:$C$7,2,FALSE))),"")</f>
        <v/>
      </c>
      <c r="W2436" s="74" t="str">
        <f>IFERROR(VLOOKUP($O2436,'Customer List'!$A$1:$J$488,10,FALSE),"")</f>
        <v/>
      </c>
    </row>
    <row r="2437" spans="18:23">
      <c r="R2437" s="127">
        <f t="shared" si="151"/>
        <v>0</v>
      </c>
      <c r="T2437" s="128">
        <f t="shared" si="150"/>
        <v>0</v>
      </c>
      <c r="U2437" s="129" t="str">
        <f>IFERROR(IF(#REF!="S",VLOOKUP('Raw Data'!A2437,References!#REF!,2,FALSE),(VLOOKUP($S2437,References!$B$3:$C$7,2,FALSE))),"")</f>
        <v/>
      </c>
      <c r="W2437" s="74" t="str">
        <f>IFERROR(VLOOKUP($O2437,'Customer List'!$A$1:$J$488,10,FALSE),"")</f>
        <v/>
      </c>
    </row>
    <row r="2438" spans="18:23">
      <c r="R2438" s="127">
        <f t="shared" si="151"/>
        <v>0</v>
      </c>
      <c r="T2438" s="128">
        <f t="shared" si="150"/>
        <v>0</v>
      </c>
      <c r="U2438" s="129" t="str">
        <f>IFERROR(IF(#REF!="S",VLOOKUP('Raw Data'!A2438,References!#REF!,2,FALSE),(VLOOKUP($S2438,References!$B$3:$C$7,2,FALSE))),"")</f>
        <v/>
      </c>
      <c r="W2438" s="74" t="str">
        <f>IFERROR(VLOOKUP($O2438,'Customer List'!$A$1:$J$488,10,FALSE),"")</f>
        <v/>
      </c>
    </row>
    <row r="2439" spans="18:23">
      <c r="R2439" s="127">
        <f t="shared" si="151"/>
        <v>0</v>
      </c>
      <c r="T2439" s="128">
        <f t="shared" si="150"/>
        <v>0</v>
      </c>
      <c r="U2439" s="129" t="str">
        <f>IFERROR(IF(#REF!="S",VLOOKUP('Raw Data'!A2439,References!#REF!,2,FALSE),(VLOOKUP($S2439,References!$B$3:$C$7,2,FALSE))),"")</f>
        <v/>
      </c>
      <c r="W2439" s="74" t="str">
        <f>IFERROR(VLOOKUP($O2439,'Customer List'!$A$1:$J$488,10,FALSE),"")</f>
        <v/>
      </c>
    </row>
    <row r="2440" spans="18:23">
      <c r="R2440" s="127">
        <f t="shared" si="151"/>
        <v>0</v>
      </c>
      <c r="T2440" s="128">
        <f t="shared" si="150"/>
        <v>0</v>
      </c>
      <c r="U2440" s="129" t="str">
        <f>IFERROR(IF(#REF!="S",VLOOKUP('Raw Data'!A2440,References!#REF!,2,FALSE),(VLOOKUP($S2440,References!$B$3:$C$7,2,FALSE))),"")</f>
        <v/>
      </c>
      <c r="W2440" s="74" t="str">
        <f>IFERROR(VLOOKUP($O2440,'Customer List'!$A$1:$J$488,10,FALSE),"")</f>
        <v/>
      </c>
    </row>
    <row r="2441" spans="18:23">
      <c r="R2441" s="127">
        <f t="shared" si="151"/>
        <v>0</v>
      </c>
      <c r="T2441" s="128">
        <f t="shared" si="150"/>
        <v>0</v>
      </c>
      <c r="U2441" s="129" t="str">
        <f>IFERROR(IF(#REF!="S",VLOOKUP('Raw Data'!A2441,References!#REF!,2,FALSE),(VLOOKUP($S2441,References!$B$3:$C$7,2,FALSE))),"")</f>
        <v/>
      </c>
      <c r="W2441" s="74" t="str">
        <f>IFERROR(VLOOKUP($O2441,'Customer List'!$A$1:$J$488,10,FALSE),"")</f>
        <v/>
      </c>
    </row>
    <row r="2442" spans="18:23">
      <c r="R2442" s="127">
        <f t="shared" si="151"/>
        <v>0</v>
      </c>
      <c r="T2442" s="128">
        <f t="shared" ref="T2442:T2505" si="152">IF(S2442="50 - Cleaning Fee",1,HOUR($R2442)+MINUTE(R2442)/60)</f>
        <v>0</v>
      </c>
      <c r="U2442" s="129" t="str">
        <f>IFERROR(IF(#REF!="S",VLOOKUP('Raw Data'!A2442,References!#REF!,2,FALSE),(VLOOKUP($S2442,References!$B$3:$C$7,2,FALSE))),"")</f>
        <v/>
      </c>
      <c r="W2442" s="74" t="str">
        <f>IFERROR(VLOOKUP($O2442,'Customer List'!$A$1:$J$488,10,FALSE),"")</f>
        <v/>
      </c>
    </row>
    <row r="2443" spans="18:23">
      <c r="R2443" s="127">
        <f t="shared" si="151"/>
        <v>0</v>
      </c>
      <c r="T2443" s="128">
        <f t="shared" si="152"/>
        <v>0</v>
      </c>
      <c r="U2443" s="129" t="str">
        <f>IFERROR(IF(#REF!="S",VLOOKUP('Raw Data'!A2443,References!#REF!,2,FALSE),(VLOOKUP($S2443,References!$B$3:$C$7,2,FALSE))),"")</f>
        <v/>
      </c>
      <c r="W2443" s="74" t="str">
        <f>IFERROR(VLOOKUP($O2443,'Customer List'!$A$1:$J$488,10,FALSE),"")</f>
        <v/>
      </c>
    </row>
    <row r="2444" spans="18:23">
      <c r="R2444" s="127">
        <f t="shared" si="151"/>
        <v>0</v>
      </c>
      <c r="T2444" s="128">
        <f t="shared" si="152"/>
        <v>0</v>
      </c>
      <c r="U2444" s="129" t="str">
        <f>IFERROR(IF(#REF!="S",VLOOKUP('Raw Data'!A2444,References!#REF!,2,FALSE),(VLOOKUP($S2444,References!$B$3:$C$7,2,FALSE))),"")</f>
        <v/>
      </c>
      <c r="W2444" s="74" t="str">
        <f>IFERROR(VLOOKUP($O2444,'Customer List'!$A$1:$J$488,10,FALSE),"")</f>
        <v/>
      </c>
    </row>
    <row r="2445" spans="18:23">
      <c r="R2445" s="127">
        <f t="shared" si="151"/>
        <v>0</v>
      </c>
      <c r="T2445" s="128">
        <f t="shared" si="152"/>
        <v>0</v>
      </c>
      <c r="U2445" s="129" t="str">
        <f>IFERROR(IF(#REF!="S",VLOOKUP('Raw Data'!A2445,References!#REF!,2,FALSE),(VLOOKUP($S2445,References!$B$3:$C$7,2,FALSE))),"")</f>
        <v/>
      </c>
      <c r="W2445" s="74" t="str">
        <f>IFERROR(VLOOKUP($O2445,'Customer List'!$A$1:$J$488,10,FALSE),"")</f>
        <v/>
      </c>
    </row>
    <row r="2446" spans="18:23">
      <c r="R2446" s="127">
        <f t="shared" si="151"/>
        <v>0</v>
      </c>
      <c r="T2446" s="128">
        <f t="shared" si="152"/>
        <v>0</v>
      </c>
      <c r="U2446" s="129" t="str">
        <f>IFERROR(IF(#REF!="S",VLOOKUP('Raw Data'!A2446,References!#REF!,2,FALSE),(VLOOKUP($S2446,References!$B$3:$C$7,2,FALSE))),"")</f>
        <v/>
      </c>
      <c r="W2446" s="74" t="str">
        <f>IFERROR(VLOOKUP($O2446,'Customer List'!$A$1:$J$488,10,FALSE),"")</f>
        <v/>
      </c>
    </row>
    <row r="2447" spans="18:23">
      <c r="R2447" s="127">
        <f t="shared" si="151"/>
        <v>0</v>
      </c>
      <c r="T2447" s="128">
        <f t="shared" si="152"/>
        <v>0</v>
      </c>
      <c r="U2447" s="129" t="str">
        <f>IFERROR(IF(#REF!="S",VLOOKUP('Raw Data'!A2447,References!#REF!,2,FALSE),(VLOOKUP($S2447,References!$B$3:$C$7,2,FALSE))),"")</f>
        <v/>
      </c>
      <c r="W2447" s="74" t="str">
        <f>IFERROR(VLOOKUP($O2447,'Customer List'!$A$1:$J$488,10,FALSE),"")</f>
        <v/>
      </c>
    </row>
    <row r="2448" spans="18:23">
      <c r="R2448" s="127">
        <f t="shared" si="151"/>
        <v>0</v>
      </c>
      <c r="T2448" s="128">
        <f t="shared" si="152"/>
        <v>0</v>
      </c>
      <c r="U2448" s="129" t="str">
        <f>IFERROR(IF(#REF!="S",VLOOKUP('Raw Data'!A2448,References!#REF!,2,FALSE),(VLOOKUP($S2448,References!$B$3:$C$7,2,FALSE))),"")</f>
        <v/>
      </c>
      <c r="W2448" s="74" t="str">
        <f>IFERROR(VLOOKUP($O2448,'Customer List'!$A$1:$J$488,10,FALSE),"")</f>
        <v/>
      </c>
    </row>
    <row r="2449" spans="18:23">
      <c r="R2449" s="127">
        <f t="shared" si="151"/>
        <v>0</v>
      </c>
      <c r="T2449" s="128">
        <f t="shared" si="152"/>
        <v>0</v>
      </c>
      <c r="U2449" s="129" t="str">
        <f>IFERROR(IF(#REF!="S",VLOOKUP('Raw Data'!A2449,References!#REF!,2,FALSE),(VLOOKUP($S2449,References!$B$3:$C$7,2,FALSE))),"")</f>
        <v/>
      </c>
      <c r="W2449" s="74" t="str">
        <f>IFERROR(VLOOKUP($O2449,'Customer List'!$A$1:$J$488,10,FALSE),"")</f>
        <v/>
      </c>
    </row>
    <row r="2450" spans="18:23">
      <c r="R2450" s="127">
        <f t="shared" si="151"/>
        <v>0</v>
      </c>
      <c r="T2450" s="128">
        <f t="shared" si="152"/>
        <v>0</v>
      </c>
      <c r="U2450" s="129" t="str">
        <f>IFERROR(IF(#REF!="S",VLOOKUP('Raw Data'!A2450,References!#REF!,2,FALSE),(VLOOKUP($S2450,References!$B$3:$C$7,2,FALSE))),"")</f>
        <v/>
      </c>
      <c r="W2450" s="74" t="str">
        <f>IFERROR(VLOOKUP($O2450,'Customer List'!$A$1:$J$488,10,FALSE),"")</f>
        <v/>
      </c>
    </row>
    <row r="2451" spans="18:23">
      <c r="R2451" s="127">
        <f t="shared" si="151"/>
        <v>0</v>
      </c>
      <c r="T2451" s="128">
        <f t="shared" si="152"/>
        <v>0</v>
      </c>
      <c r="U2451" s="129" t="str">
        <f>IFERROR(IF(#REF!="S",VLOOKUP('Raw Data'!A2451,References!#REF!,2,FALSE),(VLOOKUP($S2451,References!$B$3:$C$7,2,FALSE))),"")</f>
        <v/>
      </c>
      <c r="W2451" s="74" t="str">
        <f>IFERROR(VLOOKUP($O2451,'Customer List'!$A$1:$J$488,10,FALSE),"")</f>
        <v/>
      </c>
    </row>
    <row r="2452" spans="18:23">
      <c r="R2452" s="127">
        <f t="shared" si="151"/>
        <v>0</v>
      </c>
      <c r="T2452" s="128">
        <f t="shared" si="152"/>
        <v>0</v>
      </c>
      <c r="U2452" s="129" t="str">
        <f>IFERROR(IF(#REF!="S",VLOOKUP('Raw Data'!A2452,References!#REF!,2,FALSE),(VLOOKUP($S2452,References!$B$3:$C$7,2,FALSE))),"")</f>
        <v/>
      </c>
      <c r="W2452" s="74" t="str">
        <f>IFERROR(VLOOKUP($O2452,'Customer List'!$A$1:$J$488,10,FALSE),"")</f>
        <v/>
      </c>
    </row>
    <row r="2453" spans="18:23">
      <c r="R2453" s="127">
        <f t="shared" si="151"/>
        <v>0</v>
      </c>
      <c r="T2453" s="128">
        <f t="shared" si="152"/>
        <v>0</v>
      </c>
      <c r="U2453" s="129" t="str">
        <f>IFERROR(IF(#REF!="S",VLOOKUP('Raw Data'!A2453,References!#REF!,2,FALSE),(VLOOKUP($S2453,References!$B$3:$C$7,2,FALSE))),"")</f>
        <v/>
      </c>
      <c r="W2453" s="74" t="str">
        <f>IFERROR(VLOOKUP($O2453,'Customer List'!$A$1:$J$488,10,FALSE),"")</f>
        <v/>
      </c>
    </row>
    <row r="2454" spans="18:23">
      <c r="R2454" s="127">
        <f t="shared" si="151"/>
        <v>0</v>
      </c>
      <c r="T2454" s="128">
        <f t="shared" si="152"/>
        <v>0</v>
      </c>
      <c r="U2454" s="129" t="str">
        <f>IFERROR(IF(#REF!="S",VLOOKUP('Raw Data'!A2454,References!#REF!,2,FALSE),(VLOOKUP($S2454,References!$B$3:$C$7,2,FALSE))),"")</f>
        <v/>
      </c>
      <c r="W2454" s="74" t="str">
        <f>IFERROR(VLOOKUP($O2454,'Customer List'!$A$1:$J$488,10,FALSE),"")</f>
        <v/>
      </c>
    </row>
    <row r="2455" spans="18:23">
      <c r="R2455" s="127">
        <f t="shared" si="151"/>
        <v>0</v>
      </c>
      <c r="T2455" s="128">
        <f t="shared" si="152"/>
        <v>0</v>
      </c>
      <c r="U2455" s="129" t="str">
        <f>IFERROR(IF(#REF!="S",VLOOKUP('Raw Data'!A2455,References!#REF!,2,FALSE),(VLOOKUP($S2455,References!$B$3:$C$7,2,FALSE))),"")</f>
        <v/>
      </c>
      <c r="W2455" s="74" t="str">
        <f>IFERROR(VLOOKUP($O2455,'Customer List'!$A$1:$J$488,10,FALSE),"")</f>
        <v/>
      </c>
    </row>
    <row r="2456" spans="18:23">
      <c r="R2456" s="127">
        <f t="shared" si="151"/>
        <v>0</v>
      </c>
      <c r="T2456" s="128">
        <f t="shared" si="152"/>
        <v>0</v>
      </c>
      <c r="U2456" s="129" t="str">
        <f>IFERROR(IF(#REF!="S",VLOOKUP('Raw Data'!A2456,References!#REF!,2,FALSE),(VLOOKUP($S2456,References!$B$3:$C$7,2,FALSE))),"")</f>
        <v/>
      </c>
      <c r="W2456" s="74" t="str">
        <f>IFERROR(VLOOKUP($O2456,'Customer List'!$A$1:$J$488,10,FALSE),"")</f>
        <v/>
      </c>
    </row>
    <row r="2457" spans="18:23">
      <c r="R2457" s="127">
        <f t="shared" si="151"/>
        <v>0</v>
      </c>
      <c r="T2457" s="128">
        <f t="shared" si="152"/>
        <v>0</v>
      </c>
      <c r="U2457" s="129" t="str">
        <f>IFERROR(IF(#REF!="S",VLOOKUP('Raw Data'!A2457,References!#REF!,2,FALSE),(VLOOKUP($S2457,References!$B$3:$C$7,2,FALSE))),"")</f>
        <v/>
      </c>
      <c r="W2457" s="74" t="str">
        <f>IFERROR(VLOOKUP($O2457,'Customer List'!$A$1:$J$488,10,FALSE),"")</f>
        <v/>
      </c>
    </row>
    <row r="2458" spans="18:23">
      <c r="R2458" s="127">
        <f t="shared" si="151"/>
        <v>0</v>
      </c>
      <c r="T2458" s="128">
        <f t="shared" si="152"/>
        <v>0</v>
      </c>
      <c r="U2458" s="129" t="str">
        <f>IFERROR(IF(#REF!="S",VLOOKUP('Raw Data'!A2458,References!#REF!,2,FALSE),(VLOOKUP($S2458,References!$B$3:$C$7,2,FALSE))),"")</f>
        <v/>
      </c>
      <c r="W2458" s="74" t="str">
        <f>IFERROR(VLOOKUP($O2458,'Customer List'!$A$1:$J$488,10,FALSE),"")</f>
        <v/>
      </c>
    </row>
    <row r="2459" spans="18:23">
      <c r="R2459" s="127">
        <f t="shared" si="151"/>
        <v>0</v>
      </c>
      <c r="T2459" s="128">
        <f t="shared" si="152"/>
        <v>0</v>
      </c>
      <c r="U2459" s="129" t="str">
        <f>IFERROR(IF(#REF!="S",VLOOKUP('Raw Data'!A2459,References!#REF!,2,FALSE),(VLOOKUP($S2459,References!$B$3:$C$7,2,FALSE))),"")</f>
        <v/>
      </c>
      <c r="W2459" s="74" t="str">
        <f>IFERROR(VLOOKUP($O2459,'Customer List'!$A$1:$J$488,10,FALSE),"")</f>
        <v/>
      </c>
    </row>
    <row r="2460" spans="18:23">
      <c r="R2460" s="127">
        <f t="shared" si="151"/>
        <v>0</v>
      </c>
      <c r="T2460" s="128">
        <f t="shared" si="152"/>
        <v>0</v>
      </c>
      <c r="U2460" s="129" t="str">
        <f>IFERROR(IF(#REF!="S",VLOOKUP('Raw Data'!A2460,References!#REF!,2,FALSE),(VLOOKUP($S2460,References!$B$3:$C$7,2,FALSE))),"")</f>
        <v/>
      </c>
      <c r="W2460" s="74" t="str">
        <f>IFERROR(VLOOKUP($O2460,'Customer List'!$A$1:$J$488,10,FALSE),"")</f>
        <v/>
      </c>
    </row>
    <row r="2461" spans="18:23">
      <c r="R2461" s="127">
        <f t="shared" si="151"/>
        <v>0</v>
      </c>
      <c r="T2461" s="128">
        <f t="shared" si="152"/>
        <v>0</v>
      </c>
      <c r="U2461" s="129" t="str">
        <f>IFERROR(IF(#REF!="S",VLOOKUP('Raw Data'!A2461,References!#REF!,2,FALSE),(VLOOKUP($S2461,References!$B$3:$C$7,2,FALSE))),"")</f>
        <v/>
      </c>
      <c r="W2461" s="74" t="str">
        <f>IFERROR(VLOOKUP($O2461,'Customer List'!$A$1:$J$488,10,FALSE),"")</f>
        <v/>
      </c>
    </row>
    <row r="2462" spans="18:23">
      <c r="R2462" s="127">
        <f t="shared" si="151"/>
        <v>0</v>
      </c>
      <c r="T2462" s="128">
        <f t="shared" si="152"/>
        <v>0</v>
      </c>
      <c r="U2462" s="129" t="str">
        <f>IFERROR(IF(#REF!="S",VLOOKUP('Raw Data'!A2462,References!#REF!,2,FALSE),(VLOOKUP($S2462,References!$B$3:$C$7,2,FALSE))),"")</f>
        <v/>
      </c>
      <c r="W2462" s="74" t="str">
        <f>IFERROR(VLOOKUP($O2462,'Customer List'!$A$1:$J$488,10,FALSE),"")</f>
        <v/>
      </c>
    </row>
    <row r="2463" spans="18:23">
      <c r="R2463" s="127">
        <f t="shared" si="151"/>
        <v>0</v>
      </c>
      <c r="T2463" s="128">
        <f t="shared" si="152"/>
        <v>0</v>
      </c>
      <c r="U2463" s="129" t="str">
        <f>IFERROR(IF(#REF!="S",VLOOKUP('Raw Data'!A2463,References!#REF!,2,FALSE),(VLOOKUP($S2463,References!$B$3:$C$7,2,FALSE))),"")</f>
        <v/>
      </c>
      <c r="W2463" s="74" t="str">
        <f>IFERROR(VLOOKUP($O2463,'Customer List'!$A$1:$J$488,10,FALSE),"")</f>
        <v/>
      </c>
    </row>
    <row r="2464" spans="18:23">
      <c r="R2464" s="127">
        <f t="shared" si="151"/>
        <v>0</v>
      </c>
      <c r="T2464" s="128">
        <f t="shared" si="152"/>
        <v>0</v>
      </c>
      <c r="U2464" s="129" t="str">
        <f>IFERROR(IF(#REF!="S",VLOOKUP('Raw Data'!A2464,References!#REF!,2,FALSE),(VLOOKUP($S2464,References!$B$3:$C$7,2,FALSE))),"")</f>
        <v/>
      </c>
      <c r="W2464" s="74" t="str">
        <f>IFERROR(VLOOKUP($O2464,'Customer List'!$A$1:$J$488,10,FALSE),"")</f>
        <v/>
      </c>
    </row>
    <row r="2465" spans="18:23">
      <c r="R2465" s="127">
        <f t="shared" si="151"/>
        <v>0</v>
      </c>
      <c r="T2465" s="128">
        <f t="shared" si="152"/>
        <v>0</v>
      </c>
      <c r="U2465" s="129" t="str">
        <f>IFERROR(IF(#REF!="S",VLOOKUP('Raw Data'!A2465,References!#REF!,2,FALSE),(VLOOKUP($S2465,References!$B$3:$C$7,2,FALSE))),"")</f>
        <v/>
      </c>
      <c r="W2465" s="74" t="str">
        <f>IFERROR(VLOOKUP($O2465,'Customer List'!$A$1:$J$488,10,FALSE),"")</f>
        <v/>
      </c>
    </row>
    <row r="2466" spans="18:23">
      <c r="R2466" s="127">
        <f t="shared" ref="R2466:R2529" si="153">L2466-K2466</f>
        <v>0</v>
      </c>
      <c r="T2466" s="128">
        <f t="shared" si="152"/>
        <v>0</v>
      </c>
      <c r="U2466" s="129" t="str">
        <f>IFERROR(IF(#REF!="S",VLOOKUP('Raw Data'!A2466,References!#REF!,2,FALSE),(VLOOKUP($S2466,References!$B$3:$C$7,2,FALSE))),"")</f>
        <v/>
      </c>
      <c r="W2466" s="74" t="str">
        <f>IFERROR(VLOOKUP($O2466,'Customer List'!$A$1:$J$488,10,FALSE),"")</f>
        <v/>
      </c>
    </row>
    <row r="2467" spans="18:23">
      <c r="R2467" s="127">
        <f t="shared" si="153"/>
        <v>0</v>
      </c>
      <c r="T2467" s="128">
        <f t="shared" si="152"/>
        <v>0</v>
      </c>
      <c r="U2467" s="129" t="str">
        <f>IFERROR(IF(#REF!="S",VLOOKUP('Raw Data'!A2467,References!#REF!,2,FALSE),(VLOOKUP($S2467,References!$B$3:$C$7,2,FALSE))),"")</f>
        <v/>
      </c>
      <c r="W2467" s="74" t="str">
        <f>IFERROR(VLOOKUP($O2467,'Customer List'!$A$1:$J$488,10,FALSE),"")</f>
        <v/>
      </c>
    </row>
    <row r="2468" spans="18:23">
      <c r="R2468" s="127">
        <f t="shared" si="153"/>
        <v>0</v>
      </c>
      <c r="T2468" s="128">
        <f t="shared" si="152"/>
        <v>0</v>
      </c>
      <c r="U2468" s="129" t="str">
        <f>IFERROR(IF(#REF!="S",VLOOKUP('Raw Data'!A2468,References!#REF!,2,FALSE),(VLOOKUP($S2468,References!$B$3:$C$7,2,FALSE))),"")</f>
        <v/>
      </c>
      <c r="W2468" s="74" t="str">
        <f>IFERROR(VLOOKUP($O2468,'Customer List'!$A$1:$J$488,10,FALSE),"")</f>
        <v/>
      </c>
    </row>
    <row r="2469" spans="18:23">
      <c r="R2469" s="127">
        <f t="shared" si="153"/>
        <v>0</v>
      </c>
      <c r="T2469" s="128">
        <f t="shared" si="152"/>
        <v>0</v>
      </c>
      <c r="U2469" s="129" t="str">
        <f>IFERROR(IF(#REF!="S",VLOOKUP('Raw Data'!A2469,References!#REF!,2,FALSE),(VLOOKUP($S2469,References!$B$3:$C$7,2,FALSE))),"")</f>
        <v/>
      </c>
      <c r="W2469" s="74" t="str">
        <f>IFERROR(VLOOKUP($O2469,'Customer List'!$A$1:$J$488,10,FALSE),"")</f>
        <v/>
      </c>
    </row>
    <row r="2470" spans="18:23">
      <c r="R2470" s="127">
        <f t="shared" si="153"/>
        <v>0</v>
      </c>
      <c r="T2470" s="128">
        <f t="shared" si="152"/>
        <v>0</v>
      </c>
      <c r="U2470" s="129" t="str">
        <f>IFERROR(IF(#REF!="S",VLOOKUP('Raw Data'!A2470,References!#REF!,2,FALSE),(VLOOKUP($S2470,References!$B$3:$C$7,2,FALSE))),"")</f>
        <v/>
      </c>
      <c r="W2470" s="74" t="str">
        <f>IFERROR(VLOOKUP($O2470,'Customer List'!$A$1:$J$488,10,FALSE),"")</f>
        <v/>
      </c>
    </row>
    <row r="2471" spans="18:23">
      <c r="R2471" s="127">
        <f t="shared" si="153"/>
        <v>0</v>
      </c>
      <c r="T2471" s="128">
        <f t="shared" si="152"/>
        <v>0</v>
      </c>
      <c r="U2471" s="129" t="str">
        <f>IFERROR(IF(#REF!="S",VLOOKUP('Raw Data'!A2471,References!#REF!,2,FALSE),(VLOOKUP($S2471,References!$B$3:$C$7,2,FALSE))),"")</f>
        <v/>
      </c>
      <c r="W2471" s="74" t="str">
        <f>IFERROR(VLOOKUP($O2471,'Customer List'!$A$1:$J$488,10,FALSE),"")</f>
        <v/>
      </c>
    </row>
    <row r="2472" spans="18:23">
      <c r="R2472" s="127">
        <f t="shared" si="153"/>
        <v>0</v>
      </c>
      <c r="T2472" s="128">
        <f t="shared" si="152"/>
        <v>0</v>
      </c>
      <c r="U2472" s="129" t="str">
        <f>IFERROR(IF(#REF!="S",VLOOKUP('Raw Data'!A2472,References!#REF!,2,FALSE),(VLOOKUP($S2472,References!$B$3:$C$7,2,FALSE))),"")</f>
        <v/>
      </c>
      <c r="W2472" s="74" t="str">
        <f>IFERROR(VLOOKUP($O2472,'Customer List'!$A$1:$J$488,10,FALSE),"")</f>
        <v/>
      </c>
    </row>
    <row r="2473" spans="18:23">
      <c r="R2473" s="127">
        <f t="shared" si="153"/>
        <v>0</v>
      </c>
      <c r="T2473" s="128">
        <f t="shared" si="152"/>
        <v>0</v>
      </c>
      <c r="U2473" s="129" t="str">
        <f>IFERROR(IF(#REF!="S",VLOOKUP('Raw Data'!A2473,References!#REF!,2,FALSE),(VLOOKUP($S2473,References!$B$3:$C$7,2,FALSE))),"")</f>
        <v/>
      </c>
      <c r="W2473" s="74" t="str">
        <f>IFERROR(VLOOKUP($O2473,'Customer List'!$A$1:$J$488,10,FALSE),"")</f>
        <v/>
      </c>
    </row>
    <row r="2474" spans="18:23">
      <c r="R2474" s="127">
        <f t="shared" si="153"/>
        <v>0</v>
      </c>
      <c r="T2474" s="128">
        <f t="shared" si="152"/>
        <v>0</v>
      </c>
      <c r="U2474" s="129" t="str">
        <f>IFERROR(IF(#REF!="S",VLOOKUP('Raw Data'!A2474,References!#REF!,2,FALSE),(VLOOKUP($S2474,References!$B$3:$C$7,2,FALSE))),"")</f>
        <v/>
      </c>
      <c r="W2474" s="74" t="str">
        <f>IFERROR(VLOOKUP($O2474,'Customer List'!$A$1:$J$488,10,FALSE),"")</f>
        <v/>
      </c>
    </row>
    <row r="2475" spans="18:23">
      <c r="R2475" s="127">
        <f t="shared" si="153"/>
        <v>0</v>
      </c>
      <c r="T2475" s="128">
        <f t="shared" si="152"/>
        <v>0</v>
      </c>
      <c r="U2475" s="129" t="str">
        <f>IFERROR(IF(#REF!="S",VLOOKUP('Raw Data'!A2475,References!#REF!,2,FALSE),(VLOOKUP($S2475,References!$B$3:$C$7,2,FALSE))),"")</f>
        <v/>
      </c>
      <c r="W2475" s="74" t="str">
        <f>IFERROR(VLOOKUP($O2475,'Customer List'!$A$1:$J$488,10,FALSE),"")</f>
        <v/>
      </c>
    </row>
    <row r="2476" spans="18:23">
      <c r="R2476" s="127">
        <f t="shared" si="153"/>
        <v>0</v>
      </c>
      <c r="T2476" s="128">
        <f t="shared" si="152"/>
        <v>0</v>
      </c>
      <c r="U2476" s="129" t="str">
        <f>IFERROR(IF(#REF!="S",VLOOKUP('Raw Data'!A2476,References!#REF!,2,FALSE),(VLOOKUP($S2476,References!$B$3:$C$7,2,FALSE))),"")</f>
        <v/>
      </c>
      <c r="W2476" s="74" t="str">
        <f>IFERROR(VLOOKUP($O2476,'Customer List'!$A$1:$J$488,10,FALSE),"")</f>
        <v/>
      </c>
    </row>
    <row r="2477" spans="18:23">
      <c r="R2477" s="127">
        <f t="shared" si="153"/>
        <v>0</v>
      </c>
      <c r="T2477" s="128">
        <f t="shared" si="152"/>
        <v>0</v>
      </c>
      <c r="U2477" s="129" t="str">
        <f>IFERROR(IF(#REF!="S",VLOOKUP('Raw Data'!A2477,References!#REF!,2,FALSE),(VLOOKUP($S2477,References!$B$3:$C$7,2,FALSE))),"")</f>
        <v/>
      </c>
      <c r="W2477" s="74" t="str">
        <f>IFERROR(VLOOKUP($O2477,'Customer List'!$A$1:$J$488,10,FALSE),"")</f>
        <v/>
      </c>
    </row>
    <row r="2478" spans="18:23">
      <c r="R2478" s="127">
        <f t="shared" si="153"/>
        <v>0</v>
      </c>
      <c r="T2478" s="128">
        <f t="shared" si="152"/>
        <v>0</v>
      </c>
      <c r="U2478" s="129" t="str">
        <f>IFERROR(IF(#REF!="S",VLOOKUP('Raw Data'!A2478,References!#REF!,2,FALSE),(VLOOKUP($S2478,References!$B$3:$C$7,2,FALSE))),"")</f>
        <v/>
      </c>
      <c r="W2478" s="74" t="str">
        <f>IFERROR(VLOOKUP($O2478,'Customer List'!$A$1:$J$488,10,FALSE),"")</f>
        <v/>
      </c>
    </row>
    <row r="2479" spans="18:23">
      <c r="R2479" s="127">
        <f t="shared" si="153"/>
        <v>0</v>
      </c>
      <c r="T2479" s="128">
        <f t="shared" si="152"/>
        <v>0</v>
      </c>
      <c r="U2479" s="129" t="str">
        <f>IFERROR(IF(#REF!="S",VLOOKUP('Raw Data'!A2479,References!#REF!,2,FALSE),(VLOOKUP($S2479,References!$B$3:$C$7,2,FALSE))),"")</f>
        <v/>
      </c>
      <c r="W2479" s="74" t="str">
        <f>IFERROR(VLOOKUP($O2479,'Customer List'!$A$1:$J$488,10,FALSE),"")</f>
        <v/>
      </c>
    </row>
    <row r="2480" spans="18:23">
      <c r="R2480" s="127">
        <f t="shared" si="153"/>
        <v>0</v>
      </c>
      <c r="T2480" s="128">
        <f t="shared" si="152"/>
        <v>0</v>
      </c>
      <c r="U2480" s="129" t="str">
        <f>IFERROR(IF(#REF!="S",VLOOKUP('Raw Data'!A2480,References!#REF!,2,FALSE),(VLOOKUP($S2480,References!$B$3:$C$7,2,FALSE))),"")</f>
        <v/>
      </c>
      <c r="W2480" s="74" t="str">
        <f>IFERROR(VLOOKUP($O2480,'Customer List'!$A$1:$J$488,10,FALSE),"")</f>
        <v/>
      </c>
    </row>
    <row r="2481" spans="18:23">
      <c r="R2481" s="127">
        <f t="shared" si="153"/>
        <v>0</v>
      </c>
      <c r="T2481" s="128">
        <f t="shared" si="152"/>
        <v>0</v>
      </c>
      <c r="U2481" s="129" t="str">
        <f>IFERROR(IF(#REF!="S",VLOOKUP('Raw Data'!A2481,References!#REF!,2,FALSE),(VLOOKUP($S2481,References!$B$3:$C$7,2,FALSE))),"")</f>
        <v/>
      </c>
      <c r="W2481" s="74" t="str">
        <f>IFERROR(VLOOKUP($O2481,'Customer List'!$A$1:$J$488,10,FALSE),"")</f>
        <v/>
      </c>
    </row>
    <row r="2482" spans="18:23">
      <c r="R2482" s="127">
        <f t="shared" si="153"/>
        <v>0</v>
      </c>
      <c r="T2482" s="128">
        <f t="shared" si="152"/>
        <v>0</v>
      </c>
      <c r="U2482" s="129" t="str">
        <f>IFERROR(IF(#REF!="S",VLOOKUP('Raw Data'!A2482,References!#REF!,2,FALSE),(VLOOKUP($S2482,References!$B$3:$C$7,2,FALSE))),"")</f>
        <v/>
      </c>
      <c r="W2482" s="74" t="str">
        <f>IFERROR(VLOOKUP($O2482,'Customer List'!$A$1:$J$488,10,FALSE),"")</f>
        <v/>
      </c>
    </row>
    <row r="2483" spans="18:23">
      <c r="R2483" s="127">
        <f t="shared" si="153"/>
        <v>0</v>
      </c>
      <c r="T2483" s="128">
        <f t="shared" si="152"/>
        <v>0</v>
      </c>
      <c r="U2483" s="129" t="str">
        <f>IFERROR(IF(#REF!="S",VLOOKUP('Raw Data'!A2483,References!#REF!,2,FALSE),(VLOOKUP($S2483,References!$B$3:$C$7,2,FALSE))),"")</f>
        <v/>
      </c>
      <c r="W2483" s="74" t="str">
        <f>IFERROR(VLOOKUP($O2483,'Customer List'!$A$1:$J$488,10,FALSE),"")</f>
        <v/>
      </c>
    </row>
    <row r="2484" spans="18:23">
      <c r="R2484" s="127">
        <f t="shared" si="153"/>
        <v>0</v>
      </c>
      <c r="T2484" s="128">
        <f t="shared" si="152"/>
        <v>0</v>
      </c>
      <c r="U2484" s="129" t="str">
        <f>IFERROR(IF(#REF!="S",VLOOKUP('Raw Data'!A2484,References!#REF!,2,FALSE),(VLOOKUP($S2484,References!$B$3:$C$7,2,FALSE))),"")</f>
        <v/>
      </c>
      <c r="W2484" s="74" t="str">
        <f>IFERROR(VLOOKUP($O2484,'Customer List'!$A$1:$J$488,10,FALSE),"")</f>
        <v/>
      </c>
    </row>
    <row r="2485" spans="18:23">
      <c r="R2485" s="127">
        <f t="shared" si="153"/>
        <v>0</v>
      </c>
      <c r="T2485" s="128">
        <f t="shared" si="152"/>
        <v>0</v>
      </c>
      <c r="U2485" s="129" t="str">
        <f>IFERROR(IF(#REF!="S",VLOOKUP('Raw Data'!A2485,References!#REF!,2,FALSE),(VLOOKUP($S2485,References!$B$3:$C$7,2,FALSE))),"")</f>
        <v/>
      </c>
      <c r="W2485" s="74" t="str">
        <f>IFERROR(VLOOKUP($O2485,'Customer List'!$A$1:$J$488,10,FALSE),"")</f>
        <v/>
      </c>
    </row>
    <row r="2486" spans="18:23">
      <c r="R2486" s="127">
        <f t="shared" si="153"/>
        <v>0</v>
      </c>
      <c r="T2486" s="128">
        <f t="shared" si="152"/>
        <v>0</v>
      </c>
      <c r="U2486" s="129" t="str">
        <f>IFERROR(IF(#REF!="S",VLOOKUP('Raw Data'!A2486,References!#REF!,2,FALSE),(VLOOKUP($S2486,References!$B$3:$C$7,2,FALSE))),"")</f>
        <v/>
      </c>
      <c r="W2486" s="74" t="str">
        <f>IFERROR(VLOOKUP($O2486,'Customer List'!$A$1:$J$488,10,FALSE),"")</f>
        <v/>
      </c>
    </row>
    <row r="2487" spans="18:23">
      <c r="R2487" s="127">
        <f t="shared" si="153"/>
        <v>0</v>
      </c>
      <c r="T2487" s="128">
        <f t="shared" si="152"/>
        <v>0</v>
      </c>
      <c r="U2487" s="129" t="str">
        <f>IFERROR(IF(#REF!="S",VLOOKUP('Raw Data'!A2487,References!#REF!,2,FALSE),(VLOOKUP($S2487,References!$B$3:$C$7,2,FALSE))),"")</f>
        <v/>
      </c>
      <c r="W2487" s="74" t="str">
        <f>IFERROR(VLOOKUP($O2487,'Customer List'!$A$1:$J$488,10,FALSE),"")</f>
        <v/>
      </c>
    </row>
    <row r="2488" spans="18:23">
      <c r="R2488" s="127">
        <f t="shared" si="153"/>
        <v>0</v>
      </c>
      <c r="T2488" s="128">
        <f t="shared" si="152"/>
        <v>0</v>
      </c>
      <c r="U2488" s="129" t="str">
        <f>IFERROR(IF(#REF!="S",VLOOKUP('Raw Data'!A2488,References!#REF!,2,FALSE),(VLOOKUP($S2488,References!$B$3:$C$7,2,FALSE))),"")</f>
        <v/>
      </c>
      <c r="W2488" s="74" t="str">
        <f>IFERROR(VLOOKUP($O2488,'Customer List'!$A$1:$J$488,10,FALSE),"")</f>
        <v/>
      </c>
    </row>
    <row r="2489" spans="18:23">
      <c r="R2489" s="127">
        <f t="shared" si="153"/>
        <v>0</v>
      </c>
      <c r="T2489" s="128">
        <f t="shared" si="152"/>
        <v>0</v>
      </c>
      <c r="U2489" s="129" t="str">
        <f>IFERROR(IF(#REF!="S",VLOOKUP('Raw Data'!A2489,References!#REF!,2,FALSE),(VLOOKUP($S2489,References!$B$3:$C$7,2,FALSE))),"")</f>
        <v/>
      </c>
      <c r="W2489" s="74" t="str">
        <f>IFERROR(VLOOKUP($O2489,'Customer List'!$A$1:$J$488,10,FALSE),"")</f>
        <v/>
      </c>
    </row>
    <row r="2490" spans="18:23">
      <c r="R2490" s="127">
        <f t="shared" si="153"/>
        <v>0</v>
      </c>
      <c r="T2490" s="128">
        <f t="shared" si="152"/>
        <v>0</v>
      </c>
      <c r="U2490" s="129" t="str">
        <f>IFERROR(IF(#REF!="S",VLOOKUP('Raw Data'!A2490,References!#REF!,2,FALSE),(VLOOKUP($S2490,References!$B$3:$C$7,2,FALSE))),"")</f>
        <v/>
      </c>
      <c r="W2490" s="74" t="str">
        <f>IFERROR(VLOOKUP($O2490,'Customer List'!$A$1:$J$488,10,FALSE),"")</f>
        <v/>
      </c>
    </row>
    <row r="2491" spans="18:23">
      <c r="R2491" s="127">
        <f t="shared" si="153"/>
        <v>0</v>
      </c>
      <c r="T2491" s="128">
        <f t="shared" si="152"/>
        <v>0</v>
      </c>
      <c r="U2491" s="129" t="str">
        <f>IFERROR(IF(#REF!="S",VLOOKUP('Raw Data'!A2491,References!#REF!,2,FALSE),(VLOOKUP($S2491,References!$B$3:$C$7,2,FALSE))),"")</f>
        <v/>
      </c>
      <c r="W2491" s="74" t="str">
        <f>IFERROR(VLOOKUP($O2491,'Customer List'!$A$1:$J$488,10,FALSE),"")</f>
        <v/>
      </c>
    </row>
    <row r="2492" spans="18:23">
      <c r="R2492" s="127">
        <f t="shared" si="153"/>
        <v>0</v>
      </c>
      <c r="T2492" s="128">
        <f t="shared" si="152"/>
        <v>0</v>
      </c>
      <c r="U2492" s="129" t="str">
        <f>IFERROR(IF(#REF!="S",VLOOKUP('Raw Data'!A2492,References!#REF!,2,FALSE),(VLOOKUP($S2492,References!$B$3:$C$7,2,FALSE))),"")</f>
        <v/>
      </c>
      <c r="W2492" s="74" t="str">
        <f>IFERROR(VLOOKUP($O2492,'Customer List'!$A$1:$J$488,10,FALSE),"")</f>
        <v/>
      </c>
    </row>
    <row r="2493" spans="18:23">
      <c r="R2493" s="127">
        <f t="shared" si="153"/>
        <v>0</v>
      </c>
      <c r="T2493" s="128">
        <f t="shared" si="152"/>
        <v>0</v>
      </c>
      <c r="U2493" s="129" t="str">
        <f>IFERROR(IF(#REF!="S",VLOOKUP('Raw Data'!A2493,References!#REF!,2,FALSE),(VLOOKUP($S2493,References!$B$3:$C$7,2,FALSE))),"")</f>
        <v/>
      </c>
      <c r="W2493" s="74" t="str">
        <f>IFERROR(VLOOKUP($O2493,'Customer List'!$A$1:$J$488,10,FALSE),"")</f>
        <v/>
      </c>
    </row>
    <row r="2494" spans="18:23">
      <c r="R2494" s="127">
        <f t="shared" si="153"/>
        <v>0</v>
      </c>
      <c r="T2494" s="128">
        <f t="shared" si="152"/>
        <v>0</v>
      </c>
      <c r="U2494" s="129" t="str">
        <f>IFERROR(IF(#REF!="S",VLOOKUP('Raw Data'!A2494,References!#REF!,2,FALSE),(VLOOKUP($S2494,References!$B$3:$C$7,2,FALSE))),"")</f>
        <v/>
      </c>
      <c r="W2494" s="74" t="str">
        <f>IFERROR(VLOOKUP($O2494,'Customer List'!$A$1:$J$488,10,FALSE),"")</f>
        <v/>
      </c>
    </row>
    <row r="2495" spans="18:23">
      <c r="R2495" s="127">
        <f t="shared" si="153"/>
        <v>0</v>
      </c>
      <c r="T2495" s="128">
        <f t="shared" si="152"/>
        <v>0</v>
      </c>
      <c r="U2495" s="129" t="str">
        <f>IFERROR(IF(#REF!="S",VLOOKUP('Raw Data'!A2495,References!#REF!,2,FALSE),(VLOOKUP($S2495,References!$B$3:$C$7,2,FALSE))),"")</f>
        <v/>
      </c>
      <c r="W2495" s="74" t="str">
        <f>IFERROR(VLOOKUP($O2495,'Customer List'!$A$1:$J$488,10,FALSE),"")</f>
        <v/>
      </c>
    </row>
    <row r="2496" spans="18:23">
      <c r="R2496" s="127">
        <f t="shared" si="153"/>
        <v>0</v>
      </c>
      <c r="T2496" s="128">
        <f t="shared" si="152"/>
        <v>0</v>
      </c>
      <c r="U2496" s="129" t="str">
        <f>IFERROR(IF(#REF!="S",VLOOKUP('Raw Data'!A2496,References!#REF!,2,FALSE),(VLOOKUP($S2496,References!$B$3:$C$7,2,FALSE))),"")</f>
        <v/>
      </c>
      <c r="W2496" s="74" t="str">
        <f>IFERROR(VLOOKUP($O2496,'Customer List'!$A$1:$J$488,10,FALSE),"")</f>
        <v/>
      </c>
    </row>
    <row r="2497" spans="18:23">
      <c r="R2497" s="127">
        <f t="shared" si="153"/>
        <v>0</v>
      </c>
      <c r="T2497" s="128">
        <f t="shared" si="152"/>
        <v>0</v>
      </c>
      <c r="U2497" s="129" t="str">
        <f>IFERROR(IF(#REF!="S",VLOOKUP('Raw Data'!A2497,References!#REF!,2,FALSE),(VLOOKUP($S2497,References!$B$3:$C$7,2,FALSE))),"")</f>
        <v/>
      </c>
      <c r="W2497" s="74" t="str">
        <f>IFERROR(VLOOKUP($O2497,'Customer List'!$A$1:$J$488,10,FALSE),"")</f>
        <v/>
      </c>
    </row>
    <row r="2498" spans="18:23">
      <c r="R2498" s="127">
        <f t="shared" si="153"/>
        <v>0</v>
      </c>
      <c r="T2498" s="128">
        <f t="shared" si="152"/>
        <v>0</v>
      </c>
      <c r="U2498" s="129" t="str">
        <f>IFERROR(IF(#REF!="S",VLOOKUP('Raw Data'!A2498,References!#REF!,2,FALSE),(VLOOKUP($S2498,References!$B$3:$C$7,2,FALSE))),"")</f>
        <v/>
      </c>
      <c r="W2498" s="74" t="str">
        <f>IFERROR(VLOOKUP($O2498,'Customer List'!$A$1:$J$488,10,FALSE),"")</f>
        <v/>
      </c>
    </row>
    <row r="2499" spans="18:23">
      <c r="R2499" s="127">
        <f t="shared" si="153"/>
        <v>0</v>
      </c>
      <c r="T2499" s="128">
        <f t="shared" si="152"/>
        <v>0</v>
      </c>
      <c r="U2499" s="129" t="str">
        <f>IFERROR(IF(#REF!="S",VLOOKUP('Raw Data'!A2499,References!#REF!,2,FALSE),(VLOOKUP($S2499,References!$B$3:$C$7,2,FALSE))),"")</f>
        <v/>
      </c>
      <c r="W2499" s="74" t="str">
        <f>IFERROR(VLOOKUP($O2499,'Customer List'!$A$1:$J$488,10,FALSE),"")</f>
        <v/>
      </c>
    </row>
    <row r="2500" spans="18:23">
      <c r="R2500" s="127">
        <f t="shared" si="153"/>
        <v>0</v>
      </c>
      <c r="T2500" s="128">
        <f t="shared" si="152"/>
        <v>0</v>
      </c>
      <c r="U2500" s="129" t="str">
        <f>IFERROR(IF(#REF!="S",VLOOKUP('Raw Data'!A2500,References!#REF!,2,FALSE),(VLOOKUP($S2500,References!$B$3:$C$7,2,FALSE))),"")</f>
        <v/>
      </c>
      <c r="W2500" s="74" t="str">
        <f>IFERROR(VLOOKUP($O2500,'Customer List'!$A$1:$J$488,10,FALSE),"")</f>
        <v/>
      </c>
    </row>
    <row r="2501" spans="18:23">
      <c r="R2501" s="127">
        <f t="shared" si="153"/>
        <v>0</v>
      </c>
      <c r="T2501" s="128">
        <f t="shared" si="152"/>
        <v>0</v>
      </c>
      <c r="U2501" s="129" t="str">
        <f>IFERROR(IF(#REF!="S",VLOOKUP('Raw Data'!A2501,References!#REF!,2,FALSE),(VLOOKUP($S2501,References!$B$3:$C$7,2,FALSE))),"")</f>
        <v/>
      </c>
      <c r="W2501" s="74" t="str">
        <f>IFERROR(VLOOKUP($O2501,'Customer List'!$A$1:$J$488,10,FALSE),"")</f>
        <v/>
      </c>
    </row>
    <row r="2502" spans="18:23">
      <c r="R2502" s="127">
        <f t="shared" si="153"/>
        <v>0</v>
      </c>
      <c r="T2502" s="128">
        <f t="shared" si="152"/>
        <v>0</v>
      </c>
      <c r="U2502" s="129" t="str">
        <f>IFERROR(IF(#REF!="S",VLOOKUP('Raw Data'!A2502,References!#REF!,2,FALSE),(VLOOKUP($S2502,References!$B$3:$C$7,2,FALSE))),"")</f>
        <v/>
      </c>
      <c r="W2502" s="74" t="str">
        <f>IFERROR(VLOOKUP($O2502,'Customer List'!$A$1:$J$488,10,FALSE),"")</f>
        <v/>
      </c>
    </row>
    <row r="2503" spans="18:23">
      <c r="R2503" s="127">
        <f t="shared" si="153"/>
        <v>0</v>
      </c>
      <c r="T2503" s="128">
        <f t="shared" si="152"/>
        <v>0</v>
      </c>
      <c r="U2503" s="129" t="str">
        <f>IFERROR(IF(#REF!="S",VLOOKUP('Raw Data'!A2503,References!#REF!,2,FALSE),(VLOOKUP($S2503,References!$B$3:$C$7,2,FALSE))),"")</f>
        <v/>
      </c>
      <c r="W2503" s="74" t="str">
        <f>IFERROR(VLOOKUP($O2503,'Customer List'!$A$1:$J$488,10,FALSE),"")</f>
        <v/>
      </c>
    </row>
    <row r="2504" spans="18:23">
      <c r="R2504" s="127">
        <f t="shared" si="153"/>
        <v>0</v>
      </c>
      <c r="T2504" s="128">
        <f t="shared" si="152"/>
        <v>0</v>
      </c>
      <c r="U2504" s="129" t="str">
        <f>IFERROR(IF(#REF!="S",VLOOKUP('Raw Data'!A2504,References!#REF!,2,FALSE),(VLOOKUP($S2504,References!$B$3:$C$7,2,FALSE))),"")</f>
        <v/>
      </c>
      <c r="W2504" s="74" t="str">
        <f>IFERROR(VLOOKUP($O2504,'Customer List'!$A$1:$J$488,10,FALSE),"")</f>
        <v/>
      </c>
    </row>
    <row r="2505" spans="18:23">
      <c r="R2505" s="127">
        <f t="shared" si="153"/>
        <v>0</v>
      </c>
      <c r="T2505" s="128">
        <f t="shared" si="152"/>
        <v>0</v>
      </c>
      <c r="U2505" s="129" t="str">
        <f>IFERROR(IF(#REF!="S",VLOOKUP('Raw Data'!A2505,References!#REF!,2,FALSE),(VLOOKUP($S2505,References!$B$3:$C$7,2,FALSE))),"")</f>
        <v/>
      </c>
      <c r="W2505" s="74" t="str">
        <f>IFERROR(VLOOKUP($O2505,'Customer List'!$A$1:$J$488,10,FALSE),"")</f>
        <v/>
      </c>
    </row>
    <row r="2506" spans="18:23">
      <c r="R2506" s="127">
        <f t="shared" si="153"/>
        <v>0</v>
      </c>
      <c r="T2506" s="128">
        <f t="shared" ref="T2506:T2569" si="154">IF(S2506="50 - Cleaning Fee",1,HOUR($R2506)+MINUTE(R2506)/60)</f>
        <v>0</v>
      </c>
      <c r="U2506" s="129" t="str">
        <f>IFERROR(IF(#REF!="S",VLOOKUP('Raw Data'!A2506,References!#REF!,2,FALSE),(VLOOKUP($S2506,References!$B$3:$C$7,2,FALSE))),"")</f>
        <v/>
      </c>
      <c r="W2506" s="74" t="str">
        <f>IFERROR(VLOOKUP($O2506,'Customer List'!$A$1:$J$488,10,FALSE),"")</f>
        <v/>
      </c>
    </row>
    <row r="2507" spans="18:23">
      <c r="R2507" s="127">
        <f t="shared" si="153"/>
        <v>0</v>
      </c>
      <c r="T2507" s="128">
        <f t="shared" si="154"/>
        <v>0</v>
      </c>
      <c r="U2507" s="129" t="str">
        <f>IFERROR(IF(#REF!="S",VLOOKUP('Raw Data'!A2507,References!#REF!,2,FALSE),(VLOOKUP($S2507,References!$B$3:$C$7,2,FALSE))),"")</f>
        <v/>
      </c>
      <c r="W2507" s="74" t="str">
        <f>IFERROR(VLOOKUP($O2507,'Customer List'!$A$1:$J$488,10,FALSE),"")</f>
        <v/>
      </c>
    </row>
    <row r="2508" spans="18:23">
      <c r="R2508" s="127">
        <f t="shared" si="153"/>
        <v>0</v>
      </c>
      <c r="T2508" s="128">
        <f t="shared" si="154"/>
        <v>0</v>
      </c>
      <c r="U2508" s="129" t="str">
        <f>IFERROR(IF(#REF!="S",VLOOKUP('Raw Data'!A2508,References!#REF!,2,FALSE),(VLOOKUP($S2508,References!$B$3:$C$7,2,FALSE))),"")</f>
        <v/>
      </c>
      <c r="W2508" s="74" t="str">
        <f>IFERROR(VLOOKUP($O2508,'Customer List'!$A$1:$J$488,10,FALSE),"")</f>
        <v/>
      </c>
    </row>
    <row r="2509" spans="18:23">
      <c r="R2509" s="127">
        <f t="shared" si="153"/>
        <v>0</v>
      </c>
      <c r="T2509" s="128">
        <f t="shared" si="154"/>
        <v>0</v>
      </c>
      <c r="U2509" s="129" t="str">
        <f>IFERROR(IF(#REF!="S",VLOOKUP('Raw Data'!A2509,References!#REF!,2,FALSE),(VLOOKUP($S2509,References!$B$3:$C$7,2,FALSE))),"")</f>
        <v/>
      </c>
      <c r="W2509" s="74" t="str">
        <f>IFERROR(VLOOKUP($O2509,'Customer List'!$A$1:$J$488,10,FALSE),"")</f>
        <v/>
      </c>
    </row>
    <row r="2510" spans="18:23">
      <c r="R2510" s="127">
        <f t="shared" si="153"/>
        <v>0</v>
      </c>
      <c r="T2510" s="128">
        <f t="shared" si="154"/>
        <v>0</v>
      </c>
      <c r="U2510" s="129" t="str">
        <f>IFERROR(IF(#REF!="S",VLOOKUP('Raw Data'!A2510,References!#REF!,2,FALSE),(VLOOKUP($S2510,References!$B$3:$C$7,2,FALSE))),"")</f>
        <v/>
      </c>
      <c r="W2510" s="74" t="str">
        <f>IFERROR(VLOOKUP($O2510,'Customer List'!$A$1:$J$488,10,FALSE),"")</f>
        <v/>
      </c>
    </row>
    <row r="2511" spans="18:23">
      <c r="R2511" s="127">
        <f t="shared" si="153"/>
        <v>0</v>
      </c>
      <c r="T2511" s="128">
        <f t="shared" si="154"/>
        <v>0</v>
      </c>
      <c r="U2511" s="129" t="str">
        <f>IFERROR(IF(#REF!="S",VLOOKUP('Raw Data'!A2511,References!#REF!,2,FALSE),(VLOOKUP($S2511,References!$B$3:$C$7,2,FALSE))),"")</f>
        <v/>
      </c>
      <c r="W2511" s="74" t="str">
        <f>IFERROR(VLOOKUP($O2511,'Customer List'!$A$1:$J$488,10,FALSE),"")</f>
        <v/>
      </c>
    </row>
    <row r="2512" spans="18:23">
      <c r="R2512" s="127">
        <f t="shared" si="153"/>
        <v>0</v>
      </c>
      <c r="T2512" s="128">
        <f t="shared" si="154"/>
        <v>0</v>
      </c>
      <c r="U2512" s="129" t="str">
        <f>IFERROR(IF(#REF!="S",VLOOKUP('Raw Data'!A2512,References!#REF!,2,FALSE),(VLOOKUP($S2512,References!$B$3:$C$7,2,FALSE))),"")</f>
        <v/>
      </c>
      <c r="W2512" s="74" t="str">
        <f>IFERROR(VLOOKUP($O2512,'Customer List'!$A$1:$J$488,10,FALSE),"")</f>
        <v/>
      </c>
    </row>
    <row r="2513" spans="18:23">
      <c r="R2513" s="127">
        <f t="shared" si="153"/>
        <v>0</v>
      </c>
      <c r="T2513" s="128">
        <f t="shared" si="154"/>
        <v>0</v>
      </c>
      <c r="U2513" s="129" t="str">
        <f>IFERROR(IF(#REF!="S",VLOOKUP('Raw Data'!A2513,References!#REF!,2,FALSE),(VLOOKUP($S2513,References!$B$3:$C$7,2,FALSE))),"")</f>
        <v/>
      </c>
      <c r="W2513" s="74" t="str">
        <f>IFERROR(VLOOKUP($O2513,'Customer List'!$A$1:$J$488,10,FALSE),"")</f>
        <v/>
      </c>
    </row>
    <row r="2514" spans="18:23">
      <c r="R2514" s="127">
        <f t="shared" si="153"/>
        <v>0</v>
      </c>
      <c r="T2514" s="128">
        <f t="shared" si="154"/>
        <v>0</v>
      </c>
      <c r="U2514" s="129" t="str">
        <f>IFERROR(IF(#REF!="S",VLOOKUP('Raw Data'!A2514,References!#REF!,2,FALSE),(VLOOKUP($S2514,References!$B$3:$C$7,2,FALSE))),"")</f>
        <v/>
      </c>
      <c r="W2514" s="74" t="str">
        <f>IFERROR(VLOOKUP($O2514,'Customer List'!$A$1:$J$488,10,FALSE),"")</f>
        <v/>
      </c>
    </row>
    <row r="2515" spans="18:23">
      <c r="R2515" s="127">
        <f t="shared" si="153"/>
        <v>0</v>
      </c>
      <c r="T2515" s="128">
        <f t="shared" si="154"/>
        <v>0</v>
      </c>
      <c r="U2515" s="129" t="str">
        <f>IFERROR(IF(#REF!="S",VLOOKUP('Raw Data'!A2515,References!#REF!,2,FALSE),(VLOOKUP($S2515,References!$B$3:$C$7,2,FALSE))),"")</f>
        <v/>
      </c>
      <c r="W2515" s="74" t="str">
        <f>IFERROR(VLOOKUP($O2515,'Customer List'!$A$1:$J$488,10,FALSE),"")</f>
        <v/>
      </c>
    </row>
    <row r="2516" spans="18:23">
      <c r="R2516" s="127">
        <f t="shared" si="153"/>
        <v>0</v>
      </c>
      <c r="T2516" s="128">
        <f t="shared" si="154"/>
        <v>0</v>
      </c>
      <c r="U2516" s="129" t="str">
        <f>IFERROR(IF(#REF!="S",VLOOKUP('Raw Data'!A2516,References!#REF!,2,FALSE),(VLOOKUP($S2516,References!$B$3:$C$7,2,FALSE))),"")</f>
        <v/>
      </c>
      <c r="W2516" s="74" t="str">
        <f>IFERROR(VLOOKUP($O2516,'Customer List'!$A$1:$J$488,10,FALSE),"")</f>
        <v/>
      </c>
    </row>
    <row r="2517" spans="18:23">
      <c r="R2517" s="127">
        <f t="shared" si="153"/>
        <v>0</v>
      </c>
      <c r="T2517" s="128">
        <f t="shared" si="154"/>
        <v>0</v>
      </c>
      <c r="U2517" s="129" t="str">
        <f>IFERROR(IF(#REF!="S",VLOOKUP('Raw Data'!A2517,References!#REF!,2,FALSE),(VLOOKUP($S2517,References!$B$3:$C$7,2,FALSE))),"")</f>
        <v/>
      </c>
      <c r="W2517" s="74" t="str">
        <f>IFERROR(VLOOKUP($O2517,'Customer List'!$A$1:$J$488,10,FALSE),"")</f>
        <v/>
      </c>
    </row>
    <row r="2518" spans="18:23">
      <c r="R2518" s="127">
        <f t="shared" si="153"/>
        <v>0</v>
      </c>
      <c r="T2518" s="128">
        <f t="shared" si="154"/>
        <v>0</v>
      </c>
      <c r="U2518" s="129" t="str">
        <f>IFERROR(IF(#REF!="S",VLOOKUP('Raw Data'!A2518,References!#REF!,2,FALSE),(VLOOKUP($S2518,References!$B$3:$C$7,2,FALSE))),"")</f>
        <v/>
      </c>
      <c r="W2518" s="74" t="str">
        <f>IFERROR(VLOOKUP($O2518,'Customer List'!$A$1:$J$488,10,FALSE),"")</f>
        <v/>
      </c>
    </row>
    <row r="2519" spans="18:23">
      <c r="R2519" s="127">
        <f t="shared" si="153"/>
        <v>0</v>
      </c>
      <c r="T2519" s="128">
        <f t="shared" si="154"/>
        <v>0</v>
      </c>
      <c r="U2519" s="129" t="str">
        <f>IFERROR(IF(#REF!="S",VLOOKUP('Raw Data'!A2519,References!#REF!,2,FALSE),(VLOOKUP($S2519,References!$B$3:$C$7,2,FALSE))),"")</f>
        <v/>
      </c>
      <c r="W2519" s="74" t="str">
        <f>IFERROR(VLOOKUP($O2519,'Customer List'!$A$1:$J$488,10,FALSE),"")</f>
        <v/>
      </c>
    </row>
    <row r="2520" spans="18:23">
      <c r="R2520" s="127">
        <f t="shared" si="153"/>
        <v>0</v>
      </c>
      <c r="T2520" s="128">
        <f t="shared" si="154"/>
        <v>0</v>
      </c>
      <c r="U2520" s="129" t="str">
        <f>IFERROR(IF(#REF!="S",VLOOKUP('Raw Data'!A2520,References!#REF!,2,FALSE),(VLOOKUP($S2520,References!$B$3:$C$7,2,FALSE))),"")</f>
        <v/>
      </c>
      <c r="W2520" s="74" t="str">
        <f>IFERROR(VLOOKUP($O2520,'Customer List'!$A$1:$J$488,10,FALSE),"")</f>
        <v/>
      </c>
    </row>
    <row r="2521" spans="18:23">
      <c r="R2521" s="127">
        <f t="shared" si="153"/>
        <v>0</v>
      </c>
      <c r="T2521" s="128">
        <f t="shared" si="154"/>
        <v>0</v>
      </c>
      <c r="U2521" s="129" t="str">
        <f>IFERROR(IF(#REF!="S",VLOOKUP('Raw Data'!A2521,References!#REF!,2,FALSE),(VLOOKUP($S2521,References!$B$3:$C$7,2,FALSE))),"")</f>
        <v/>
      </c>
      <c r="W2521" s="74" t="str">
        <f>IFERROR(VLOOKUP($O2521,'Customer List'!$A$1:$J$488,10,FALSE),"")</f>
        <v/>
      </c>
    </row>
    <row r="2522" spans="18:23">
      <c r="R2522" s="127">
        <f t="shared" si="153"/>
        <v>0</v>
      </c>
      <c r="T2522" s="128">
        <f t="shared" si="154"/>
        <v>0</v>
      </c>
      <c r="U2522" s="129" t="str">
        <f>IFERROR(IF(#REF!="S",VLOOKUP('Raw Data'!A2522,References!#REF!,2,FALSE),(VLOOKUP($S2522,References!$B$3:$C$7,2,FALSE))),"")</f>
        <v/>
      </c>
      <c r="W2522" s="74" t="str">
        <f>IFERROR(VLOOKUP($O2522,'Customer List'!$A$1:$J$488,10,FALSE),"")</f>
        <v/>
      </c>
    </row>
    <row r="2523" spans="18:23">
      <c r="R2523" s="127">
        <f t="shared" si="153"/>
        <v>0</v>
      </c>
      <c r="T2523" s="128">
        <f t="shared" si="154"/>
        <v>0</v>
      </c>
      <c r="U2523" s="129" t="str">
        <f>IFERROR(IF(#REF!="S",VLOOKUP('Raw Data'!A2523,References!#REF!,2,FALSE),(VLOOKUP($S2523,References!$B$3:$C$7,2,FALSE))),"")</f>
        <v/>
      </c>
      <c r="W2523" s="74" t="str">
        <f>IFERROR(VLOOKUP($O2523,'Customer List'!$A$1:$J$488,10,FALSE),"")</f>
        <v/>
      </c>
    </row>
    <row r="2524" spans="18:23">
      <c r="R2524" s="127">
        <f t="shared" si="153"/>
        <v>0</v>
      </c>
      <c r="T2524" s="128">
        <f t="shared" si="154"/>
        <v>0</v>
      </c>
      <c r="U2524" s="129" t="str">
        <f>IFERROR(IF(#REF!="S",VLOOKUP('Raw Data'!A2524,References!#REF!,2,FALSE),(VLOOKUP($S2524,References!$B$3:$C$7,2,FALSE))),"")</f>
        <v/>
      </c>
      <c r="W2524" s="74" t="str">
        <f>IFERROR(VLOOKUP($O2524,'Customer List'!$A$1:$J$488,10,FALSE),"")</f>
        <v/>
      </c>
    </row>
    <row r="2525" spans="18:23">
      <c r="R2525" s="127">
        <f t="shared" si="153"/>
        <v>0</v>
      </c>
      <c r="T2525" s="128">
        <f t="shared" si="154"/>
        <v>0</v>
      </c>
      <c r="U2525" s="129" t="str">
        <f>IFERROR(IF(#REF!="S",VLOOKUP('Raw Data'!A2525,References!#REF!,2,FALSE),(VLOOKUP($S2525,References!$B$3:$C$7,2,FALSE))),"")</f>
        <v/>
      </c>
      <c r="W2525" s="74" t="str">
        <f>IFERROR(VLOOKUP($O2525,'Customer List'!$A$1:$J$488,10,FALSE),"")</f>
        <v/>
      </c>
    </row>
    <row r="2526" spans="18:23">
      <c r="R2526" s="127">
        <f t="shared" si="153"/>
        <v>0</v>
      </c>
      <c r="T2526" s="128">
        <f t="shared" si="154"/>
        <v>0</v>
      </c>
      <c r="U2526" s="129" t="str">
        <f>IFERROR(IF(#REF!="S",VLOOKUP('Raw Data'!A2526,References!#REF!,2,FALSE),(VLOOKUP($S2526,References!$B$3:$C$7,2,FALSE))),"")</f>
        <v/>
      </c>
      <c r="W2526" s="74" t="str">
        <f>IFERROR(VLOOKUP($O2526,'Customer List'!$A$1:$J$488,10,FALSE),"")</f>
        <v/>
      </c>
    </row>
    <row r="2527" spans="18:23">
      <c r="R2527" s="127">
        <f t="shared" si="153"/>
        <v>0</v>
      </c>
      <c r="T2527" s="128">
        <f t="shared" si="154"/>
        <v>0</v>
      </c>
      <c r="U2527" s="129" t="str">
        <f>IFERROR(IF(#REF!="S",VLOOKUP('Raw Data'!A2527,References!#REF!,2,FALSE),(VLOOKUP($S2527,References!$B$3:$C$7,2,FALSE))),"")</f>
        <v/>
      </c>
      <c r="W2527" s="74" t="str">
        <f>IFERROR(VLOOKUP($O2527,'Customer List'!$A$1:$J$488,10,FALSE),"")</f>
        <v/>
      </c>
    </row>
    <row r="2528" spans="18:23">
      <c r="R2528" s="127">
        <f t="shared" si="153"/>
        <v>0</v>
      </c>
      <c r="T2528" s="128">
        <f t="shared" si="154"/>
        <v>0</v>
      </c>
      <c r="U2528" s="129" t="str">
        <f>IFERROR(IF(#REF!="S",VLOOKUP('Raw Data'!A2528,References!#REF!,2,FALSE),(VLOOKUP($S2528,References!$B$3:$C$7,2,FALSE))),"")</f>
        <v/>
      </c>
      <c r="W2528" s="74" t="str">
        <f>IFERROR(VLOOKUP($O2528,'Customer List'!$A$1:$J$488,10,FALSE),"")</f>
        <v/>
      </c>
    </row>
    <row r="2529" spans="18:23">
      <c r="R2529" s="127">
        <f t="shared" si="153"/>
        <v>0</v>
      </c>
      <c r="T2529" s="128">
        <f t="shared" si="154"/>
        <v>0</v>
      </c>
      <c r="U2529" s="129" t="str">
        <f>IFERROR(IF(#REF!="S",VLOOKUP('Raw Data'!A2529,References!#REF!,2,FALSE),(VLOOKUP($S2529,References!$B$3:$C$7,2,FALSE))),"")</f>
        <v/>
      </c>
      <c r="W2529" s="74" t="str">
        <f>IFERROR(VLOOKUP($O2529,'Customer List'!$A$1:$J$488,10,FALSE),"")</f>
        <v/>
      </c>
    </row>
    <row r="2530" spans="18:23">
      <c r="R2530" s="127">
        <f t="shared" ref="R2530:R2593" si="155">L2530-K2530</f>
        <v>0</v>
      </c>
      <c r="T2530" s="128">
        <f t="shared" si="154"/>
        <v>0</v>
      </c>
      <c r="U2530" s="129" t="str">
        <f>IFERROR(IF(#REF!="S",VLOOKUP('Raw Data'!A2530,References!#REF!,2,FALSE),(VLOOKUP($S2530,References!$B$3:$C$7,2,FALSE))),"")</f>
        <v/>
      </c>
      <c r="W2530" s="74" t="str">
        <f>IFERROR(VLOOKUP($O2530,'Customer List'!$A$1:$J$488,10,FALSE),"")</f>
        <v/>
      </c>
    </row>
    <row r="2531" spans="18:23">
      <c r="R2531" s="127">
        <f t="shared" si="155"/>
        <v>0</v>
      </c>
      <c r="T2531" s="128">
        <f t="shared" si="154"/>
        <v>0</v>
      </c>
      <c r="U2531" s="129" t="str">
        <f>IFERROR(IF(#REF!="S",VLOOKUP('Raw Data'!A2531,References!#REF!,2,FALSE),(VLOOKUP($S2531,References!$B$3:$C$7,2,FALSE))),"")</f>
        <v/>
      </c>
      <c r="W2531" s="74" t="str">
        <f>IFERROR(VLOOKUP($O2531,'Customer List'!$A$1:$J$488,10,FALSE),"")</f>
        <v/>
      </c>
    </row>
    <row r="2532" spans="18:23">
      <c r="R2532" s="127">
        <f t="shared" si="155"/>
        <v>0</v>
      </c>
      <c r="T2532" s="128">
        <f t="shared" si="154"/>
        <v>0</v>
      </c>
      <c r="U2532" s="129" t="str">
        <f>IFERROR(IF(#REF!="S",VLOOKUP('Raw Data'!A2532,References!#REF!,2,FALSE),(VLOOKUP($S2532,References!$B$3:$C$7,2,FALSE))),"")</f>
        <v/>
      </c>
      <c r="W2532" s="74" t="str">
        <f>IFERROR(VLOOKUP($O2532,'Customer List'!$A$1:$J$488,10,FALSE),"")</f>
        <v/>
      </c>
    </row>
    <row r="2533" spans="18:23">
      <c r="R2533" s="127">
        <f t="shared" si="155"/>
        <v>0</v>
      </c>
      <c r="T2533" s="128">
        <f t="shared" si="154"/>
        <v>0</v>
      </c>
      <c r="U2533" s="129" t="str">
        <f>IFERROR(IF(#REF!="S",VLOOKUP('Raw Data'!A2533,References!#REF!,2,FALSE),(VLOOKUP($S2533,References!$B$3:$C$7,2,FALSE))),"")</f>
        <v/>
      </c>
      <c r="W2533" s="74" t="str">
        <f>IFERROR(VLOOKUP($O2533,'Customer List'!$A$1:$J$488,10,FALSE),"")</f>
        <v/>
      </c>
    </row>
    <row r="2534" spans="18:23">
      <c r="R2534" s="127">
        <f t="shared" si="155"/>
        <v>0</v>
      </c>
      <c r="T2534" s="128">
        <f t="shared" si="154"/>
        <v>0</v>
      </c>
      <c r="U2534" s="129" t="str">
        <f>IFERROR(IF(#REF!="S",VLOOKUP('Raw Data'!A2534,References!#REF!,2,FALSE),(VLOOKUP($S2534,References!$B$3:$C$7,2,FALSE))),"")</f>
        <v/>
      </c>
      <c r="W2534" s="74" t="str">
        <f>IFERROR(VLOOKUP($O2534,'Customer List'!$A$1:$J$488,10,FALSE),"")</f>
        <v/>
      </c>
    </row>
    <row r="2535" spans="18:23">
      <c r="R2535" s="127">
        <f t="shared" si="155"/>
        <v>0</v>
      </c>
      <c r="T2535" s="128">
        <f t="shared" si="154"/>
        <v>0</v>
      </c>
      <c r="U2535" s="129" t="str">
        <f>IFERROR(IF(#REF!="S",VLOOKUP('Raw Data'!A2535,References!#REF!,2,FALSE),(VLOOKUP($S2535,References!$B$3:$C$7,2,FALSE))),"")</f>
        <v/>
      </c>
      <c r="W2535" s="74" t="str">
        <f>IFERROR(VLOOKUP($O2535,'Customer List'!$A$1:$J$488,10,FALSE),"")</f>
        <v/>
      </c>
    </row>
    <row r="2536" spans="18:23">
      <c r="R2536" s="127">
        <f t="shared" si="155"/>
        <v>0</v>
      </c>
      <c r="T2536" s="128">
        <f t="shared" si="154"/>
        <v>0</v>
      </c>
      <c r="U2536" s="129" t="str">
        <f>IFERROR(IF(#REF!="S",VLOOKUP('Raw Data'!A2536,References!#REF!,2,FALSE),(VLOOKUP($S2536,References!$B$3:$C$7,2,FALSE))),"")</f>
        <v/>
      </c>
      <c r="W2536" s="74" t="str">
        <f>IFERROR(VLOOKUP($O2536,'Customer List'!$A$1:$J$488,10,FALSE),"")</f>
        <v/>
      </c>
    </row>
    <row r="2537" spans="18:23">
      <c r="R2537" s="127">
        <f t="shared" si="155"/>
        <v>0</v>
      </c>
      <c r="T2537" s="128">
        <f t="shared" si="154"/>
        <v>0</v>
      </c>
      <c r="U2537" s="129" t="str">
        <f>IFERROR(IF(#REF!="S",VLOOKUP('Raw Data'!A2537,References!#REF!,2,FALSE),(VLOOKUP($S2537,References!$B$3:$C$7,2,FALSE))),"")</f>
        <v/>
      </c>
      <c r="W2537" s="74" t="str">
        <f>IFERROR(VLOOKUP($O2537,'Customer List'!$A$1:$J$488,10,FALSE),"")</f>
        <v/>
      </c>
    </row>
    <row r="2538" spans="18:23">
      <c r="R2538" s="127">
        <f t="shared" si="155"/>
        <v>0</v>
      </c>
      <c r="T2538" s="128">
        <f t="shared" si="154"/>
        <v>0</v>
      </c>
      <c r="U2538" s="129" t="str">
        <f>IFERROR(IF(#REF!="S",VLOOKUP('Raw Data'!A2538,References!#REF!,2,FALSE),(VLOOKUP($S2538,References!$B$3:$C$7,2,FALSE))),"")</f>
        <v/>
      </c>
      <c r="W2538" s="74" t="str">
        <f>IFERROR(VLOOKUP($O2538,'Customer List'!$A$1:$J$488,10,FALSE),"")</f>
        <v/>
      </c>
    </row>
    <row r="2539" spans="18:23">
      <c r="R2539" s="127">
        <f t="shared" si="155"/>
        <v>0</v>
      </c>
      <c r="T2539" s="128">
        <f t="shared" si="154"/>
        <v>0</v>
      </c>
      <c r="U2539" s="129" t="str">
        <f>IFERROR(IF(#REF!="S",VLOOKUP('Raw Data'!A2539,References!#REF!,2,FALSE),(VLOOKUP($S2539,References!$B$3:$C$7,2,FALSE))),"")</f>
        <v/>
      </c>
      <c r="W2539" s="74" t="str">
        <f>IFERROR(VLOOKUP($O2539,'Customer List'!$A$1:$J$488,10,FALSE),"")</f>
        <v/>
      </c>
    </row>
    <row r="2540" spans="18:23">
      <c r="R2540" s="127">
        <f t="shared" si="155"/>
        <v>0</v>
      </c>
      <c r="T2540" s="128">
        <f t="shared" si="154"/>
        <v>0</v>
      </c>
      <c r="U2540" s="129" t="str">
        <f>IFERROR(IF(#REF!="S",VLOOKUP('Raw Data'!A2540,References!#REF!,2,FALSE),(VLOOKUP($S2540,References!$B$3:$C$7,2,FALSE))),"")</f>
        <v/>
      </c>
      <c r="W2540" s="74" t="str">
        <f>IFERROR(VLOOKUP($O2540,'Customer List'!$A$1:$J$488,10,FALSE),"")</f>
        <v/>
      </c>
    </row>
    <row r="2541" spans="18:23">
      <c r="R2541" s="127">
        <f t="shared" si="155"/>
        <v>0</v>
      </c>
      <c r="T2541" s="128">
        <f t="shared" si="154"/>
        <v>0</v>
      </c>
      <c r="U2541" s="129" t="str">
        <f>IFERROR(IF(#REF!="S",VLOOKUP('Raw Data'!A2541,References!#REF!,2,FALSE),(VLOOKUP($S2541,References!$B$3:$C$7,2,FALSE))),"")</f>
        <v/>
      </c>
      <c r="W2541" s="74" t="str">
        <f>IFERROR(VLOOKUP($O2541,'Customer List'!$A$1:$J$488,10,FALSE),"")</f>
        <v/>
      </c>
    </row>
    <row r="2542" spans="18:23">
      <c r="R2542" s="127">
        <f t="shared" si="155"/>
        <v>0</v>
      </c>
      <c r="T2542" s="128">
        <f t="shared" si="154"/>
        <v>0</v>
      </c>
      <c r="U2542" s="129" t="str">
        <f>IFERROR(IF(#REF!="S",VLOOKUP('Raw Data'!A2542,References!#REF!,2,FALSE),(VLOOKUP($S2542,References!$B$3:$C$7,2,FALSE))),"")</f>
        <v/>
      </c>
      <c r="W2542" s="74" t="str">
        <f>IFERROR(VLOOKUP($O2542,'Customer List'!$A$1:$J$488,10,FALSE),"")</f>
        <v/>
      </c>
    </row>
    <row r="2543" spans="18:23">
      <c r="R2543" s="127">
        <f t="shared" si="155"/>
        <v>0</v>
      </c>
      <c r="T2543" s="128">
        <f t="shared" si="154"/>
        <v>0</v>
      </c>
      <c r="U2543" s="129" t="str">
        <f>IFERROR(IF(#REF!="S",VLOOKUP('Raw Data'!A2543,References!#REF!,2,FALSE),(VLOOKUP($S2543,References!$B$3:$C$7,2,FALSE))),"")</f>
        <v/>
      </c>
      <c r="W2543" s="74" t="str">
        <f>IFERROR(VLOOKUP($O2543,'Customer List'!$A$1:$J$488,10,FALSE),"")</f>
        <v/>
      </c>
    </row>
    <row r="2544" spans="18:23">
      <c r="R2544" s="127">
        <f t="shared" si="155"/>
        <v>0</v>
      </c>
      <c r="T2544" s="128">
        <f t="shared" si="154"/>
        <v>0</v>
      </c>
      <c r="U2544" s="129" t="str">
        <f>IFERROR(IF(#REF!="S",VLOOKUP('Raw Data'!A2544,References!#REF!,2,FALSE),(VLOOKUP($S2544,References!$B$3:$C$7,2,FALSE))),"")</f>
        <v/>
      </c>
      <c r="W2544" s="74" t="str">
        <f>IFERROR(VLOOKUP($O2544,'Customer List'!$A$1:$J$488,10,FALSE),"")</f>
        <v/>
      </c>
    </row>
    <row r="2545" spans="18:23">
      <c r="R2545" s="127">
        <f t="shared" si="155"/>
        <v>0</v>
      </c>
      <c r="T2545" s="128">
        <f t="shared" si="154"/>
        <v>0</v>
      </c>
      <c r="U2545" s="129" t="str">
        <f>IFERROR(IF(#REF!="S",VLOOKUP('Raw Data'!A2545,References!#REF!,2,FALSE),(VLOOKUP($S2545,References!$B$3:$C$7,2,FALSE))),"")</f>
        <v/>
      </c>
      <c r="W2545" s="74" t="str">
        <f>IFERROR(VLOOKUP($O2545,'Customer List'!$A$1:$J$488,10,FALSE),"")</f>
        <v/>
      </c>
    </row>
    <row r="2546" spans="18:23">
      <c r="R2546" s="127">
        <f t="shared" si="155"/>
        <v>0</v>
      </c>
      <c r="T2546" s="128">
        <f t="shared" si="154"/>
        <v>0</v>
      </c>
      <c r="U2546" s="129" t="str">
        <f>IFERROR(IF(#REF!="S",VLOOKUP('Raw Data'!A2546,References!#REF!,2,FALSE),(VLOOKUP($S2546,References!$B$3:$C$7,2,FALSE))),"")</f>
        <v/>
      </c>
      <c r="W2546" s="74" t="str">
        <f>IFERROR(VLOOKUP($O2546,'Customer List'!$A$1:$J$488,10,FALSE),"")</f>
        <v/>
      </c>
    </row>
    <row r="2547" spans="18:23">
      <c r="R2547" s="127">
        <f t="shared" si="155"/>
        <v>0</v>
      </c>
      <c r="T2547" s="128">
        <f t="shared" si="154"/>
        <v>0</v>
      </c>
      <c r="U2547" s="129" t="str">
        <f>IFERROR(IF(#REF!="S",VLOOKUP('Raw Data'!A2547,References!#REF!,2,FALSE),(VLOOKUP($S2547,References!$B$3:$C$7,2,FALSE))),"")</f>
        <v/>
      </c>
      <c r="W2547" s="74" t="str">
        <f>IFERROR(VLOOKUP($O2547,'Customer List'!$A$1:$J$488,10,FALSE),"")</f>
        <v/>
      </c>
    </row>
    <row r="2548" spans="18:23">
      <c r="R2548" s="127">
        <f t="shared" si="155"/>
        <v>0</v>
      </c>
      <c r="T2548" s="128">
        <f t="shared" si="154"/>
        <v>0</v>
      </c>
      <c r="U2548" s="129" t="str">
        <f>IFERROR(IF(#REF!="S",VLOOKUP('Raw Data'!A2548,References!#REF!,2,FALSE),(VLOOKUP($S2548,References!$B$3:$C$7,2,FALSE))),"")</f>
        <v/>
      </c>
      <c r="W2548" s="74" t="str">
        <f>IFERROR(VLOOKUP($O2548,'Customer List'!$A$1:$J$488,10,FALSE),"")</f>
        <v/>
      </c>
    </row>
    <row r="2549" spans="18:23">
      <c r="R2549" s="127">
        <f t="shared" si="155"/>
        <v>0</v>
      </c>
      <c r="T2549" s="128">
        <f t="shared" si="154"/>
        <v>0</v>
      </c>
      <c r="U2549" s="129" t="str">
        <f>IFERROR(IF(#REF!="S",VLOOKUP('Raw Data'!A2549,References!#REF!,2,FALSE),(VLOOKUP($S2549,References!$B$3:$C$7,2,FALSE))),"")</f>
        <v/>
      </c>
      <c r="W2549" s="74" t="str">
        <f>IFERROR(VLOOKUP($O2549,'Customer List'!$A$1:$J$488,10,FALSE),"")</f>
        <v/>
      </c>
    </row>
    <row r="2550" spans="18:23">
      <c r="R2550" s="127">
        <f t="shared" si="155"/>
        <v>0</v>
      </c>
      <c r="T2550" s="128">
        <f t="shared" si="154"/>
        <v>0</v>
      </c>
      <c r="U2550" s="129" t="str">
        <f>IFERROR(IF(#REF!="S",VLOOKUP('Raw Data'!A2550,References!#REF!,2,FALSE),(VLOOKUP($S2550,References!$B$3:$C$7,2,FALSE))),"")</f>
        <v/>
      </c>
      <c r="W2550" s="74" t="str">
        <f>IFERROR(VLOOKUP($O2550,'Customer List'!$A$1:$J$488,10,FALSE),"")</f>
        <v/>
      </c>
    </row>
    <row r="2551" spans="18:23">
      <c r="R2551" s="127">
        <f t="shared" si="155"/>
        <v>0</v>
      </c>
      <c r="T2551" s="128">
        <f t="shared" si="154"/>
        <v>0</v>
      </c>
      <c r="U2551" s="129" t="str">
        <f>IFERROR(IF(#REF!="S",VLOOKUP('Raw Data'!A2551,References!#REF!,2,FALSE),(VLOOKUP($S2551,References!$B$3:$C$7,2,FALSE))),"")</f>
        <v/>
      </c>
      <c r="W2551" s="74" t="str">
        <f>IFERROR(VLOOKUP($O2551,'Customer List'!$A$1:$J$488,10,FALSE),"")</f>
        <v/>
      </c>
    </row>
    <row r="2552" spans="18:23">
      <c r="R2552" s="127">
        <f t="shared" si="155"/>
        <v>0</v>
      </c>
      <c r="T2552" s="128">
        <f t="shared" si="154"/>
        <v>0</v>
      </c>
      <c r="U2552" s="129" t="str">
        <f>IFERROR(IF(#REF!="S",VLOOKUP('Raw Data'!A2552,References!#REF!,2,FALSE),(VLOOKUP($S2552,References!$B$3:$C$7,2,FALSE))),"")</f>
        <v/>
      </c>
      <c r="W2552" s="74" t="str">
        <f>IFERROR(VLOOKUP($O2552,'Customer List'!$A$1:$J$488,10,FALSE),"")</f>
        <v/>
      </c>
    </row>
    <row r="2553" spans="18:23">
      <c r="R2553" s="127">
        <f t="shared" si="155"/>
        <v>0</v>
      </c>
      <c r="T2553" s="128">
        <f t="shared" si="154"/>
        <v>0</v>
      </c>
      <c r="U2553" s="129" t="str">
        <f>IFERROR(IF(#REF!="S",VLOOKUP('Raw Data'!A2553,References!#REF!,2,FALSE),(VLOOKUP($S2553,References!$B$3:$C$7,2,FALSE))),"")</f>
        <v/>
      </c>
      <c r="W2553" s="74" t="str">
        <f>IFERROR(VLOOKUP($O2553,'Customer List'!$A$1:$J$488,10,FALSE),"")</f>
        <v/>
      </c>
    </row>
    <row r="2554" spans="18:23">
      <c r="R2554" s="127">
        <f t="shared" si="155"/>
        <v>0</v>
      </c>
      <c r="T2554" s="128">
        <f t="shared" si="154"/>
        <v>0</v>
      </c>
      <c r="U2554" s="129" t="str">
        <f>IFERROR(IF(#REF!="S",VLOOKUP('Raw Data'!A2554,References!#REF!,2,FALSE),(VLOOKUP($S2554,References!$B$3:$C$7,2,FALSE))),"")</f>
        <v/>
      </c>
      <c r="W2554" s="74" t="str">
        <f>IFERROR(VLOOKUP($O2554,'Customer List'!$A$1:$J$488,10,FALSE),"")</f>
        <v/>
      </c>
    </row>
    <row r="2555" spans="18:23">
      <c r="R2555" s="127">
        <f t="shared" si="155"/>
        <v>0</v>
      </c>
      <c r="T2555" s="128">
        <f t="shared" si="154"/>
        <v>0</v>
      </c>
      <c r="U2555" s="129" t="str">
        <f>IFERROR(IF(#REF!="S",VLOOKUP('Raw Data'!A2555,References!#REF!,2,FALSE),(VLOOKUP($S2555,References!$B$3:$C$7,2,FALSE))),"")</f>
        <v/>
      </c>
      <c r="W2555" s="74" t="str">
        <f>IFERROR(VLOOKUP($O2555,'Customer List'!$A$1:$J$488,10,FALSE),"")</f>
        <v/>
      </c>
    </row>
    <row r="2556" spans="18:23">
      <c r="R2556" s="127">
        <f t="shared" si="155"/>
        <v>0</v>
      </c>
      <c r="T2556" s="128">
        <f t="shared" si="154"/>
        <v>0</v>
      </c>
      <c r="U2556" s="129" t="str">
        <f>IFERROR(IF(#REF!="S",VLOOKUP('Raw Data'!A2556,References!#REF!,2,FALSE),(VLOOKUP($S2556,References!$B$3:$C$7,2,FALSE))),"")</f>
        <v/>
      </c>
      <c r="W2556" s="74" t="str">
        <f>IFERROR(VLOOKUP($O2556,'Customer List'!$A$1:$J$488,10,FALSE),"")</f>
        <v/>
      </c>
    </row>
    <row r="2557" spans="18:23">
      <c r="R2557" s="127">
        <f t="shared" si="155"/>
        <v>0</v>
      </c>
      <c r="T2557" s="128">
        <f t="shared" si="154"/>
        <v>0</v>
      </c>
      <c r="U2557" s="129" t="str">
        <f>IFERROR(IF(#REF!="S",VLOOKUP('Raw Data'!A2557,References!#REF!,2,FALSE),(VLOOKUP($S2557,References!$B$3:$C$7,2,FALSE))),"")</f>
        <v/>
      </c>
      <c r="W2557" s="74" t="str">
        <f>IFERROR(VLOOKUP($O2557,'Customer List'!$A$1:$J$488,10,FALSE),"")</f>
        <v/>
      </c>
    </row>
    <row r="2558" spans="18:23">
      <c r="R2558" s="127">
        <f t="shared" si="155"/>
        <v>0</v>
      </c>
      <c r="T2558" s="128">
        <f t="shared" si="154"/>
        <v>0</v>
      </c>
      <c r="U2558" s="129" t="str">
        <f>IFERROR(IF(#REF!="S",VLOOKUP('Raw Data'!A2558,References!#REF!,2,FALSE),(VLOOKUP($S2558,References!$B$3:$C$7,2,FALSE))),"")</f>
        <v/>
      </c>
      <c r="W2558" s="74" t="str">
        <f>IFERROR(VLOOKUP($O2558,'Customer List'!$A$1:$J$488,10,FALSE),"")</f>
        <v/>
      </c>
    </row>
    <row r="2559" spans="18:23">
      <c r="R2559" s="127">
        <f t="shared" si="155"/>
        <v>0</v>
      </c>
      <c r="T2559" s="128">
        <f t="shared" si="154"/>
        <v>0</v>
      </c>
      <c r="U2559" s="129" t="str">
        <f>IFERROR(IF(#REF!="S",VLOOKUP('Raw Data'!A2559,References!#REF!,2,FALSE),(VLOOKUP($S2559,References!$B$3:$C$7,2,FALSE))),"")</f>
        <v/>
      </c>
      <c r="W2559" s="74" t="str">
        <f>IFERROR(VLOOKUP($O2559,'Customer List'!$A$1:$J$488,10,FALSE),"")</f>
        <v/>
      </c>
    </row>
    <row r="2560" spans="18:23">
      <c r="R2560" s="127">
        <f t="shared" si="155"/>
        <v>0</v>
      </c>
      <c r="T2560" s="128">
        <f t="shared" si="154"/>
        <v>0</v>
      </c>
      <c r="U2560" s="129" t="str">
        <f>IFERROR(IF(#REF!="S",VLOOKUP('Raw Data'!A2560,References!#REF!,2,FALSE),(VLOOKUP($S2560,References!$B$3:$C$7,2,FALSE))),"")</f>
        <v/>
      </c>
      <c r="W2560" s="74" t="str">
        <f>IFERROR(VLOOKUP($O2560,'Customer List'!$A$1:$J$488,10,FALSE),"")</f>
        <v/>
      </c>
    </row>
    <row r="2561" spans="18:23">
      <c r="R2561" s="127">
        <f t="shared" si="155"/>
        <v>0</v>
      </c>
      <c r="T2561" s="128">
        <f t="shared" si="154"/>
        <v>0</v>
      </c>
      <c r="U2561" s="129" t="str">
        <f>IFERROR(IF(#REF!="S",VLOOKUP('Raw Data'!A2561,References!#REF!,2,FALSE),(VLOOKUP($S2561,References!$B$3:$C$7,2,FALSE))),"")</f>
        <v/>
      </c>
      <c r="W2561" s="74" t="str">
        <f>IFERROR(VLOOKUP($O2561,'Customer List'!$A$1:$J$488,10,FALSE),"")</f>
        <v/>
      </c>
    </row>
    <row r="2562" spans="18:23">
      <c r="R2562" s="127">
        <f t="shared" si="155"/>
        <v>0</v>
      </c>
      <c r="T2562" s="128">
        <f t="shared" si="154"/>
        <v>0</v>
      </c>
      <c r="U2562" s="129" t="str">
        <f>IFERROR(IF(#REF!="S",VLOOKUP('Raw Data'!A2562,References!#REF!,2,FALSE),(VLOOKUP($S2562,References!$B$3:$C$7,2,FALSE))),"")</f>
        <v/>
      </c>
      <c r="W2562" s="74" t="str">
        <f>IFERROR(VLOOKUP($O2562,'Customer List'!$A$1:$J$488,10,FALSE),"")</f>
        <v/>
      </c>
    </row>
    <row r="2563" spans="18:23">
      <c r="R2563" s="127">
        <f t="shared" si="155"/>
        <v>0</v>
      </c>
      <c r="T2563" s="128">
        <f t="shared" si="154"/>
        <v>0</v>
      </c>
      <c r="U2563" s="129" t="str">
        <f>IFERROR(IF(#REF!="S",VLOOKUP('Raw Data'!A2563,References!#REF!,2,FALSE),(VLOOKUP($S2563,References!$B$3:$C$7,2,FALSE))),"")</f>
        <v/>
      </c>
      <c r="W2563" s="74" t="str">
        <f>IFERROR(VLOOKUP($O2563,'Customer List'!$A$1:$J$488,10,FALSE),"")</f>
        <v/>
      </c>
    </row>
    <row r="2564" spans="18:23">
      <c r="R2564" s="127">
        <f t="shared" si="155"/>
        <v>0</v>
      </c>
      <c r="T2564" s="128">
        <f t="shared" si="154"/>
        <v>0</v>
      </c>
      <c r="U2564" s="129" t="str">
        <f>IFERROR(IF(#REF!="S",VLOOKUP('Raw Data'!A2564,References!#REF!,2,FALSE),(VLOOKUP($S2564,References!$B$3:$C$7,2,FALSE))),"")</f>
        <v/>
      </c>
      <c r="W2564" s="74" t="str">
        <f>IFERROR(VLOOKUP($O2564,'Customer List'!$A$1:$J$488,10,FALSE),"")</f>
        <v/>
      </c>
    </row>
    <row r="2565" spans="18:23">
      <c r="R2565" s="127">
        <f t="shared" si="155"/>
        <v>0</v>
      </c>
      <c r="T2565" s="128">
        <f t="shared" si="154"/>
        <v>0</v>
      </c>
      <c r="U2565" s="129" t="str">
        <f>IFERROR(IF(#REF!="S",VLOOKUP('Raw Data'!A2565,References!#REF!,2,FALSE),(VLOOKUP($S2565,References!$B$3:$C$7,2,FALSE))),"")</f>
        <v/>
      </c>
      <c r="W2565" s="74" t="str">
        <f>IFERROR(VLOOKUP($O2565,'Customer List'!$A$1:$J$488,10,FALSE),"")</f>
        <v/>
      </c>
    </row>
    <row r="2566" spans="18:23">
      <c r="R2566" s="127">
        <f t="shared" si="155"/>
        <v>0</v>
      </c>
      <c r="T2566" s="128">
        <f t="shared" si="154"/>
        <v>0</v>
      </c>
      <c r="U2566" s="129" t="str">
        <f>IFERROR(IF(#REF!="S",VLOOKUP('Raw Data'!A2566,References!#REF!,2,FALSE),(VLOOKUP($S2566,References!$B$3:$C$7,2,FALSE))),"")</f>
        <v/>
      </c>
      <c r="W2566" s="74" t="str">
        <f>IFERROR(VLOOKUP($O2566,'Customer List'!$A$1:$J$488,10,FALSE),"")</f>
        <v/>
      </c>
    </row>
    <row r="2567" spans="18:23">
      <c r="R2567" s="127">
        <f t="shared" si="155"/>
        <v>0</v>
      </c>
      <c r="T2567" s="128">
        <f t="shared" si="154"/>
        <v>0</v>
      </c>
      <c r="U2567" s="129" t="str">
        <f>IFERROR(IF(#REF!="S",VLOOKUP('Raw Data'!A2567,References!#REF!,2,FALSE),(VLOOKUP($S2567,References!$B$3:$C$7,2,FALSE))),"")</f>
        <v/>
      </c>
      <c r="W2567" s="74" t="str">
        <f>IFERROR(VLOOKUP($O2567,'Customer List'!$A$1:$J$488,10,FALSE),"")</f>
        <v/>
      </c>
    </row>
    <row r="2568" spans="18:23">
      <c r="R2568" s="127">
        <f t="shared" si="155"/>
        <v>0</v>
      </c>
      <c r="T2568" s="128">
        <f t="shared" si="154"/>
        <v>0</v>
      </c>
      <c r="U2568" s="129" t="str">
        <f>IFERROR(IF(#REF!="S",VLOOKUP('Raw Data'!A2568,References!#REF!,2,FALSE),(VLOOKUP($S2568,References!$B$3:$C$7,2,FALSE))),"")</f>
        <v/>
      </c>
      <c r="W2568" s="74" t="str">
        <f>IFERROR(VLOOKUP($O2568,'Customer List'!$A$1:$J$488,10,FALSE),"")</f>
        <v/>
      </c>
    </row>
    <row r="2569" spans="18:23">
      <c r="R2569" s="127">
        <f t="shared" si="155"/>
        <v>0</v>
      </c>
      <c r="T2569" s="128">
        <f t="shared" si="154"/>
        <v>0</v>
      </c>
      <c r="U2569" s="129" t="str">
        <f>IFERROR(IF(#REF!="S",VLOOKUP('Raw Data'!A2569,References!#REF!,2,FALSE),(VLOOKUP($S2569,References!$B$3:$C$7,2,FALSE))),"")</f>
        <v/>
      </c>
      <c r="W2569" s="74" t="str">
        <f>IFERROR(VLOOKUP($O2569,'Customer List'!$A$1:$J$488,10,FALSE),"")</f>
        <v/>
      </c>
    </row>
    <row r="2570" spans="18:23">
      <c r="R2570" s="127">
        <f t="shared" si="155"/>
        <v>0</v>
      </c>
      <c r="T2570" s="128">
        <f t="shared" ref="T2570:T2633" si="156">IF(S2570="50 - Cleaning Fee",1,HOUR($R2570)+MINUTE(R2570)/60)</f>
        <v>0</v>
      </c>
      <c r="U2570" s="129" t="str">
        <f>IFERROR(IF(#REF!="S",VLOOKUP('Raw Data'!A2570,References!#REF!,2,FALSE),(VLOOKUP($S2570,References!$B$3:$C$7,2,FALSE))),"")</f>
        <v/>
      </c>
      <c r="W2570" s="74" t="str">
        <f>IFERROR(VLOOKUP($O2570,'Customer List'!$A$1:$J$488,10,FALSE),"")</f>
        <v/>
      </c>
    </row>
    <row r="2571" spans="18:23">
      <c r="R2571" s="127">
        <f t="shared" si="155"/>
        <v>0</v>
      </c>
      <c r="T2571" s="128">
        <f t="shared" si="156"/>
        <v>0</v>
      </c>
      <c r="U2571" s="129" t="str">
        <f>IFERROR(IF(#REF!="S",VLOOKUP('Raw Data'!A2571,References!#REF!,2,FALSE),(VLOOKUP($S2571,References!$B$3:$C$7,2,FALSE))),"")</f>
        <v/>
      </c>
      <c r="W2571" s="74" t="str">
        <f>IFERROR(VLOOKUP($O2571,'Customer List'!$A$1:$J$488,10,FALSE),"")</f>
        <v/>
      </c>
    </row>
    <row r="2572" spans="18:23">
      <c r="R2572" s="127">
        <f t="shared" si="155"/>
        <v>0</v>
      </c>
      <c r="T2572" s="128">
        <f t="shared" si="156"/>
        <v>0</v>
      </c>
      <c r="U2572" s="129" t="str">
        <f>IFERROR(IF(#REF!="S",VLOOKUP('Raw Data'!A2572,References!#REF!,2,FALSE),(VLOOKUP($S2572,References!$B$3:$C$7,2,FALSE))),"")</f>
        <v/>
      </c>
      <c r="W2572" s="74" t="str">
        <f>IFERROR(VLOOKUP($O2572,'Customer List'!$A$1:$J$488,10,FALSE),"")</f>
        <v/>
      </c>
    </row>
    <row r="2573" spans="18:23">
      <c r="R2573" s="127">
        <f t="shared" si="155"/>
        <v>0</v>
      </c>
      <c r="T2573" s="128">
        <f t="shared" si="156"/>
        <v>0</v>
      </c>
      <c r="U2573" s="129" t="str">
        <f>IFERROR(IF(#REF!="S",VLOOKUP('Raw Data'!A2573,References!#REF!,2,FALSE),(VLOOKUP($S2573,References!$B$3:$C$7,2,FALSE))),"")</f>
        <v/>
      </c>
      <c r="W2573" s="74" t="str">
        <f>IFERROR(VLOOKUP($O2573,'Customer List'!$A$1:$J$488,10,FALSE),"")</f>
        <v/>
      </c>
    </row>
    <row r="2574" spans="18:23">
      <c r="R2574" s="127">
        <f t="shared" si="155"/>
        <v>0</v>
      </c>
      <c r="T2574" s="128">
        <f t="shared" si="156"/>
        <v>0</v>
      </c>
      <c r="U2574" s="129" t="str">
        <f>IFERROR(IF(#REF!="S",VLOOKUP('Raw Data'!A2574,References!#REF!,2,FALSE),(VLOOKUP($S2574,References!$B$3:$C$7,2,FALSE))),"")</f>
        <v/>
      </c>
      <c r="W2574" s="74" t="str">
        <f>IFERROR(VLOOKUP($O2574,'Customer List'!$A$1:$J$488,10,FALSE),"")</f>
        <v/>
      </c>
    </row>
    <row r="2575" spans="18:23">
      <c r="R2575" s="127">
        <f t="shared" si="155"/>
        <v>0</v>
      </c>
      <c r="T2575" s="128">
        <f t="shared" si="156"/>
        <v>0</v>
      </c>
      <c r="U2575" s="129" t="str">
        <f>IFERROR(IF(#REF!="S",VLOOKUP('Raw Data'!A2575,References!#REF!,2,FALSE),(VLOOKUP($S2575,References!$B$3:$C$7,2,FALSE))),"")</f>
        <v/>
      </c>
      <c r="W2575" s="74" t="str">
        <f>IFERROR(VLOOKUP($O2575,'Customer List'!$A$1:$J$488,10,FALSE),"")</f>
        <v/>
      </c>
    </row>
    <row r="2576" spans="18:23">
      <c r="R2576" s="127">
        <f t="shared" si="155"/>
        <v>0</v>
      </c>
      <c r="T2576" s="128">
        <f t="shared" si="156"/>
        <v>0</v>
      </c>
      <c r="U2576" s="129" t="str">
        <f>IFERROR(IF(#REF!="S",VLOOKUP('Raw Data'!A2576,References!#REF!,2,FALSE),(VLOOKUP($S2576,References!$B$3:$C$7,2,FALSE))),"")</f>
        <v/>
      </c>
      <c r="W2576" s="74" t="str">
        <f>IFERROR(VLOOKUP($O2576,'Customer List'!$A$1:$J$488,10,FALSE),"")</f>
        <v/>
      </c>
    </row>
    <row r="2577" spans="18:23">
      <c r="R2577" s="127">
        <f t="shared" si="155"/>
        <v>0</v>
      </c>
      <c r="T2577" s="128">
        <f t="shared" si="156"/>
        <v>0</v>
      </c>
      <c r="U2577" s="129" t="str">
        <f>IFERROR(IF(#REF!="S",VLOOKUP('Raw Data'!A2577,References!#REF!,2,FALSE),(VLOOKUP($S2577,References!$B$3:$C$7,2,FALSE))),"")</f>
        <v/>
      </c>
      <c r="W2577" s="74" t="str">
        <f>IFERROR(VLOOKUP($O2577,'Customer List'!$A$1:$J$488,10,FALSE),"")</f>
        <v/>
      </c>
    </row>
    <row r="2578" spans="18:23">
      <c r="R2578" s="127">
        <f t="shared" si="155"/>
        <v>0</v>
      </c>
      <c r="T2578" s="128">
        <f t="shared" si="156"/>
        <v>0</v>
      </c>
      <c r="U2578" s="129" t="str">
        <f>IFERROR(IF(#REF!="S",VLOOKUP('Raw Data'!A2578,References!#REF!,2,FALSE),(VLOOKUP($S2578,References!$B$3:$C$7,2,FALSE))),"")</f>
        <v/>
      </c>
      <c r="W2578" s="74" t="str">
        <f>IFERROR(VLOOKUP($O2578,'Customer List'!$A$1:$J$488,10,FALSE),"")</f>
        <v/>
      </c>
    </row>
    <row r="2579" spans="18:23">
      <c r="R2579" s="127">
        <f t="shared" si="155"/>
        <v>0</v>
      </c>
      <c r="T2579" s="128">
        <f t="shared" si="156"/>
        <v>0</v>
      </c>
      <c r="U2579" s="129" t="str">
        <f>IFERROR(IF(#REF!="S",VLOOKUP('Raw Data'!A2579,References!#REF!,2,FALSE),(VLOOKUP($S2579,References!$B$3:$C$7,2,FALSE))),"")</f>
        <v/>
      </c>
      <c r="W2579" s="74" t="str">
        <f>IFERROR(VLOOKUP($O2579,'Customer List'!$A$1:$J$488,10,FALSE),"")</f>
        <v/>
      </c>
    </row>
    <row r="2580" spans="18:23">
      <c r="R2580" s="127">
        <f t="shared" si="155"/>
        <v>0</v>
      </c>
      <c r="T2580" s="128">
        <f t="shared" si="156"/>
        <v>0</v>
      </c>
      <c r="U2580" s="129" t="str">
        <f>IFERROR(IF(#REF!="S",VLOOKUP('Raw Data'!A2580,References!#REF!,2,FALSE),(VLOOKUP($S2580,References!$B$3:$C$7,2,FALSE))),"")</f>
        <v/>
      </c>
      <c r="W2580" s="74" t="str">
        <f>IFERROR(VLOOKUP($O2580,'Customer List'!$A$1:$J$488,10,FALSE),"")</f>
        <v/>
      </c>
    </row>
    <row r="2581" spans="18:23">
      <c r="R2581" s="127">
        <f t="shared" si="155"/>
        <v>0</v>
      </c>
      <c r="T2581" s="128">
        <f t="shared" si="156"/>
        <v>0</v>
      </c>
      <c r="U2581" s="129" t="str">
        <f>IFERROR(IF(#REF!="S",VLOOKUP('Raw Data'!A2581,References!#REF!,2,FALSE),(VLOOKUP($S2581,References!$B$3:$C$7,2,FALSE))),"")</f>
        <v/>
      </c>
      <c r="W2581" s="74" t="str">
        <f>IFERROR(VLOOKUP($O2581,'Customer List'!$A$1:$J$488,10,FALSE),"")</f>
        <v/>
      </c>
    </row>
    <row r="2582" spans="18:23">
      <c r="R2582" s="127">
        <f t="shared" si="155"/>
        <v>0</v>
      </c>
      <c r="T2582" s="128">
        <f t="shared" si="156"/>
        <v>0</v>
      </c>
      <c r="U2582" s="129" t="str">
        <f>IFERROR(IF(#REF!="S",VLOOKUP('Raw Data'!A2582,References!#REF!,2,FALSE),(VLOOKUP($S2582,References!$B$3:$C$7,2,FALSE))),"")</f>
        <v/>
      </c>
      <c r="W2582" s="74" t="str">
        <f>IFERROR(VLOOKUP($O2582,'Customer List'!$A$1:$J$488,10,FALSE),"")</f>
        <v/>
      </c>
    </row>
    <row r="2583" spans="18:23">
      <c r="R2583" s="127">
        <f t="shared" si="155"/>
        <v>0</v>
      </c>
      <c r="T2583" s="128">
        <f t="shared" si="156"/>
        <v>0</v>
      </c>
      <c r="U2583" s="129" t="str">
        <f>IFERROR(IF(#REF!="S",VLOOKUP('Raw Data'!A2583,References!#REF!,2,FALSE),(VLOOKUP($S2583,References!$B$3:$C$7,2,FALSE))),"")</f>
        <v/>
      </c>
      <c r="W2583" s="74" t="str">
        <f>IFERROR(VLOOKUP($O2583,'Customer List'!$A$1:$J$488,10,FALSE),"")</f>
        <v/>
      </c>
    </row>
    <row r="2584" spans="18:23">
      <c r="R2584" s="127">
        <f t="shared" si="155"/>
        <v>0</v>
      </c>
      <c r="T2584" s="128">
        <f t="shared" si="156"/>
        <v>0</v>
      </c>
      <c r="U2584" s="129" t="str">
        <f>IFERROR(IF(#REF!="S",VLOOKUP('Raw Data'!A2584,References!#REF!,2,FALSE),(VLOOKUP($S2584,References!$B$3:$C$7,2,FALSE))),"")</f>
        <v/>
      </c>
      <c r="W2584" s="74" t="str">
        <f>IFERROR(VLOOKUP($O2584,'Customer List'!$A$1:$J$488,10,FALSE),"")</f>
        <v/>
      </c>
    </row>
    <row r="2585" spans="18:23">
      <c r="R2585" s="127">
        <f t="shared" si="155"/>
        <v>0</v>
      </c>
      <c r="T2585" s="128">
        <f t="shared" si="156"/>
        <v>0</v>
      </c>
      <c r="U2585" s="129" t="str">
        <f>IFERROR(IF(#REF!="S",VLOOKUP('Raw Data'!A2585,References!#REF!,2,FALSE),(VLOOKUP($S2585,References!$B$3:$C$7,2,FALSE))),"")</f>
        <v/>
      </c>
      <c r="W2585" s="74" t="str">
        <f>IFERROR(VLOOKUP($O2585,'Customer List'!$A$1:$J$488,10,FALSE),"")</f>
        <v/>
      </c>
    </row>
    <row r="2586" spans="18:23">
      <c r="R2586" s="127">
        <f t="shared" si="155"/>
        <v>0</v>
      </c>
      <c r="T2586" s="128">
        <f t="shared" si="156"/>
        <v>0</v>
      </c>
      <c r="U2586" s="129" t="str">
        <f>IFERROR(IF(#REF!="S",VLOOKUP('Raw Data'!A2586,References!#REF!,2,FALSE),(VLOOKUP($S2586,References!$B$3:$C$7,2,FALSE))),"")</f>
        <v/>
      </c>
      <c r="W2586" s="74" t="str">
        <f>IFERROR(VLOOKUP($O2586,'Customer List'!$A$1:$J$488,10,FALSE),"")</f>
        <v/>
      </c>
    </row>
    <row r="2587" spans="18:23">
      <c r="R2587" s="127">
        <f t="shared" si="155"/>
        <v>0</v>
      </c>
      <c r="T2587" s="128">
        <f t="shared" si="156"/>
        <v>0</v>
      </c>
      <c r="U2587" s="129" t="str">
        <f>IFERROR(IF(#REF!="S",VLOOKUP('Raw Data'!A2587,References!#REF!,2,FALSE),(VLOOKUP($S2587,References!$B$3:$C$7,2,FALSE))),"")</f>
        <v/>
      </c>
      <c r="W2587" s="74" t="str">
        <f>IFERROR(VLOOKUP($O2587,'Customer List'!$A$1:$J$488,10,FALSE),"")</f>
        <v/>
      </c>
    </row>
    <row r="2588" spans="18:23">
      <c r="R2588" s="127">
        <f t="shared" si="155"/>
        <v>0</v>
      </c>
      <c r="T2588" s="128">
        <f t="shared" si="156"/>
        <v>0</v>
      </c>
      <c r="U2588" s="129" t="str">
        <f>IFERROR(IF(#REF!="S",VLOOKUP('Raw Data'!A2588,References!#REF!,2,FALSE),(VLOOKUP($S2588,References!$B$3:$C$7,2,FALSE))),"")</f>
        <v/>
      </c>
      <c r="W2588" s="74" t="str">
        <f>IFERROR(VLOOKUP($O2588,'Customer List'!$A$1:$J$488,10,FALSE),"")</f>
        <v/>
      </c>
    </row>
    <row r="2589" spans="18:23">
      <c r="R2589" s="127">
        <f t="shared" si="155"/>
        <v>0</v>
      </c>
      <c r="T2589" s="128">
        <f t="shared" si="156"/>
        <v>0</v>
      </c>
      <c r="U2589" s="129" t="str">
        <f>IFERROR(IF(#REF!="S",VLOOKUP('Raw Data'!A2589,References!#REF!,2,FALSE),(VLOOKUP($S2589,References!$B$3:$C$7,2,FALSE))),"")</f>
        <v/>
      </c>
      <c r="W2589" s="74" t="str">
        <f>IFERROR(VLOOKUP($O2589,'Customer List'!$A$1:$J$488,10,FALSE),"")</f>
        <v/>
      </c>
    </row>
    <row r="2590" spans="18:23">
      <c r="R2590" s="127">
        <f t="shared" si="155"/>
        <v>0</v>
      </c>
      <c r="T2590" s="128">
        <f t="shared" si="156"/>
        <v>0</v>
      </c>
      <c r="U2590" s="129" t="str">
        <f>IFERROR(IF(#REF!="S",VLOOKUP('Raw Data'!A2590,References!#REF!,2,FALSE),(VLOOKUP($S2590,References!$B$3:$C$7,2,FALSE))),"")</f>
        <v/>
      </c>
      <c r="W2590" s="74" t="str">
        <f>IFERROR(VLOOKUP($O2590,'Customer List'!$A$1:$J$488,10,FALSE),"")</f>
        <v/>
      </c>
    </row>
    <row r="2591" spans="18:23">
      <c r="R2591" s="127">
        <f t="shared" si="155"/>
        <v>0</v>
      </c>
      <c r="T2591" s="128">
        <f t="shared" si="156"/>
        <v>0</v>
      </c>
      <c r="U2591" s="129" t="str">
        <f>IFERROR(IF(#REF!="S",VLOOKUP('Raw Data'!A2591,References!#REF!,2,FALSE),(VLOOKUP($S2591,References!$B$3:$C$7,2,FALSE))),"")</f>
        <v/>
      </c>
      <c r="W2591" s="74" t="str">
        <f>IFERROR(VLOOKUP($O2591,'Customer List'!$A$1:$J$488,10,FALSE),"")</f>
        <v/>
      </c>
    </row>
    <row r="2592" spans="18:23">
      <c r="R2592" s="127">
        <f t="shared" si="155"/>
        <v>0</v>
      </c>
      <c r="T2592" s="128">
        <f t="shared" si="156"/>
        <v>0</v>
      </c>
      <c r="U2592" s="129" t="str">
        <f>IFERROR(IF(#REF!="S",VLOOKUP('Raw Data'!A2592,References!#REF!,2,FALSE),(VLOOKUP($S2592,References!$B$3:$C$7,2,FALSE))),"")</f>
        <v/>
      </c>
      <c r="W2592" s="74" t="str">
        <f>IFERROR(VLOOKUP($O2592,'Customer List'!$A$1:$J$488,10,FALSE),"")</f>
        <v/>
      </c>
    </row>
    <row r="2593" spans="18:23">
      <c r="R2593" s="127">
        <f t="shared" si="155"/>
        <v>0</v>
      </c>
      <c r="T2593" s="128">
        <f t="shared" si="156"/>
        <v>0</v>
      </c>
      <c r="U2593" s="129" t="str">
        <f>IFERROR(IF(#REF!="S",VLOOKUP('Raw Data'!A2593,References!#REF!,2,FALSE),(VLOOKUP($S2593,References!$B$3:$C$7,2,FALSE))),"")</f>
        <v/>
      </c>
      <c r="W2593" s="74" t="str">
        <f>IFERROR(VLOOKUP($O2593,'Customer List'!$A$1:$J$488,10,FALSE),"")</f>
        <v/>
      </c>
    </row>
    <row r="2594" spans="18:23">
      <c r="R2594" s="127">
        <f t="shared" ref="R2594:R2657" si="157">L2594-K2594</f>
        <v>0</v>
      </c>
      <c r="T2594" s="128">
        <f t="shared" si="156"/>
        <v>0</v>
      </c>
      <c r="U2594" s="129" t="str">
        <f>IFERROR(IF(#REF!="S",VLOOKUP('Raw Data'!A2594,References!#REF!,2,FALSE),(VLOOKUP($S2594,References!$B$3:$C$7,2,FALSE))),"")</f>
        <v/>
      </c>
      <c r="W2594" s="74" t="str">
        <f>IFERROR(VLOOKUP($O2594,'Customer List'!$A$1:$J$488,10,FALSE),"")</f>
        <v/>
      </c>
    </row>
    <row r="2595" spans="18:23">
      <c r="R2595" s="127">
        <f t="shared" si="157"/>
        <v>0</v>
      </c>
      <c r="T2595" s="128">
        <f t="shared" si="156"/>
        <v>0</v>
      </c>
      <c r="U2595" s="129" t="str">
        <f>IFERROR(IF(#REF!="S",VLOOKUP('Raw Data'!A2595,References!#REF!,2,FALSE),(VLOOKUP($S2595,References!$B$3:$C$7,2,FALSE))),"")</f>
        <v/>
      </c>
      <c r="W2595" s="74" t="str">
        <f>IFERROR(VLOOKUP($O2595,'Customer List'!$A$1:$J$488,10,FALSE),"")</f>
        <v/>
      </c>
    </row>
    <row r="2596" spans="18:23">
      <c r="R2596" s="127">
        <f t="shared" si="157"/>
        <v>0</v>
      </c>
      <c r="T2596" s="128">
        <f t="shared" si="156"/>
        <v>0</v>
      </c>
      <c r="U2596" s="129" t="str">
        <f>IFERROR(IF(#REF!="S",VLOOKUP('Raw Data'!A2596,References!#REF!,2,FALSE),(VLOOKUP($S2596,References!$B$3:$C$7,2,FALSE))),"")</f>
        <v/>
      </c>
      <c r="W2596" s="74" t="str">
        <f>IFERROR(VLOOKUP($O2596,'Customer List'!$A$1:$J$488,10,FALSE),"")</f>
        <v/>
      </c>
    </row>
    <row r="2597" spans="18:23">
      <c r="R2597" s="127">
        <f t="shared" si="157"/>
        <v>0</v>
      </c>
      <c r="T2597" s="128">
        <f t="shared" si="156"/>
        <v>0</v>
      </c>
      <c r="U2597" s="129" t="str">
        <f>IFERROR(IF(#REF!="S",VLOOKUP('Raw Data'!A2597,References!#REF!,2,FALSE),(VLOOKUP($S2597,References!$B$3:$C$7,2,FALSE))),"")</f>
        <v/>
      </c>
      <c r="W2597" s="74" t="str">
        <f>IFERROR(VLOOKUP($O2597,'Customer List'!$A$1:$J$488,10,FALSE),"")</f>
        <v/>
      </c>
    </row>
    <row r="2598" spans="18:23">
      <c r="R2598" s="127">
        <f t="shared" si="157"/>
        <v>0</v>
      </c>
      <c r="T2598" s="128">
        <f t="shared" si="156"/>
        <v>0</v>
      </c>
      <c r="U2598" s="129" t="str">
        <f>IFERROR(IF(#REF!="S",VLOOKUP('Raw Data'!A2598,References!#REF!,2,FALSE),(VLOOKUP($S2598,References!$B$3:$C$7,2,FALSE))),"")</f>
        <v/>
      </c>
      <c r="W2598" s="74" t="str">
        <f>IFERROR(VLOOKUP($O2598,'Customer List'!$A$1:$J$488,10,FALSE),"")</f>
        <v/>
      </c>
    </row>
    <row r="2599" spans="18:23">
      <c r="R2599" s="127">
        <f t="shared" si="157"/>
        <v>0</v>
      </c>
      <c r="T2599" s="128">
        <f t="shared" si="156"/>
        <v>0</v>
      </c>
      <c r="U2599" s="129" t="str">
        <f>IFERROR(IF(#REF!="S",VLOOKUP('Raw Data'!A2599,References!#REF!,2,FALSE),(VLOOKUP($S2599,References!$B$3:$C$7,2,FALSE))),"")</f>
        <v/>
      </c>
      <c r="W2599" s="74" t="str">
        <f>IFERROR(VLOOKUP($O2599,'Customer List'!$A$1:$J$488,10,FALSE),"")</f>
        <v/>
      </c>
    </row>
    <row r="2600" spans="18:23">
      <c r="R2600" s="127">
        <f t="shared" si="157"/>
        <v>0</v>
      </c>
      <c r="T2600" s="128">
        <f t="shared" si="156"/>
        <v>0</v>
      </c>
      <c r="U2600" s="129" t="str">
        <f>IFERROR(IF(#REF!="S",VLOOKUP('Raw Data'!A2600,References!#REF!,2,FALSE),(VLOOKUP($S2600,References!$B$3:$C$7,2,FALSE))),"")</f>
        <v/>
      </c>
      <c r="W2600" s="74" t="str">
        <f>IFERROR(VLOOKUP($O2600,'Customer List'!$A$1:$J$488,10,FALSE),"")</f>
        <v/>
      </c>
    </row>
    <row r="2601" spans="18:23">
      <c r="R2601" s="127">
        <f t="shared" si="157"/>
        <v>0</v>
      </c>
      <c r="T2601" s="128">
        <f t="shared" si="156"/>
        <v>0</v>
      </c>
      <c r="U2601" s="129" t="str">
        <f>IFERROR(IF(#REF!="S",VLOOKUP('Raw Data'!A2601,References!#REF!,2,FALSE),(VLOOKUP($S2601,References!$B$3:$C$7,2,FALSE))),"")</f>
        <v/>
      </c>
      <c r="W2601" s="74" t="str">
        <f>IFERROR(VLOOKUP($O2601,'Customer List'!$A$1:$J$488,10,FALSE),"")</f>
        <v/>
      </c>
    </row>
    <row r="2602" spans="18:23">
      <c r="R2602" s="127">
        <f t="shared" si="157"/>
        <v>0</v>
      </c>
      <c r="T2602" s="128">
        <f t="shared" si="156"/>
        <v>0</v>
      </c>
      <c r="U2602" s="129" t="str">
        <f>IFERROR(IF(#REF!="S",VLOOKUP('Raw Data'!A2602,References!#REF!,2,FALSE),(VLOOKUP($S2602,References!$B$3:$C$7,2,FALSE))),"")</f>
        <v/>
      </c>
      <c r="W2602" s="74" t="str">
        <f>IFERROR(VLOOKUP($O2602,'Customer List'!$A$1:$J$488,10,FALSE),"")</f>
        <v/>
      </c>
    </row>
    <row r="2603" spans="18:23">
      <c r="R2603" s="127">
        <f t="shared" si="157"/>
        <v>0</v>
      </c>
      <c r="T2603" s="128">
        <f t="shared" si="156"/>
        <v>0</v>
      </c>
      <c r="U2603" s="129" t="str">
        <f>IFERROR(IF(#REF!="S",VLOOKUP('Raw Data'!A2603,References!#REF!,2,FALSE),(VLOOKUP($S2603,References!$B$3:$C$7,2,FALSE))),"")</f>
        <v/>
      </c>
      <c r="W2603" s="74" t="str">
        <f>IFERROR(VLOOKUP($O2603,'Customer List'!$A$1:$J$488,10,FALSE),"")</f>
        <v/>
      </c>
    </row>
    <row r="2604" spans="18:23">
      <c r="R2604" s="127">
        <f t="shared" si="157"/>
        <v>0</v>
      </c>
      <c r="T2604" s="128">
        <f t="shared" si="156"/>
        <v>0</v>
      </c>
      <c r="U2604" s="129" t="str">
        <f>IFERROR(IF(#REF!="S",VLOOKUP('Raw Data'!A2604,References!#REF!,2,FALSE),(VLOOKUP($S2604,References!$B$3:$C$7,2,FALSE))),"")</f>
        <v/>
      </c>
      <c r="W2604" s="74" t="str">
        <f>IFERROR(VLOOKUP($O2604,'Customer List'!$A$1:$J$488,10,FALSE),"")</f>
        <v/>
      </c>
    </row>
    <row r="2605" spans="18:23">
      <c r="R2605" s="127">
        <f t="shared" si="157"/>
        <v>0</v>
      </c>
      <c r="T2605" s="128">
        <f t="shared" si="156"/>
        <v>0</v>
      </c>
      <c r="U2605" s="129" t="str">
        <f>IFERROR(IF(#REF!="S",VLOOKUP('Raw Data'!A2605,References!#REF!,2,FALSE),(VLOOKUP($S2605,References!$B$3:$C$7,2,FALSE))),"")</f>
        <v/>
      </c>
      <c r="W2605" s="74" t="str">
        <f>IFERROR(VLOOKUP($O2605,'Customer List'!$A$1:$J$488,10,FALSE),"")</f>
        <v/>
      </c>
    </row>
    <row r="2606" spans="18:23">
      <c r="R2606" s="127">
        <f t="shared" si="157"/>
        <v>0</v>
      </c>
      <c r="T2606" s="128">
        <f t="shared" si="156"/>
        <v>0</v>
      </c>
      <c r="U2606" s="129" t="str">
        <f>IFERROR(IF(#REF!="S",VLOOKUP('Raw Data'!A2606,References!#REF!,2,FALSE),(VLOOKUP($S2606,References!$B$3:$C$7,2,FALSE))),"")</f>
        <v/>
      </c>
      <c r="W2606" s="74" t="str">
        <f>IFERROR(VLOOKUP($O2606,'Customer List'!$A$1:$J$488,10,FALSE),"")</f>
        <v/>
      </c>
    </row>
    <row r="2607" spans="18:23">
      <c r="R2607" s="127">
        <f t="shared" si="157"/>
        <v>0</v>
      </c>
      <c r="T2607" s="128">
        <f t="shared" si="156"/>
        <v>0</v>
      </c>
      <c r="U2607" s="129" t="str">
        <f>IFERROR(IF(#REF!="S",VLOOKUP('Raw Data'!A2607,References!#REF!,2,FALSE),(VLOOKUP($S2607,References!$B$3:$C$7,2,FALSE))),"")</f>
        <v/>
      </c>
      <c r="W2607" s="74" t="str">
        <f>IFERROR(VLOOKUP($O2607,'Customer List'!$A$1:$J$488,10,FALSE),"")</f>
        <v/>
      </c>
    </row>
    <row r="2608" spans="18:23">
      <c r="R2608" s="127">
        <f t="shared" si="157"/>
        <v>0</v>
      </c>
      <c r="T2608" s="128">
        <f t="shared" si="156"/>
        <v>0</v>
      </c>
      <c r="U2608" s="129" t="str">
        <f>IFERROR(IF(#REF!="S",VLOOKUP('Raw Data'!A2608,References!#REF!,2,FALSE),(VLOOKUP($S2608,References!$B$3:$C$7,2,FALSE))),"")</f>
        <v/>
      </c>
      <c r="W2608" s="74" t="str">
        <f>IFERROR(VLOOKUP($O2608,'Customer List'!$A$1:$J$488,10,FALSE),"")</f>
        <v/>
      </c>
    </row>
    <row r="2609" spans="18:23">
      <c r="R2609" s="127">
        <f t="shared" si="157"/>
        <v>0</v>
      </c>
      <c r="T2609" s="128">
        <f t="shared" si="156"/>
        <v>0</v>
      </c>
      <c r="U2609" s="129" t="str">
        <f>IFERROR(IF(#REF!="S",VLOOKUP('Raw Data'!A2609,References!#REF!,2,FALSE),(VLOOKUP($S2609,References!$B$3:$C$7,2,FALSE))),"")</f>
        <v/>
      </c>
      <c r="W2609" s="74" t="str">
        <f>IFERROR(VLOOKUP($O2609,'Customer List'!$A$1:$J$488,10,FALSE),"")</f>
        <v/>
      </c>
    </row>
    <row r="2610" spans="18:23">
      <c r="R2610" s="127">
        <f t="shared" si="157"/>
        <v>0</v>
      </c>
      <c r="T2610" s="128">
        <f t="shared" si="156"/>
        <v>0</v>
      </c>
      <c r="U2610" s="129" t="str">
        <f>IFERROR(IF(#REF!="S",VLOOKUP('Raw Data'!A2610,References!#REF!,2,FALSE),(VLOOKUP($S2610,References!$B$3:$C$7,2,FALSE))),"")</f>
        <v/>
      </c>
      <c r="W2610" s="74" t="str">
        <f>IFERROR(VLOOKUP($O2610,'Customer List'!$A$1:$J$488,10,FALSE),"")</f>
        <v/>
      </c>
    </row>
    <row r="2611" spans="18:23">
      <c r="R2611" s="127">
        <f t="shared" si="157"/>
        <v>0</v>
      </c>
      <c r="T2611" s="128">
        <f t="shared" si="156"/>
        <v>0</v>
      </c>
      <c r="U2611" s="129" t="str">
        <f>IFERROR(IF(#REF!="S",VLOOKUP('Raw Data'!A2611,References!#REF!,2,FALSE),(VLOOKUP($S2611,References!$B$3:$C$7,2,FALSE))),"")</f>
        <v/>
      </c>
      <c r="W2611" s="74" t="str">
        <f>IFERROR(VLOOKUP($O2611,'Customer List'!$A$1:$J$488,10,FALSE),"")</f>
        <v/>
      </c>
    </row>
    <row r="2612" spans="18:23">
      <c r="R2612" s="127">
        <f t="shared" si="157"/>
        <v>0</v>
      </c>
      <c r="T2612" s="128">
        <f t="shared" si="156"/>
        <v>0</v>
      </c>
      <c r="U2612" s="129" t="str">
        <f>IFERROR(IF(#REF!="S",VLOOKUP('Raw Data'!A2612,References!#REF!,2,FALSE),(VLOOKUP($S2612,References!$B$3:$C$7,2,FALSE))),"")</f>
        <v/>
      </c>
      <c r="W2612" s="74" t="str">
        <f>IFERROR(VLOOKUP($O2612,'Customer List'!$A$1:$J$488,10,FALSE),"")</f>
        <v/>
      </c>
    </row>
    <row r="2613" spans="18:23">
      <c r="R2613" s="127">
        <f t="shared" si="157"/>
        <v>0</v>
      </c>
      <c r="T2613" s="128">
        <f t="shared" si="156"/>
        <v>0</v>
      </c>
      <c r="U2613" s="129" t="str">
        <f>IFERROR(IF(#REF!="S",VLOOKUP('Raw Data'!A2613,References!#REF!,2,FALSE),(VLOOKUP($S2613,References!$B$3:$C$7,2,FALSE))),"")</f>
        <v/>
      </c>
      <c r="W2613" s="74" t="str">
        <f>IFERROR(VLOOKUP($O2613,'Customer List'!$A$1:$J$488,10,FALSE),"")</f>
        <v/>
      </c>
    </row>
    <row r="2614" spans="18:23">
      <c r="R2614" s="127">
        <f t="shared" si="157"/>
        <v>0</v>
      </c>
      <c r="T2614" s="128">
        <f t="shared" si="156"/>
        <v>0</v>
      </c>
      <c r="U2614" s="129" t="str">
        <f>IFERROR(IF(#REF!="S",VLOOKUP('Raw Data'!A2614,References!#REF!,2,FALSE),(VLOOKUP($S2614,References!$B$3:$C$7,2,FALSE))),"")</f>
        <v/>
      </c>
      <c r="W2614" s="74" t="str">
        <f>IFERROR(VLOOKUP($O2614,'Customer List'!$A$1:$J$488,10,FALSE),"")</f>
        <v/>
      </c>
    </row>
    <row r="2615" spans="18:23">
      <c r="R2615" s="127">
        <f t="shared" si="157"/>
        <v>0</v>
      </c>
      <c r="T2615" s="128">
        <f t="shared" si="156"/>
        <v>0</v>
      </c>
      <c r="U2615" s="129" t="str">
        <f>IFERROR(IF(#REF!="S",VLOOKUP('Raw Data'!A2615,References!#REF!,2,FALSE),(VLOOKUP($S2615,References!$B$3:$C$7,2,FALSE))),"")</f>
        <v/>
      </c>
      <c r="W2615" s="74" t="str">
        <f>IFERROR(VLOOKUP($O2615,'Customer List'!$A$1:$J$488,10,FALSE),"")</f>
        <v/>
      </c>
    </row>
    <row r="2616" spans="18:23">
      <c r="R2616" s="127">
        <f t="shared" si="157"/>
        <v>0</v>
      </c>
      <c r="T2616" s="128">
        <f t="shared" si="156"/>
        <v>0</v>
      </c>
      <c r="U2616" s="129" t="str">
        <f>IFERROR(IF(#REF!="S",VLOOKUP('Raw Data'!A2616,References!#REF!,2,FALSE),(VLOOKUP($S2616,References!$B$3:$C$7,2,FALSE))),"")</f>
        <v/>
      </c>
      <c r="W2616" s="74" t="str">
        <f>IFERROR(VLOOKUP($O2616,'Customer List'!$A$1:$J$488,10,FALSE),"")</f>
        <v/>
      </c>
    </row>
    <row r="2617" spans="18:23">
      <c r="R2617" s="127">
        <f t="shared" si="157"/>
        <v>0</v>
      </c>
      <c r="T2617" s="128">
        <f t="shared" si="156"/>
        <v>0</v>
      </c>
      <c r="U2617" s="129" t="str">
        <f>IFERROR(IF(#REF!="S",VLOOKUP('Raw Data'!A2617,References!#REF!,2,FALSE),(VLOOKUP($S2617,References!$B$3:$C$7,2,FALSE))),"")</f>
        <v/>
      </c>
      <c r="W2617" s="74" t="str">
        <f>IFERROR(VLOOKUP($O2617,'Customer List'!$A$1:$J$488,10,FALSE),"")</f>
        <v/>
      </c>
    </row>
    <row r="2618" spans="18:23">
      <c r="R2618" s="127">
        <f t="shared" si="157"/>
        <v>0</v>
      </c>
      <c r="T2618" s="128">
        <f t="shared" si="156"/>
        <v>0</v>
      </c>
      <c r="U2618" s="129" t="str">
        <f>IFERROR(IF(#REF!="S",VLOOKUP('Raw Data'!A2618,References!#REF!,2,FALSE),(VLOOKUP($S2618,References!$B$3:$C$7,2,FALSE))),"")</f>
        <v/>
      </c>
      <c r="W2618" s="74" t="str">
        <f>IFERROR(VLOOKUP($O2618,'Customer List'!$A$1:$J$488,10,FALSE),"")</f>
        <v/>
      </c>
    </row>
    <row r="2619" spans="18:23">
      <c r="R2619" s="127">
        <f t="shared" si="157"/>
        <v>0</v>
      </c>
      <c r="T2619" s="128">
        <f t="shared" si="156"/>
        <v>0</v>
      </c>
      <c r="U2619" s="129" t="str">
        <f>IFERROR(IF(#REF!="S",VLOOKUP('Raw Data'!A2619,References!#REF!,2,FALSE),(VLOOKUP($S2619,References!$B$3:$C$7,2,FALSE))),"")</f>
        <v/>
      </c>
      <c r="W2619" s="74" t="str">
        <f>IFERROR(VLOOKUP($O2619,'Customer List'!$A$1:$J$488,10,FALSE),"")</f>
        <v/>
      </c>
    </row>
    <row r="2620" spans="18:23">
      <c r="R2620" s="127">
        <f t="shared" si="157"/>
        <v>0</v>
      </c>
      <c r="T2620" s="128">
        <f t="shared" si="156"/>
        <v>0</v>
      </c>
      <c r="U2620" s="129" t="str">
        <f>IFERROR(IF(#REF!="S",VLOOKUP('Raw Data'!A2620,References!#REF!,2,FALSE),(VLOOKUP($S2620,References!$B$3:$C$7,2,FALSE))),"")</f>
        <v/>
      </c>
      <c r="W2620" s="74" t="str">
        <f>IFERROR(VLOOKUP($O2620,'Customer List'!$A$1:$J$488,10,FALSE),"")</f>
        <v/>
      </c>
    </row>
    <row r="2621" spans="18:23">
      <c r="R2621" s="127">
        <f t="shared" si="157"/>
        <v>0</v>
      </c>
      <c r="T2621" s="128">
        <f t="shared" si="156"/>
        <v>0</v>
      </c>
      <c r="U2621" s="129" t="str">
        <f>IFERROR(IF(#REF!="S",VLOOKUP('Raw Data'!A2621,References!#REF!,2,FALSE),(VLOOKUP($S2621,References!$B$3:$C$7,2,FALSE))),"")</f>
        <v/>
      </c>
      <c r="W2621" s="74" t="str">
        <f>IFERROR(VLOOKUP($O2621,'Customer List'!$A$1:$J$488,10,FALSE),"")</f>
        <v/>
      </c>
    </row>
    <row r="2622" spans="18:23">
      <c r="R2622" s="127">
        <f t="shared" si="157"/>
        <v>0</v>
      </c>
      <c r="T2622" s="128">
        <f t="shared" si="156"/>
        <v>0</v>
      </c>
      <c r="U2622" s="129" t="str">
        <f>IFERROR(IF(#REF!="S",VLOOKUP('Raw Data'!A2622,References!#REF!,2,FALSE),(VLOOKUP($S2622,References!$B$3:$C$7,2,FALSE))),"")</f>
        <v/>
      </c>
      <c r="W2622" s="74" t="str">
        <f>IFERROR(VLOOKUP($O2622,'Customer List'!$A$1:$J$488,10,FALSE),"")</f>
        <v/>
      </c>
    </row>
    <row r="2623" spans="18:23">
      <c r="R2623" s="127">
        <f t="shared" si="157"/>
        <v>0</v>
      </c>
      <c r="T2623" s="128">
        <f t="shared" si="156"/>
        <v>0</v>
      </c>
      <c r="U2623" s="129" t="str">
        <f>IFERROR(IF(#REF!="S",VLOOKUP('Raw Data'!A2623,References!#REF!,2,FALSE),(VLOOKUP($S2623,References!$B$3:$C$7,2,FALSE))),"")</f>
        <v/>
      </c>
      <c r="W2623" s="74" t="str">
        <f>IFERROR(VLOOKUP($O2623,'Customer List'!$A$1:$J$488,10,FALSE),"")</f>
        <v/>
      </c>
    </row>
    <row r="2624" spans="18:23">
      <c r="R2624" s="127">
        <f t="shared" si="157"/>
        <v>0</v>
      </c>
      <c r="T2624" s="128">
        <f t="shared" si="156"/>
        <v>0</v>
      </c>
      <c r="U2624" s="129" t="str">
        <f>IFERROR(IF(#REF!="S",VLOOKUP('Raw Data'!A2624,References!#REF!,2,FALSE),(VLOOKUP($S2624,References!$B$3:$C$7,2,FALSE))),"")</f>
        <v/>
      </c>
      <c r="W2624" s="74" t="str">
        <f>IFERROR(VLOOKUP($O2624,'Customer List'!$A$1:$J$488,10,FALSE),"")</f>
        <v/>
      </c>
    </row>
    <row r="2625" spans="18:23">
      <c r="R2625" s="127">
        <f t="shared" si="157"/>
        <v>0</v>
      </c>
      <c r="T2625" s="128">
        <f t="shared" si="156"/>
        <v>0</v>
      </c>
      <c r="U2625" s="129" t="str">
        <f>IFERROR(IF(#REF!="S",VLOOKUP('Raw Data'!A2625,References!#REF!,2,FALSE),(VLOOKUP($S2625,References!$B$3:$C$7,2,FALSE))),"")</f>
        <v/>
      </c>
      <c r="W2625" s="74" t="str">
        <f>IFERROR(VLOOKUP($O2625,'Customer List'!$A$1:$J$488,10,FALSE),"")</f>
        <v/>
      </c>
    </row>
    <row r="2626" spans="18:23">
      <c r="R2626" s="127">
        <f t="shared" si="157"/>
        <v>0</v>
      </c>
      <c r="T2626" s="128">
        <f t="shared" si="156"/>
        <v>0</v>
      </c>
      <c r="U2626" s="129" t="str">
        <f>IFERROR(IF(#REF!="S",VLOOKUP('Raw Data'!A2626,References!#REF!,2,FALSE),(VLOOKUP($S2626,References!$B$3:$C$7,2,FALSE))),"")</f>
        <v/>
      </c>
      <c r="W2626" s="74" t="str">
        <f>IFERROR(VLOOKUP($O2626,'Customer List'!$A$1:$J$488,10,FALSE),"")</f>
        <v/>
      </c>
    </row>
    <row r="2627" spans="18:23">
      <c r="R2627" s="127">
        <f t="shared" si="157"/>
        <v>0</v>
      </c>
      <c r="T2627" s="128">
        <f t="shared" si="156"/>
        <v>0</v>
      </c>
      <c r="U2627" s="129" t="str">
        <f>IFERROR(IF(#REF!="S",VLOOKUP('Raw Data'!A2627,References!#REF!,2,FALSE),(VLOOKUP($S2627,References!$B$3:$C$7,2,FALSE))),"")</f>
        <v/>
      </c>
      <c r="W2627" s="74" t="str">
        <f>IFERROR(VLOOKUP($O2627,'Customer List'!$A$1:$J$488,10,FALSE),"")</f>
        <v/>
      </c>
    </row>
    <row r="2628" spans="18:23">
      <c r="R2628" s="127">
        <f t="shared" si="157"/>
        <v>0</v>
      </c>
      <c r="T2628" s="128">
        <f t="shared" si="156"/>
        <v>0</v>
      </c>
      <c r="U2628" s="129" t="str">
        <f>IFERROR(IF(#REF!="S",VLOOKUP('Raw Data'!A2628,References!#REF!,2,FALSE),(VLOOKUP($S2628,References!$B$3:$C$7,2,FALSE))),"")</f>
        <v/>
      </c>
      <c r="W2628" s="74" t="str">
        <f>IFERROR(VLOOKUP($O2628,'Customer List'!$A$1:$J$488,10,FALSE),"")</f>
        <v/>
      </c>
    </row>
    <row r="2629" spans="18:23">
      <c r="R2629" s="127">
        <f t="shared" si="157"/>
        <v>0</v>
      </c>
      <c r="T2629" s="128">
        <f t="shared" si="156"/>
        <v>0</v>
      </c>
      <c r="U2629" s="129" t="str">
        <f>IFERROR(IF(#REF!="S",VLOOKUP('Raw Data'!A2629,References!#REF!,2,FALSE),(VLOOKUP($S2629,References!$B$3:$C$7,2,FALSE))),"")</f>
        <v/>
      </c>
      <c r="W2629" s="74" t="str">
        <f>IFERROR(VLOOKUP($O2629,'Customer List'!$A$1:$J$488,10,FALSE),"")</f>
        <v/>
      </c>
    </row>
    <row r="2630" spans="18:23">
      <c r="R2630" s="127">
        <f t="shared" si="157"/>
        <v>0</v>
      </c>
      <c r="T2630" s="128">
        <f t="shared" si="156"/>
        <v>0</v>
      </c>
      <c r="U2630" s="129" t="str">
        <f>IFERROR(IF(#REF!="S",VLOOKUP('Raw Data'!A2630,References!#REF!,2,FALSE),(VLOOKUP($S2630,References!$B$3:$C$7,2,FALSE))),"")</f>
        <v/>
      </c>
      <c r="W2630" s="74" t="str">
        <f>IFERROR(VLOOKUP($O2630,'Customer List'!$A$1:$J$488,10,FALSE),"")</f>
        <v/>
      </c>
    </row>
    <row r="2631" spans="18:23">
      <c r="R2631" s="127">
        <f t="shared" si="157"/>
        <v>0</v>
      </c>
      <c r="T2631" s="128">
        <f t="shared" si="156"/>
        <v>0</v>
      </c>
      <c r="U2631" s="129" t="str">
        <f>IFERROR(IF(#REF!="S",VLOOKUP('Raw Data'!A2631,References!#REF!,2,FALSE),(VLOOKUP($S2631,References!$B$3:$C$7,2,FALSE))),"")</f>
        <v/>
      </c>
      <c r="W2631" s="74" t="str">
        <f>IFERROR(VLOOKUP($O2631,'Customer List'!$A$1:$J$488,10,FALSE),"")</f>
        <v/>
      </c>
    </row>
    <row r="2632" spans="18:23">
      <c r="R2632" s="127">
        <f t="shared" si="157"/>
        <v>0</v>
      </c>
      <c r="T2632" s="128">
        <f t="shared" si="156"/>
        <v>0</v>
      </c>
      <c r="U2632" s="129" t="str">
        <f>IFERROR(IF(#REF!="S",VLOOKUP('Raw Data'!A2632,References!#REF!,2,FALSE),(VLOOKUP($S2632,References!$B$3:$C$7,2,FALSE))),"")</f>
        <v/>
      </c>
      <c r="W2632" s="74" t="str">
        <f>IFERROR(VLOOKUP($O2632,'Customer List'!$A$1:$J$488,10,FALSE),"")</f>
        <v/>
      </c>
    </row>
    <row r="2633" spans="18:23">
      <c r="R2633" s="127">
        <f t="shared" si="157"/>
        <v>0</v>
      </c>
      <c r="T2633" s="128">
        <f t="shared" si="156"/>
        <v>0</v>
      </c>
      <c r="U2633" s="129" t="str">
        <f>IFERROR(IF(#REF!="S",VLOOKUP('Raw Data'!A2633,References!#REF!,2,FALSE),(VLOOKUP($S2633,References!$B$3:$C$7,2,FALSE))),"")</f>
        <v/>
      </c>
      <c r="W2633" s="74" t="str">
        <f>IFERROR(VLOOKUP($O2633,'Customer List'!$A$1:$J$488,10,FALSE),"")</f>
        <v/>
      </c>
    </row>
    <row r="2634" spans="18:23">
      <c r="R2634" s="127">
        <f t="shared" si="157"/>
        <v>0</v>
      </c>
      <c r="T2634" s="128">
        <f t="shared" ref="T2634:T2697" si="158">IF(S2634="50 - Cleaning Fee",1,HOUR($R2634)+MINUTE(R2634)/60)</f>
        <v>0</v>
      </c>
      <c r="U2634" s="129" t="str">
        <f>IFERROR(IF(#REF!="S",VLOOKUP('Raw Data'!A2634,References!#REF!,2,FALSE),(VLOOKUP($S2634,References!$B$3:$C$7,2,FALSE))),"")</f>
        <v/>
      </c>
      <c r="W2634" s="74" t="str">
        <f>IFERROR(VLOOKUP($O2634,'Customer List'!$A$1:$J$488,10,FALSE),"")</f>
        <v/>
      </c>
    </row>
    <row r="2635" spans="18:23">
      <c r="R2635" s="127">
        <f t="shared" si="157"/>
        <v>0</v>
      </c>
      <c r="T2635" s="128">
        <f t="shared" si="158"/>
        <v>0</v>
      </c>
      <c r="U2635" s="129" t="str">
        <f>IFERROR(IF(#REF!="S",VLOOKUP('Raw Data'!A2635,References!#REF!,2,FALSE),(VLOOKUP($S2635,References!$B$3:$C$7,2,FALSE))),"")</f>
        <v/>
      </c>
      <c r="W2635" s="74" t="str">
        <f>IFERROR(VLOOKUP($O2635,'Customer List'!$A$1:$J$488,10,FALSE),"")</f>
        <v/>
      </c>
    </row>
    <row r="2636" spans="18:23">
      <c r="R2636" s="127">
        <f t="shared" si="157"/>
        <v>0</v>
      </c>
      <c r="T2636" s="128">
        <f t="shared" si="158"/>
        <v>0</v>
      </c>
      <c r="U2636" s="129" t="str">
        <f>IFERROR(IF(#REF!="S",VLOOKUP('Raw Data'!A2636,References!#REF!,2,FALSE),(VLOOKUP($S2636,References!$B$3:$C$7,2,FALSE))),"")</f>
        <v/>
      </c>
      <c r="W2636" s="74" t="str">
        <f>IFERROR(VLOOKUP($O2636,'Customer List'!$A$1:$J$488,10,FALSE),"")</f>
        <v/>
      </c>
    </row>
    <row r="2637" spans="18:23">
      <c r="R2637" s="127">
        <f t="shared" si="157"/>
        <v>0</v>
      </c>
      <c r="T2637" s="128">
        <f t="shared" si="158"/>
        <v>0</v>
      </c>
      <c r="U2637" s="129" t="str">
        <f>IFERROR(IF(#REF!="S",VLOOKUP('Raw Data'!A2637,References!#REF!,2,FALSE),(VLOOKUP($S2637,References!$B$3:$C$7,2,FALSE))),"")</f>
        <v/>
      </c>
      <c r="W2637" s="74" t="str">
        <f>IFERROR(VLOOKUP($O2637,'Customer List'!$A$1:$J$488,10,FALSE),"")</f>
        <v/>
      </c>
    </row>
    <row r="2638" spans="18:23">
      <c r="R2638" s="127">
        <f t="shared" si="157"/>
        <v>0</v>
      </c>
      <c r="T2638" s="128">
        <f t="shared" si="158"/>
        <v>0</v>
      </c>
      <c r="U2638" s="129" t="str">
        <f>IFERROR(IF(#REF!="S",VLOOKUP('Raw Data'!A2638,References!#REF!,2,FALSE),(VLOOKUP($S2638,References!$B$3:$C$7,2,FALSE))),"")</f>
        <v/>
      </c>
      <c r="W2638" s="74" t="str">
        <f>IFERROR(VLOOKUP($O2638,'Customer List'!$A$1:$J$488,10,FALSE),"")</f>
        <v/>
      </c>
    </row>
    <row r="2639" spans="18:23">
      <c r="R2639" s="127">
        <f t="shared" si="157"/>
        <v>0</v>
      </c>
      <c r="T2639" s="128">
        <f t="shared" si="158"/>
        <v>0</v>
      </c>
      <c r="U2639" s="129" t="str">
        <f>IFERROR(IF(#REF!="S",VLOOKUP('Raw Data'!A2639,References!#REF!,2,FALSE),(VLOOKUP($S2639,References!$B$3:$C$7,2,FALSE))),"")</f>
        <v/>
      </c>
      <c r="W2639" s="74" t="str">
        <f>IFERROR(VLOOKUP($O2639,'Customer List'!$A$1:$J$488,10,FALSE),"")</f>
        <v/>
      </c>
    </row>
    <row r="2640" spans="18:23">
      <c r="R2640" s="127">
        <f t="shared" si="157"/>
        <v>0</v>
      </c>
      <c r="T2640" s="128">
        <f t="shared" si="158"/>
        <v>0</v>
      </c>
      <c r="U2640" s="129" t="str">
        <f>IFERROR(IF(#REF!="S",VLOOKUP('Raw Data'!A2640,References!#REF!,2,FALSE),(VLOOKUP($S2640,References!$B$3:$C$7,2,FALSE))),"")</f>
        <v/>
      </c>
      <c r="W2640" s="74" t="str">
        <f>IFERROR(VLOOKUP($O2640,'Customer List'!$A$1:$J$488,10,FALSE),"")</f>
        <v/>
      </c>
    </row>
    <row r="2641" spans="18:23">
      <c r="R2641" s="127">
        <f t="shared" si="157"/>
        <v>0</v>
      </c>
      <c r="T2641" s="128">
        <f t="shared" si="158"/>
        <v>0</v>
      </c>
      <c r="U2641" s="129" t="str">
        <f>IFERROR(IF(#REF!="S",VLOOKUP('Raw Data'!A2641,References!#REF!,2,FALSE),(VLOOKUP($S2641,References!$B$3:$C$7,2,FALSE))),"")</f>
        <v/>
      </c>
      <c r="W2641" s="74" t="str">
        <f>IFERROR(VLOOKUP($O2641,'Customer List'!$A$1:$J$488,10,FALSE),"")</f>
        <v/>
      </c>
    </row>
    <row r="2642" spans="18:23">
      <c r="R2642" s="127">
        <f t="shared" si="157"/>
        <v>0</v>
      </c>
      <c r="T2642" s="128">
        <f t="shared" si="158"/>
        <v>0</v>
      </c>
      <c r="U2642" s="129" t="str">
        <f>IFERROR(IF(#REF!="S",VLOOKUP('Raw Data'!A2642,References!#REF!,2,FALSE),(VLOOKUP($S2642,References!$B$3:$C$7,2,FALSE))),"")</f>
        <v/>
      </c>
      <c r="W2642" s="74" t="str">
        <f>IFERROR(VLOOKUP($O2642,'Customer List'!$A$1:$J$488,10,FALSE),"")</f>
        <v/>
      </c>
    </row>
    <row r="2643" spans="18:23">
      <c r="R2643" s="127">
        <f t="shared" si="157"/>
        <v>0</v>
      </c>
      <c r="T2643" s="128">
        <f t="shared" si="158"/>
        <v>0</v>
      </c>
      <c r="U2643" s="129" t="str">
        <f>IFERROR(IF(#REF!="S",VLOOKUP('Raw Data'!A2643,References!#REF!,2,FALSE),(VLOOKUP($S2643,References!$B$3:$C$7,2,FALSE))),"")</f>
        <v/>
      </c>
      <c r="W2643" s="74" t="str">
        <f>IFERROR(VLOOKUP($O2643,'Customer List'!$A$1:$J$488,10,FALSE),"")</f>
        <v/>
      </c>
    </row>
    <row r="2644" spans="18:23">
      <c r="R2644" s="127">
        <f t="shared" si="157"/>
        <v>0</v>
      </c>
      <c r="T2644" s="128">
        <f t="shared" si="158"/>
        <v>0</v>
      </c>
      <c r="U2644" s="129" t="str">
        <f>IFERROR(IF(#REF!="S",VLOOKUP('Raw Data'!A2644,References!#REF!,2,FALSE),(VLOOKUP($S2644,References!$B$3:$C$7,2,FALSE))),"")</f>
        <v/>
      </c>
      <c r="W2644" s="74" t="str">
        <f>IFERROR(VLOOKUP($O2644,'Customer List'!$A$1:$J$488,10,FALSE),"")</f>
        <v/>
      </c>
    </row>
    <row r="2645" spans="18:23">
      <c r="R2645" s="127">
        <f t="shared" si="157"/>
        <v>0</v>
      </c>
      <c r="T2645" s="128">
        <f t="shared" si="158"/>
        <v>0</v>
      </c>
      <c r="U2645" s="129" t="str">
        <f>IFERROR(IF(#REF!="S",VLOOKUP('Raw Data'!A2645,References!#REF!,2,FALSE),(VLOOKUP($S2645,References!$B$3:$C$7,2,FALSE))),"")</f>
        <v/>
      </c>
      <c r="W2645" s="74" t="str">
        <f>IFERROR(VLOOKUP($O2645,'Customer List'!$A$1:$J$488,10,FALSE),"")</f>
        <v/>
      </c>
    </row>
    <row r="2646" spans="18:23">
      <c r="R2646" s="127">
        <f t="shared" si="157"/>
        <v>0</v>
      </c>
      <c r="T2646" s="128">
        <f t="shared" si="158"/>
        <v>0</v>
      </c>
      <c r="U2646" s="129" t="str">
        <f>IFERROR(IF(#REF!="S",VLOOKUP('Raw Data'!A2646,References!#REF!,2,FALSE),(VLOOKUP($S2646,References!$B$3:$C$7,2,FALSE))),"")</f>
        <v/>
      </c>
      <c r="W2646" s="74" t="str">
        <f>IFERROR(VLOOKUP($O2646,'Customer List'!$A$1:$J$488,10,FALSE),"")</f>
        <v/>
      </c>
    </row>
    <row r="2647" spans="18:23">
      <c r="R2647" s="127">
        <f t="shared" si="157"/>
        <v>0</v>
      </c>
      <c r="T2647" s="128">
        <f t="shared" si="158"/>
        <v>0</v>
      </c>
      <c r="U2647" s="129" t="str">
        <f>IFERROR(IF(#REF!="S",VLOOKUP('Raw Data'!A2647,References!#REF!,2,FALSE),(VLOOKUP($S2647,References!$B$3:$C$7,2,FALSE))),"")</f>
        <v/>
      </c>
      <c r="W2647" s="74" t="str">
        <f>IFERROR(VLOOKUP($O2647,'Customer List'!$A$1:$J$488,10,FALSE),"")</f>
        <v/>
      </c>
    </row>
    <row r="2648" spans="18:23">
      <c r="R2648" s="127">
        <f t="shared" si="157"/>
        <v>0</v>
      </c>
      <c r="T2648" s="128">
        <f t="shared" si="158"/>
        <v>0</v>
      </c>
      <c r="U2648" s="129" t="str">
        <f>IFERROR(IF(#REF!="S",VLOOKUP('Raw Data'!A2648,References!#REF!,2,FALSE),(VLOOKUP($S2648,References!$B$3:$C$7,2,FALSE))),"")</f>
        <v/>
      </c>
      <c r="W2648" s="74" t="str">
        <f>IFERROR(VLOOKUP($O2648,'Customer List'!$A$1:$J$488,10,FALSE),"")</f>
        <v/>
      </c>
    </row>
    <row r="2649" spans="18:23">
      <c r="R2649" s="127">
        <f t="shared" si="157"/>
        <v>0</v>
      </c>
      <c r="T2649" s="128">
        <f t="shared" si="158"/>
        <v>0</v>
      </c>
      <c r="U2649" s="129" t="str">
        <f>IFERROR(IF(#REF!="S",VLOOKUP('Raw Data'!A2649,References!#REF!,2,FALSE),(VLOOKUP($S2649,References!$B$3:$C$7,2,FALSE))),"")</f>
        <v/>
      </c>
      <c r="W2649" s="74" t="str">
        <f>IFERROR(VLOOKUP($O2649,'Customer List'!$A$1:$J$488,10,FALSE),"")</f>
        <v/>
      </c>
    </row>
    <row r="2650" spans="18:23">
      <c r="R2650" s="127">
        <f t="shared" si="157"/>
        <v>0</v>
      </c>
      <c r="T2650" s="128">
        <f t="shared" si="158"/>
        <v>0</v>
      </c>
      <c r="U2650" s="129" t="str">
        <f>IFERROR(IF(#REF!="S",VLOOKUP('Raw Data'!A2650,References!#REF!,2,FALSE),(VLOOKUP($S2650,References!$B$3:$C$7,2,FALSE))),"")</f>
        <v/>
      </c>
      <c r="W2650" s="74" t="str">
        <f>IFERROR(VLOOKUP($O2650,'Customer List'!$A$1:$J$488,10,FALSE),"")</f>
        <v/>
      </c>
    </row>
    <row r="2651" spans="18:23">
      <c r="R2651" s="127">
        <f t="shared" si="157"/>
        <v>0</v>
      </c>
      <c r="T2651" s="128">
        <f t="shared" si="158"/>
        <v>0</v>
      </c>
      <c r="U2651" s="129" t="str">
        <f>IFERROR(IF(#REF!="S",VLOOKUP('Raw Data'!A2651,References!#REF!,2,FALSE),(VLOOKUP($S2651,References!$B$3:$C$7,2,FALSE))),"")</f>
        <v/>
      </c>
      <c r="W2651" s="74" t="str">
        <f>IFERROR(VLOOKUP($O2651,'Customer List'!$A$1:$J$488,10,FALSE),"")</f>
        <v/>
      </c>
    </row>
    <row r="2652" spans="18:23">
      <c r="R2652" s="127">
        <f t="shared" si="157"/>
        <v>0</v>
      </c>
      <c r="T2652" s="128">
        <f t="shared" si="158"/>
        <v>0</v>
      </c>
      <c r="U2652" s="129" t="str">
        <f>IFERROR(IF(#REF!="S",VLOOKUP('Raw Data'!A2652,References!#REF!,2,FALSE),(VLOOKUP($S2652,References!$B$3:$C$7,2,FALSE))),"")</f>
        <v/>
      </c>
      <c r="W2652" s="74" t="str">
        <f>IFERROR(VLOOKUP($O2652,'Customer List'!$A$1:$J$488,10,FALSE),"")</f>
        <v/>
      </c>
    </row>
    <row r="2653" spans="18:23">
      <c r="R2653" s="127">
        <f t="shared" si="157"/>
        <v>0</v>
      </c>
      <c r="T2653" s="128">
        <f t="shared" si="158"/>
        <v>0</v>
      </c>
      <c r="U2653" s="129" t="str">
        <f>IFERROR(IF(#REF!="S",VLOOKUP('Raw Data'!A2653,References!#REF!,2,FALSE),(VLOOKUP($S2653,References!$B$3:$C$7,2,FALSE))),"")</f>
        <v/>
      </c>
      <c r="W2653" s="74" t="str">
        <f>IFERROR(VLOOKUP($O2653,'Customer List'!$A$1:$J$488,10,FALSE),"")</f>
        <v/>
      </c>
    </row>
    <row r="2654" spans="18:23">
      <c r="R2654" s="127">
        <f t="shared" si="157"/>
        <v>0</v>
      </c>
      <c r="T2654" s="128">
        <f t="shared" si="158"/>
        <v>0</v>
      </c>
      <c r="U2654" s="129" t="str">
        <f>IFERROR(IF(#REF!="S",VLOOKUP('Raw Data'!A2654,References!#REF!,2,FALSE),(VLOOKUP($S2654,References!$B$3:$C$7,2,FALSE))),"")</f>
        <v/>
      </c>
      <c r="W2654" s="74" t="str">
        <f>IFERROR(VLOOKUP($O2654,'Customer List'!$A$1:$J$488,10,FALSE),"")</f>
        <v/>
      </c>
    </row>
    <row r="2655" spans="18:23">
      <c r="R2655" s="127">
        <f t="shared" si="157"/>
        <v>0</v>
      </c>
      <c r="T2655" s="128">
        <f t="shared" si="158"/>
        <v>0</v>
      </c>
      <c r="U2655" s="129" t="str">
        <f>IFERROR(IF(#REF!="S",VLOOKUP('Raw Data'!A2655,References!#REF!,2,FALSE),(VLOOKUP($S2655,References!$B$3:$C$7,2,FALSE))),"")</f>
        <v/>
      </c>
      <c r="W2655" s="74" t="str">
        <f>IFERROR(VLOOKUP($O2655,'Customer List'!$A$1:$J$488,10,FALSE),"")</f>
        <v/>
      </c>
    </row>
    <row r="2656" spans="18:23">
      <c r="R2656" s="127">
        <f t="shared" si="157"/>
        <v>0</v>
      </c>
      <c r="T2656" s="128">
        <f t="shared" si="158"/>
        <v>0</v>
      </c>
      <c r="U2656" s="129" t="str">
        <f>IFERROR(IF(#REF!="S",VLOOKUP('Raw Data'!A2656,References!#REF!,2,FALSE),(VLOOKUP($S2656,References!$B$3:$C$7,2,FALSE))),"")</f>
        <v/>
      </c>
      <c r="W2656" s="74" t="str">
        <f>IFERROR(VLOOKUP($O2656,'Customer List'!$A$1:$J$488,10,FALSE),"")</f>
        <v/>
      </c>
    </row>
    <row r="2657" spans="18:23">
      <c r="R2657" s="127">
        <f t="shared" si="157"/>
        <v>0</v>
      </c>
      <c r="T2657" s="128">
        <f t="shared" si="158"/>
        <v>0</v>
      </c>
      <c r="U2657" s="129" t="str">
        <f>IFERROR(IF(#REF!="S",VLOOKUP('Raw Data'!A2657,References!#REF!,2,FALSE),(VLOOKUP($S2657,References!$B$3:$C$7,2,FALSE))),"")</f>
        <v/>
      </c>
      <c r="W2657" s="74" t="str">
        <f>IFERROR(VLOOKUP($O2657,'Customer List'!$A$1:$J$488,10,FALSE),"")</f>
        <v/>
      </c>
    </row>
    <row r="2658" spans="18:23">
      <c r="R2658" s="127">
        <f t="shared" ref="R2658:R2721" si="159">L2658-K2658</f>
        <v>0</v>
      </c>
      <c r="T2658" s="128">
        <f t="shared" si="158"/>
        <v>0</v>
      </c>
      <c r="U2658" s="129" t="str">
        <f>IFERROR(IF(#REF!="S",VLOOKUP('Raw Data'!A2658,References!#REF!,2,FALSE),(VLOOKUP($S2658,References!$B$3:$C$7,2,FALSE))),"")</f>
        <v/>
      </c>
      <c r="W2658" s="74" t="str">
        <f>IFERROR(VLOOKUP($O2658,'Customer List'!$A$1:$J$488,10,FALSE),"")</f>
        <v/>
      </c>
    </row>
    <row r="2659" spans="18:23">
      <c r="R2659" s="127">
        <f t="shared" si="159"/>
        <v>0</v>
      </c>
      <c r="T2659" s="128">
        <f t="shared" si="158"/>
        <v>0</v>
      </c>
      <c r="U2659" s="129" t="str">
        <f>IFERROR(IF(#REF!="S",VLOOKUP('Raw Data'!A2659,References!#REF!,2,FALSE),(VLOOKUP($S2659,References!$B$3:$C$7,2,FALSE))),"")</f>
        <v/>
      </c>
      <c r="W2659" s="74" t="str">
        <f>IFERROR(VLOOKUP($O2659,'Customer List'!$A$1:$J$488,10,FALSE),"")</f>
        <v/>
      </c>
    </row>
    <row r="2660" spans="18:23">
      <c r="R2660" s="127">
        <f t="shared" si="159"/>
        <v>0</v>
      </c>
      <c r="T2660" s="128">
        <f t="shared" si="158"/>
        <v>0</v>
      </c>
      <c r="U2660" s="129" t="str">
        <f>IFERROR(IF(#REF!="S",VLOOKUP('Raw Data'!A2660,References!#REF!,2,FALSE),(VLOOKUP($S2660,References!$B$3:$C$7,2,FALSE))),"")</f>
        <v/>
      </c>
      <c r="W2660" s="74" t="str">
        <f>IFERROR(VLOOKUP($O2660,'Customer List'!$A$1:$J$488,10,FALSE),"")</f>
        <v/>
      </c>
    </row>
    <row r="2661" spans="18:23">
      <c r="R2661" s="127">
        <f t="shared" si="159"/>
        <v>0</v>
      </c>
      <c r="T2661" s="128">
        <f t="shared" si="158"/>
        <v>0</v>
      </c>
      <c r="U2661" s="129" t="str">
        <f>IFERROR(IF(#REF!="S",VLOOKUP('Raw Data'!A2661,References!#REF!,2,FALSE),(VLOOKUP($S2661,References!$B$3:$C$7,2,FALSE))),"")</f>
        <v/>
      </c>
      <c r="W2661" s="74" t="str">
        <f>IFERROR(VLOOKUP($O2661,'Customer List'!$A$1:$J$488,10,FALSE),"")</f>
        <v/>
      </c>
    </row>
    <row r="2662" spans="18:23">
      <c r="R2662" s="127">
        <f t="shared" si="159"/>
        <v>0</v>
      </c>
      <c r="T2662" s="128">
        <f t="shared" si="158"/>
        <v>0</v>
      </c>
      <c r="U2662" s="129" t="str">
        <f>IFERROR(IF(#REF!="S",VLOOKUP('Raw Data'!A2662,References!#REF!,2,FALSE),(VLOOKUP($S2662,References!$B$3:$C$7,2,FALSE))),"")</f>
        <v/>
      </c>
      <c r="W2662" s="74" t="str">
        <f>IFERROR(VLOOKUP($O2662,'Customer List'!$A$1:$J$488,10,FALSE),"")</f>
        <v/>
      </c>
    </row>
    <row r="2663" spans="18:23">
      <c r="R2663" s="127">
        <f t="shared" si="159"/>
        <v>0</v>
      </c>
      <c r="T2663" s="128">
        <f t="shared" si="158"/>
        <v>0</v>
      </c>
      <c r="U2663" s="129" t="str">
        <f>IFERROR(IF(#REF!="S",VLOOKUP('Raw Data'!A2663,References!#REF!,2,FALSE),(VLOOKUP($S2663,References!$B$3:$C$7,2,FALSE))),"")</f>
        <v/>
      </c>
      <c r="W2663" s="74" t="str">
        <f>IFERROR(VLOOKUP($O2663,'Customer List'!$A$1:$J$488,10,FALSE),"")</f>
        <v/>
      </c>
    </row>
    <row r="2664" spans="18:23">
      <c r="R2664" s="127">
        <f t="shared" si="159"/>
        <v>0</v>
      </c>
      <c r="T2664" s="128">
        <f t="shared" si="158"/>
        <v>0</v>
      </c>
      <c r="U2664" s="129" t="str">
        <f>IFERROR(IF(#REF!="S",VLOOKUP('Raw Data'!A2664,References!#REF!,2,FALSE),(VLOOKUP($S2664,References!$B$3:$C$7,2,FALSE))),"")</f>
        <v/>
      </c>
      <c r="W2664" s="74" t="str">
        <f>IFERROR(VLOOKUP($O2664,'Customer List'!$A$1:$J$488,10,FALSE),"")</f>
        <v/>
      </c>
    </row>
    <row r="2665" spans="18:23">
      <c r="R2665" s="127">
        <f t="shared" si="159"/>
        <v>0</v>
      </c>
      <c r="T2665" s="128">
        <f t="shared" si="158"/>
        <v>0</v>
      </c>
      <c r="U2665" s="129" t="str">
        <f>IFERROR(IF(#REF!="S",VLOOKUP('Raw Data'!A2665,References!#REF!,2,FALSE),(VLOOKUP($S2665,References!$B$3:$C$7,2,FALSE))),"")</f>
        <v/>
      </c>
      <c r="W2665" s="74" t="str">
        <f>IFERROR(VLOOKUP($O2665,'Customer List'!$A$1:$J$488,10,FALSE),"")</f>
        <v/>
      </c>
    </row>
    <row r="2666" spans="18:23">
      <c r="R2666" s="127">
        <f t="shared" si="159"/>
        <v>0</v>
      </c>
      <c r="T2666" s="128">
        <f t="shared" si="158"/>
        <v>0</v>
      </c>
      <c r="U2666" s="129" t="str">
        <f>IFERROR(IF(#REF!="S",VLOOKUP('Raw Data'!A2666,References!#REF!,2,FALSE),(VLOOKUP($S2666,References!$B$3:$C$7,2,FALSE))),"")</f>
        <v/>
      </c>
      <c r="W2666" s="74" t="str">
        <f>IFERROR(VLOOKUP($O2666,'Customer List'!$A$1:$J$488,10,FALSE),"")</f>
        <v/>
      </c>
    </row>
    <row r="2667" spans="18:23">
      <c r="R2667" s="127">
        <f t="shared" si="159"/>
        <v>0</v>
      </c>
      <c r="T2667" s="128">
        <f t="shared" si="158"/>
        <v>0</v>
      </c>
      <c r="U2667" s="129" t="str">
        <f>IFERROR(IF(#REF!="S",VLOOKUP('Raw Data'!A2667,References!#REF!,2,FALSE),(VLOOKUP($S2667,References!$B$3:$C$7,2,FALSE))),"")</f>
        <v/>
      </c>
      <c r="W2667" s="74" t="str">
        <f>IFERROR(VLOOKUP($O2667,'Customer List'!$A$1:$J$488,10,FALSE),"")</f>
        <v/>
      </c>
    </row>
    <row r="2668" spans="18:23">
      <c r="R2668" s="127">
        <f t="shared" si="159"/>
        <v>0</v>
      </c>
      <c r="T2668" s="128">
        <f t="shared" si="158"/>
        <v>0</v>
      </c>
      <c r="U2668" s="129" t="str">
        <f>IFERROR(IF(#REF!="S",VLOOKUP('Raw Data'!A2668,References!#REF!,2,FALSE),(VLOOKUP($S2668,References!$B$3:$C$7,2,FALSE))),"")</f>
        <v/>
      </c>
      <c r="W2668" s="74" t="str">
        <f>IFERROR(VLOOKUP($O2668,'Customer List'!$A$1:$J$488,10,FALSE),"")</f>
        <v/>
      </c>
    </row>
    <row r="2669" spans="18:23">
      <c r="R2669" s="127">
        <f t="shared" si="159"/>
        <v>0</v>
      </c>
      <c r="T2669" s="128">
        <f t="shared" si="158"/>
        <v>0</v>
      </c>
      <c r="U2669" s="129" t="str">
        <f>IFERROR(IF(#REF!="S",VLOOKUP('Raw Data'!A2669,References!#REF!,2,FALSE),(VLOOKUP($S2669,References!$B$3:$C$7,2,FALSE))),"")</f>
        <v/>
      </c>
      <c r="W2669" s="74" t="str">
        <f>IFERROR(VLOOKUP($O2669,'Customer List'!$A$1:$J$488,10,FALSE),"")</f>
        <v/>
      </c>
    </row>
    <row r="2670" spans="18:23">
      <c r="R2670" s="127">
        <f t="shared" si="159"/>
        <v>0</v>
      </c>
      <c r="T2670" s="128">
        <f t="shared" si="158"/>
        <v>0</v>
      </c>
      <c r="U2670" s="129" t="str">
        <f>IFERROR(IF(#REF!="S",VLOOKUP('Raw Data'!A2670,References!#REF!,2,FALSE),(VLOOKUP($S2670,References!$B$3:$C$7,2,FALSE))),"")</f>
        <v/>
      </c>
      <c r="W2670" s="74" t="str">
        <f>IFERROR(VLOOKUP($O2670,'Customer List'!$A$1:$J$488,10,FALSE),"")</f>
        <v/>
      </c>
    </row>
    <row r="2671" spans="18:23">
      <c r="R2671" s="127">
        <f t="shared" si="159"/>
        <v>0</v>
      </c>
      <c r="T2671" s="128">
        <f t="shared" si="158"/>
        <v>0</v>
      </c>
      <c r="U2671" s="129" t="str">
        <f>IFERROR(IF(#REF!="S",VLOOKUP('Raw Data'!A2671,References!#REF!,2,FALSE),(VLOOKUP($S2671,References!$B$3:$C$7,2,FALSE))),"")</f>
        <v/>
      </c>
      <c r="W2671" s="74" t="str">
        <f>IFERROR(VLOOKUP($O2671,'Customer List'!$A$1:$J$488,10,FALSE),"")</f>
        <v/>
      </c>
    </row>
    <row r="2672" spans="18:23">
      <c r="R2672" s="127">
        <f t="shared" si="159"/>
        <v>0</v>
      </c>
      <c r="T2672" s="128">
        <f t="shared" si="158"/>
        <v>0</v>
      </c>
      <c r="U2672" s="129" t="str">
        <f>IFERROR(IF(#REF!="S",VLOOKUP('Raw Data'!A2672,References!#REF!,2,FALSE),(VLOOKUP($S2672,References!$B$3:$C$7,2,FALSE))),"")</f>
        <v/>
      </c>
      <c r="W2672" s="74" t="str">
        <f>IFERROR(VLOOKUP($O2672,'Customer List'!$A$1:$J$488,10,FALSE),"")</f>
        <v/>
      </c>
    </row>
    <row r="2673" spans="18:23">
      <c r="R2673" s="127">
        <f t="shared" si="159"/>
        <v>0</v>
      </c>
      <c r="T2673" s="128">
        <f t="shared" si="158"/>
        <v>0</v>
      </c>
      <c r="U2673" s="129" t="str">
        <f>IFERROR(IF(#REF!="S",VLOOKUP('Raw Data'!A2673,References!#REF!,2,FALSE),(VLOOKUP($S2673,References!$B$3:$C$7,2,FALSE))),"")</f>
        <v/>
      </c>
      <c r="W2673" s="74" t="str">
        <f>IFERROR(VLOOKUP($O2673,'Customer List'!$A$1:$J$488,10,FALSE),"")</f>
        <v/>
      </c>
    </row>
    <row r="2674" spans="18:23">
      <c r="R2674" s="127">
        <f t="shared" si="159"/>
        <v>0</v>
      </c>
      <c r="T2674" s="128">
        <f t="shared" si="158"/>
        <v>0</v>
      </c>
      <c r="U2674" s="129" t="str">
        <f>IFERROR(IF(#REF!="S",VLOOKUP('Raw Data'!A2674,References!#REF!,2,FALSE),(VLOOKUP($S2674,References!$B$3:$C$7,2,FALSE))),"")</f>
        <v/>
      </c>
      <c r="W2674" s="74" t="str">
        <f>IFERROR(VLOOKUP($O2674,'Customer List'!$A$1:$J$488,10,FALSE),"")</f>
        <v/>
      </c>
    </row>
    <row r="2675" spans="18:23">
      <c r="R2675" s="127">
        <f t="shared" si="159"/>
        <v>0</v>
      </c>
      <c r="T2675" s="128">
        <f t="shared" si="158"/>
        <v>0</v>
      </c>
      <c r="U2675" s="129" t="str">
        <f>IFERROR(IF(#REF!="S",VLOOKUP('Raw Data'!A2675,References!#REF!,2,FALSE),(VLOOKUP($S2675,References!$B$3:$C$7,2,FALSE))),"")</f>
        <v/>
      </c>
      <c r="W2675" s="74" t="str">
        <f>IFERROR(VLOOKUP($O2675,'Customer List'!$A$1:$J$488,10,FALSE),"")</f>
        <v/>
      </c>
    </row>
    <row r="2676" spans="18:23">
      <c r="R2676" s="127">
        <f t="shared" si="159"/>
        <v>0</v>
      </c>
      <c r="T2676" s="128">
        <f t="shared" si="158"/>
        <v>0</v>
      </c>
      <c r="U2676" s="129" t="str">
        <f>IFERROR(IF(#REF!="S",VLOOKUP('Raw Data'!A2676,References!#REF!,2,FALSE),(VLOOKUP($S2676,References!$B$3:$C$7,2,FALSE))),"")</f>
        <v/>
      </c>
      <c r="W2676" s="74" t="str">
        <f>IFERROR(VLOOKUP($O2676,'Customer List'!$A$1:$J$488,10,FALSE),"")</f>
        <v/>
      </c>
    </row>
    <row r="2677" spans="18:23">
      <c r="R2677" s="127">
        <f t="shared" si="159"/>
        <v>0</v>
      </c>
      <c r="T2677" s="128">
        <f t="shared" si="158"/>
        <v>0</v>
      </c>
      <c r="U2677" s="129" t="str">
        <f>IFERROR(IF(#REF!="S",VLOOKUP('Raw Data'!A2677,References!#REF!,2,FALSE),(VLOOKUP($S2677,References!$B$3:$C$7,2,FALSE))),"")</f>
        <v/>
      </c>
      <c r="W2677" s="74" t="str">
        <f>IFERROR(VLOOKUP($O2677,'Customer List'!$A$1:$J$488,10,FALSE),"")</f>
        <v/>
      </c>
    </row>
    <row r="2678" spans="18:23">
      <c r="R2678" s="127">
        <f t="shared" si="159"/>
        <v>0</v>
      </c>
      <c r="T2678" s="128">
        <f t="shared" si="158"/>
        <v>0</v>
      </c>
      <c r="U2678" s="129" t="str">
        <f>IFERROR(IF(#REF!="S",VLOOKUP('Raw Data'!A2678,References!#REF!,2,FALSE),(VLOOKUP($S2678,References!$B$3:$C$7,2,FALSE))),"")</f>
        <v/>
      </c>
      <c r="W2678" s="74" t="str">
        <f>IFERROR(VLOOKUP($O2678,'Customer List'!$A$1:$J$488,10,FALSE),"")</f>
        <v/>
      </c>
    </row>
    <row r="2679" spans="18:23">
      <c r="R2679" s="127">
        <f t="shared" si="159"/>
        <v>0</v>
      </c>
      <c r="T2679" s="128">
        <f t="shared" si="158"/>
        <v>0</v>
      </c>
      <c r="U2679" s="129" t="str">
        <f>IFERROR(IF(#REF!="S",VLOOKUP('Raw Data'!A2679,References!#REF!,2,FALSE),(VLOOKUP($S2679,References!$B$3:$C$7,2,FALSE))),"")</f>
        <v/>
      </c>
      <c r="W2679" s="74" t="str">
        <f>IFERROR(VLOOKUP($O2679,'Customer List'!$A$1:$J$488,10,FALSE),"")</f>
        <v/>
      </c>
    </row>
    <row r="2680" spans="18:23">
      <c r="R2680" s="127">
        <f t="shared" si="159"/>
        <v>0</v>
      </c>
      <c r="T2680" s="128">
        <f t="shared" si="158"/>
        <v>0</v>
      </c>
      <c r="U2680" s="129" t="str">
        <f>IFERROR(IF(#REF!="S",VLOOKUP('Raw Data'!A2680,References!#REF!,2,FALSE),(VLOOKUP($S2680,References!$B$3:$C$7,2,FALSE))),"")</f>
        <v/>
      </c>
      <c r="W2680" s="74" t="str">
        <f>IFERROR(VLOOKUP($O2680,'Customer List'!$A$1:$J$488,10,FALSE),"")</f>
        <v/>
      </c>
    </row>
    <row r="2681" spans="18:23">
      <c r="R2681" s="127">
        <f t="shared" si="159"/>
        <v>0</v>
      </c>
      <c r="T2681" s="128">
        <f t="shared" si="158"/>
        <v>0</v>
      </c>
      <c r="U2681" s="129" t="str">
        <f>IFERROR(IF(#REF!="S",VLOOKUP('Raw Data'!A2681,References!#REF!,2,FALSE),(VLOOKUP($S2681,References!$B$3:$C$7,2,FALSE))),"")</f>
        <v/>
      </c>
      <c r="W2681" s="74" t="str">
        <f>IFERROR(VLOOKUP($O2681,'Customer List'!$A$1:$J$488,10,FALSE),"")</f>
        <v/>
      </c>
    </row>
    <row r="2682" spans="18:23">
      <c r="R2682" s="127">
        <f t="shared" si="159"/>
        <v>0</v>
      </c>
      <c r="T2682" s="128">
        <f t="shared" si="158"/>
        <v>0</v>
      </c>
      <c r="U2682" s="129" t="str">
        <f>IFERROR(IF(#REF!="S",VLOOKUP('Raw Data'!A2682,References!#REF!,2,FALSE),(VLOOKUP($S2682,References!$B$3:$C$7,2,FALSE))),"")</f>
        <v/>
      </c>
      <c r="W2682" s="74" t="str">
        <f>IFERROR(VLOOKUP($O2682,'Customer List'!$A$1:$J$488,10,FALSE),"")</f>
        <v/>
      </c>
    </row>
    <row r="2683" spans="18:23">
      <c r="R2683" s="127">
        <f t="shared" si="159"/>
        <v>0</v>
      </c>
      <c r="T2683" s="128">
        <f t="shared" si="158"/>
        <v>0</v>
      </c>
      <c r="U2683" s="129" t="str">
        <f>IFERROR(IF(#REF!="S",VLOOKUP('Raw Data'!A2683,References!#REF!,2,FALSE),(VLOOKUP($S2683,References!$B$3:$C$7,2,FALSE))),"")</f>
        <v/>
      </c>
      <c r="W2683" s="74" t="str">
        <f>IFERROR(VLOOKUP($O2683,'Customer List'!$A$1:$J$488,10,FALSE),"")</f>
        <v/>
      </c>
    </row>
    <row r="2684" spans="18:23">
      <c r="R2684" s="127">
        <f t="shared" si="159"/>
        <v>0</v>
      </c>
      <c r="T2684" s="128">
        <f t="shared" si="158"/>
        <v>0</v>
      </c>
      <c r="U2684" s="129" t="str">
        <f>IFERROR(IF(#REF!="S",VLOOKUP('Raw Data'!A2684,References!#REF!,2,FALSE),(VLOOKUP($S2684,References!$B$3:$C$7,2,FALSE))),"")</f>
        <v/>
      </c>
      <c r="W2684" s="74" t="str">
        <f>IFERROR(VLOOKUP($O2684,'Customer List'!$A$1:$J$488,10,FALSE),"")</f>
        <v/>
      </c>
    </row>
    <row r="2685" spans="18:23">
      <c r="R2685" s="127">
        <f t="shared" si="159"/>
        <v>0</v>
      </c>
      <c r="T2685" s="128">
        <f t="shared" si="158"/>
        <v>0</v>
      </c>
      <c r="U2685" s="129" t="str">
        <f>IFERROR(IF(#REF!="S",VLOOKUP('Raw Data'!A2685,References!#REF!,2,FALSE),(VLOOKUP($S2685,References!$B$3:$C$7,2,FALSE))),"")</f>
        <v/>
      </c>
      <c r="W2685" s="74" t="str">
        <f>IFERROR(VLOOKUP($O2685,'Customer List'!$A$1:$J$488,10,FALSE),"")</f>
        <v/>
      </c>
    </row>
    <row r="2686" spans="18:23">
      <c r="R2686" s="127">
        <f t="shared" si="159"/>
        <v>0</v>
      </c>
      <c r="T2686" s="128">
        <f t="shared" si="158"/>
        <v>0</v>
      </c>
      <c r="U2686" s="129" t="str">
        <f>IFERROR(IF(#REF!="S",VLOOKUP('Raw Data'!A2686,References!#REF!,2,FALSE),(VLOOKUP($S2686,References!$B$3:$C$7,2,FALSE))),"")</f>
        <v/>
      </c>
      <c r="W2686" s="74" t="str">
        <f>IFERROR(VLOOKUP($O2686,'Customer List'!$A$1:$J$488,10,FALSE),"")</f>
        <v/>
      </c>
    </row>
    <row r="2687" spans="18:23">
      <c r="R2687" s="127">
        <f t="shared" si="159"/>
        <v>0</v>
      </c>
      <c r="T2687" s="128">
        <f t="shared" si="158"/>
        <v>0</v>
      </c>
      <c r="U2687" s="129" t="str">
        <f>IFERROR(IF(#REF!="S",VLOOKUP('Raw Data'!A2687,References!#REF!,2,FALSE),(VLOOKUP($S2687,References!$B$3:$C$7,2,FALSE))),"")</f>
        <v/>
      </c>
      <c r="W2687" s="74" t="str">
        <f>IFERROR(VLOOKUP($O2687,'Customer List'!$A$1:$J$488,10,FALSE),"")</f>
        <v/>
      </c>
    </row>
    <row r="2688" spans="18:23">
      <c r="R2688" s="127">
        <f t="shared" si="159"/>
        <v>0</v>
      </c>
      <c r="T2688" s="128">
        <f t="shared" si="158"/>
        <v>0</v>
      </c>
      <c r="U2688" s="129" t="str">
        <f>IFERROR(IF(#REF!="S",VLOOKUP('Raw Data'!A2688,References!#REF!,2,FALSE),(VLOOKUP($S2688,References!$B$3:$C$7,2,FALSE))),"")</f>
        <v/>
      </c>
      <c r="W2688" s="74" t="str">
        <f>IFERROR(VLOOKUP($O2688,'Customer List'!$A$1:$J$488,10,FALSE),"")</f>
        <v/>
      </c>
    </row>
    <row r="2689" spans="18:23">
      <c r="R2689" s="127">
        <f t="shared" si="159"/>
        <v>0</v>
      </c>
      <c r="T2689" s="128">
        <f t="shared" si="158"/>
        <v>0</v>
      </c>
      <c r="U2689" s="129" t="str">
        <f>IFERROR(IF(#REF!="S",VLOOKUP('Raw Data'!A2689,References!#REF!,2,FALSE),(VLOOKUP($S2689,References!$B$3:$C$7,2,FALSE))),"")</f>
        <v/>
      </c>
      <c r="W2689" s="74" t="str">
        <f>IFERROR(VLOOKUP($O2689,'Customer List'!$A$1:$J$488,10,FALSE),"")</f>
        <v/>
      </c>
    </row>
    <row r="2690" spans="18:23">
      <c r="R2690" s="127">
        <f t="shared" si="159"/>
        <v>0</v>
      </c>
      <c r="T2690" s="128">
        <f t="shared" si="158"/>
        <v>0</v>
      </c>
      <c r="U2690" s="129" t="str">
        <f>IFERROR(IF(#REF!="S",VLOOKUP('Raw Data'!A2690,References!#REF!,2,FALSE),(VLOOKUP($S2690,References!$B$3:$C$7,2,FALSE))),"")</f>
        <v/>
      </c>
      <c r="W2690" s="74" t="str">
        <f>IFERROR(VLOOKUP($O2690,'Customer List'!$A$1:$J$488,10,FALSE),"")</f>
        <v/>
      </c>
    </row>
    <row r="2691" spans="18:23">
      <c r="R2691" s="127">
        <f t="shared" si="159"/>
        <v>0</v>
      </c>
      <c r="T2691" s="128">
        <f t="shared" si="158"/>
        <v>0</v>
      </c>
      <c r="U2691" s="129" t="str">
        <f>IFERROR(IF(#REF!="S",VLOOKUP('Raw Data'!A2691,References!#REF!,2,FALSE),(VLOOKUP($S2691,References!$B$3:$C$7,2,FALSE))),"")</f>
        <v/>
      </c>
      <c r="W2691" s="74" t="str">
        <f>IFERROR(VLOOKUP($O2691,'Customer List'!$A$1:$J$488,10,FALSE),"")</f>
        <v/>
      </c>
    </row>
    <row r="2692" spans="18:23">
      <c r="R2692" s="127">
        <f t="shared" si="159"/>
        <v>0</v>
      </c>
      <c r="T2692" s="128">
        <f t="shared" si="158"/>
        <v>0</v>
      </c>
      <c r="U2692" s="129" t="str">
        <f>IFERROR(IF(#REF!="S",VLOOKUP('Raw Data'!A2692,References!#REF!,2,FALSE),(VLOOKUP($S2692,References!$B$3:$C$7,2,FALSE))),"")</f>
        <v/>
      </c>
      <c r="W2692" s="74" t="str">
        <f>IFERROR(VLOOKUP($O2692,'Customer List'!$A$1:$J$488,10,FALSE),"")</f>
        <v/>
      </c>
    </row>
    <row r="2693" spans="18:23">
      <c r="R2693" s="127">
        <f t="shared" si="159"/>
        <v>0</v>
      </c>
      <c r="T2693" s="128">
        <f t="shared" si="158"/>
        <v>0</v>
      </c>
      <c r="U2693" s="129" t="str">
        <f>IFERROR(IF(#REF!="S",VLOOKUP('Raw Data'!A2693,References!#REF!,2,FALSE),(VLOOKUP($S2693,References!$B$3:$C$7,2,FALSE))),"")</f>
        <v/>
      </c>
      <c r="W2693" s="74" t="str">
        <f>IFERROR(VLOOKUP($O2693,'Customer List'!$A$1:$J$488,10,FALSE),"")</f>
        <v/>
      </c>
    </row>
    <row r="2694" spans="18:23">
      <c r="R2694" s="127">
        <f t="shared" si="159"/>
        <v>0</v>
      </c>
      <c r="T2694" s="128">
        <f t="shared" si="158"/>
        <v>0</v>
      </c>
      <c r="U2694" s="129" t="str">
        <f>IFERROR(IF(#REF!="S",VLOOKUP('Raw Data'!A2694,References!#REF!,2,FALSE),(VLOOKUP($S2694,References!$B$3:$C$7,2,FALSE))),"")</f>
        <v/>
      </c>
      <c r="W2694" s="74" t="str">
        <f>IFERROR(VLOOKUP($O2694,'Customer List'!$A$1:$J$488,10,FALSE),"")</f>
        <v/>
      </c>
    </row>
    <row r="2695" spans="18:23">
      <c r="R2695" s="127">
        <f t="shared" si="159"/>
        <v>0</v>
      </c>
      <c r="T2695" s="128">
        <f t="shared" si="158"/>
        <v>0</v>
      </c>
      <c r="U2695" s="129" t="str">
        <f>IFERROR(IF(#REF!="S",VLOOKUP('Raw Data'!A2695,References!#REF!,2,FALSE),(VLOOKUP($S2695,References!$B$3:$C$7,2,FALSE))),"")</f>
        <v/>
      </c>
      <c r="W2695" s="74" t="str">
        <f>IFERROR(VLOOKUP($O2695,'Customer List'!$A$1:$J$488,10,FALSE),"")</f>
        <v/>
      </c>
    </row>
    <row r="2696" spans="18:23">
      <c r="R2696" s="127">
        <f t="shared" si="159"/>
        <v>0</v>
      </c>
      <c r="T2696" s="128">
        <f t="shared" si="158"/>
        <v>0</v>
      </c>
      <c r="U2696" s="129" t="str">
        <f>IFERROR(IF(#REF!="S",VLOOKUP('Raw Data'!A2696,References!#REF!,2,FALSE),(VLOOKUP($S2696,References!$B$3:$C$7,2,FALSE))),"")</f>
        <v/>
      </c>
      <c r="W2696" s="74" t="str">
        <f>IFERROR(VLOOKUP($O2696,'Customer List'!$A$1:$J$488,10,FALSE),"")</f>
        <v/>
      </c>
    </row>
    <row r="2697" spans="18:23">
      <c r="R2697" s="127">
        <f t="shared" si="159"/>
        <v>0</v>
      </c>
      <c r="T2697" s="128">
        <f t="shared" si="158"/>
        <v>0</v>
      </c>
      <c r="U2697" s="129" t="str">
        <f>IFERROR(IF(#REF!="S",VLOOKUP('Raw Data'!A2697,References!#REF!,2,FALSE),(VLOOKUP($S2697,References!$B$3:$C$7,2,FALSE))),"")</f>
        <v/>
      </c>
      <c r="W2697" s="74" t="str">
        <f>IFERROR(VLOOKUP($O2697,'Customer List'!$A$1:$J$488,10,FALSE),"")</f>
        <v/>
      </c>
    </row>
    <row r="2698" spans="18:23">
      <c r="R2698" s="127">
        <f t="shared" si="159"/>
        <v>0</v>
      </c>
      <c r="T2698" s="128">
        <f t="shared" ref="T2698:T2761" si="160">IF(S2698="50 - Cleaning Fee",1,HOUR($R2698)+MINUTE(R2698)/60)</f>
        <v>0</v>
      </c>
      <c r="U2698" s="129" t="str">
        <f>IFERROR(IF(#REF!="S",VLOOKUP('Raw Data'!A2698,References!#REF!,2,FALSE),(VLOOKUP($S2698,References!$B$3:$C$7,2,FALSE))),"")</f>
        <v/>
      </c>
      <c r="W2698" s="74" t="str">
        <f>IFERROR(VLOOKUP($O2698,'Customer List'!$A$1:$J$488,10,FALSE),"")</f>
        <v/>
      </c>
    </row>
    <row r="2699" spans="18:23">
      <c r="R2699" s="127">
        <f t="shared" si="159"/>
        <v>0</v>
      </c>
      <c r="T2699" s="128">
        <f t="shared" si="160"/>
        <v>0</v>
      </c>
      <c r="U2699" s="129" t="str">
        <f>IFERROR(IF(#REF!="S",VLOOKUP('Raw Data'!A2699,References!#REF!,2,FALSE),(VLOOKUP($S2699,References!$B$3:$C$7,2,FALSE))),"")</f>
        <v/>
      </c>
      <c r="W2699" s="74" t="str">
        <f>IFERROR(VLOOKUP($O2699,'Customer List'!$A$1:$J$488,10,FALSE),"")</f>
        <v/>
      </c>
    </row>
    <row r="2700" spans="18:23">
      <c r="R2700" s="127">
        <f t="shared" si="159"/>
        <v>0</v>
      </c>
      <c r="T2700" s="128">
        <f t="shared" si="160"/>
        <v>0</v>
      </c>
      <c r="U2700" s="129" t="str">
        <f>IFERROR(IF(#REF!="S",VLOOKUP('Raw Data'!A2700,References!#REF!,2,FALSE),(VLOOKUP($S2700,References!$B$3:$C$7,2,FALSE))),"")</f>
        <v/>
      </c>
      <c r="W2700" s="74" t="str">
        <f>IFERROR(VLOOKUP($O2700,'Customer List'!$A$1:$J$488,10,FALSE),"")</f>
        <v/>
      </c>
    </row>
    <row r="2701" spans="18:23">
      <c r="R2701" s="127">
        <f t="shared" si="159"/>
        <v>0</v>
      </c>
      <c r="T2701" s="128">
        <f t="shared" si="160"/>
        <v>0</v>
      </c>
      <c r="U2701" s="129" t="str">
        <f>IFERROR(IF(#REF!="S",VLOOKUP('Raw Data'!A2701,References!#REF!,2,FALSE),(VLOOKUP($S2701,References!$B$3:$C$7,2,FALSE))),"")</f>
        <v/>
      </c>
      <c r="W2701" s="74" t="str">
        <f>IFERROR(VLOOKUP($O2701,'Customer List'!$A$1:$J$488,10,FALSE),"")</f>
        <v/>
      </c>
    </row>
    <row r="2702" spans="18:23">
      <c r="R2702" s="127">
        <f t="shared" si="159"/>
        <v>0</v>
      </c>
      <c r="T2702" s="128">
        <f t="shared" si="160"/>
        <v>0</v>
      </c>
      <c r="U2702" s="129" t="str">
        <f>IFERROR(IF(#REF!="S",VLOOKUP('Raw Data'!A2702,References!#REF!,2,FALSE),(VLOOKUP($S2702,References!$B$3:$C$7,2,FALSE))),"")</f>
        <v/>
      </c>
      <c r="W2702" s="74" t="str">
        <f>IFERROR(VLOOKUP($O2702,'Customer List'!$A$1:$J$488,10,FALSE),"")</f>
        <v/>
      </c>
    </row>
    <row r="2703" spans="18:23">
      <c r="R2703" s="127">
        <f t="shared" si="159"/>
        <v>0</v>
      </c>
      <c r="T2703" s="128">
        <f t="shared" si="160"/>
        <v>0</v>
      </c>
      <c r="U2703" s="129" t="str">
        <f>IFERROR(IF(#REF!="S",VLOOKUP('Raw Data'!A2703,References!#REF!,2,FALSE),(VLOOKUP($S2703,References!$B$3:$C$7,2,FALSE))),"")</f>
        <v/>
      </c>
      <c r="W2703" s="74" t="str">
        <f>IFERROR(VLOOKUP($O2703,'Customer List'!$A$1:$J$488,10,FALSE),"")</f>
        <v/>
      </c>
    </row>
    <row r="2704" spans="18:23">
      <c r="R2704" s="127">
        <f t="shared" si="159"/>
        <v>0</v>
      </c>
      <c r="T2704" s="128">
        <f t="shared" si="160"/>
        <v>0</v>
      </c>
      <c r="U2704" s="129" t="str">
        <f>IFERROR(IF(#REF!="S",VLOOKUP('Raw Data'!A2704,References!#REF!,2,FALSE),(VLOOKUP($S2704,References!$B$3:$C$7,2,FALSE))),"")</f>
        <v/>
      </c>
      <c r="W2704" s="74" t="str">
        <f>IFERROR(VLOOKUP($O2704,'Customer List'!$A$1:$J$488,10,FALSE),"")</f>
        <v/>
      </c>
    </row>
    <row r="2705" spans="18:23">
      <c r="R2705" s="127">
        <f t="shared" si="159"/>
        <v>0</v>
      </c>
      <c r="T2705" s="128">
        <f t="shared" si="160"/>
        <v>0</v>
      </c>
      <c r="U2705" s="129" t="str">
        <f>IFERROR(IF(#REF!="S",VLOOKUP('Raw Data'!A2705,References!#REF!,2,FALSE),(VLOOKUP($S2705,References!$B$3:$C$7,2,FALSE))),"")</f>
        <v/>
      </c>
      <c r="W2705" s="74" t="str">
        <f>IFERROR(VLOOKUP($O2705,'Customer List'!$A$1:$J$488,10,FALSE),"")</f>
        <v/>
      </c>
    </row>
    <row r="2706" spans="18:23">
      <c r="R2706" s="127">
        <f t="shared" si="159"/>
        <v>0</v>
      </c>
      <c r="T2706" s="128">
        <f t="shared" si="160"/>
        <v>0</v>
      </c>
      <c r="U2706" s="129" t="str">
        <f>IFERROR(IF(#REF!="S",VLOOKUP('Raw Data'!A2706,References!#REF!,2,FALSE),(VLOOKUP($S2706,References!$B$3:$C$7,2,FALSE))),"")</f>
        <v/>
      </c>
      <c r="W2706" s="74" t="str">
        <f>IFERROR(VLOOKUP($O2706,'Customer List'!$A$1:$J$488,10,FALSE),"")</f>
        <v/>
      </c>
    </row>
    <row r="2707" spans="18:23">
      <c r="R2707" s="127">
        <f t="shared" si="159"/>
        <v>0</v>
      </c>
      <c r="T2707" s="128">
        <f t="shared" si="160"/>
        <v>0</v>
      </c>
      <c r="U2707" s="129" t="str">
        <f>IFERROR(IF(#REF!="S",VLOOKUP('Raw Data'!A2707,References!#REF!,2,FALSE),(VLOOKUP($S2707,References!$B$3:$C$7,2,FALSE))),"")</f>
        <v/>
      </c>
      <c r="W2707" s="74" t="str">
        <f>IFERROR(VLOOKUP($O2707,'Customer List'!$A$1:$J$488,10,FALSE),"")</f>
        <v/>
      </c>
    </row>
    <row r="2708" spans="18:23">
      <c r="R2708" s="127">
        <f t="shared" si="159"/>
        <v>0</v>
      </c>
      <c r="T2708" s="128">
        <f t="shared" si="160"/>
        <v>0</v>
      </c>
      <c r="U2708" s="129" t="str">
        <f>IFERROR(IF(#REF!="S",VLOOKUP('Raw Data'!A2708,References!#REF!,2,FALSE),(VLOOKUP($S2708,References!$B$3:$C$7,2,FALSE))),"")</f>
        <v/>
      </c>
      <c r="W2708" s="74" t="str">
        <f>IFERROR(VLOOKUP($O2708,'Customer List'!$A$1:$J$488,10,FALSE),"")</f>
        <v/>
      </c>
    </row>
    <row r="2709" spans="18:23">
      <c r="R2709" s="127">
        <f t="shared" si="159"/>
        <v>0</v>
      </c>
      <c r="T2709" s="128">
        <f t="shared" si="160"/>
        <v>0</v>
      </c>
      <c r="U2709" s="129" t="str">
        <f>IFERROR(IF(#REF!="S",VLOOKUP('Raw Data'!A2709,References!#REF!,2,FALSE),(VLOOKUP($S2709,References!$B$3:$C$7,2,FALSE))),"")</f>
        <v/>
      </c>
      <c r="W2709" s="74" t="str">
        <f>IFERROR(VLOOKUP($O2709,'Customer List'!$A$1:$J$488,10,FALSE),"")</f>
        <v/>
      </c>
    </row>
    <row r="2710" spans="18:23">
      <c r="R2710" s="127">
        <f t="shared" si="159"/>
        <v>0</v>
      </c>
      <c r="T2710" s="128">
        <f t="shared" si="160"/>
        <v>0</v>
      </c>
      <c r="U2710" s="129" t="str">
        <f>IFERROR(IF(#REF!="S",VLOOKUP('Raw Data'!A2710,References!#REF!,2,FALSE),(VLOOKUP($S2710,References!$B$3:$C$7,2,FALSE))),"")</f>
        <v/>
      </c>
      <c r="W2710" s="74" t="str">
        <f>IFERROR(VLOOKUP($O2710,'Customer List'!$A$1:$J$488,10,FALSE),"")</f>
        <v/>
      </c>
    </row>
    <row r="2711" spans="18:23">
      <c r="R2711" s="127">
        <f t="shared" si="159"/>
        <v>0</v>
      </c>
      <c r="T2711" s="128">
        <f t="shared" si="160"/>
        <v>0</v>
      </c>
      <c r="U2711" s="129" t="str">
        <f>IFERROR(IF(#REF!="S",VLOOKUP('Raw Data'!A2711,References!#REF!,2,FALSE),(VLOOKUP($S2711,References!$B$3:$C$7,2,FALSE))),"")</f>
        <v/>
      </c>
      <c r="W2711" s="74" t="str">
        <f>IFERROR(VLOOKUP($O2711,'Customer List'!$A$1:$J$488,10,FALSE),"")</f>
        <v/>
      </c>
    </row>
    <row r="2712" spans="18:23">
      <c r="R2712" s="127">
        <f t="shared" si="159"/>
        <v>0</v>
      </c>
      <c r="T2712" s="128">
        <f t="shared" si="160"/>
        <v>0</v>
      </c>
      <c r="U2712" s="129" t="str">
        <f>IFERROR(IF(#REF!="S",VLOOKUP('Raw Data'!A2712,References!#REF!,2,FALSE),(VLOOKUP($S2712,References!$B$3:$C$7,2,FALSE))),"")</f>
        <v/>
      </c>
      <c r="W2712" s="74" t="str">
        <f>IFERROR(VLOOKUP($O2712,'Customer List'!$A$1:$J$488,10,FALSE),"")</f>
        <v/>
      </c>
    </row>
    <row r="2713" spans="18:23">
      <c r="R2713" s="127">
        <f t="shared" si="159"/>
        <v>0</v>
      </c>
      <c r="T2713" s="128">
        <f t="shared" si="160"/>
        <v>0</v>
      </c>
      <c r="U2713" s="129" t="str">
        <f>IFERROR(IF(#REF!="S",VLOOKUP('Raw Data'!A2713,References!#REF!,2,FALSE),(VLOOKUP($S2713,References!$B$3:$C$7,2,FALSE))),"")</f>
        <v/>
      </c>
      <c r="W2713" s="74" t="str">
        <f>IFERROR(VLOOKUP($O2713,'Customer List'!$A$1:$J$488,10,FALSE),"")</f>
        <v/>
      </c>
    </row>
    <row r="2714" spans="18:23">
      <c r="R2714" s="127">
        <f t="shared" si="159"/>
        <v>0</v>
      </c>
      <c r="T2714" s="128">
        <f t="shared" si="160"/>
        <v>0</v>
      </c>
      <c r="U2714" s="129" t="str">
        <f>IFERROR(IF(#REF!="S",VLOOKUP('Raw Data'!A2714,References!#REF!,2,FALSE),(VLOOKUP($S2714,References!$B$3:$C$7,2,FALSE))),"")</f>
        <v/>
      </c>
      <c r="W2714" s="74" t="str">
        <f>IFERROR(VLOOKUP($O2714,'Customer List'!$A$1:$J$488,10,FALSE),"")</f>
        <v/>
      </c>
    </row>
    <row r="2715" spans="18:23">
      <c r="R2715" s="127">
        <f t="shared" si="159"/>
        <v>0</v>
      </c>
      <c r="T2715" s="128">
        <f t="shared" si="160"/>
        <v>0</v>
      </c>
      <c r="U2715" s="129" t="str">
        <f>IFERROR(IF(#REF!="S",VLOOKUP('Raw Data'!A2715,References!#REF!,2,FALSE),(VLOOKUP($S2715,References!$B$3:$C$7,2,FALSE))),"")</f>
        <v/>
      </c>
      <c r="W2715" s="74" t="str">
        <f>IFERROR(VLOOKUP($O2715,'Customer List'!$A$1:$J$488,10,FALSE),"")</f>
        <v/>
      </c>
    </row>
    <row r="2716" spans="18:23">
      <c r="R2716" s="127">
        <f t="shared" si="159"/>
        <v>0</v>
      </c>
      <c r="T2716" s="128">
        <f t="shared" si="160"/>
        <v>0</v>
      </c>
      <c r="U2716" s="129" t="str">
        <f>IFERROR(IF(#REF!="S",VLOOKUP('Raw Data'!A2716,References!#REF!,2,FALSE),(VLOOKUP($S2716,References!$B$3:$C$7,2,FALSE))),"")</f>
        <v/>
      </c>
      <c r="W2716" s="74" t="str">
        <f>IFERROR(VLOOKUP($O2716,'Customer List'!$A$1:$J$488,10,FALSE),"")</f>
        <v/>
      </c>
    </row>
    <row r="2717" spans="18:23">
      <c r="R2717" s="127">
        <f t="shared" si="159"/>
        <v>0</v>
      </c>
      <c r="T2717" s="128">
        <f t="shared" si="160"/>
        <v>0</v>
      </c>
      <c r="U2717" s="129" t="str">
        <f>IFERROR(IF(#REF!="S",VLOOKUP('Raw Data'!A2717,References!#REF!,2,FALSE),(VLOOKUP($S2717,References!$B$3:$C$7,2,FALSE))),"")</f>
        <v/>
      </c>
      <c r="W2717" s="74" t="str">
        <f>IFERROR(VLOOKUP($O2717,'Customer List'!$A$1:$J$488,10,FALSE),"")</f>
        <v/>
      </c>
    </row>
    <row r="2718" spans="18:23">
      <c r="R2718" s="127">
        <f t="shared" si="159"/>
        <v>0</v>
      </c>
      <c r="T2718" s="128">
        <f t="shared" si="160"/>
        <v>0</v>
      </c>
      <c r="U2718" s="129" t="str">
        <f>IFERROR(IF(#REF!="S",VLOOKUP('Raw Data'!A2718,References!#REF!,2,FALSE),(VLOOKUP($S2718,References!$B$3:$C$7,2,FALSE))),"")</f>
        <v/>
      </c>
      <c r="W2718" s="74" t="str">
        <f>IFERROR(VLOOKUP($O2718,'Customer List'!$A$1:$J$488,10,FALSE),"")</f>
        <v/>
      </c>
    </row>
    <row r="2719" spans="18:23">
      <c r="R2719" s="127">
        <f t="shared" si="159"/>
        <v>0</v>
      </c>
      <c r="T2719" s="128">
        <f t="shared" si="160"/>
        <v>0</v>
      </c>
      <c r="U2719" s="129" t="str">
        <f>IFERROR(IF(#REF!="S",VLOOKUP('Raw Data'!A2719,References!#REF!,2,FALSE),(VLOOKUP($S2719,References!$B$3:$C$7,2,FALSE))),"")</f>
        <v/>
      </c>
      <c r="W2719" s="74" t="str">
        <f>IFERROR(VLOOKUP($O2719,'Customer List'!$A$1:$J$488,10,FALSE),"")</f>
        <v/>
      </c>
    </row>
    <row r="2720" spans="18:23">
      <c r="R2720" s="127">
        <f t="shared" si="159"/>
        <v>0</v>
      </c>
      <c r="T2720" s="128">
        <f t="shared" si="160"/>
        <v>0</v>
      </c>
      <c r="U2720" s="129" t="str">
        <f>IFERROR(IF(#REF!="S",VLOOKUP('Raw Data'!A2720,References!#REF!,2,FALSE),(VLOOKUP($S2720,References!$B$3:$C$7,2,FALSE))),"")</f>
        <v/>
      </c>
      <c r="W2720" s="74" t="str">
        <f>IFERROR(VLOOKUP($O2720,'Customer List'!$A$1:$J$488,10,FALSE),"")</f>
        <v/>
      </c>
    </row>
    <row r="2721" spans="18:23">
      <c r="R2721" s="127">
        <f t="shared" si="159"/>
        <v>0</v>
      </c>
      <c r="T2721" s="128">
        <f t="shared" si="160"/>
        <v>0</v>
      </c>
      <c r="U2721" s="129" t="str">
        <f>IFERROR(IF(#REF!="S",VLOOKUP('Raw Data'!A2721,References!#REF!,2,FALSE),(VLOOKUP($S2721,References!$B$3:$C$7,2,FALSE))),"")</f>
        <v/>
      </c>
      <c r="W2721" s="74" t="str">
        <f>IFERROR(VLOOKUP($O2721,'Customer List'!$A$1:$J$488,10,FALSE),"")</f>
        <v/>
      </c>
    </row>
    <row r="2722" spans="18:23">
      <c r="R2722" s="127">
        <f t="shared" ref="R2722:R2785" si="161">L2722-K2722</f>
        <v>0</v>
      </c>
      <c r="T2722" s="128">
        <f t="shared" si="160"/>
        <v>0</v>
      </c>
      <c r="U2722" s="129" t="str">
        <f>IFERROR(IF(#REF!="S",VLOOKUP('Raw Data'!A2722,References!#REF!,2,FALSE),(VLOOKUP($S2722,References!$B$3:$C$7,2,FALSE))),"")</f>
        <v/>
      </c>
      <c r="W2722" s="74" t="str">
        <f>IFERROR(VLOOKUP($O2722,'Customer List'!$A$1:$J$488,10,FALSE),"")</f>
        <v/>
      </c>
    </row>
    <row r="2723" spans="18:23">
      <c r="R2723" s="127">
        <f t="shared" si="161"/>
        <v>0</v>
      </c>
      <c r="T2723" s="128">
        <f t="shared" si="160"/>
        <v>0</v>
      </c>
      <c r="U2723" s="129" t="str">
        <f>IFERROR(IF(#REF!="S",VLOOKUP('Raw Data'!A2723,References!#REF!,2,FALSE),(VLOOKUP($S2723,References!$B$3:$C$7,2,FALSE))),"")</f>
        <v/>
      </c>
      <c r="W2723" s="74" t="str">
        <f>IFERROR(VLOOKUP($O2723,'Customer List'!$A$1:$J$488,10,FALSE),"")</f>
        <v/>
      </c>
    </row>
    <row r="2724" spans="18:23">
      <c r="R2724" s="127">
        <f t="shared" si="161"/>
        <v>0</v>
      </c>
      <c r="T2724" s="128">
        <f t="shared" si="160"/>
        <v>0</v>
      </c>
      <c r="U2724" s="129" t="str">
        <f>IFERROR(IF(#REF!="S",VLOOKUP('Raw Data'!A2724,References!#REF!,2,FALSE),(VLOOKUP($S2724,References!$B$3:$C$7,2,FALSE))),"")</f>
        <v/>
      </c>
      <c r="W2724" s="74" t="str">
        <f>IFERROR(VLOOKUP($O2724,'Customer List'!$A$1:$J$488,10,FALSE),"")</f>
        <v/>
      </c>
    </row>
    <row r="2725" spans="18:23">
      <c r="R2725" s="127">
        <f t="shared" si="161"/>
        <v>0</v>
      </c>
      <c r="T2725" s="128">
        <f t="shared" si="160"/>
        <v>0</v>
      </c>
      <c r="U2725" s="129" t="str">
        <f>IFERROR(IF(#REF!="S",VLOOKUP('Raw Data'!A2725,References!#REF!,2,FALSE),(VLOOKUP($S2725,References!$B$3:$C$7,2,FALSE))),"")</f>
        <v/>
      </c>
      <c r="W2725" s="74" t="str">
        <f>IFERROR(VLOOKUP($O2725,'Customer List'!$A$1:$J$488,10,FALSE),"")</f>
        <v/>
      </c>
    </row>
    <row r="2726" spans="18:23">
      <c r="R2726" s="127">
        <f t="shared" si="161"/>
        <v>0</v>
      </c>
      <c r="T2726" s="128">
        <f t="shared" si="160"/>
        <v>0</v>
      </c>
      <c r="U2726" s="129" t="str">
        <f>IFERROR(IF(#REF!="S",VLOOKUP('Raw Data'!A2726,References!#REF!,2,FALSE),(VLOOKUP($S2726,References!$B$3:$C$7,2,FALSE))),"")</f>
        <v/>
      </c>
      <c r="W2726" s="74" t="str">
        <f>IFERROR(VLOOKUP($O2726,'Customer List'!$A$1:$J$488,10,FALSE),"")</f>
        <v/>
      </c>
    </row>
    <row r="2727" spans="18:23">
      <c r="R2727" s="127">
        <f t="shared" si="161"/>
        <v>0</v>
      </c>
      <c r="T2727" s="128">
        <f t="shared" si="160"/>
        <v>0</v>
      </c>
      <c r="U2727" s="129" t="str">
        <f>IFERROR(IF(#REF!="S",VLOOKUP('Raw Data'!A2727,References!#REF!,2,FALSE),(VLOOKUP($S2727,References!$B$3:$C$7,2,FALSE))),"")</f>
        <v/>
      </c>
      <c r="W2727" s="74" t="str">
        <f>IFERROR(VLOOKUP($O2727,'Customer List'!$A$1:$J$488,10,FALSE),"")</f>
        <v/>
      </c>
    </row>
    <row r="2728" spans="18:23">
      <c r="R2728" s="127">
        <f t="shared" si="161"/>
        <v>0</v>
      </c>
      <c r="T2728" s="128">
        <f t="shared" si="160"/>
        <v>0</v>
      </c>
      <c r="U2728" s="129" t="str">
        <f>IFERROR(IF(#REF!="S",VLOOKUP('Raw Data'!A2728,References!#REF!,2,FALSE),(VLOOKUP($S2728,References!$B$3:$C$7,2,FALSE))),"")</f>
        <v/>
      </c>
      <c r="W2728" s="74" t="str">
        <f>IFERROR(VLOOKUP($O2728,'Customer List'!$A$1:$J$488,10,FALSE),"")</f>
        <v/>
      </c>
    </row>
    <row r="2729" spans="18:23">
      <c r="R2729" s="127">
        <f t="shared" si="161"/>
        <v>0</v>
      </c>
      <c r="T2729" s="128">
        <f t="shared" si="160"/>
        <v>0</v>
      </c>
      <c r="U2729" s="129" t="str">
        <f>IFERROR(IF(#REF!="S",VLOOKUP('Raw Data'!A2729,References!#REF!,2,FALSE),(VLOOKUP($S2729,References!$B$3:$C$7,2,FALSE))),"")</f>
        <v/>
      </c>
      <c r="W2729" s="74" t="str">
        <f>IFERROR(VLOOKUP($O2729,'Customer List'!$A$1:$J$488,10,FALSE),"")</f>
        <v/>
      </c>
    </row>
    <row r="2730" spans="18:23">
      <c r="R2730" s="127">
        <f t="shared" si="161"/>
        <v>0</v>
      </c>
      <c r="T2730" s="128">
        <f t="shared" si="160"/>
        <v>0</v>
      </c>
      <c r="U2730" s="129" t="str">
        <f>IFERROR(IF(#REF!="S",VLOOKUP('Raw Data'!A2730,References!#REF!,2,FALSE),(VLOOKUP($S2730,References!$B$3:$C$7,2,FALSE))),"")</f>
        <v/>
      </c>
      <c r="W2730" s="74" t="str">
        <f>IFERROR(VLOOKUP($O2730,'Customer List'!$A$1:$J$488,10,FALSE),"")</f>
        <v/>
      </c>
    </row>
    <row r="2731" spans="18:23">
      <c r="R2731" s="127">
        <f t="shared" si="161"/>
        <v>0</v>
      </c>
      <c r="T2731" s="128">
        <f t="shared" si="160"/>
        <v>0</v>
      </c>
      <c r="U2731" s="129" t="str">
        <f>IFERROR(IF(#REF!="S",VLOOKUP('Raw Data'!A2731,References!#REF!,2,FALSE),(VLOOKUP($S2731,References!$B$3:$C$7,2,FALSE))),"")</f>
        <v/>
      </c>
      <c r="W2731" s="74" t="str">
        <f>IFERROR(VLOOKUP($O2731,'Customer List'!$A$1:$J$488,10,FALSE),"")</f>
        <v/>
      </c>
    </row>
    <row r="2732" spans="18:23">
      <c r="R2732" s="127">
        <f t="shared" si="161"/>
        <v>0</v>
      </c>
      <c r="T2732" s="128">
        <f t="shared" si="160"/>
        <v>0</v>
      </c>
      <c r="U2732" s="129" t="str">
        <f>IFERROR(IF(#REF!="S",VLOOKUP('Raw Data'!A2732,References!#REF!,2,FALSE),(VLOOKUP($S2732,References!$B$3:$C$7,2,FALSE))),"")</f>
        <v/>
      </c>
      <c r="W2732" s="74" t="str">
        <f>IFERROR(VLOOKUP($O2732,'Customer List'!$A$1:$J$488,10,FALSE),"")</f>
        <v/>
      </c>
    </row>
    <row r="2733" spans="18:23">
      <c r="R2733" s="127">
        <f t="shared" si="161"/>
        <v>0</v>
      </c>
      <c r="T2733" s="128">
        <f t="shared" si="160"/>
        <v>0</v>
      </c>
      <c r="U2733" s="129" t="str">
        <f>IFERROR(IF(#REF!="S",VLOOKUP('Raw Data'!A2733,References!#REF!,2,FALSE),(VLOOKUP($S2733,References!$B$3:$C$7,2,FALSE))),"")</f>
        <v/>
      </c>
      <c r="W2733" s="74" t="str">
        <f>IFERROR(VLOOKUP($O2733,'Customer List'!$A$1:$J$488,10,FALSE),"")</f>
        <v/>
      </c>
    </row>
    <row r="2734" spans="18:23">
      <c r="R2734" s="127">
        <f t="shared" si="161"/>
        <v>0</v>
      </c>
      <c r="T2734" s="128">
        <f t="shared" si="160"/>
        <v>0</v>
      </c>
      <c r="U2734" s="129" t="str">
        <f>IFERROR(IF(#REF!="S",VLOOKUP('Raw Data'!A2734,References!#REF!,2,FALSE),(VLOOKUP($S2734,References!$B$3:$C$7,2,FALSE))),"")</f>
        <v/>
      </c>
      <c r="W2734" s="74" t="str">
        <f>IFERROR(VLOOKUP($O2734,'Customer List'!$A$1:$J$488,10,FALSE),"")</f>
        <v/>
      </c>
    </row>
    <row r="2735" spans="18:23">
      <c r="R2735" s="127">
        <f t="shared" si="161"/>
        <v>0</v>
      </c>
      <c r="T2735" s="128">
        <f t="shared" si="160"/>
        <v>0</v>
      </c>
      <c r="U2735" s="129" t="str">
        <f>IFERROR(IF(#REF!="S",VLOOKUP('Raw Data'!A2735,References!#REF!,2,FALSE),(VLOOKUP($S2735,References!$B$3:$C$7,2,FALSE))),"")</f>
        <v/>
      </c>
      <c r="W2735" s="74" t="str">
        <f>IFERROR(VLOOKUP($O2735,'Customer List'!$A$1:$J$488,10,FALSE),"")</f>
        <v/>
      </c>
    </row>
    <row r="2736" spans="18:23">
      <c r="R2736" s="127">
        <f t="shared" si="161"/>
        <v>0</v>
      </c>
      <c r="T2736" s="128">
        <f t="shared" si="160"/>
        <v>0</v>
      </c>
      <c r="U2736" s="129" t="str">
        <f>IFERROR(IF(#REF!="S",VLOOKUP('Raw Data'!A2736,References!#REF!,2,FALSE),(VLOOKUP($S2736,References!$B$3:$C$7,2,FALSE))),"")</f>
        <v/>
      </c>
      <c r="W2736" s="74" t="str">
        <f>IFERROR(VLOOKUP($O2736,'Customer List'!$A$1:$J$488,10,FALSE),"")</f>
        <v/>
      </c>
    </row>
    <row r="2737" spans="18:23">
      <c r="R2737" s="127">
        <f t="shared" si="161"/>
        <v>0</v>
      </c>
      <c r="T2737" s="128">
        <f t="shared" si="160"/>
        <v>0</v>
      </c>
      <c r="U2737" s="129" t="str">
        <f>IFERROR(IF(#REF!="S",VLOOKUP('Raw Data'!A2737,References!#REF!,2,FALSE),(VLOOKUP($S2737,References!$B$3:$C$7,2,FALSE))),"")</f>
        <v/>
      </c>
      <c r="W2737" s="74" t="str">
        <f>IFERROR(VLOOKUP($O2737,'Customer List'!$A$1:$J$488,10,FALSE),"")</f>
        <v/>
      </c>
    </row>
    <row r="2738" spans="18:23">
      <c r="R2738" s="127">
        <f t="shared" si="161"/>
        <v>0</v>
      </c>
      <c r="T2738" s="128">
        <f t="shared" si="160"/>
        <v>0</v>
      </c>
      <c r="U2738" s="129" t="str">
        <f>IFERROR(IF(#REF!="S",VLOOKUP('Raw Data'!A2738,References!#REF!,2,FALSE),(VLOOKUP($S2738,References!$B$3:$C$7,2,FALSE))),"")</f>
        <v/>
      </c>
      <c r="W2738" s="74" t="str">
        <f>IFERROR(VLOOKUP($O2738,'Customer List'!$A$1:$J$488,10,FALSE),"")</f>
        <v/>
      </c>
    </row>
    <row r="2739" spans="18:23">
      <c r="R2739" s="127">
        <f t="shared" si="161"/>
        <v>0</v>
      </c>
      <c r="T2739" s="128">
        <f t="shared" si="160"/>
        <v>0</v>
      </c>
      <c r="U2739" s="129" t="str">
        <f>IFERROR(IF(#REF!="S",VLOOKUP('Raw Data'!A2739,References!#REF!,2,FALSE),(VLOOKUP($S2739,References!$B$3:$C$7,2,FALSE))),"")</f>
        <v/>
      </c>
      <c r="W2739" s="74" t="str">
        <f>IFERROR(VLOOKUP($O2739,'Customer List'!$A$1:$J$488,10,FALSE),"")</f>
        <v/>
      </c>
    </row>
    <row r="2740" spans="18:23">
      <c r="R2740" s="127">
        <f t="shared" si="161"/>
        <v>0</v>
      </c>
      <c r="T2740" s="128">
        <f t="shared" si="160"/>
        <v>0</v>
      </c>
      <c r="U2740" s="129" t="str">
        <f>IFERROR(IF(#REF!="S",VLOOKUP('Raw Data'!A2740,References!#REF!,2,FALSE),(VLOOKUP($S2740,References!$B$3:$C$7,2,FALSE))),"")</f>
        <v/>
      </c>
      <c r="W2740" s="74" t="str">
        <f>IFERROR(VLOOKUP($O2740,'Customer List'!$A$1:$J$488,10,FALSE),"")</f>
        <v/>
      </c>
    </row>
    <row r="2741" spans="18:23">
      <c r="R2741" s="127">
        <f t="shared" si="161"/>
        <v>0</v>
      </c>
      <c r="T2741" s="128">
        <f t="shared" si="160"/>
        <v>0</v>
      </c>
      <c r="U2741" s="129" t="str">
        <f>IFERROR(IF(#REF!="S",VLOOKUP('Raw Data'!A2741,References!#REF!,2,FALSE),(VLOOKUP($S2741,References!$B$3:$C$7,2,FALSE))),"")</f>
        <v/>
      </c>
      <c r="W2741" s="74" t="str">
        <f>IFERROR(VLOOKUP($O2741,'Customer List'!$A$1:$J$488,10,FALSE),"")</f>
        <v/>
      </c>
    </row>
    <row r="2742" spans="18:23">
      <c r="R2742" s="127">
        <f t="shared" si="161"/>
        <v>0</v>
      </c>
      <c r="T2742" s="128">
        <f t="shared" si="160"/>
        <v>0</v>
      </c>
      <c r="U2742" s="129" t="str">
        <f>IFERROR(IF(#REF!="S",VLOOKUP('Raw Data'!A2742,References!#REF!,2,FALSE),(VLOOKUP($S2742,References!$B$3:$C$7,2,FALSE))),"")</f>
        <v/>
      </c>
      <c r="W2742" s="74" t="str">
        <f>IFERROR(VLOOKUP($O2742,'Customer List'!$A$1:$J$488,10,FALSE),"")</f>
        <v/>
      </c>
    </row>
    <row r="2743" spans="18:23">
      <c r="R2743" s="127">
        <f t="shared" si="161"/>
        <v>0</v>
      </c>
      <c r="T2743" s="128">
        <f t="shared" si="160"/>
        <v>0</v>
      </c>
      <c r="U2743" s="129" t="str">
        <f>IFERROR(IF(#REF!="S",VLOOKUP('Raw Data'!A2743,References!#REF!,2,FALSE),(VLOOKUP($S2743,References!$B$3:$C$7,2,FALSE))),"")</f>
        <v/>
      </c>
      <c r="W2743" s="74" t="str">
        <f>IFERROR(VLOOKUP($O2743,'Customer List'!$A$1:$J$488,10,FALSE),"")</f>
        <v/>
      </c>
    </row>
    <row r="2744" spans="18:23">
      <c r="R2744" s="127">
        <f t="shared" si="161"/>
        <v>0</v>
      </c>
      <c r="T2744" s="128">
        <f t="shared" si="160"/>
        <v>0</v>
      </c>
      <c r="U2744" s="129" t="str">
        <f>IFERROR(IF(#REF!="S",VLOOKUP('Raw Data'!A2744,References!#REF!,2,FALSE),(VLOOKUP($S2744,References!$B$3:$C$7,2,FALSE))),"")</f>
        <v/>
      </c>
      <c r="W2744" s="74" t="str">
        <f>IFERROR(VLOOKUP($O2744,'Customer List'!$A$1:$J$488,10,FALSE),"")</f>
        <v/>
      </c>
    </row>
    <row r="2745" spans="18:23">
      <c r="R2745" s="127">
        <f t="shared" si="161"/>
        <v>0</v>
      </c>
      <c r="T2745" s="128">
        <f t="shared" si="160"/>
        <v>0</v>
      </c>
      <c r="U2745" s="129" t="str">
        <f>IFERROR(IF(#REF!="S",VLOOKUP('Raw Data'!A2745,References!#REF!,2,FALSE),(VLOOKUP($S2745,References!$B$3:$C$7,2,FALSE))),"")</f>
        <v/>
      </c>
      <c r="W2745" s="74" t="str">
        <f>IFERROR(VLOOKUP($O2745,'Customer List'!$A$1:$J$488,10,FALSE),"")</f>
        <v/>
      </c>
    </row>
    <row r="2746" spans="18:23">
      <c r="R2746" s="127">
        <f t="shared" si="161"/>
        <v>0</v>
      </c>
      <c r="T2746" s="128">
        <f t="shared" si="160"/>
        <v>0</v>
      </c>
      <c r="U2746" s="129" t="str">
        <f>IFERROR(IF(#REF!="S",VLOOKUP('Raw Data'!A2746,References!#REF!,2,FALSE),(VLOOKUP($S2746,References!$B$3:$C$7,2,FALSE))),"")</f>
        <v/>
      </c>
      <c r="W2746" s="74" t="str">
        <f>IFERROR(VLOOKUP($O2746,'Customer List'!$A$1:$J$488,10,FALSE),"")</f>
        <v/>
      </c>
    </row>
    <row r="2747" spans="18:23">
      <c r="R2747" s="127">
        <f t="shared" si="161"/>
        <v>0</v>
      </c>
      <c r="T2747" s="128">
        <f t="shared" si="160"/>
        <v>0</v>
      </c>
      <c r="U2747" s="129" t="str">
        <f>IFERROR(IF(#REF!="S",VLOOKUP('Raw Data'!A2747,References!#REF!,2,FALSE),(VLOOKUP($S2747,References!$B$3:$C$7,2,FALSE))),"")</f>
        <v/>
      </c>
      <c r="W2747" s="74" t="str">
        <f>IFERROR(VLOOKUP($O2747,'Customer List'!$A$1:$J$488,10,FALSE),"")</f>
        <v/>
      </c>
    </row>
    <row r="2748" spans="18:23">
      <c r="R2748" s="127">
        <f t="shared" si="161"/>
        <v>0</v>
      </c>
      <c r="T2748" s="128">
        <f t="shared" si="160"/>
        <v>0</v>
      </c>
      <c r="U2748" s="129" t="str">
        <f>IFERROR(IF(#REF!="S",VLOOKUP('Raw Data'!A2748,References!#REF!,2,FALSE),(VLOOKUP($S2748,References!$B$3:$C$7,2,FALSE))),"")</f>
        <v/>
      </c>
      <c r="W2748" s="74" t="str">
        <f>IFERROR(VLOOKUP($O2748,'Customer List'!$A$1:$J$488,10,FALSE),"")</f>
        <v/>
      </c>
    </row>
    <row r="2749" spans="18:23">
      <c r="R2749" s="127">
        <f t="shared" si="161"/>
        <v>0</v>
      </c>
      <c r="T2749" s="128">
        <f t="shared" si="160"/>
        <v>0</v>
      </c>
      <c r="U2749" s="129" t="str">
        <f>IFERROR(IF(#REF!="S",VLOOKUP('Raw Data'!A2749,References!#REF!,2,FALSE),(VLOOKUP($S2749,References!$B$3:$C$7,2,FALSE))),"")</f>
        <v/>
      </c>
      <c r="W2749" s="74" t="str">
        <f>IFERROR(VLOOKUP($O2749,'Customer List'!$A$1:$J$488,10,FALSE),"")</f>
        <v/>
      </c>
    </row>
    <row r="2750" spans="18:23">
      <c r="R2750" s="127">
        <f t="shared" si="161"/>
        <v>0</v>
      </c>
      <c r="T2750" s="128">
        <f t="shared" si="160"/>
        <v>0</v>
      </c>
      <c r="U2750" s="129" t="str">
        <f>IFERROR(IF(#REF!="S",VLOOKUP('Raw Data'!A2750,References!#REF!,2,FALSE),(VLOOKUP($S2750,References!$B$3:$C$7,2,FALSE))),"")</f>
        <v/>
      </c>
      <c r="W2750" s="74" t="str">
        <f>IFERROR(VLOOKUP($O2750,'Customer List'!$A$1:$J$488,10,FALSE),"")</f>
        <v/>
      </c>
    </row>
    <row r="2751" spans="18:23">
      <c r="R2751" s="127">
        <f t="shared" si="161"/>
        <v>0</v>
      </c>
      <c r="T2751" s="128">
        <f t="shared" si="160"/>
        <v>0</v>
      </c>
      <c r="U2751" s="129" t="str">
        <f>IFERROR(IF(#REF!="S",VLOOKUP('Raw Data'!A2751,References!#REF!,2,FALSE),(VLOOKUP($S2751,References!$B$3:$C$7,2,FALSE))),"")</f>
        <v/>
      </c>
      <c r="W2751" s="74" t="str">
        <f>IFERROR(VLOOKUP($O2751,'Customer List'!$A$1:$J$488,10,FALSE),"")</f>
        <v/>
      </c>
    </row>
    <row r="2752" spans="18:23">
      <c r="R2752" s="127">
        <f t="shared" si="161"/>
        <v>0</v>
      </c>
      <c r="T2752" s="128">
        <f t="shared" si="160"/>
        <v>0</v>
      </c>
      <c r="U2752" s="129" t="str">
        <f>IFERROR(IF(#REF!="S",VLOOKUP('Raw Data'!A2752,References!#REF!,2,FALSE),(VLOOKUP($S2752,References!$B$3:$C$7,2,FALSE))),"")</f>
        <v/>
      </c>
      <c r="W2752" s="74" t="str">
        <f>IFERROR(VLOOKUP($O2752,'Customer List'!$A$1:$J$488,10,FALSE),"")</f>
        <v/>
      </c>
    </row>
    <row r="2753" spans="18:23">
      <c r="R2753" s="127">
        <f t="shared" si="161"/>
        <v>0</v>
      </c>
      <c r="T2753" s="128">
        <f t="shared" si="160"/>
        <v>0</v>
      </c>
      <c r="U2753" s="129" t="str">
        <f>IFERROR(IF(#REF!="S",VLOOKUP('Raw Data'!A2753,References!#REF!,2,FALSE),(VLOOKUP($S2753,References!$B$3:$C$7,2,FALSE))),"")</f>
        <v/>
      </c>
      <c r="W2753" s="74" t="str">
        <f>IFERROR(VLOOKUP($O2753,'Customer List'!$A$1:$J$488,10,FALSE),"")</f>
        <v/>
      </c>
    </row>
    <row r="2754" spans="18:23">
      <c r="R2754" s="127">
        <f t="shared" si="161"/>
        <v>0</v>
      </c>
      <c r="T2754" s="128">
        <f t="shared" si="160"/>
        <v>0</v>
      </c>
      <c r="U2754" s="129" t="str">
        <f>IFERROR(IF(#REF!="S",VLOOKUP('Raw Data'!A2754,References!#REF!,2,FALSE),(VLOOKUP($S2754,References!$B$3:$C$7,2,FALSE))),"")</f>
        <v/>
      </c>
      <c r="W2754" s="74" t="str">
        <f>IFERROR(VLOOKUP($O2754,'Customer List'!$A$1:$J$488,10,FALSE),"")</f>
        <v/>
      </c>
    </row>
    <row r="2755" spans="18:23">
      <c r="R2755" s="127">
        <f t="shared" si="161"/>
        <v>0</v>
      </c>
      <c r="T2755" s="128">
        <f t="shared" si="160"/>
        <v>0</v>
      </c>
      <c r="U2755" s="129" t="str">
        <f>IFERROR(IF(#REF!="S",VLOOKUP('Raw Data'!A2755,References!#REF!,2,FALSE),(VLOOKUP($S2755,References!$B$3:$C$7,2,FALSE))),"")</f>
        <v/>
      </c>
      <c r="W2755" s="74" t="str">
        <f>IFERROR(VLOOKUP($O2755,'Customer List'!$A$1:$J$488,10,FALSE),"")</f>
        <v/>
      </c>
    </row>
    <row r="2756" spans="18:23">
      <c r="R2756" s="127">
        <f t="shared" si="161"/>
        <v>0</v>
      </c>
      <c r="T2756" s="128">
        <f t="shared" si="160"/>
        <v>0</v>
      </c>
      <c r="U2756" s="129" t="str">
        <f>IFERROR(IF(#REF!="S",VLOOKUP('Raw Data'!A2756,References!#REF!,2,FALSE),(VLOOKUP($S2756,References!$B$3:$C$7,2,FALSE))),"")</f>
        <v/>
      </c>
      <c r="W2756" s="74" t="str">
        <f>IFERROR(VLOOKUP($O2756,'Customer List'!$A$1:$J$488,10,FALSE),"")</f>
        <v/>
      </c>
    </row>
    <row r="2757" spans="18:23">
      <c r="R2757" s="127">
        <f t="shared" si="161"/>
        <v>0</v>
      </c>
      <c r="T2757" s="128">
        <f t="shared" si="160"/>
        <v>0</v>
      </c>
      <c r="U2757" s="129" t="str">
        <f>IFERROR(IF(#REF!="S",VLOOKUP('Raw Data'!A2757,References!#REF!,2,FALSE),(VLOOKUP($S2757,References!$B$3:$C$7,2,FALSE))),"")</f>
        <v/>
      </c>
      <c r="W2757" s="74" t="str">
        <f>IFERROR(VLOOKUP($O2757,'Customer List'!$A$1:$J$488,10,FALSE),"")</f>
        <v/>
      </c>
    </row>
    <row r="2758" spans="18:23">
      <c r="R2758" s="127">
        <f t="shared" si="161"/>
        <v>0</v>
      </c>
      <c r="T2758" s="128">
        <f t="shared" si="160"/>
        <v>0</v>
      </c>
      <c r="U2758" s="129" t="str">
        <f>IFERROR(IF(#REF!="S",VLOOKUP('Raw Data'!A2758,References!#REF!,2,FALSE),(VLOOKUP($S2758,References!$B$3:$C$7,2,FALSE))),"")</f>
        <v/>
      </c>
      <c r="W2758" s="74" t="str">
        <f>IFERROR(VLOOKUP($O2758,'Customer List'!$A$1:$J$488,10,FALSE),"")</f>
        <v/>
      </c>
    </row>
    <row r="2759" spans="18:23">
      <c r="R2759" s="127">
        <f t="shared" si="161"/>
        <v>0</v>
      </c>
      <c r="T2759" s="128">
        <f t="shared" si="160"/>
        <v>0</v>
      </c>
      <c r="U2759" s="129" t="str">
        <f>IFERROR(IF(#REF!="S",VLOOKUP('Raw Data'!A2759,References!#REF!,2,FALSE),(VLOOKUP($S2759,References!$B$3:$C$7,2,FALSE))),"")</f>
        <v/>
      </c>
      <c r="W2759" s="74" t="str">
        <f>IFERROR(VLOOKUP($O2759,'Customer List'!$A$1:$J$488,10,FALSE),"")</f>
        <v/>
      </c>
    </row>
    <row r="2760" spans="18:23">
      <c r="R2760" s="127">
        <f t="shared" si="161"/>
        <v>0</v>
      </c>
      <c r="T2760" s="128">
        <f t="shared" si="160"/>
        <v>0</v>
      </c>
      <c r="U2760" s="129" t="str">
        <f>IFERROR(IF(#REF!="S",VLOOKUP('Raw Data'!A2760,References!#REF!,2,FALSE),(VLOOKUP($S2760,References!$B$3:$C$7,2,FALSE))),"")</f>
        <v/>
      </c>
      <c r="W2760" s="74" t="str">
        <f>IFERROR(VLOOKUP($O2760,'Customer List'!$A$1:$J$488,10,FALSE),"")</f>
        <v/>
      </c>
    </row>
    <row r="2761" spans="18:23">
      <c r="R2761" s="127">
        <f t="shared" si="161"/>
        <v>0</v>
      </c>
      <c r="T2761" s="128">
        <f t="shared" si="160"/>
        <v>0</v>
      </c>
      <c r="U2761" s="129" t="str">
        <f>IFERROR(IF(#REF!="S",VLOOKUP('Raw Data'!A2761,References!#REF!,2,FALSE),(VLOOKUP($S2761,References!$B$3:$C$7,2,FALSE))),"")</f>
        <v/>
      </c>
      <c r="W2761" s="74" t="str">
        <f>IFERROR(VLOOKUP($O2761,'Customer List'!$A$1:$J$488,10,FALSE),"")</f>
        <v/>
      </c>
    </row>
    <row r="2762" spans="18:23">
      <c r="R2762" s="127">
        <f t="shared" si="161"/>
        <v>0</v>
      </c>
      <c r="T2762" s="128">
        <f t="shared" ref="T2762:T2825" si="162">IF(S2762="50 - Cleaning Fee",1,HOUR($R2762)+MINUTE(R2762)/60)</f>
        <v>0</v>
      </c>
      <c r="U2762" s="129" t="str">
        <f>IFERROR(IF(#REF!="S",VLOOKUP('Raw Data'!A2762,References!#REF!,2,FALSE),(VLOOKUP($S2762,References!$B$3:$C$7,2,FALSE))),"")</f>
        <v/>
      </c>
      <c r="W2762" s="74" t="str">
        <f>IFERROR(VLOOKUP($O2762,'Customer List'!$A$1:$J$488,10,FALSE),"")</f>
        <v/>
      </c>
    </row>
    <row r="2763" spans="18:23">
      <c r="R2763" s="127">
        <f t="shared" si="161"/>
        <v>0</v>
      </c>
      <c r="T2763" s="128">
        <f t="shared" si="162"/>
        <v>0</v>
      </c>
      <c r="U2763" s="129" t="str">
        <f>IFERROR(IF(#REF!="S",VLOOKUP('Raw Data'!A2763,References!#REF!,2,FALSE),(VLOOKUP($S2763,References!$B$3:$C$7,2,FALSE))),"")</f>
        <v/>
      </c>
      <c r="W2763" s="74" t="str">
        <f>IFERROR(VLOOKUP($O2763,'Customer List'!$A$1:$J$488,10,FALSE),"")</f>
        <v/>
      </c>
    </row>
    <row r="2764" spans="18:23">
      <c r="R2764" s="127">
        <f t="shared" si="161"/>
        <v>0</v>
      </c>
      <c r="T2764" s="128">
        <f t="shared" si="162"/>
        <v>0</v>
      </c>
      <c r="U2764" s="129" t="str">
        <f>IFERROR(IF(#REF!="S",VLOOKUP('Raw Data'!A2764,References!#REF!,2,FALSE),(VLOOKUP($S2764,References!$B$3:$C$7,2,FALSE))),"")</f>
        <v/>
      </c>
      <c r="W2764" s="74" t="str">
        <f>IFERROR(VLOOKUP($O2764,'Customer List'!$A$1:$J$488,10,FALSE),"")</f>
        <v/>
      </c>
    </row>
    <row r="2765" spans="18:23">
      <c r="R2765" s="127">
        <f t="shared" si="161"/>
        <v>0</v>
      </c>
      <c r="T2765" s="128">
        <f t="shared" si="162"/>
        <v>0</v>
      </c>
      <c r="U2765" s="129" t="str">
        <f>IFERROR(IF(#REF!="S",VLOOKUP('Raw Data'!A2765,References!#REF!,2,FALSE),(VLOOKUP($S2765,References!$B$3:$C$7,2,FALSE))),"")</f>
        <v/>
      </c>
      <c r="W2765" s="74" t="str">
        <f>IFERROR(VLOOKUP($O2765,'Customer List'!$A$1:$J$488,10,FALSE),"")</f>
        <v/>
      </c>
    </row>
    <row r="2766" spans="18:23">
      <c r="R2766" s="127">
        <f t="shared" si="161"/>
        <v>0</v>
      </c>
      <c r="T2766" s="128">
        <f t="shared" si="162"/>
        <v>0</v>
      </c>
      <c r="U2766" s="129" t="str">
        <f>IFERROR(IF(#REF!="S",VLOOKUP('Raw Data'!A2766,References!#REF!,2,FALSE),(VLOOKUP($S2766,References!$B$3:$C$7,2,FALSE))),"")</f>
        <v/>
      </c>
      <c r="W2766" s="74" t="str">
        <f>IFERROR(VLOOKUP($O2766,'Customer List'!$A$1:$J$488,10,FALSE),"")</f>
        <v/>
      </c>
    </row>
    <row r="2767" spans="18:23">
      <c r="R2767" s="127">
        <f t="shared" si="161"/>
        <v>0</v>
      </c>
      <c r="T2767" s="128">
        <f t="shared" si="162"/>
        <v>0</v>
      </c>
      <c r="U2767" s="129" t="str">
        <f>IFERROR(IF(#REF!="S",VLOOKUP('Raw Data'!A2767,References!#REF!,2,FALSE),(VLOOKUP($S2767,References!$B$3:$C$7,2,FALSE))),"")</f>
        <v/>
      </c>
      <c r="W2767" s="74" t="str">
        <f>IFERROR(VLOOKUP($O2767,'Customer List'!$A$1:$J$488,10,FALSE),"")</f>
        <v/>
      </c>
    </row>
    <row r="2768" spans="18:23">
      <c r="R2768" s="127">
        <f t="shared" si="161"/>
        <v>0</v>
      </c>
      <c r="T2768" s="128">
        <f t="shared" si="162"/>
        <v>0</v>
      </c>
      <c r="U2768" s="129" t="str">
        <f>IFERROR(IF(#REF!="S",VLOOKUP('Raw Data'!A2768,References!#REF!,2,FALSE),(VLOOKUP($S2768,References!$B$3:$C$7,2,FALSE))),"")</f>
        <v/>
      </c>
      <c r="W2768" s="74" t="str">
        <f>IFERROR(VLOOKUP($O2768,'Customer List'!$A$1:$J$488,10,FALSE),"")</f>
        <v/>
      </c>
    </row>
    <row r="2769" spans="18:23">
      <c r="R2769" s="127">
        <f t="shared" si="161"/>
        <v>0</v>
      </c>
      <c r="T2769" s="128">
        <f t="shared" si="162"/>
        <v>0</v>
      </c>
      <c r="U2769" s="129" t="str">
        <f>IFERROR(IF(#REF!="S",VLOOKUP('Raw Data'!A2769,References!#REF!,2,FALSE),(VLOOKUP($S2769,References!$B$3:$C$7,2,FALSE))),"")</f>
        <v/>
      </c>
      <c r="W2769" s="74" t="str">
        <f>IFERROR(VLOOKUP($O2769,'Customer List'!$A$1:$J$488,10,FALSE),"")</f>
        <v/>
      </c>
    </row>
    <row r="2770" spans="18:23">
      <c r="R2770" s="127">
        <f t="shared" si="161"/>
        <v>0</v>
      </c>
      <c r="T2770" s="128">
        <f t="shared" si="162"/>
        <v>0</v>
      </c>
      <c r="U2770" s="129" t="str">
        <f>IFERROR(IF(#REF!="S",VLOOKUP('Raw Data'!A2770,References!#REF!,2,FALSE),(VLOOKUP($S2770,References!$B$3:$C$7,2,FALSE))),"")</f>
        <v/>
      </c>
      <c r="W2770" s="74" t="str">
        <f>IFERROR(VLOOKUP($O2770,'Customer List'!$A$1:$J$488,10,FALSE),"")</f>
        <v/>
      </c>
    </row>
    <row r="2771" spans="18:23">
      <c r="R2771" s="127">
        <f t="shared" si="161"/>
        <v>0</v>
      </c>
      <c r="T2771" s="128">
        <f t="shared" si="162"/>
        <v>0</v>
      </c>
      <c r="U2771" s="129" t="str">
        <f>IFERROR(IF(#REF!="S",VLOOKUP('Raw Data'!A2771,References!#REF!,2,FALSE),(VLOOKUP($S2771,References!$B$3:$C$7,2,FALSE))),"")</f>
        <v/>
      </c>
      <c r="W2771" s="74" t="str">
        <f>IFERROR(VLOOKUP($O2771,'Customer List'!$A$1:$J$488,10,FALSE),"")</f>
        <v/>
      </c>
    </row>
    <row r="2772" spans="18:23">
      <c r="R2772" s="127">
        <f t="shared" si="161"/>
        <v>0</v>
      </c>
      <c r="T2772" s="128">
        <f t="shared" si="162"/>
        <v>0</v>
      </c>
      <c r="U2772" s="129" t="str">
        <f>IFERROR(IF(#REF!="S",VLOOKUP('Raw Data'!A2772,References!#REF!,2,FALSE),(VLOOKUP($S2772,References!$B$3:$C$7,2,FALSE))),"")</f>
        <v/>
      </c>
      <c r="W2772" s="74" t="str">
        <f>IFERROR(VLOOKUP($O2772,'Customer List'!$A$1:$J$488,10,FALSE),"")</f>
        <v/>
      </c>
    </row>
    <row r="2773" spans="18:23">
      <c r="R2773" s="127">
        <f t="shared" si="161"/>
        <v>0</v>
      </c>
      <c r="T2773" s="128">
        <f t="shared" si="162"/>
        <v>0</v>
      </c>
      <c r="U2773" s="129" t="str">
        <f>IFERROR(IF(#REF!="S",VLOOKUP('Raw Data'!A2773,References!#REF!,2,FALSE),(VLOOKUP($S2773,References!$B$3:$C$7,2,FALSE))),"")</f>
        <v/>
      </c>
      <c r="W2773" s="74" t="str">
        <f>IFERROR(VLOOKUP($O2773,'Customer List'!$A$1:$J$488,10,FALSE),"")</f>
        <v/>
      </c>
    </row>
    <row r="2774" spans="18:23">
      <c r="R2774" s="127">
        <f t="shared" si="161"/>
        <v>0</v>
      </c>
      <c r="T2774" s="128">
        <f t="shared" si="162"/>
        <v>0</v>
      </c>
      <c r="U2774" s="129" t="str">
        <f>IFERROR(IF(#REF!="S",VLOOKUP('Raw Data'!A2774,References!#REF!,2,FALSE),(VLOOKUP($S2774,References!$B$3:$C$7,2,FALSE))),"")</f>
        <v/>
      </c>
      <c r="W2774" s="74" t="str">
        <f>IFERROR(VLOOKUP($O2774,'Customer List'!$A$1:$J$488,10,FALSE),"")</f>
        <v/>
      </c>
    </row>
    <row r="2775" spans="18:23">
      <c r="R2775" s="127">
        <f t="shared" si="161"/>
        <v>0</v>
      </c>
      <c r="T2775" s="128">
        <f t="shared" si="162"/>
        <v>0</v>
      </c>
      <c r="U2775" s="129" t="str">
        <f>IFERROR(IF(#REF!="S",VLOOKUP('Raw Data'!A2775,References!#REF!,2,FALSE),(VLOOKUP($S2775,References!$B$3:$C$7,2,FALSE))),"")</f>
        <v/>
      </c>
      <c r="W2775" s="74" t="str">
        <f>IFERROR(VLOOKUP($O2775,'Customer List'!$A$1:$J$488,10,FALSE),"")</f>
        <v/>
      </c>
    </row>
    <row r="2776" spans="18:23">
      <c r="R2776" s="127">
        <f t="shared" si="161"/>
        <v>0</v>
      </c>
      <c r="T2776" s="128">
        <f t="shared" si="162"/>
        <v>0</v>
      </c>
      <c r="U2776" s="129" t="str">
        <f>IFERROR(IF(#REF!="S",VLOOKUP('Raw Data'!A2776,References!#REF!,2,FALSE),(VLOOKUP($S2776,References!$B$3:$C$7,2,FALSE))),"")</f>
        <v/>
      </c>
      <c r="W2776" s="74" t="str">
        <f>IFERROR(VLOOKUP($O2776,'Customer List'!$A$1:$J$488,10,FALSE),"")</f>
        <v/>
      </c>
    </row>
    <row r="2777" spans="18:23">
      <c r="R2777" s="127">
        <f t="shared" si="161"/>
        <v>0</v>
      </c>
      <c r="T2777" s="128">
        <f t="shared" si="162"/>
        <v>0</v>
      </c>
      <c r="U2777" s="129" t="str">
        <f>IFERROR(IF(#REF!="S",VLOOKUP('Raw Data'!A2777,References!#REF!,2,FALSE),(VLOOKUP($S2777,References!$B$3:$C$7,2,FALSE))),"")</f>
        <v/>
      </c>
      <c r="W2777" s="74" t="str">
        <f>IFERROR(VLOOKUP($O2777,'Customer List'!$A$1:$J$488,10,FALSE),"")</f>
        <v/>
      </c>
    </row>
    <row r="2778" spans="18:23">
      <c r="R2778" s="127">
        <f t="shared" si="161"/>
        <v>0</v>
      </c>
      <c r="T2778" s="128">
        <f t="shared" si="162"/>
        <v>0</v>
      </c>
      <c r="U2778" s="129" t="str">
        <f>IFERROR(IF(#REF!="S",VLOOKUP('Raw Data'!A2778,References!#REF!,2,FALSE),(VLOOKUP($S2778,References!$B$3:$C$7,2,FALSE))),"")</f>
        <v/>
      </c>
      <c r="W2778" s="74" t="str">
        <f>IFERROR(VLOOKUP($O2778,'Customer List'!$A$1:$J$488,10,FALSE),"")</f>
        <v/>
      </c>
    </row>
    <row r="2779" spans="18:23">
      <c r="R2779" s="127">
        <f t="shared" si="161"/>
        <v>0</v>
      </c>
      <c r="T2779" s="128">
        <f t="shared" si="162"/>
        <v>0</v>
      </c>
      <c r="U2779" s="129" t="str">
        <f>IFERROR(IF(#REF!="S",VLOOKUP('Raw Data'!A2779,References!#REF!,2,FALSE),(VLOOKUP($S2779,References!$B$3:$C$7,2,FALSE))),"")</f>
        <v/>
      </c>
      <c r="W2779" s="74" t="str">
        <f>IFERROR(VLOOKUP($O2779,'Customer List'!$A$1:$J$488,10,FALSE),"")</f>
        <v/>
      </c>
    </row>
    <row r="2780" spans="18:23">
      <c r="R2780" s="127">
        <f t="shared" si="161"/>
        <v>0</v>
      </c>
      <c r="T2780" s="128">
        <f t="shared" si="162"/>
        <v>0</v>
      </c>
      <c r="U2780" s="129" t="str">
        <f>IFERROR(IF(#REF!="S",VLOOKUP('Raw Data'!A2780,References!#REF!,2,FALSE),(VLOOKUP($S2780,References!$B$3:$C$7,2,FALSE))),"")</f>
        <v/>
      </c>
      <c r="W2780" s="74" t="str">
        <f>IFERROR(VLOOKUP($O2780,'Customer List'!$A$1:$J$488,10,FALSE),"")</f>
        <v/>
      </c>
    </row>
    <row r="2781" spans="18:23">
      <c r="R2781" s="127">
        <f t="shared" si="161"/>
        <v>0</v>
      </c>
      <c r="T2781" s="128">
        <f t="shared" si="162"/>
        <v>0</v>
      </c>
      <c r="U2781" s="129" t="str">
        <f>IFERROR(IF(#REF!="S",VLOOKUP('Raw Data'!A2781,References!#REF!,2,FALSE),(VLOOKUP($S2781,References!$B$3:$C$7,2,FALSE))),"")</f>
        <v/>
      </c>
      <c r="W2781" s="74" t="str">
        <f>IFERROR(VLOOKUP($O2781,'Customer List'!$A$1:$J$488,10,FALSE),"")</f>
        <v/>
      </c>
    </row>
    <row r="2782" spans="18:23">
      <c r="R2782" s="127">
        <f t="shared" si="161"/>
        <v>0</v>
      </c>
      <c r="T2782" s="128">
        <f t="shared" si="162"/>
        <v>0</v>
      </c>
      <c r="U2782" s="129" t="str">
        <f>IFERROR(IF(#REF!="S",VLOOKUP('Raw Data'!A2782,References!#REF!,2,FALSE),(VLOOKUP($S2782,References!$B$3:$C$7,2,FALSE))),"")</f>
        <v/>
      </c>
      <c r="W2782" s="74" t="str">
        <f>IFERROR(VLOOKUP($O2782,'Customer List'!$A$1:$J$488,10,FALSE),"")</f>
        <v/>
      </c>
    </row>
    <row r="2783" spans="18:23">
      <c r="R2783" s="127">
        <f t="shared" si="161"/>
        <v>0</v>
      </c>
      <c r="T2783" s="128">
        <f t="shared" si="162"/>
        <v>0</v>
      </c>
      <c r="U2783" s="129" t="str">
        <f>IFERROR(IF(#REF!="S",VLOOKUP('Raw Data'!A2783,References!#REF!,2,FALSE),(VLOOKUP($S2783,References!$B$3:$C$7,2,FALSE))),"")</f>
        <v/>
      </c>
      <c r="W2783" s="74" t="str">
        <f>IFERROR(VLOOKUP($O2783,'Customer List'!$A$1:$J$488,10,FALSE),"")</f>
        <v/>
      </c>
    </row>
    <row r="2784" spans="18:23">
      <c r="R2784" s="127">
        <f t="shared" si="161"/>
        <v>0</v>
      </c>
      <c r="T2784" s="128">
        <f t="shared" si="162"/>
        <v>0</v>
      </c>
      <c r="U2784" s="129" t="str">
        <f>IFERROR(IF(#REF!="S",VLOOKUP('Raw Data'!A2784,References!#REF!,2,FALSE),(VLOOKUP($S2784,References!$B$3:$C$7,2,FALSE))),"")</f>
        <v/>
      </c>
      <c r="W2784" s="74" t="str">
        <f>IFERROR(VLOOKUP($O2784,'Customer List'!$A$1:$J$488,10,FALSE),"")</f>
        <v/>
      </c>
    </row>
    <row r="2785" spans="18:23">
      <c r="R2785" s="127">
        <f t="shared" si="161"/>
        <v>0</v>
      </c>
      <c r="T2785" s="128">
        <f t="shared" si="162"/>
        <v>0</v>
      </c>
      <c r="U2785" s="129" t="str">
        <f>IFERROR(IF(#REF!="S",VLOOKUP('Raw Data'!A2785,References!#REF!,2,FALSE),(VLOOKUP($S2785,References!$B$3:$C$7,2,FALSE))),"")</f>
        <v/>
      </c>
      <c r="W2785" s="74" t="str">
        <f>IFERROR(VLOOKUP($O2785,'Customer List'!$A$1:$J$488,10,FALSE),"")</f>
        <v/>
      </c>
    </row>
    <row r="2786" spans="18:23">
      <c r="R2786" s="127">
        <f t="shared" ref="R2786:R2849" si="163">L2786-K2786</f>
        <v>0</v>
      </c>
      <c r="T2786" s="128">
        <f t="shared" si="162"/>
        <v>0</v>
      </c>
      <c r="U2786" s="129" t="str">
        <f>IFERROR(IF(#REF!="S",VLOOKUP('Raw Data'!A2786,References!#REF!,2,FALSE),(VLOOKUP($S2786,References!$B$3:$C$7,2,FALSE))),"")</f>
        <v/>
      </c>
      <c r="W2786" s="74" t="str">
        <f>IFERROR(VLOOKUP($O2786,'Customer List'!$A$1:$J$488,10,FALSE),"")</f>
        <v/>
      </c>
    </row>
    <row r="2787" spans="18:23">
      <c r="R2787" s="127">
        <f t="shared" si="163"/>
        <v>0</v>
      </c>
      <c r="T2787" s="128">
        <f t="shared" si="162"/>
        <v>0</v>
      </c>
      <c r="U2787" s="129" t="str">
        <f>IFERROR(IF(#REF!="S",VLOOKUP('Raw Data'!A2787,References!#REF!,2,FALSE),(VLOOKUP($S2787,References!$B$3:$C$7,2,FALSE))),"")</f>
        <v/>
      </c>
      <c r="W2787" s="74" t="str">
        <f>IFERROR(VLOOKUP($O2787,'Customer List'!$A$1:$J$488,10,FALSE),"")</f>
        <v/>
      </c>
    </row>
    <row r="2788" spans="18:23">
      <c r="R2788" s="127">
        <f t="shared" si="163"/>
        <v>0</v>
      </c>
      <c r="T2788" s="128">
        <f t="shared" si="162"/>
        <v>0</v>
      </c>
      <c r="U2788" s="129" t="str">
        <f>IFERROR(IF(#REF!="S",VLOOKUP('Raw Data'!A2788,References!#REF!,2,FALSE),(VLOOKUP($S2788,References!$B$3:$C$7,2,FALSE))),"")</f>
        <v/>
      </c>
      <c r="W2788" s="74" t="str">
        <f>IFERROR(VLOOKUP($O2788,'Customer List'!$A$1:$J$488,10,FALSE),"")</f>
        <v/>
      </c>
    </row>
    <row r="2789" spans="18:23">
      <c r="R2789" s="127">
        <f t="shared" si="163"/>
        <v>0</v>
      </c>
      <c r="T2789" s="128">
        <f t="shared" si="162"/>
        <v>0</v>
      </c>
      <c r="U2789" s="129" t="str">
        <f>IFERROR(IF(#REF!="S",VLOOKUP('Raw Data'!A2789,References!#REF!,2,FALSE),(VLOOKUP($S2789,References!$B$3:$C$7,2,FALSE))),"")</f>
        <v/>
      </c>
      <c r="W2789" s="74" t="str">
        <f>IFERROR(VLOOKUP($O2789,'Customer List'!$A$1:$J$488,10,FALSE),"")</f>
        <v/>
      </c>
    </row>
    <row r="2790" spans="18:23">
      <c r="R2790" s="127">
        <f t="shared" si="163"/>
        <v>0</v>
      </c>
      <c r="T2790" s="128">
        <f t="shared" si="162"/>
        <v>0</v>
      </c>
      <c r="U2790" s="129" t="str">
        <f>IFERROR(IF(#REF!="S",VLOOKUP('Raw Data'!A2790,References!#REF!,2,FALSE),(VLOOKUP($S2790,References!$B$3:$C$7,2,FALSE))),"")</f>
        <v/>
      </c>
      <c r="W2790" s="74" t="str">
        <f>IFERROR(VLOOKUP($O2790,'Customer List'!$A$1:$J$488,10,FALSE),"")</f>
        <v/>
      </c>
    </row>
    <row r="2791" spans="18:23">
      <c r="R2791" s="127">
        <f t="shared" si="163"/>
        <v>0</v>
      </c>
      <c r="T2791" s="128">
        <f t="shared" si="162"/>
        <v>0</v>
      </c>
      <c r="U2791" s="129" t="str">
        <f>IFERROR(IF(#REF!="S",VLOOKUP('Raw Data'!A2791,References!#REF!,2,FALSE),(VLOOKUP($S2791,References!$B$3:$C$7,2,FALSE))),"")</f>
        <v/>
      </c>
      <c r="W2791" s="74" t="str">
        <f>IFERROR(VLOOKUP($O2791,'Customer List'!$A$1:$J$488,10,FALSE),"")</f>
        <v/>
      </c>
    </row>
    <row r="2792" spans="18:23">
      <c r="R2792" s="127">
        <f t="shared" si="163"/>
        <v>0</v>
      </c>
      <c r="T2792" s="128">
        <f t="shared" si="162"/>
        <v>0</v>
      </c>
      <c r="U2792" s="129" t="str">
        <f>IFERROR(IF(#REF!="S",VLOOKUP('Raw Data'!A2792,References!#REF!,2,FALSE),(VLOOKUP($S2792,References!$B$3:$C$7,2,FALSE))),"")</f>
        <v/>
      </c>
      <c r="W2792" s="74" t="str">
        <f>IFERROR(VLOOKUP($O2792,'Customer List'!$A$1:$J$488,10,FALSE),"")</f>
        <v/>
      </c>
    </row>
    <row r="2793" spans="18:23">
      <c r="R2793" s="127">
        <f t="shared" si="163"/>
        <v>0</v>
      </c>
      <c r="T2793" s="128">
        <f t="shared" si="162"/>
        <v>0</v>
      </c>
      <c r="U2793" s="129" t="str">
        <f>IFERROR(IF(#REF!="S",VLOOKUP('Raw Data'!A2793,References!#REF!,2,FALSE),(VLOOKUP($S2793,References!$B$3:$C$7,2,FALSE))),"")</f>
        <v/>
      </c>
      <c r="W2793" s="74" t="str">
        <f>IFERROR(VLOOKUP($O2793,'Customer List'!$A$1:$J$488,10,FALSE),"")</f>
        <v/>
      </c>
    </row>
    <row r="2794" spans="18:23">
      <c r="R2794" s="127">
        <f t="shared" si="163"/>
        <v>0</v>
      </c>
      <c r="T2794" s="128">
        <f t="shared" si="162"/>
        <v>0</v>
      </c>
      <c r="U2794" s="129" t="str">
        <f>IFERROR(IF(#REF!="S",VLOOKUP('Raw Data'!A2794,References!#REF!,2,FALSE),(VLOOKUP($S2794,References!$B$3:$C$7,2,FALSE))),"")</f>
        <v/>
      </c>
      <c r="W2794" s="74" t="str">
        <f>IFERROR(VLOOKUP($O2794,'Customer List'!$A$1:$J$488,10,FALSE),"")</f>
        <v/>
      </c>
    </row>
    <row r="2795" spans="18:23">
      <c r="R2795" s="127">
        <f t="shared" si="163"/>
        <v>0</v>
      </c>
      <c r="T2795" s="128">
        <f t="shared" si="162"/>
        <v>0</v>
      </c>
      <c r="U2795" s="129" t="str">
        <f>IFERROR(IF(#REF!="S",VLOOKUP('Raw Data'!A2795,References!#REF!,2,FALSE),(VLOOKUP($S2795,References!$B$3:$C$7,2,FALSE))),"")</f>
        <v/>
      </c>
      <c r="W2795" s="74" t="str">
        <f>IFERROR(VLOOKUP($O2795,'Customer List'!$A$1:$J$488,10,FALSE),"")</f>
        <v/>
      </c>
    </row>
    <row r="2796" spans="18:23">
      <c r="R2796" s="127">
        <f t="shared" si="163"/>
        <v>0</v>
      </c>
      <c r="T2796" s="128">
        <f t="shared" si="162"/>
        <v>0</v>
      </c>
      <c r="U2796" s="129" t="str">
        <f>IFERROR(IF(#REF!="S",VLOOKUP('Raw Data'!A2796,References!#REF!,2,FALSE),(VLOOKUP($S2796,References!$B$3:$C$7,2,FALSE))),"")</f>
        <v/>
      </c>
      <c r="W2796" s="74" t="str">
        <f>IFERROR(VLOOKUP($O2796,'Customer List'!$A$1:$J$488,10,FALSE),"")</f>
        <v/>
      </c>
    </row>
    <row r="2797" spans="18:23">
      <c r="R2797" s="127">
        <f t="shared" si="163"/>
        <v>0</v>
      </c>
      <c r="T2797" s="128">
        <f t="shared" si="162"/>
        <v>0</v>
      </c>
      <c r="U2797" s="129" t="str">
        <f>IFERROR(IF(#REF!="S",VLOOKUP('Raw Data'!A2797,References!#REF!,2,FALSE),(VLOOKUP($S2797,References!$B$3:$C$7,2,FALSE))),"")</f>
        <v/>
      </c>
      <c r="W2797" s="74" t="str">
        <f>IFERROR(VLOOKUP($O2797,'Customer List'!$A$1:$J$488,10,FALSE),"")</f>
        <v/>
      </c>
    </row>
    <row r="2798" spans="18:23">
      <c r="R2798" s="127">
        <f t="shared" si="163"/>
        <v>0</v>
      </c>
      <c r="T2798" s="128">
        <f t="shared" si="162"/>
        <v>0</v>
      </c>
      <c r="U2798" s="129" t="str">
        <f>IFERROR(IF(#REF!="S",VLOOKUP('Raw Data'!A2798,References!#REF!,2,FALSE),(VLOOKUP($S2798,References!$B$3:$C$7,2,FALSE))),"")</f>
        <v/>
      </c>
      <c r="W2798" s="74" t="str">
        <f>IFERROR(VLOOKUP($O2798,'Customer List'!$A$1:$J$488,10,FALSE),"")</f>
        <v/>
      </c>
    </row>
    <row r="2799" spans="18:23">
      <c r="R2799" s="127">
        <f t="shared" si="163"/>
        <v>0</v>
      </c>
      <c r="T2799" s="128">
        <f t="shared" si="162"/>
        <v>0</v>
      </c>
      <c r="U2799" s="129" t="str">
        <f>IFERROR(IF(#REF!="S",VLOOKUP('Raw Data'!A2799,References!#REF!,2,FALSE),(VLOOKUP($S2799,References!$B$3:$C$7,2,FALSE))),"")</f>
        <v/>
      </c>
      <c r="W2799" s="74" t="str">
        <f>IFERROR(VLOOKUP($O2799,'Customer List'!$A$1:$J$488,10,FALSE),"")</f>
        <v/>
      </c>
    </row>
    <row r="2800" spans="18:23">
      <c r="R2800" s="127">
        <f t="shared" si="163"/>
        <v>0</v>
      </c>
      <c r="T2800" s="128">
        <f t="shared" si="162"/>
        <v>0</v>
      </c>
      <c r="U2800" s="129" t="str">
        <f>IFERROR(IF(#REF!="S",VLOOKUP('Raw Data'!A2800,References!#REF!,2,FALSE),(VLOOKUP($S2800,References!$B$3:$C$7,2,FALSE))),"")</f>
        <v/>
      </c>
      <c r="W2800" s="74" t="str">
        <f>IFERROR(VLOOKUP($O2800,'Customer List'!$A$1:$J$488,10,FALSE),"")</f>
        <v/>
      </c>
    </row>
    <row r="2801" spans="18:23">
      <c r="R2801" s="127">
        <f t="shared" si="163"/>
        <v>0</v>
      </c>
      <c r="T2801" s="128">
        <f t="shared" si="162"/>
        <v>0</v>
      </c>
      <c r="U2801" s="129" t="str">
        <f>IFERROR(IF(#REF!="S",VLOOKUP('Raw Data'!A2801,References!#REF!,2,FALSE),(VLOOKUP($S2801,References!$B$3:$C$7,2,FALSE))),"")</f>
        <v/>
      </c>
      <c r="W2801" s="74" t="str">
        <f>IFERROR(VLOOKUP($O2801,'Customer List'!$A$1:$J$488,10,FALSE),"")</f>
        <v/>
      </c>
    </row>
    <row r="2802" spans="18:23">
      <c r="R2802" s="127">
        <f t="shared" si="163"/>
        <v>0</v>
      </c>
      <c r="T2802" s="128">
        <f t="shared" si="162"/>
        <v>0</v>
      </c>
      <c r="U2802" s="129" t="str">
        <f>IFERROR(IF(#REF!="S",VLOOKUP('Raw Data'!A2802,References!#REF!,2,FALSE),(VLOOKUP($S2802,References!$B$3:$C$7,2,FALSE))),"")</f>
        <v/>
      </c>
      <c r="W2802" s="74" t="str">
        <f>IFERROR(VLOOKUP($O2802,'Customer List'!$A$1:$J$488,10,FALSE),"")</f>
        <v/>
      </c>
    </row>
    <row r="2803" spans="18:23">
      <c r="R2803" s="127">
        <f t="shared" si="163"/>
        <v>0</v>
      </c>
      <c r="T2803" s="128">
        <f t="shared" si="162"/>
        <v>0</v>
      </c>
      <c r="U2803" s="129" t="str">
        <f>IFERROR(IF(#REF!="S",VLOOKUP('Raw Data'!A2803,References!#REF!,2,FALSE),(VLOOKUP($S2803,References!$B$3:$C$7,2,FALSE))),"")</f>
        <v/>
      </c>
      <c r="W2803" s="74" t="str">
        <f>IFERROR(VLOOKUP($O2803,'Customer List'!$A$1:$J$488,10,FALSE),"")</f>
        <v/>
      </c>
    </row>
    <row r="2804" spans="18:23">
      <c r="R2804" s="127">
        <f t="shared" si="163"/>
        <v>0</v>
      </c>
      <c r="T2804" s="128">
        <f t="shared" si="162"/>
        <v>0</v>
      </c>
      <c r="U2804" s="129" t="str">
        <f>IFERROR(IF(#REF!="S",VLOOKUP('Raw Data'!A2804,References!#REF!,2,FALSE),(VLOOKUP($S2804,References!$B$3:$C$7,2,FALSE))),"")</f>
        <v/>
      </c>
      <c r="W2804" s="74" t="str">
        <f>IFERROR(VLOOKUP($O2804,'Customer List'!$A$1:$J$488,10,FALSE),"")</f>
        <v/>
      </c>
    </row>
    <row r="2805" spans="18:23">
      <c r="R2805" s="127">
        <f t="shared" si="163"/>
        <v>0</v>
      </c>
      <c r="T2805" s="128">
        <f t="shared" si="162"/>
        <v>0</v>
      </c>
      <c r="U2805" s="129" t="str">
        <f>IFERROR(IF(#REF!="S",VLOOKUP('Raw Data'!A2805,References!#REF!,2,FALSE),(VLOOKUP($S2805,References!$B$3:$C$7,2,FALSE))),"")</f>
        <v/>
      </c>
      <c r="W2805" s="74" t="str">
        <f>IFERROR(VLOOKUP($O2805,'Customer List'!$A$1:$J$488,10,FALSE),"")</f>
        <v/>
      </c>
    </row>
    <row r="2806" spans="18:23">
      <c r="R2806" s="127">
        <f t="shared" si="163"/>
        <v>0</v>
      </c>
      <c r="T2806" s="128">
        <f t="shared" si="162"/>
        <v>0</v>
      </c>
      <c r="U2806" s="129" t="str">
        <f>IFERROR(IF(#REF!="S",VLOOKUP('Raw Data'!A2806,References!#REF!,2,FALSE),(VLOOKUP($S2806,References!$B$3:$C$7,2,FALSE))),"")</f>
        <v/>
      </c>
      <c r="W2806" s="74" t="str">
        <f>IFERROR(VLOOKUP($O2806,'Customer List'!$A$1:$J$488,10,FALSE),"")</f>
        <v/>
      </c>
    </row>
    <row r="2807" spans="18:23">
      <c r="R2807" s="127">
        <f t="shared" si="163"/>
        <v>0</v>
      </c>
      <c r="T2807" s="128">
        <f t="shared" si="162"/>
        <v>0</v>
      </c>
      <c r="U2807" s="129" t="str">
        <f>IFERROR(IF(#REF!="S",VLOOKUP('Raw Data'!A2807,References!#REF!,2,FALSE),(VLOOKUP($S2807,References!$B$3:$C$7,2,FALSE))),"")</f>
        <v/>
      </c>
      <c r="W2807" s="74" t="str">
        <f>IFERROR(VLOOKUP($O2807,'Customer List'!$A$1:$J$488,10,FALSE),"")</f>
        <v/>
      </c>
    </row>
    <row r="2808" spans="18:23">
      <c r="R2808" s="127">
        <f t="shared" si="163"/>
        <v>0</v>
      </c>
      <c r="T2808" s="128">
        <f t="shared" si="162"/>
        <v>0</v>
      </c>
      <c r="U2808" s="129" t="str">
        <f>IFERROR(IF(#REF!="S",VLOOKUP('Raw Data'!A2808,References!#REF!,2,FALSE),(VLOOKUP($S2808,References!$B$3:$C$7,2,FALSE))),"")</f>
        <v/>
      </c>
      <c r="W2808" s="74" t="str">
        <f>IFERROR(VLOOKUP($O2808,'Customer List'!$A$1:$J$488,10,FALSE),"")</f>
        <v/>
      </c>
    </row>
    <row r="2809" spans="18:23">
      <c r="R2809" s="127">
        <f t="shared" si="163"/>
        <v>0</v>
      </c>
      <c r="T2809" s="128">
        <f t="shared" si="162"/>
        <v>0</v>
      </c>
      <c r="U2809" s="129" t="str">
        <f>IFERROR(IF(#REF!="S",VLOOKUP('Raw Data'!A2809,References!#REF!,2,FALSE),(VLOOKUP($S2809,References!$B$3:$C$7,2,FALSE))),"")</f>
        <v/>
      </c>
      <c r="W2809" s="74" t="str">
        <f>IFERROR(VLOOKUP($O2809,'Customer List'!$A$1:$J$488,10,FALSE),"")</f>
        <v/>
      </c>
    </row>
    <row r="2810" spans="18:23">
      <c r="R2810" s="127">
        <f t="shared" si="163"/>
        <v>0</v>
      </c>
      <c r="T2810" s="128">
        <f t="shared" si="162"/>
        <v>0</v>
      </c>
      <c r="U2810" s="129" t="str">
        <f>IFERROR(IF(#REF!="S",VLOOKUP('Raw Data'!A2810,References!#REF!,2,FALSE),(VLOOKUP($S2810,References!$B$3:$C$7,2,FALSE))),"")</f>
        <v/>
      </c>
      <c r="W2810" s="74" t="str">
        <f>IFERROR(VLOOKUP($O2810,'Customer List'!$A$1:$J$488,10,FALSE),"")</f>
        <v/>
      </c>
    </row>
    <row r="2811" spans="18:23">
      <c r="R2811" s="127">
        <f t="shared" si="163"/>
        <v>0</v>
      </c>
      <c r="T2811" s="128">
        <f t="shared" si="162"/>
        <v>0</v>
      </c>
      <c r="U2811" s="129" t="str">
        <f>IFERROR(IF(#REF!="S",VLOOKUP('Raw Data'!A2811,References!#REF!,2,FALSE),(VLOOKUP($S2811,References!$B$3:$C$7,2,FALSE))),"")</f>
        <v/>
      </c>
      <c r="W2811" s="74" t="str">
        <f>IFERROR(VLOOKUP($O2811,'Customer List'!$A$1:$J$488,10,FALSE),"")</f>
        <v/>
      </c>
    </row>
    <row r="2812" spans="18:23">
      <c r="R2812" s="127">
        <f t="shared" si="163"/>
        <v>0</v>
      </c>
      <c r="T2812" s="128">
        <f t="shared" si="162"/>
        <v>0</v>
      </c>
      <c r="U2812" s="129" t="str">
        <f>IFERROR(IF(#REF!="S",VLOOKUP('Raw Data'!A2812,References!#REF!,2,FALSE),(VLOOKUP($S2812,References!$B$3:$C$7,2,FALSE))),"")</f>
        <v/>
      </c>
      <c r="W2812" s="74" t="str">
        <f>IFERROR(VLOOKUP($O2812,'Customer List'!$A$1:$J$488,10,FALSE),"")</f>
        <v/>
      </c>
    </row>
    <row r="2813" spans="18:23">
      <c r="R2813" s="127">
        <f t="shared" si="163"/>
        <v>0</v>
      </c>
      <c r="T2813" s="128">
        <f t="shared" si="162"/>
        <v>0</v>
      </c>
      <c r="U2813" s="129" t="str">
        <f>IFERROR(IF(#REF!="S",VLOOKUP('Raw Data'!A2813,References!#REF!,2,FALSE),(VLOOKUP($S2813,References!$B$3:$C$7,2,FALSE))),"")</f>
        <v/>
      </c>
      <c r="W2813" s="74" t="str">
        <f>IFERROR(VLOOKUP($O2813,'Customer List'!$A$1:$J$488,10,FALSE),"")</f>
        <v/>
      </c>
    </row>
    <row r="2814" spans="18:23">
      <c r="R2814" s="127">
        <f t="shared" si="163"/>
        <v>0</v>
      </c>
      <c r="T2814" s="128">
        <f t="shared" si="162"/>
        <v>0</v>
      </c>
      <c r="U2814" s="129" t="str">
        <f>IFERROR(IF(#REF!="S",VLOOKUP('Raw Data'!A2814,References!#REF!,2,FALSE),(VLOOKUP($S2814,References!$B$3:$C$7,2,FALSE))),"")</f>
        <v/>
      </c>
      <c r="W2814" s="74" t="str">
        <f>IFERROR(VLOOKUP($O2814,'Customer List'!$A$1:$J$488,10,FALSE),"")</f>
        <v/>
      </c>
    </row>
    <row r="2815" spans="18:23">
      <c r="R2815" s="127">
        <f t="shared" si="163"/>
        <v>0</v>
      </c>
      <c r="T2815" s="128">
        <f t="shared" si="162"/>
        <v>0</v>
      </c>
      <c r="U2815" s="129" t="str">
        <f>IFERROR(IF(#REF!="S",VLOOKUP('Raw Data'!A2815,References!#REF!,2,FALSE),(VLOOKUP($S2815,References!$B$3:$C$7,2,FALSE))),"")</f>
        <v/>
      </c>
      <c r="W2815" s="74" t="str">
        <f>IFERROR(VLOOKUP($O2815,'Customer List'!$A$1:$J$488,10,FALSE),"")</f>
        <v/>
      </c>
    </row>
    <row r="2816" spans="18:23">
      <c r="R2816" s="127">
        <f t="shared" si="163"/>
        <v>0</v>
      </c>
      <c r="T2816" s="128">
        <f t="shared" si="162"/>
        <v>0</v>
      </c>
      <c r="U2816" s="129" t="str">
        <f>IFERROR(IF(#REF!="S",VLOOKUP('Raw Data'!A2816,References!#REF!,2,FALSE),(VLOOKUP($S2816,References!$B$3:$C$7,2,FALSE))),"")</f>
        <v/>
      </c>
      <c r="W2816" s="74" t="str">
        <f>IFERROR(VLOOKUP($O2816,'Customer List'!$A$1:$J$488,10,FALSE),"")</f>
        <v/>
      </c>
    </row>
    <row r="2817" spans="18:23">
      <c r="R2817" s="127">
        <f t="shared" si="163"/>
        <v>0</v>
      </c>
      <c r="T2817" s="128">
        <f t="shared" si="162"/>
        <v>0</v>
      </c>
      <c r="U2817" s="129" t="str">
        <f>IFERROR(IF(#REF!="S",VLOOKUP('Raw Data'!A2817,References!#REF!,2,FALSE),(VLOOKUP($S2817,References!$B$3:$C$7,2,FALSE))),"")</f>
        <v/>
      </c>
      <c r="W2817" s="74" t="str">
        <f>IFERROR(VLOOKUP($O2817,'Customer List'!$A$1:$J$488,10,FALSE),"")</f>
        <v/>
      </c>
    </row>
    <row r="2818" spans="18:23">
      <c r="R2818" s="127">
        <f t="shared" si="163"/>
        <v>0</v>
      </c>
      <c r="T2818" s="128">
        <f t="shared" si="162"/>
        <v>0</v>
      </c>
      <c r="U2818" s="129" t="str">
        <f>IFERROR(IF(#REF!="S",VLOOKUP('Raw Data'!A2818,References!#REF!,2,FALSE),(VLOOKUP($S2818,References!$B$3:$C$7,2,FALSE))),"")</f>
        <v/>
      </c>
      <c r="W2818" s="74" t="str">
        <f>IFERROR(VLOOKUP($O2818,'Customer List'!$A$1:$J$488,10,FALSE),"")</f>
        <v/>
      </c>
    </row>
    <row r="2819" spans="18:23">
      <c r="R2819" s="127">
        <f t="shared" si="163"/>
        <v>0</v>
      </c>
      <c r="T2819" s="128">
        <f t="shared" si="162"/>
        <v>0</v>
      </c>
      <c r="U2819" s="129" t="str">
        <f>IFERROR(IF(#REF!="S",VLOOKUP('Raw Data'!A2819,References!#REF!,2,FALSE),(VLOOKUP($S2819,References!$B$3:$C$7,2,FALSE))),"")</f>
        <v/>
      </c>
      <c r="W2819" s="74" t="str">
        <f>IFERROR(VLOOKUP($O2819,'Customer List'!$A$1:$J$488,10,FALSE),"")</f>
        <v/>
      </c>
    </row>
    <row r="2820" spans="18:23">
      <c r="R2820" s="127">
        <f t="shared" si="163"/>
        <v>0</v>
      </c>
      <c r="T2820" s="128">
        <f t="shared" si="162"/>
        <v>0</v>
      </c>
      <c r="U2820" s="129" t="str">
        <f>IFERROR(IF(#REF!="S",VLOOKUP('Raw Data'!A2820,References!#REF!,2,FALSE),(VLOOKUP($S2820,References!$B$3:$C$7,2,FALSE))),"")</f>
        <v/>
      </c>
      <c r="W2820" s="74" t="str">
        <f>IFERROR(VLOOKUP($O2820,'Customer List'!$A$1:$J$488,10,FALSE),"")</f>
        <v/>
      </c>
    </row>
    <row r="2821" spans="18:23">
      <c r="R2821" s="127">
        <f t="shared" si="163"/>
        <v>0</v>
      </c>
      <c r="T2821" s="128">
        <f t="shared" si="162"/>
        <v>0</v>
      </c>
      <c r="U2821" s="129" t="str">
        <f>IFERROR(IF(#REF!="S",VLOOKUP('Raw Data'!A2821,References!#REF!,2,FALSE),(VLOOKUP($S2821,References!$B$3:$C$7,2,FALSE))),"")</f>
        <v/>
      </c>
      <c r="W2821" s="74" t="str">
        <f>IFERROR(VLOOKUP($O2821,'Customer List'!$A$1:$J$488,10,FALSE),"")</f>
        <v/>
      </c>
    </row>
    <row r="2822" spans="18:23">
      <c r="R2822" s="127">
        <f t="shared" si="163"/>
        <v>0</v>
      </c>
      <c r="T2822" s="128">
        <f t="shared" si="162"/>
        <v>0</v>
      </c>
      <c r="U2822" s="129" t="str">
        <f>IFERROR(IF(#REF!="S",VLOOKUP('Raw Data'!A2822,References!#REF!,2,FALSE),(VLOOKUP($S2822,References!$B$3:$C$7,2,FALSE))),"")</f>
        <v/>
      </c>
      <c r="W2822" s="74" t="str">
        <f>IFERROR(VLOOKUP($O2822,'Customer List'!$A$1:$J$488,10,FALSE),"")</f>
        <v/>
      </c>
    </row>
    <row r="2823" spans="18:23">
      <c r="R2823" s="127">
        <f t="shared" si="163"/>
        <v>0</v>
      </c>
      <c r="T2823" s="128">
        <f t="shared" si="162"/>
        <v>0</v>
      </c>
      <c r="U2823" s="129" t="str">
        <f>IFERROR(IF(#REF!="S",VLOOKUP('Raw Data'!A2823,References!#REF!,2,FALSE),(VLOOKUP($S2823,References!$B$3:$C$7,2,FALSE))),"")</f>
        <v/>
      </c>
      <c r="W2823" s="74" t="str">
        <f>IFERROR(VLOOKUP($O2823,'Customer List'!$A$1:$J$488,10,FALSE),"")</f>
        <v/>
      </c>
    </row>
    <row r="2824" spans="18:23">
      <c r="R2824" s="127">
        <f t="shared" si="163"/>
        <v>0</v>
      </c>
      <c r="T2824" s="128">
        <f t="shared" si="162"/>
        <v>0</v>
      </c>
      <c r="U2824" s="129" t="str">
        <f>IFERROR(IF(#REF!="S",VLOOKUP('Raw Data'!A2824,References!#REF!,2,FALSE),(VLOOKUP($S2824,References!$B$3:$C$7,2,FALSE))),"")</f>
        <v/>
      </c>
      <c r="W2824" s="74" t="str">
        <f>IFERROR(VLOOKUP($O2824,'Customer List'!$A$1:$J$488,10,FALSE),"")</f>
        <v/>
      </c>
    </row>
    <row r="2825" spans="18:23">
      <c r="R2825" s="127">
        <f t="shared" si="163"/>
        <v>0</v>
      </c>
      <c r="T2825" s="128">
        <f t="shared" si="162"/>
        <v>0</v>
      </c>
      <c r="U2825" s="129" t="str">
        <f>IFERROR(IF(#REF!="S",VLOOKUP('Raw Data'!A2825,References!#REF!,2,FALSE),(VLOOKUP($S2825,References!$B$3:$C$7,2,FALSE))),"")</f>
        <v/>
      </c>
      <c r="W2825" s="74" t="str">
        <f>IFERROR(VLOOKUP($O2825,'Customer List'!$A$1:$J$488,10,FALSE),"")</f>
        <v/>
      </c>
    </row>
    <row r="2826" spans="18:23">
      <c r="R2826" s="127">
        <f t="shared" si="163"/>
        <v>0</v>
      </c>
      <c r="T2826" s="128">
        <f t="shared" ref="T2826:T2889" si="164">IF(S2826="50 - Cleaning Fee",1,HOUR($R2826)+MINUTE(R2826)/60)</f>
        <v>0</v>
      </c>
      <c r="U2826" s="129" t="str">
        <f>IFERROR(IF(#REF!="S",VLOOKUP('Raw Data'!A2826,References!#REF!,2,FALSE),(VLOOKUP($S2826,References!$B$3:$C$7,2,FALSE))),"")</f>
        <v/>
      </c>
      <c r="W2826" s="74" t="str">
        <f>IFERROR(VLOOKUP($O2826,'Customer List'!$A$1:$J$488,10,FALSE),"")</f>
        <v/>
      </c>
    </row>
    <row r="2827" spans="18:23">
      <c r="R2827" s="127">
        <f t="shared" si="163"/>
        <v>0</v>
      </c>
      <c r="T2827" s="128">
        <f t="shared" si="164"/>
        <v>0</v>
      </c>
      <c r="U2827" s="129" t="str">
        <f>IFERROR(IF(#REF!="S",VLOOKUP('Raw Data'!A2827,References!#REF!,2,FALSE),(VLOOKUP($S2827,References!$B$3:$C$7,2,FALSE))),"")</f>
        <v/>
      </c>
      <c r="W2827" s="74" t="str">
        <f>IFERROR(VLOOKUP($O2827,'Customer List'!$A$1:$J$488,10,FALSE),"")</f>
        <v/>
      </c>
    </row>
    <row r="2828" spans="18:23">
      <c r="R2828" s="127">
        <f t="shared" si="163"/>
        <v>0</v>
      </c>
      <c r="T2828" s="128">
        <f t="shared" si="164"/>
        <v>0</v>
      </c>
      <c r="U2828" s="129" t="str">
        <f>IFERROR(IF(#REF!="S",VLOOKUP('Raw Data'!A2828,References!#REF!,2,FALSE),(VLOOKUP($S2828,References!$B$3:$C$7,2,FALSE))),"")</f>
        <v/>
      </c>
      <c r="W2828" s="74" t="str">
        <f>IFERROR(VLOOKUP($O2828,'Customer List'!$A$1:$J$488,10,FALSE),"")</f>
        <v/>
      </c>
    </row>
    <row r="2829" spans="18:23">
      <c r="R2829" s="127">
        <f t="shared" si="163"/>
        <v>0</v>
      </c>
      <c r="T2829" s="128">
        <f t="shared" si="164"/>
        <v>0</v>
      </c>
      <c r="U2829" s="129" t="str">
        <f>IFERROR(IF(#REF!="S",VLOOKUP('Raw Data'!A2829,References!#REF!,2,FALSE),(VLOOKUP($S2829,References!$B$3:$C$7,2,FALSE))),"")</f>
        <v/>
      </c>
      <c r="W2829" s="74" t="str">
        <f>IFERROR(VLOOKUP($O2829,'Customer List'!$A$1:$J$488,10,FALSE),"")</f>
        <v/>
      </c>
    </row>
    <row r="2830" spans="18:23">
      <c r="R2830" s="127">
        <f t="shared" si="163"/>
        <v>0</v>
      </c>
      <c r="T2830" s="128">
        <f t="shared" si="164"/>
        <v>0</v>
      </c>
      <c r="U2830" s="129" t="str">
        <f>IFERROR(IF(#REF!="S",VLOOKUP('Raw Data'!A2830,References!#REF!,2,FALSE),(VLOOKUP($S2830,References!$B$3:$C$7,2,FALSE))),"")</f>
        <v/>
      </c>
      <c r="W2830" s="74" t="str">
        <f>IFERROR(VLOOKUP($O2830,'Customer List'!$A$1:$J$488,10,FALSE),"")</f>
        <v/>
      </c>
    </row>
    <row r="2831" spans="18:23">
      <c r="R2831" s="127">
        <f t="shared" si="163"/>
        <v>0</v>
      </c>
      <c r="T2831" s="128">
        <f t="shared" si="164"/>
        <v>0</v>
      </c>
      <c r="U2831" s="129" t="str">
        <f>IFERROR(IF(#REF!="S",VLOOKUP('Raw Data'!A2831,References!#REF!,2,FALSE),(VLOOKUP($S2831,References!$B$3:$C$7,2,FALSE))),"")</f>
        <v/>
      </c>
      <c r="W2831" s="74" t="str">
        <f>IFERROR(VLOOKUP($O2831,'Customer List'!$A$1:$J$488,10,FALSE),"")</f>
        <v/>
      </c>
    </row>
    <row r="2832" spans="18:23">
      <c r="R2832" s="127">
        <f t="shared" si="163"/>
        <v>0</v>
      </c>
      <c r="T2832" s="128">
        <f t="shared" si="164"/>
        <v>0</v>
      </c>
      <c r="U2832" s="129" t="str">
        <f>IFERROR(IF(#REF!="S",VLOOKUP('Raw Data'!A2832,References!#REF!,2,FALSE),(VLOOKUP($S2832,References!$B$3:$C$7,2,FALSE))),"")</f>
        <v/>
      </c>
      <c r="W2832" s="74" t="str">
        <f>IFERROR(VLOOKUP($O2832,'Customer List'!$A$1:$J$488,10,FALSE),"")</f>
        <v/>
      </c>
    </row>
    <row r="2833" spans="18:23">
      <c r="R2833" s="127">
        <f t="shared" si="163"/>
        <v>0</v>
      </c>
      <c r="T2833" s="128">
        <f t="shared" si="164"/>
        <v>0</v>
      </c>
      <c r="U2833" s="129" t="str">
        <f>IFERROR(IF(#REF!="S",VLOOKUP('Raw Data'!A2833,References!#REF!,2,FALSE),(VLOOKUP($S2833,References!$B$3:$C$7,2,FALSE))),"")</f>
        <v/>
      </c>
      <c r="W2833" s="74" t="str">
        <f>IFERROR(VLOOKUP($O2833,'Customer List'!$A$1:$J$488,10,FALSE),"")</f>
        <v/>
      </c>
    </row>
    <row r="2834" spans="18:23">
      <c r="R2834" s="127">
        <f t="shared" si="163"/>
        <v>0</v>
      </c>
      <c r="T2834" s="128">
        <f t="shared" si="164"/>
        <v>0</v>
      </c>
      <c r="U2834" s="129" t="str">
        <f>IFERROR(IF(#REF!="S",VLOOKUP('Raw Data'!A2834,References!#REF!,2,FALSE),(VLOOKUP($S2834,References!$B$3:$C$7,2,FALSE))),"")</f>
        <v/>
      </c>
      <c r="W2834" s="74" t="str">
        <f>IFERROR(VLOOKUP($O2834,'Customer List'!$A$1:$J$488,10,FALSE),"")</f>
        <v/>
      </c>
    </row>
    <row r="2835" spans="18:23">
      <c r="R2835" s="127">
        <f t="shared" si="163"/>
        <v>0</v>
      </c>
      <c r="T2835" s="128">
        <f t="shared" si="164"/>
        <v>0</v>
      </c>
      <c r="U2835" s="129" t="str">
        <f>IFERROR(IF(#REF!="S",VLOOKUP('Raw Data'!A2835,References!#REF!,2,FALSE),(VLOOKUP($S2835,References!$B$3:$C$7,2,FALSE))),"")</f>
        <v/>
      </c>
      <c r="W2835" s="74" t="str">
        <f>IFERROR(VLOOKUP($O2835,'Customer List'!$A$1:$J$488,10,FALSE),"")</f>
        <v/>
      </c>
    </row>
    <row r="2836" spans="18:23">
      <c r="R2836" s="127">
        <f t="shared" si="163"/>
        <v>0</v>
      </c>
      <c r="T2836" s="128">
        <f t="shared" si="164"/>
        <v>0</v>
      </c>
      <c r="U2836" s="129" t="str">
        <f>IFERROR(IF(#REF!="S",VLOOKUP('Raw Data'!A2836,References!#REF!,2,FALSE),(VLOOKUP($S2836,References!$B$3:$C$7,2,FALSE))),"")</f>
        <v/>
      </c>
      <c r="W2836" s="74" t="str">
        <f>IFERROR(VLOOKUP($O2836,'Customer List'!$A$1:$J$488,10,FALSE),"")</f>
        <v/>
      </c>
    </row>
    <row r="2837" spans="18:23">
      <c r="R2837" s="127">
        <f t="shared" si="163"/>
        <v>0</v>
      </c>
      <c r="T2837" s="128">
        <f t="shared" si="164"/>
        <v>0</v>
      </c>
      <c r="U2837" s="129" t="str">
        <f>IFERROR(IF(#REF!="S",VLOOKUP('Raw Data'!A2837,References!#REF!,2,FALSE),(VLOOKUP($S2837,References!$B$3:$C$7,2,FALSE))),"")</f>
        <v/>
      </c>
      <c r="W2837" s="74" t="str">
        <f>IFERROR(VLOOKUP($O2837,'Customer List'!$A$1:$J$488,10,FALSE),"")</f>
        <v/>
      </c>
    </row>
    <row r="2838" spans="18:23">
      <c r="R2838" s="127">
        <f t="shared" si="163"/>
        <v>0</v>
      </c>
      <c r="T2838" s="128">
        <f t="shared" si="164"/>
        <v>0</v>
      </c>
      <c r="U2838" s="129" t="str">
        <f>IFERROR(IF(#REF!="S",VLOOKUP('Raw Data'!A2838,References!#REF!,2,FALSE),(VLOOKUP($S2838,References!$B$3:$C$7,2,FALSE))),"")</f>
        <v/>
      </c>
      <c r="W2838" s="74" t="str">
        <f>IFERROR(VLOOKUP($O2838,'Customer List'!$A$1:$J$488,10,FALSE),"")</f>
        <v/>
      </c>
    </row>
    <row r="2839" spans="18:23">
      <c r="R2839" s="127">
        <f t="shared" si="163"/>
        <v>0</v>
      </c>
      <c r="T2839" s="128">
        <f t="shared" si="164"/>
        <v>0</v>
      </c>
      <c r="U2839" s="129" t="str">
        <f>IFERROR(IF(#REF!="S",VLOOKUP('Raw Data'!A2839,References!#REF!,2,FALSE),(VLOOKUP($S2839,References!$B$3:$C$7,2,FALSE))),"")</f>
        <v/>
      </c>
      <c r="W2839" s="74" t="str">
        <f>IFERROR(VLOOKUP($O2839,'Customer List'!$A$1:$J$488,10,FALSE),"")</f>
        <v/>
      </c>
    </row>
    <row r="2840" spans="18:23">
      <c r="R2840" s="127">
        <f t="shared" si="163"/>
        <v>0</v>
      </c>
      <c r="T2840" s="128">
        <f t="shared" si="164"/>
        <v>0</v>
      </c>
      <c r="U2840" s="129" t="str">
        <f>IFERROR(IF(#REF!="S",VLOOKUP('Raw Data'!A2840,References!#REF!,2,FALSE),(VLOOKUP($S2840,References!$B$3:$C$7,2,FALSE))),"")</f>
        <v/>
      </c>
      <c r="W2840" s="74" t="str">
        <f>IFERROR(VLOOKUP($O2840,'Customer List'!$A$1:$J$488,10,FALSE),"")</f>
        <v/>
      </c>
    </row>
    <row r="2841" spans="18:23">
      <c r="R2841" s="127">
        <f t="shared" si="163"/>
        <v>0</v>
      </c>
      <c r="T2841" s="128">
        <f t="shared" si="164"/>
        <v>0</v>
      </c>
      <c r="U2841" s="129" t="str">
        <f>IFERROR(IF(#REF!="S",VLOOKUP('Raw Data'!A2841,References!#REF!,2,FALSE),(VLOOKUP($S2841,References!$B$3:$C$7,2,FALSE))),"")</f>
        <v/>
      </c>
      <c r="W2841" s="74" t="str">
        <f>IFERROR(VLOOKUP($O2841,'Customer List'!$A$1:$J$488,10,FALSE),"")</f>
        <v/>
      </c>
    </row>
    <row r="2842" spans="18:23">
      <c r="R2842" s="127">
        <f t="shared" si="163"/>
        <v>0</v>
      </c>
      <c r="T2842" s="128">
        <f t="shared" si="164"/>
        <v>0</v>
      </c>
      <c r="U2842" s="129" t="str">
        <f>IFERROR(IF(#REF!="S",VLOOKUP('Raw Data'!A2842,References!#REF!,2,FALSE),(VLOOKUP($S2842,References!$B$3:$C$7,2,FALSE))),"")</f>
        <v/>
      </c>
      <c r="W2842" s="74" t="str">
        <f>IFERROR(VLOOKUP($O2842,'Customer List'!$A$1:$J$488,10,FALSE),"")</f>
        <v/>
      </c>
    </row>
    <row r="2843" spans="18:23">
      <c r="R2843" s="127">
        <f t="shared" si="163"/>
        <v>0</v>
      </c>
      <c r="T2843" s="128">
        <f t="shared" si="164"/>
        <v>0</v>
      </c>
      <c r="U2843" s="129" t="str">
        <f>IFERROR(IF(#REF!="S",VLOOKUP('Raw Data'!A2843,References!#REF!,2,FALSE),(VLOOKUP($S2843,References!$B$3:$C$7,2,FALSE))),"")</f>
        <v/>
      </c>
      <c r="W2843" s="74" t="str">
        <f>IFERROR(VLOOKUP($O2843,'Customer List'!$A$1:$J$488,10,FALSE),"")</f>
        <v/>
      </c>
    </row>
    <row r="2844" spans="18:23">
      <c r="R2844" s="127">
        <f t="shared" si="163"/>
        <v>0</v>
      </c>
      <c r="T2844" s="128">
        <f t="shared" si="164"/>
        <v>0</v>
      </c>
      <c r="U2844" s="129" t="str">
        <f>IFERROR(IF(#REF!="S",VLOOKUP('Raw Data'!A2844,References!#REF!,2,FALSE),(VLOOKUP($S2844,References!$B$3:$C$7,2,FALSE))),"")</f>
        <v/>
      </c>
      <c r="W2844" s="74" t="str">
        <f>IFERROR(VLOOKUP($O2844,'Customer List'!$A$1:$J$488,10,FALSE),"")</f>
        <v/>
      </c>
    </row>
    <row r="2845" spans="18:23">
      <c r="R2845" s="127">
        <f t="shared" si="163"/>
        <v>0</v>
      </c>
      <c r="T2845" s="128">
        <f t="shared" si="164"/>
        <v>0</v>
      </c>
      <c r="U2845" s="129" t="str">
        <f>IFERROR(IF(#REF!="S",VLOOKUP('Raw Data'!A2845,References!#REF!,2,FALSE),(VLOOKUP($S2845,References!$B$3:$C$7,2,FALSE))),"")</f>
        <v/>
      </c>
      <c r="W2845" s="74" t="str">
        <f>IFERROR(VLOOKUP($O2845,'Customer List'!$A$1:$J$488,10,FALSE),"")</f>
        <v/>
      </c>
    </row>
    <row r="2846" spans="18:23">
      <c r="R2846" s="127">
        <f t="shared" si="163"/>
        <v>0</v>
      </c>
      <c r="T2846" s="128">
        <f t="shared" si="164"/>
        <v>0</v>
      </c>
      <c r="U2846" s="129" t="str">
        <f>IFERROR(IF(#REF!="S",VLOOKUP('Raw Data'!A2846,References!#REF!,2,FALSE),(VLOOKUP($S2846,References!$B$3:$C$7,2,FALSE))),"")</f>
        <v/>
      </c>
      <c r="W2846" s="74" t="str">
        <f>IFERROR(VLOOKUP($O2846,'Customer List'!$A$1:$J$488,10,FALSE),"")</f>
        <v/>
      </c>
    </row>
    <row r="2847" spans="18:23">
      <c r="R2847" s="127">
        <f t="shared" si="163"/>
        <v>0</v>
      </c>
      <c r="T2847" s="128">
        <f t="shared" si="164"/>
        <v>0</v>
      </c>
      <c r="U2847" s="129" t="str">
        <f>IFERROR(IF(#REF!="S",VLOOKUP('Raw Data'!A2847,References!#REF!,2,FALSE),(VLOOKUP($S2847,References!$B$3:$C$7,2,FALSE))),"")</f>
        <v/>
      </c>
      <c r="W2847" s="74" t="str">
        <f>IFERROR(VLOOKUP($O2847,'Customer List'!$A$1:$J$488,10,FALSE),"")</f>
        <v/>
      </c>
    </row>
    <row r="2848" spans="18:23">
      <c r="R2848" s="127">
        <f t="shared" si="163"/>
        <v>0</v>
      </c>
      <c r="T2848" s="128">
        <f t="shared" si="164"/>
        <v>0</v>
      </c>
      <c r="U2848" s="129" t="str">
        <f>IFERROR(IF(#REF!="S",VLOOKUP('Raw Data'!A2848,References!#REF!,2,FALSE),(VLOOKUP($S2848,References!$B$3:$C$7,2,FALSE))),"")</f>
        <v/>
      </c>
      <c r="W2848" s="74" t="str">
        <f>IFERROR(VLOOKUP($O2848,'Customer List'!$A$1:$J$488,10,FALSE),"")</f>
        <v/>
      </c>
    </row>
    <row r="2849" spans="18:23">
      <c r="R2849" s="127">
        <f t="shared" si="163"/>
        <v>0</v>
      </c>
      <c r="T2849" s="128">
        <f t="shared" si="164"/>
        <v>0</v>
      </c>
      <c r="U2849" s="129" t="str">
        <f>IFERROR(IF(#REF!="S",VLOOKUP('Raw Data'!A2849,References!#REF!,2,FALSE),(VLOOKUP($S2849,References!$B$3:$C$7,2,FALSE))),"")</f>
        <v/>
      </c>
      <c r="W2849" s="74" t="str">
        <f>IFERROR(VLOOKUP($O2849,'Customer List'!$A$1:$J$488,10,FALSE),"")</f>
        <v/>
      </c>
    </row>
    <row r="2850" spans="18:23">
      <c r="R2850" s="127">
        <f t="shared" ref="R2850:R2913" si="165">L2850-K2850</f>
        <v>0</v>
      </c>
      <c r="T2850" s="128">
        <f t="shared" si="164"/>
        <v>0</v>
      </c>
      <c r="U2850" s="129" t="str">
        <f>IFERROR(IF(#REF!="S",VLOOKUP('Raw Data'!A2850,References!#REF!,2,FALSE),(VLOOKUP($S2850,References!$B$3:$C$7,2,FALSE))),"")</f>
        <v/>
      </c>
      <c r="W2850" s="74" t="str">
        <f>IFERROR(VLOOKUP($O2850,'Customer List'!$A$1:$J$488,10,FALSE),"")</f>
        <v/>
      </c>
    </row>
    <row r="2851" spans="18:23">
      <c r="R2851" s="127">
        <f t="shared" si="165"/>
        <v>0</v>
      </c>
      <c r="T2851" s="128">
        <f t="shared" si="164"/>
        <v>0</v>
      </c>
      <c r="U2851" s="129" t="str">
        <f>IFERROR(IF(#REF!="S",VLOOKUP('Raw Data'!A2851,References!#REF!,2,FALSE),(VLOOKUP($S2851,References!$B$3:$C$7,2,FALSE))),"")</f>
        <v/>
      </c>
      <c r="W2851" s="74" t="str">
        <f>IFERROR(VLOOKUP($O2851,'Customer List'!$A$1:$J$488,10,FALSE),"")</f>
        <v/>
      </c>
    </row>
    <row r="2852" spans="18:23">
      <c r="R2852" s="127">
        <f t="shared" si="165"/>
        <v>0</v>
      </c>
      <c r="T2852" s="128">
        <f t="shared" si="164"/>
        <v>0</v>
      </c>
      <c r="U2852" s="129" t="str">
        <f>IFERROR(IF(#REF!="S",VLOOKUP('Raw Data'!A2852,References!#REF!,2,FALSE),(VLOOKUP($S2852,References!$B$3:$C$7,2,FALSE))),"")</f>
        <v/>
      </c>
      <c r="W2852" s="74" t="str">
        <f>IFERROR(VLOOKUP($O2852,'Customer List'!$A$1:$J$488,10,FALSE),"")</f>
        <v/>
      </c>
    </row>
    <row r="2853" spans="18:23">
      <c r="R2853" s="127">
        <f t="shared" si="165"/>
        <v>0</v>
      </c>
      <c r="T2853" s="128">
        <f t="shared" si="164"/>
        <v>0</v>
      </c>
      <c r="U2853" s="129" t="str">
        <f>IFERROR(IF(#REF!="S",VLOOKUP('Raw Data'!A2853,References!#REF!,2,FALSE),(VLOOKUP($S2853,References!$B$3:$C$7,2,FALSE))),"")</f>
        <v/>
      </c>
      <c r="W2853" s="74" t="str">
        <f>IFERROR(VLOOKUP($O2853,'Customer List'!$A$1:$J$488,10,FALSE),"")</f>
        <v/>
      </c>
    </row>
    <row r="2854" spans="18:23">
      <c r="R2854" s="127">
        <f t="shared" si="165"/>
        <v>0</v>
      </c>
      <c r="T2854" s="128">
        <f t="shared" si="164"/>
        <v>0</v>
      </c>
      <c r="U2854" s="129" t="str">
        <f>IFERROR(IF(#REF!="S",VLOOKUP('Raw Data'!A2854,References!#REF!,2,FALSE),(VLOOKUP($S2854,References!$B$3:$C$7,2,FALSE))),"")</f>
        <v/>
      </c>
      <c r="W2854" s="74" t="str">
        <f>IFERROR(VLOOKUP($O2854,'Customer List'!$A$1:$J$488,10,FALSE),"")</f>
        <v/>
      </c>
    </row>
    <row r="2855" spans="18:23">
      <c r="R2855" s="127">
        <f t="shared" si="165"/>
        <v>0</v>
      </c>
      <c r="T2855" s="128">
        <f t="shared" si="164"/>
        <v>0</v>
      </c>
      <c r="U2855" s="129" t="str">
        <f>IFERROR(IF(#REF!="S",VLOOKUP('Raw Data'!A2855,References!#REF!,2,FALSE),(VLOOKUP($S2855,References!$B$3:$C$7,2,FALSE))),"")</f>
        <v/>
      </c>
      <c r="W2855" s="74" t="str">
        <f>IFERROR(VLOOKUP($O2855,'Customer List'!$A$1:$J$488,10,FALSE),"")</f>
        <v/>
      </c>
    </row>
    <row r="2856" spans="18:23">
      <c r="R2856" s="127">
        <f t="shared" si="165"/>
        <v>0</v>
      </c>
      <c r="T2856" s="128">
        <f t="shared" si="164"/>
        <v>0</v>
      </c>
      <c r="U2856" s="129" t="str">
        <f>IFERROR(IF(#REF!="S",VLOOKUP('Raw Data'!A2856,References!#REF!,2,FALSE),(VLOOKUP($S2856,References!$B$3:$C$7,2,FALSE))),"")</f>
        <v/>
      </c>
      <c r="W2856" s="74" t="str">
        <f>IFERROR(VLOOKUP($O2856,'Customer List'!$A$1:$J$488,10,FALSE),"")</f>
        <v/>
      </c>
    </row>
    <row r="2857" spans="18:23">
      <c r="R2857" s="127">
        <f t="shared" si="165"/>
        <v>0</v>
      </c>
      <c r="T2857" s="128">
        <f t="shared" si="164"/>
        <v>0</v>
      </c>
      <c r="U2857" s="129" t="str">
        <f>IFERROR(IF(#REF!="S",VLOOKUP('Raw Data'!A2857,References!#REF!,2,FALSE),(VLOOKUP($S2857,References!$B$3:$C$7,2,FALSE))),"")</f>
        <v/>
      </c>
      <c r="W2857" s="74" t="str">
        <f>IFERROR(VLOOKUP($O2857,'Customer List'!$A$1:$J$488,10,FALSE),"")</f>
        <v/>
      </c>
    </row>
    <row r="2858" spans="18:23">
      <c r="R2858" s="127">
        <f t="shared" si="165"/>
        <v>0</v>
      </c>
      <c r="T2858" s="128">
        <f t="shared" si="164"/>
        <v>0</v>
      </c>
      <c r="U2858" s="129" t="str">
        <f>IFERROR(IF(#REF!="S",VLOOKUP('Raw Data'!A2858,References!#REF!,2,FALSE),(VLOOKUP($S2858,References!$B$3:$C$7,2,FALSE))),"")</f>
        <v/>
      </c>
      <c r="W2858" s="74" t="str">
        <f>IFERROR(VLOOKUP($O2858,'Customer List'!$A$1:$J$488,10,FALSE),"")</f>
        <v/>
      </c>
    </row>
    <row r="2859" spans="18:23">
      <c r="R2859" s="127">
        <f t="shared" si="165"/>
        <v>0</v>
      </c>
      <c r="T2859" s="128">
        <f t="shared" si="164"/>
        <v>0</v>
      </c>
      <c r="U2859" s="129" t="str">
        <f>IFERROR(IF(#REF!="S",VLOOKUP('Raw Data'!A2859,References!#REF!,2,FALSE),(VLOOKUP($S2859,References!$B$3:$C$7,2,FALSE))),"")</f>
        <v/>
      </c>
      <c r="W2859" s="74" t="str">
        <f>IFERROR(VLOOKUP($O2859,'Customer List'!$A$1:$J$488,10,FALSE),"")</f>
        <v/>
      </c>
    </row>
    <row r="2860" spans="18:23">
      <c r="R2860" s="127">
        <f t="shared" si="165"/>
        <v>0</v>
      </c>
      <c r="T2860" s="128">
        <f t="shared" si="164"/>
        <v>0</v>
      </c>
      <c r="U2860" s="129" t="str">
        <f>IFERROR(IF(#REF!="S",VLOOKUP('Raw Data'!A2860,References!#REF!,2,FALSE),(VLOOKUP($S2860,References!$B$3:$C$7,2,FALSE))),"")</f>
        <v/>
      </c>
      <c r="W2860" s="74" t="str">
        <f>IFERROR(VLOOKUP($O2860,'Customer List'!$A$1:$J$488,10,FALSE),"")</f>
        <v/>
      </c>
    </row>
    <row r="2861" spans="18:23">
      <c r="R2861" s="127">
        <f t="shared" si="165"/>
        <v>0</v>
      </c>
      <c r="T2861" s="128">
        <f t="shared" si="164"/>
        <v>0</v>
      </c>
      <c r="U2861" s="129" t="str">
        <f>IFERROR(IF(#REF!="S",VLOOKUP('Raw Data'!A2861,References!#REF!,2,FALSE),(VLOOKUP($S2861,References!$B$3:$C$7,2,FALSE))),"")</f>
        <v/>
      </c>
      <c r="W2861" s="74" t="str">
        <f>IFERROR(VLOOKUP($O2861,'Customer List'!$A$1:$J$488,10,FALSE),"")</f>
        <v/>
      </c>
    </row>
    <row r="2862" spans="18:23">
      <c r="R2862" s="127">
        <f t="shared" si="165"/>
        <v>0</v>
      </c>
      <c r="T2862" s="128">
        <f t="shared" si="164"/>
        <v>0</v>
      </c>
      <c r="U2862" s="129" t="str">
        <f>IFERROR(IF(#REF!="S",VLOOKUP('Raw Data'!A2862,References!#REF!,2,FALSE),(VLOOKUP($S2862,References!$B$3:$C$7,2,FALSE))),"")</f>
        <v/>
      </c>
      <c r="W2862" s="74" t="str">
        <f>IFERROR(VLOOKUP($O2862,'Customer List'!$A$1:$J$488,10,FALSE),"")</f>
        <v/>
      </c>
    </row>
    <row r="2863" spans="18:23">
      <c r="R2863" s="127">
        <f t="shared" si="165"/>
        <v>0</v>
      </c>
      <c r="T2863" s="128">
        <f t="shared" si="164"/>
        <v>0</v>
      </c>
      <c r="U2863" s="129" t="str">
        <f>IFERROR(IF(#REF!="S",VLOOKUP('Raw Data'!A2863,References!#REF!,2,FALSE),(VLOOKUP($S2863,References!$B$3:$C$7,2,FALSE))),"")</f>
        <v/>
      </c>
      <c r="W2863" s="74" t="str">
        <f>IFERROR(VLOOKUP($O2863,'Customer List'!$A$1:$J$488,10,FALSE),"")</f>
        <v/>
      </c>
    </row>
    <row r="2864" spans="18:23">
      <c r="R2864" s="127">
        <f t="shared" si="165"/>
        <v>0</v>
      </c>
      <c r="T2864" s="128">
        <f t="shared" si="164"/>
        <v>0</v>
      </c>
      <c r="U2864" s="129" t="str">
        <f>IFERROR(IF(#REF!="S",VLOOKUP('Raw Data'!A2864,References!#REF!,2,FALSE),(VLOOKUP($S2864,References!$B$3:$C$7,2,FALSE))),"")</f>
        <v/>
      </c>
      <c r="W2864" s="74" t="str">
        <f>IFERROR(VLOOKUP($O2864,'Customer List'!$A$1:$J$488,10,FALSE),"")</f>
        <v/>
      </c>
    </row>
    <row r="2865" spans="18:23">
      <c r="R2865" s="127">
        <f t="shared" si="165"/>
        <v>0</v>
      </c>
      <c r="T2865" s="128">
        <f t="shared" si="164"/>
        <v>0</v>
      </c>
      <c r="U2865" s="129" t="str">
        <f>IFERROR(IF(#REF!="S",VLOOKUP('Raw Data'!A2865,References!#REF!,2,FALSE),(VLOOKUP($S2865,References!$B$3:$C$7,2,FALSE))),"")</f>
        <v/>
      </c>
      <c r="W2865" s="74" t="str">
        <f>IFERROR(VLOOKUP($O2865,'Customer List'!$A$1:$J$488,10,FALSE),"")</f>
        <v/>
      </c>
    </row>
    <row r="2866" spans="18:23">
      <c r="R2866" s="127">
        <f t="shared" si="165"/>
        <v>0</v>
      </c>
      <c r="T2866" s="128">
        <f t="shared" si="164"/>
        <v>0</v>
      </c>
      <c r="U2866" s="129" t="str">
        <f>IFERROR(IF(#REF!="S",VLOOKUP('Raw Data'!A2866,References!#REF!,2,FALSE),(VLOOKUP($S2866,References!$B$3:$C$7,2,FALSE))),"")</f>
        <v/>
      </c>
      <c r="W2866" s="74" t="str">
        <f>IFERROR(VLOOKUP($O2866,'Customer List'!$A$1:$J$488,10,FALSE),"")</f>
        <v/>
      </c>
    </row>
    <row r="2867" spans="18:23">
      <c r="R2867" s="127">
        <f t="shared" si="165"/>
        <v>0</v>
      </c>
      <c r="T2867" s="128">
        <f t="shared" si="164"/>
        <v>0</v>
      </c>
      <c r="U2867" s="129" t="str">
        <f>IFERROR(IF(#REF!="S",VLOOKUP('Raw Data'!A2867,References!#REF!,2,FALSE),(VLOOKUP($S2867,References!$B$3:$C$7,2,FALSE))),"")</f>
        <v/>
      </c>
      <c r="W2867" s="74" t="str">
        <f>IFERROR(VLOOKUP($O2867,'Customer List'!$A$1:$J$488,10,FALSE),"")</f>
        <v/>
      </c>
    </row>
    <row r="2868" spans="18:23">
      <c r="R2868" s="127">
        <f t="shared" si="165"/>
        <v>0</v>
      </c>
      <c r="T2868" s="128">
        <f t="shared" si="164"/>
        <v>0</v>
      </c>
      <c r="U2868" s="129" t="str">
        <f>IFERROR(IF(#REF!="S",VLOOKUP('Raw Data'!A2868,References!#REF!,2,FALSE),(VLOOKUP($S2868,References!$B$3:$C$7,2,FALSE))),"")</f>
        <v/>
      </c>
      <c r="W2868" s="74" t="str">
        <f>IFERROR(VLOOKUP($O2868,'Customer List'!$A$1:$J$488,10,FALSE),"")</f>
        <v/>
      </c>
    </row>
    <row r="2869" spans="18:23">
      <c r="R2869" s="127">
        <f t="shared" si="165"/>
        <v>0</v>
      </c>
      <c r="T2869" s="128">
        <f t="shared" si="164"/>
        <v>0</v>
      </c>
      <c r="U2869" s="129" t="str">
        <f>IFERROR(IF(#REF!="S",VLOOKUP('Raw Data'!A2869,References!#REF!,2,FALSE),(VLOOKUP($S2869,References!$B$3:$C$7,2,FALSE))),"")</f>
        <v/>
      </c>
      <c r="W2869" s="74" t="str">
        <f>IFERROR(VLOOKUP($O2869,'Customer List'!$A$1:$J$488,10,FALSE),"")</f>
        <v/>
      </c>
    </row>
    <row r="2870" spans="18:23">
      <c r="R2870" s="127">
        <f t="shared" si="165"/>
        <v>0</v>
      </c>
      <c r="T2870" s="128">
        <f t="shared" si="164"/>
        <v>0</v>
      </c>
      <c r="U2870" s="129" t="str">
        <f>IFERROR(IF(#REF!="S",VLOOKUP('Raw Data'!A2870,References!#REF!,2,FALSE),(VLOOKUP($S2870,References!$B$3:$C$7,2,FALSE))),"")</f>
        <v/>
      </c>
      <c r="W2870" s="74" t="str">
        <f>IFERROR(VLOOKUP($O2870,'Customer List'!$A$1:$J$488,10,FALSE),"")</f>
        <v/>
      </c>
    </row>
    <row r="2871" spans="18:23">
      <c r="R2871" s="127">
        <f t="shared" si="165"/>
        <v>0</v>
      </c>
      <c r="T2871" s="128">
        <f t="shared" si="164"/>
        <v>0</v>
      </c>
      <c r="U2871" s="129" t="str">
        <f>IFERROR(IF(#REF!="S",VLOOKUP('Raw Data'!A2871,References!#REF!,2,FALSE),(VLOOKUP($S2871,References!$B$3:$C$7,2,FALSE))),"")</f>
        <v/>
      </c>
      <c r="W2871" s="74" t="str">
        <f>IFERROR(VLOOKUP($O2871,'Customer List'!$A$1:$J$488,10,FALSE),"")</f>
        <v/>
      </c>
    </row>
    <row r="2872" spans="18:23">
      <c r="R2872" s="127">
        <f t="shared" si="165"/>
        <v>0</v>
      </c>
      <c r="T2872" s="128">
        <f t="shared" si="164"/>
        <v>0</v>
      </c>
      <c r="U2872" s="129" t="str">
        <f>IFERROR(IF(#REF!="S",VLOOKUP('Raw Data'!A2872,References!#REF!,2,FALSE),(VLOOKUP($S2872,References!$B$3:$C$7,2,FALSE))),"")</f>
        <v/>
      </c>
      <c r="W2872" s="74" t="str">
        <f>IFERROR(VLOOKUP($O2872,'Customer List'!$A$1:$J$488,10,FALSE),"")</f>
        <v/>
      </c>
    </row>
    <row r="2873" spans="18:23">
      <c r="R2873" s="127">
        <f t="shared" si="165"/>
        <v>0</v>
      </c>
      <c r="T2873" s="128">
        <f t="shared" si="164"/>
        <v>0</v>
      </c>
      <c r="U2873" s="129" t="str">
        <f>IFERROR(IF(#REF!="S",VLOOKUP('Raw Data'!A2873,References!#REF!,2,FALSE),(VLOOKUP($S2873,References!$B$3:$C$7,2,FALSE))),"")</f>
        <v/>
      </c>
      <c r="W2873" s="74" t="str">
        <f>IFERROR(VLOOKUP($O2873,'Customer List'!$A$1:$J$488,10,FALSE),"")</f>
        <v/>
      </c>
    </row>
    <row r="2874" spans="18:23">
      <c r="R2874" s="127">
        <f t="shared" si="165"/>
        <v>0</v>
      </c>
      <c r="T2874" s="128">
        <f t="shared" si="164"/>
        <v>0</v>
      </c>
      <c r="U2874" s="129" t="str">
        <f>IFERROR(IF(#REF!="S",VLOOKUP('Raw Data'!A2874,References!#REF!,2,FALSE),(VLOOKUP($S2874,References!$B$3:$C$7,2,FALSE))),"")</f>
        <v/>
      </c>
      <c r="W2874" s="74" t="str">
        <f>IFERROR(VLOOKUP($O2874,'Customer List'!$A$1:$J$488,10,FALSE),"")</f>
        <v/>
      </c>
    </row>
    <row r="2875" spans="18:23">
      <c r="R2875" s="127">
        <f t="shared" si="165"/>
        <v>0</v>
      </c>
      <c r="T2875" s="128">
        <f t="shared" si="164"/>
        <v>0</v>
      </c>
      <c r="U2875" s="129" t="str">
        <f>IFERROR(IF(#REF!="S",VLOOKUP('Raw Data'!A2875,References!#REF!,2,FALSE),(VLOOKUP($S2875,References!$B$3:$C$7,2,FALSE))),"")</f>
        <v/>
      </c>
      <c r="W2875" s="74" t="str">
        <f>IFERROR(VLOOKUP($O2875,'Customer List'!$A$1:$J$488,10,FALSE),"")</f>
        <v/>
      </c>
    </row>
    <row r="2876" spans="18:23">
      <c r="R2876" s="127">
        <f t="shared" si="165"/>
        <v>0</v>
      </c>
      <c r="T2876" s="128">
        <f t="shared" si="164"/>
        <v>0</v>
      </c>
      <c r="U2876" s="129" t="str">
        <f>IFERROR(IF(#REF!="S",VLOOKUP('Raw Data'!A2876,References!#REF!,2,FALSE),(VLOOKUP($S2876,References!$B$3:$C$7,2,FALSE))),"")</f>
        <v/>
      </c>
      <c r="W2876" s="74" t="str">
        <f>IFERROR(VLOOKUP($O2876,'Customer List'!$A$1:$J$488,10,FALSE),"")</f>
        <v/>
      </c>
    </row>
    <row r="2877" spans="18:23">
      <c r="R2877" s="127">
        <f t="shared" si="165"/>
        <v>0</v>
      </c>
      <c r="T2877" s="128">
        <f t="shared" si="164"/>
        <v>0</v>
      </c>
      <c r="U2877" s="129" t="str">
        <f>IFERROR(IF(#REF!="S",VLOOKUP('Raw Data'!A2877,References!#REF!,2,FALSE),(VLOOKUP($S2877,References!$B$3:$C$7,2,FALSE))),"")</f>
        <v/>
      </c>
      <c r="W2877" s="74" t="str">
        <f>IFERROR(VLOOKUP($O2877,'Customer List'!$A$1:$J$488,10,FALSE),"")</f>
        <v/>
      </c>
    </row>
    <row r="2878" spans="18:23">
      <c r="R2878" s="127">
        <f t="shared" si="165"/>
        <v>0</v>
      </c>
      <c r="T2878" s="128">
        <f t="shared" si="164"/>
        <v>0</v>
      </c>
      <c r="U2878" s="129" t="str">
        <f>IFERROR(IF(#REF!="S",VLOOKUP('Raw Data'!A2878,References!#REF!,2,FALSE),(VLOOKUP($S2878,References!$B$3:$C$7,2,FALSE))),"")</f>
        <v/>
      </c>
      <c r="W2878" s="74" t="str">
        <f>IFERROR(VLOOKUP($O2878,'Customer List'!$A$1:$J$488,10,FALSE),"")</f>
        <v/>
      </c>
    </row>
    <row r="2879" spans="18:23">
      <c r="R2879" s="127">
        <f t="shared" si="165"/>
        <v>0</v>
      </c>
      <c r="T2879" s="128">
        <f t="shared" si="164"/>
        <v>0</v>
      </c>
      <c r="U2879" s="129" t="str">
        <f>IFERROR(IF(#REF!="S",VLOOKUP('Raw Data'!A2879,References!#REF!,2,FALSE),(VLOOKUP($S2879,References!$B$3:$C$7,2,FALSE))),"")</f>
        <v/>
      </c>
      <c r="W2879" s="74" t="str">
        <f>IFERROR(VLOOKUP($O2879,'Customer List'!$A$1:$J$488,10,FALSE),"")</f>
        <v/>
      </c>
    </row>
    <row r="2880" spans="18:23">
      <c r="R2880" s="127">
        <f t="shared" si="165"/>
        <v>0</v>
      </c>
      <c r="T2880" s="128">
        <f t="shared" si="164"/>
        <v>0</v>
      </c>
      <c r="U2880" s="129" t="str">
        <f>IFERROR(IF(#REF!="S",VLOOKUP('Raw Data'!A2880,References!#REF!,2,FALSE),(VLOOKUP($S2880,References!$B$3:$C$7,2,FALSE))),"")</f>
        <v/>
      </c>
      <c r="W2880" s="74" t="str">
        <f>IFERROR(VLOOKUP($O2880,'Customer List'!$A$1:$J$488,10,FALSE),"")</f>
        <v/>
      </c>
    </row>
    <row r="2881" spans="18:23">
      <c r="R2881" s="127">
        <f t="shared" si="165"/>
        <v>0</v>
      </c>
      <c r="T2881" s="128">
        <f t="shared" si="164"/>
        <v>0</v>
      </c>
      <c r="U2881" s="129" t="str">
        <f>IFERROR(IF(#REF!="S",VLOOKUP('Raw Data'!A2881,References!#REF!,2,FALSE),(VLOOKUP($S2881,References!$B$3:$C$7,2,FALSE))),"")</f>
        <v/>
      </c>
      <c r="W2881" s="74" t="str">
        <f>IFERROR(VLOOKUP($O2881,'Customer List'!$A$1:$J$488,10,FALSE),"")</f>
        <v/>
      </c>
    </row>
    <row r="2882" spans="18:23">
      <c r="R2882" s="127">
        <f t="shared" si="165"/>
        <v>0</v>
      </c>
      <c r="T2882" s="128">
        <f t="shared" si="164"/>
        <v>0</v>
      </c>
      <c r="U2882" s="129" t="str">
        <f>IFERROR(IF(#REF!="S",VLOOKUP('Raw Data'!A2882,References!#REF!,2,FALSE),(VLOOKUP($S2882,References!$B$3:$C$7,2,FALSE))),"")</f>
        <v/>
      </c>
      <c r="W2882" s="74" t="str">
        <f>IFERROR(VLOOKUP($O2882,'Customer List'!$A$1:$J$488,10,FALSE),"")</f>
        <v/>
      </c>
    </row>
    <row r="2883" spans="18:23">
      <c r="R2883" s="127">
        <f t="shared" si="165"/>
        <v>0</v>
      </c>
      <c r="T2883" s="128">
        <f t="shared" si="164"/>
        <v>0</v>
      </c>
      <c r="U2883" s="129" t="str">
        <f>IFERROR(IF(#REF!="S",VLOOKUP('Raw Data'!A2883,References!#REF!,2,FALSE),(VLOOKUP($S2883,References!$B$3:$C$7,2,FALSE))),"")</f>
        <v/>
      </c>
      <c r="W2883" s="74" t="str">
        <f>IFERROR(VLOOKUP($O2883,'Customer List'!$A$1:$J$488,10,FALSE),"")</f>
        <v/>
      </c>
    </row>
    <row r="2884" spans="18:23">
      <c r="R2884" s="127">
        <f t="shared" si="165"/>
        <v>0</v>
      </c>
      <c r="T2884" s="128">
        <f t="shared" si="164"/>
        <v>0</v>
      </c>
      <c r="U2884" s="129" t="str">
        <f>IFERROR(IF(#REF!="S",VLOOKUP('Raw Data'!A2884,References!#REF!,2,FALSE),(VLOOKUP($S2884,References!$B$3:$C$7,2,FALSE))),"")</f>
        <v/>
      </c>
      <c r="W2884" s="74" t="str">
        <f>IFERROR(VLOOKUP($O2884,'Customer List'!$A$1:$J$488,10,FALSE),"")</f>
        <v/>
      </c>
    </row>
    <row r="2885" spans="18:23">
      <c r="R2885" s="127">
        <f t="shared" si="165"/>
        <v>0</v>
      </c>
      <c r="T2885" s="128">
        <f t="shared" si="164"/>
        <v>0</v>
      </c>
      <c r="U2885" s="129" t="str">
        <f>IFERROR(IF(#REF!="S",VLOOKUP('Raw Data'!A2885,References!#REF!,2,FALSE),(VLOOKUP($S2885,References!$B$3:$C$7,2,FALSE))),"")</f>
        <v/>
      </c>
      <c r="W2885" s="74" t="str">
        <f>IFERROR(VLOOKUP($O2885,'Customer List'!$A$1:$J$488,10,FALSE),"")</f>
        <v/>
      </c>
    </row>
    <row r="2886" spans="18:23">
      <c r="R2886" s="127">
        <f t="shared" si="165"/>
        <v>0</v>
      </c>
      <c r="T2886" s="128">
        <f t="shared" si="164"/>
        <v>0</v>
      </c>
      <c r="U2886" s="129" t="str">
        <f>IFERROR(IF(#REF!="S",VLOOKUP('Raw Data'!A2886,References!#REF!,2,FALSE),(VLOOKUP($S2886,References!$B$3:$C$7,2,FALSE))),"")</f>
        <v/>
      </c>
      <c r="W2886" s="74" t="str">
        <f>IFERROR(VLOOKUP($O2886,'Customer List'!$A$1:$J$488,10,FALSE),"")</f>
        <v/>
      </c>
    </row>
    <row r="2887" spans="18:23">
      <c r="R2887" s="127">
        <f t="shared" si="165"/>
        <v>0</v>
      </c>
      <c r="T2887" s="128">
        <f t="shared" si="164"/>
        <v>0</v>
      </c>
      <c r="U2887" s="129" t="str">
        <f>IFERROR(IF(#REF!="S",VLOOKUP('Raw Data'!A2887,References!#REF!,2,FALSE),(VLOOKUP($S2887,References!$B$3:$C$7,2,FALSE))),"")</f>
        <v/>
      </c>
      <c r="W2887" s="74" t="str">
        <f>IFERROR(VLOOKUP($O2887,'Customer List'!$A$1:$J$488,10,FALSE),"")</f>
        <v/>
      </c>
    </row>
    <row r="2888" spans="18:23">
      <c r="R2888" s="127">
        <f t="shared" si="165"/>
        <v>0</v>
      </c>
      <c r="T2888" s="128">
        <f t="shared" si="164"/>
        <v>0</v>
      </c>
      <c r="U2888" s="129" t="str">
        <f>IFERROR(IF(#REF!="S",VLOOKUP('Raw Data'!A2888,References!#REF!,2,FALSE),(VLOOKUP($S2888,References!$B$3:$C$7,2,FALSE))),"")</f>
        <v/>
      </c>
      <c r="W2888" s="74" t="str">
        <f>IFERROR(VLOOKUP($O2888,'Customer List'!$A$1:$J$488,10,FALSE),"")</f>
        <v/>
      </c>
    </row>
    <row r="2889" spans="18:23">
      <c r="R2889" s="127">
        <f t="shared" si="165"/>
        <v>0</v>
      </c>
      <c r="T2889" s="128">
        <f t="shared" si="164"/>
        <v>0</v>
      </c>
      <c r="U2889" s="129" t="str">
        <f>IFERROR(IF(#REF!="S",VLOOKUP('Raw Data'!A2889,References!#REF!,2,FALSE),(VLOOKUP($S2889,References!$B$3:$C$7,2,FALSE))),"")</f>
        <v/>
      </c>
      <c r="W2889" s="74" t="str">
        <f>IFERROR(VLOOKUP($O2889,'Customer List'!$A$1:$J$488,10,FALSE),"")</f>
        <v/>
      </c>
    </row>
    <row r="2890" spans="18:23">
      <c r="R2890" s="127">
        <f t="shared" si="165"/>
        <v>0</v>
      </c>
      <c r="T2890" s="128">
        <f t="shared" ref="T2890:T2953" si="166">IF(S2890="50 - Cleaning Fee",1,HOUR($R2890)+MINUTE(R2890)/60)</f>
        <v>0</v>
      </c>
      <c r="U2890" s="129" t="str">
        <f>IFERROR(IF(#REF!="S",VLOOKUP('Raw Data'!A2890,References!#REF!,2,FALSE),(VLOOKUP($S2890,References!$B$3:$C$7,2,FALSE))),"")</f>
        <v/>
      </c>
      <c r="W2890" s="74" t="str">
        <f>IFERROR(VLOOKUP($O2890,'Customer List'!$A$1:$J$488,10,FALSE),"")</f>
        <v/>
      </c>
    </row>
    <row r="2891" spans="18:23">
      <c r="R2891" s="127">
        <f t="shared" si="165"/>
        <v>0</v>
      </c>
      <c r="T2891" s="128">
        <f t="shared" si="166"/>
        <v>0</v>
      </c>
      <c r="U2891" s="129" t="str">
        <f>IFERROR(IF(#REF!="S",VLOOKUP('Raw Data'!A2891,References!#REF!,2,FALSE),(VLOOKUP($S2891,References!$B$3:$C$7,2,FALSE))),"")</f>
        <v/>
      </c>
      <c r="W2891" s="74" t="str">
        <f>IFERROR(VLOOKUP($O2891,'Customer List'!$A$1:$J$488,10,FALSE),"")</f>
        <v/>
      </c>
    </row>
    <row r="2892" spans="18:23">
      <c r="R2892" s="127">
        <f t="shared" si="165"/>
        <v>0</v>
      </c>
      <c r="T2892" s="128">
        <f t="shared" si="166"/>
        <v>0</v>
      </c>
      <c r="U2892" s="129" t="str">
        <f>IFERROR(IF(#REF!="S",VLOOKUP('Raw Data'!A2892,References!#REF!,2,FALSE),(VLOOKUP($S2892,References!$B$3:$C$7,2,FALSE))),"")</f>
        <v/>
      </c>
      <c r="W2892" s="74" t="str">
        <f>IFERROR(VLOOKUP($O2892,'Customer List'!$A$1:$J$488,10,FALSE),"")</f>
        <v/>
      </c>
    </row>
    <row r="2893" spans="18:23">
      <c r="R2893" s="127">
        <f t="shared" si="165"/>
        <v>0</v>
      </c>
      <c r="T2893" s="128">
        <f t="shared" si="166"/>
        <v>0</v>
      </c>
      <c r="U2893" s="129" t="str">
        <f>IFERROR(IF(#REF!="S",VLOOKUP('Raw Data'!A2893,References!#REF!,2,FALSE),(VLOOKUP($S2893,References!$B$3:$C$7,2,FALSE))),"")</f>
        <v/>
      </c>
      <c r="W2893" s="74" t="str">
        <f>IFERROR(VLOOKUP($O2893,'Customer List'!$A$1:$J$488,10,FALSE),"")</f>
        <v/>
      </c>
    </row>
    <row r="2894" spans="18:23">
      <c r="R2894" s="127">
        <f t="shared" si="165"/>
        <v>0</v>
      </c>
      <c r="T2894" s="128">
        <f t="shared" si="166"/>
        <v>0</v>
      </c>
      <c r="U2894" s="129" t="str">
        <f>IFERROR(IF(#REF!="S",VLOOKUP('Raw Data'!A2894,References!#REF!,2,FALSE),(VLOOKUP($S2894,References!$B$3:$C$7,2,FALSE))),"")</f>
        <v/>
      </c>
      <c r="W2894" s="74" t="str">
        <f>IFERROR(VLOOKUP($O2894,'Customer List'!$A$1:$J$488,10,FALSE),"")</f>
        <v/>
      </c>
    </row>
    <row r="2895" spans="18:23">
      <c r="R2895" s="127">
        <f t="shared" si="165"/>
        <v>0</v>
      </c>
      <c r="T2895" s="128">
        <f t="shared" si="166"/>
        <v>0</v>
      </c>
      <c r="U2895" s="129" t="str">
        <f>IFERROR(IF(#REF!="S",VLOOKUP('Raw Data'!A2895,References!#REF!,2,FALSE),(VLOOKUP($S2895,References!$B$3:$C$7,2,FALSE))),"")</f>
        <v/>
      </c>
      <c r="W2895" s="74" t="str">
        <f>IFERROR(VLOOKUP($O2895,'Customer List'!$A$1:$J$488,10,FALSE),"")</f>
        <v/>
      </c>
    </row>
    <row r="2896" spans="18:23">
      <c r="R2896" s="127">
        <f t="shared" si="165"/>
        <v>0</v>
      </c>
      <c r="T2896" s="128">
        <f t="shared" si="166"/>
        <v>0</v>
      </c>
      <c r="U2896" s="129" t="str">
        <f>IFERROR(IF(#REF!="S",VLOOKUP('Raw Data'!A2896,References!#REF!,2,FALSE),(VLOOKUP($S2896,References!$B$3:$C$7,2,FALSE))),"")</f>
        <v/>
      </c>
      <c r="W2896" s="74" t="str">
        <f>IFERROR(VLOOKUP($O2896,'Customer List'!$A$1:$J$488,10,FALSE),"")</f>
        <v/>
      </c>
    </row>
    <row r="2897" spans="18:23">
      <c r="R2897" s="127">
        <f t="shared" si="165"/>
        <v>0</v>
      </c>
      <c r="T2897" s="128">
        <f t="shared" si="166"/>
        <v>0</v>
      </c>
      <c r="U2897" s="129" t="str">
        <f>IFERROR(IF(#REF!="S",VLOOKUP('Raw Data'!A2897,References!#REF!,2,FALSE),(VLOOKUP($S2897,References!$B$3:$C$7,2,FALSE))),"")</f>
        <v/>
      </c>
      <c r="W2897" s="74" t="str">
        <f>IFERROR(VLOOKUP($O2897,'Customer List'!$A$1:$J$488,10,FALSE),"")</f>
        <v/>
      </c>
    </row>
    <row r="2898" spans="18:23">
      <c r="R2898" s="127">
        <f t="shared" si="165"/>
        <v>0</v>
      </c>
      <c r="T2898" s="128">
        <f t="shared" si="166"/>
        <v>0</v>
      </c>
      <c r="U2898" s="129" t="str">
        <f>IFERROR(IF(#REF!="S",VLOOKUP('Raw Data'!A2898,References!#REF!,2,FALSE),(VLOOKUP($S2898,References!$B$3:$C$7,2,FALSE))),"")</f>
        <v/>
      </c>
      <c r="W2898" s="74" t="str">
        <f>IFERROR(VLOOKUP($O2898,'Customer List'!$A$1:$J$488,10,FALSE),"")</f>
        <v/>
      </c>
    </row>
    <row r="2899" spans="18:23">
      <c r="R2899" s="127">
        <f t="shared" si="165"/>
        <v>0</v>
      </c>
      <c r="T2899" s="128">
        <f t="shared" si="166"/>
        <v>0</v>
      </c>
      <c r="U2899" s="129" t="str">
        <f>IFERROR(IF(#REF!="S",VLOOKUP('Raw Data'!A2899,References!#REF!,2,FALSE),(VLOOKUP($S2899,References!$B$3:$C$7,2,FALSE))),"")</f>
        <v/>
      </c>
      <c r="W2899" s="74" t="str">
        <f>IFERROR(VLOOKUP($O2899,'Customer List'!$A$1:$J$488,10,FALSE),"")</f>
        <v/>
      </c>
    </row>
    <row r="2900" spans="18:23">
      <c r="R2900" s="127">
        <f t="shared" si="165"/>
        <v>0</v>
      </c>
      <c r="T2900" s="128">
        <f t="shared" si="166"/>
        <v>0</v>
      </c>
      <c r="U2900" s="129" t="str">
        <f>IFERROR(IF(#REF!="S",VLOOKUP('Raw Data'!A2900,References!#REF!,2,FALSE),(VLOOKUP($S2900,References!$B$3:$C$7,2,FALSE))),"")</f>
        <v/>
      </c>
      <c r="W2900" s="74" t="str">
        <f>IFERROR(VLOOKUP($O2900,'Customer List'!$A$1:$J$488,10,FALSE),"")</f>
        <v/>
      </c>
    </row>
    <row r="2901" spans="18:23">
      <c r="R2901" s="127">
        <f t="shared" si="165"/>
        <v>0</v>
      </c>
      <c r="T2901" s="128">
        <f t="shared" si="166"/>
        <v>0</v>
      </c>
      <c r="U2901" s="129" t="str">
        <f>IFERROR(IF(#REF!="S",VLOOKUP('Raw Data'!A2901,References!#REF!,2,FALSE),(VLOOKUP($S2901,References!$B$3:$C$7,2,FALSE))),"")</f>
        <v/>
      </c>
      <c r="W2901" s="74" t="str">
        <f>IFERROR(VLOOKUP($O2901,'Customer List'!$A$1:$J$488,10,FALSE),"")</f>
        <v/>
      </c>
    </row>
    <row r="2902" spans="18:23">
      <c r="R2902" s="127">
        <f t="shared" si="165"/>
        <v>0</v>
      </c>
      <c r="T2902" s="128">
        <f t="shared" si="166"/>
        <v>0</v>
      </c>
      <c r="U2902" s="129" t="str">
        <f>IFERROR(IF(#REF!="S",VLOOKUP('Raw Data'!A2902,References!#REF!,2,FALSE),(VLOOKUP($S2902,References!$B$3:$C$7,2,FALSE))),"")</f>
        <v/>
      </c>
      <c r="W2902" s="74" t="str">
        <f>IFERROR(VLOOKUP($O2902,'Customer List'!$A$1:$J$488,10,FALSE),"")</f>
        <v/>
      </c>
    </row>
    <row r="2903" spans="18:23">
      <c r="R2903" s="127">
        <f t="shared" si="165"/>
        <v>0</v>
      </c>
      <c r="T2903" s="128">
        <f t="shared" si="166"/>
        <v>0</v>
      </c>
      <c r="U2903" s="129" t="str">
        <f>IFERROR(IF(#REF!="S",VLOOKUP('Raw Data'!A2903,References!#REF!,2,FALSE),(VLOOKUP($S2903,References!$B$3:$C$7,2,FALSE))),"")</f>
        <v/>
      </c>
      <c r="W2903" s="74" t="str">
        <f>IFERROR(VLOOKUP($O2903,'Customer List'!$A$1:$J$488,10,FALSE),"")</f>
        <v/>
      </c>
    </row>
    <row r="2904" spans="18:23">
      <c r="R2904" s="127">
        <f t="shared" si="165"/>
        <v>0</v>
      </c>
      <c r="T2904" s="128">
        <f t="shared" si="166"/>
        <v>0</v>
      </c>
      <c r="U2904" s="129" t="str">
        <f>IFERROR(IF(#REF!="S",VLOOKUP('Raw Data'!A2904,References!#REF!,2,FALSE),(VLOOKUP($S2904,References!$B$3:$C$7,2,FALSE))),"")</f>
        <v/>
      </c>
      <c r="W2904" s="74" t="str">
        <f>IFERROR(VLOOKUP($O2904,'Customer List'!$A$1:$J$488,10,FALSE),"")</f>
        <v/>
      </c>
    </row>
    <row r="2905" spans="18:23">
      <c r="R2905" s="127">
        <f t="shared" si="165"/>
        <v>0</v>
      </c>
      <c r="T2905" s="128">
        <f t="shared" si="166"/>
        <v>0</v>
      </c>
      <c r="U2905" s="129" t="str">
        <f>IFERROR(IF(#REF!="S",VLOOKUP('Raw Data'!A2905,References!#REF!,2,FALSE),(VLOOKUP($S2905,References!$B$3:$C$7,2,FALSE))),"")</f>
        <v/>
      </c>
      <c r="W2905" s="74" t="str">
        <f>IFERROR(VLOOKUP($O2905,'Customer List'!$A$1:$J$488,10,FALSE),"")</f>
        <v/>
      </c>
    </row>
    <row r="2906" spans="18:23">
      <c r="R2906" s="127">
        <f t="shared" si="165"/>
        <v>0</v>
      </c>
      <c r="T2906" s="128">
        <f t="shared" si="166"/>
        <v>0</v>
      </c>
      <c r="U2906" s="129" t="str">
        <f>IFERROR(IF(#REF!="S",VLOOKUP('Raw Data'!A2906,References!#REF!,2,FALSE),(VLOOKUP($S2906,References!$B$3:$C$7,2,FALSE))),"")</f>
        <v/>
      </c>
      <c r="W2906" s="74" t="str">
        <f>IFERROR(VLOOKUP($O2906,'Customer List'!$A$1:$J$488,10,FALSE),"")</f>
        <v/>
      </c>
    </row>
    <row r="2907" spans="18:23">
      <c r="R2907" s="127">
        <f t="shared" si="165"/>
        <v>0</v>
      </c>
      <c r="T2907" s="128">
        <f t="shared" si="166"/>
        <v>0</v>
      </c>
      <c r="U2907" s="129" t="str">
        <f>IFERROR(IF(#REF!="S",VLOOKUP('Raw Data'!A2907,References!#REF!,2,FALSE),(VLOOKUP($S2907,References!$B$3:$C$7,2,FALSE))),"")</f>
        <v/>
      </c>
      <c r="W2907" s="74" t="str">
        <f>IFERROR(VLOOKUP($O2907,'Customer List'!$A$1:$J$488,10,FALSE),"")</f>
        <v/>
      </c>
    </row>
    <row r="2908" spans="18:23">
      <c r="R2908" s="127">
        <f t="shared" si="165"/>
        <v>0</v>
      </c>
      <c r="T2908" s="128">
        <f t="shared" si="166"/>
        <v>0</v>
      </c>
      <c r="U2908" s="129" t="str">
        <f>IFERROR(IF(#REF!="S",VLOOKUP('Raw Data'!A2908,References!#REF!,2,FALSE),(VLOOKUP($S2908,References!$B$3:$C$7,2,FALSE))),"")</f>
        <v/>
      </c>
      <c r="W2908" s="74" t="str">
        <f>IFERROR(VLOOKUP($O2908,'Customer List'!$A$1:$J$488,10,FALSE),"")</f>
        <v/>
      </c>
    </row>
    <row r="2909" spans="18:23">
      <c r="R2909" s="127">
        <f t="shared" si="165"/>
        <v>0</v>
      </c>
      <c r="T2909" s="128">
        <f t="shared" si="166"/>
        <v>0</v>
      </c>
      <c r="U2909" s="129" t="str">
        <f>IFERROR(IF(#REF!="S",VLOOKUP('Raw Data'!A2909,References!#REF!,2,FALSE),(VLOOKUP($S2909,References!$B$3:$C$7,2,FALSE))),"")</f>
        <v/>
      </c>
      <c r="W2909" s="74" t="str">
        <f>IFERROR(VLOOKUP($O2909,'Customer List'!$A$1:$J$488,10,FALSE),"")</f>
        <v/>
      </c>
    </row>
    <row r="2910" spans="18:23">
      <c r="R2910" s="127">
        <f t="shared" si="165"/>
        <v>0</v>
      </c>
      <c r="T2910" s="128">
        <f t="shared" si="166"/>
        <v>0</v>
      </c>
      <c r="U2910" s="129" t="str">
        <f>IFERROR(IF(#REF!="S",VLOOKUP('Raw Data'!A2910,References!#REF!,2,FALSE),(VLOOKUP($S2910,References!$B$3:$C$7,2,FALSE))),"")</f>
        <v/>
      </c>
      <c r="W2910" s="74" t="str">
        <f>IFERROR(VLOOKUP($O2910,'Customer List'!$A$1:$J$488,10,FALSE),"")</f>
        <v/>
      </c>
    </row>
    <row r="2911" spans="18:23">
      <c r="R2911" s="127">
        <f t="shared" si="165"/>
        <v>0</v>
      </c>
      <c r="T2911" s="128">
        <f t="shared" si="166"/>
        <v>0</v>
      </c>
      <c r="U2911" s="129" t="str">
        <f>IFERROR(IF(#REF!="S",VLOOKUP('Raw Data'!A2911,References!#REF!,2,FALSE),(VLOOKUP($S2911,References!$B$3:$C$7,2,FALSE))),"")</f>
        <v/>
      </c>
      <c r="W2911" s="74" t="str">
        <f>IFERROR(VLOOKUP($O2911,'Customer List'!$A$1:$J$488,10,FALSE),"")</f>
        <v/>
      </c>
    </row>
    <row r="2912" spans="18:23">
      <c r="R2912" s="127">
        <f t="shared" si="165"/>
        <v>0</v>
      </c>
      <c r="T2912" s="128">
        <f t="shared" si="166"/>
        <v>0</v>
      </c>
      <c r="U2912" s="129" t="str">
        <f>IFERROR(IF(#REF!="S",VLOOKUP('Raw Data'!A2912,References!#REF!,2,FALSE),(VLOOKUP($S2912,References!$B$3:$C$7,2,FALSE))),"")</f>
        <v/>
      </c>
      <c r="W2912" s="74" t="str">
        <f>IFERROR(VLOOKUP($O2912,'Customer List'!$A$1:$J$488,10,FALSE),"")</f>
        <v/>
      </c>
    </row>
    <row r="2913" spans="18:23">
      <c r="R2913" s="127">
        <f t="shared" si="165"/>
        <v>0</v>
      </c>
      <c r="T2913" s="128">
        <f t="shared" si="166"/>
        <v>0</v>
      </c>
      <c r="U2913" s="129" t="str">
        <f>IFERROR(IF(#REF!="S",VLOOKUP('Raw Data'!A2913,References!#REF!,2,FALSE),(VLOOKUP($S2913,References!$B$3:$C$7,2,FALSE))),"")</f>
        <v/>
      </c>
      <c r="W2913" s="74" t="str">
        <f>IFERROR(VLOOKUP($O2913,'Customer List'!$A$1:$J$488,10,FALSE),"")</f>
        <v/>
      </c>
    </row>
    <row r="2914" spans="18:23">
      <c r="R2914" s="127">
        <f t="shared" ref="R2914:R2977" si="167">L2914-K2914</f>
        <v>0</v>
      </c>
      <c r="T2914" s="128">
        <f t="shared" si="166"/>
        <v>0</v>
      </c>
      <c r="U2914" s="129" t="str">
        <f>IFERROR(IF(#REF!="S",VLOOKUP('Raw Data'!A2914,References!#REF!,2,FALSE),(VLOOKUP($S2914,References!$B$3:$C$7,2,FALSE))),"")</f>
        <v/>
      </c>
      <c r="W2914" s="74" t="str">
        <f>IFERROR(VLOOKUP($O2914,'Customer List'!$A$1:$J$488,10,FALSE),"")</f>
        <v/>
      </c>
    </row>
    <row r="2915" spans="18:23">
      <c r="R2915" s="127">
        <f t="shared" si="167"/>
        <v>0</v>
      </c>
      <c r="T2915" s="128">
        <f t="shared" si="166"/>
        <v>0</v>
      </c>
      <c r="U2915" s="129" t="str">
        <f>IFERROR(IF(#REF!="S",VLOOKUP('Raw Data'!A2915,References!#REF!,2,FALSE),(VLOOKUP($S2915,References!$B$3:$C$7,2,FALSE))),"")</f>
        <v/>
      </c>
      <c r="W2915" s="74" t="str">
        <f>IFERROR(VLOOKUP($O2915,'Customer List'!$A$1:$J$488,10,FALSE),"")</f>
        <v/>
      </c>
    </row>
    <row r="2916" spans="18:23">
      <c r="R2916" s="127">
        <f t="shared" si="167"/>
        <v>0</v>
      </c>
      <c r="T2916" s="128">
        <f t="shared" si="166"/>
        <v>0</v>
      </c>
      <c r="U2916" s="129" t="str">
        <f>IFERROR(IF(#REF!="S",VLOOKUP('Raw Data'!A2916,References!#REF!,2,FALSE),(VLOOKUP($S2916,References!$B$3:$C$7,2,FALSE))),"")</f>
        <v/>
      </c>
      <c r="W2916" s="74" t="str">
        <f>IFERROR(VLOOKUP($O2916,'Customer List'!$A$1:$J$488,10,FALSE),"")</f>
        <v/>
      </c>
    </row>
    <row r="2917" spans="18:23">
      <c r="R2917" s="127">
        <f t="shared" si="167"/>
        <v>0</v>
      </c>
      <c r="T2917" s="128">
        <f t="shared" si="166"/>
        <v>0</v>
      </c>
      <c r="U2917" s="129" t="str">
        <f>IFERROR(IF(#REF!="S",VLOOKUP('Raw Data'!A2917,References!#REF!,2,FALSE),(VLOOKUP($S2917,References!$B$3:$C$7,2,FALSE))),"")</f>
        <v/>
      </c>
      <c r="W2917" s="74" t="str">
        <f>IFERROR(VLOOKUP($O2917,'Customer List'!$A$1:$J$488,10,FALSE),"")</f>
        <v/>
      </c>
    </row>
    <row r="2918" spans="18:23">
      <c r="R2918" s="127">
        <f t="shared" si="167"/>
        <v>0</v>
      </c>
      <c r="T2918" s="128">
        <f t="shared" si="166"/>
        <v>0</v>
      </c>
      <c r="U2918" s="129" t="str">
        <f>IFERROR(IF(#REF!="S",VLOOKUP('Raw Data'!A2918,References!#REF!,2,FALSE),(VLOOKUP($S2918,References!$B$3:$C$7,2,FALSE))),"")</f>
        <v/>
      </c>
      <c r="W2918" s="74" t="str">
        <f>IFERROR(VLOOKUP($O2918,'Customer List'!$A$1:$J$488,10,FALSE),"")</f>
        <v/>
      </c>
    </row>
    <row r="2919" spans="18:23">
      <c r="R2919" s="127">
        <f t="shared" si="167"/>
        <v>0</v>
      </c>
      <c r="T2919" s="128">
        <f t="shared" si="166"/>
        <v>0</v>
      </c>
      <c r="U2919" s="129" t="str">
        <f>IFERROR(IF(#REF!="S",VLOOKUP('Raw Data'!A2919,References!#REF!,2,FALSE),(VLOOKUP($S2919,References!$B$3:$C$7,2,FALSE))),"")</f>
        <v/>
      </c>
      <c r="W2919" s="74" t="str">
        <f>IFERROR(VLOOKUP($O2919,'Customer List'!$A$1:$J$488,10,FALSE),"")</f>
        <v/>
      </c>
    </row>
    <row r="2920" spans="18:23">
      <c r="R2920" s="127">
        <f t="shared" si="167"/>
        <v>0</v>
      </c>
      <c r="T2920" s="128">
        <f t="shared" si="166"/>
        <v>0</v>
      </c>
      <c r="U2920" s="129" t="str">
        <f>IFERROR(IF(#REF!="S",VLOOKUP('Raw Data'!A2920,References!#REF!,2,FALSE),(VLOOKUP($S2920,References!$B$3:$C$7,2,FALSE))),"")</f>
        <v/>
      </c>
      <c r="W2920" s="74" t="str">
        <f>IFERROR(VLOOKUP($O2920,'Customer List'!$A$1:$J$488,10,FALSE),"")</f>
        <v/>
      </c>
    </row>
    <row r="2921" spans="18:23">
      <c r="R2921" s="127">
        <f t="shared" si="167"/>
        <v>0</v>
      </c>
      <c r="T2921" s="128">
        <f t="shared" si="166"/>
        <v>0</v>
      </c>
      <c r="U2921" s="129" t="str">
        <f>IFERROR(IF(#REF!="S",VLOOKUP('Raw Data'!A2921,References!#REF!,2,FALSE),(VLOOKUP($S2921,References!$B$3:$C$7,2,FALSE))),"")</f>
        <v/>
      </c>
      <c r="W2921" s="74" t="str">
        <f>IFERROR(VLOOKUP($O2921,'Customer List'!$A$1:$J$488,10,FALSE),"")</f>
        <v/>
      </c>
    </row>
    <row r="2922" spans="18:23">
      <c r="R2922" s="127">
        <f t="shared" si="167"/>
        <v>0</v>
      </c>
      <c r="T2922" s="128">
        <f t="shared" si="166"/>
        <v>0</v>
      </c>
      <c r="U2922" s="129" t="str">
        <f>IFERROR(IF(#REF!="S",VLOOKUP('Raw Data'!A2922,References!#REF!,2,FALSE),(VLOOKUP($S2922,References!$B$3:$C$7,2,FALSE))),"")</f>
        <v/>
      </c>
      <c r="W2922" s="74" t="str">
        <f>IFERROR(VLOOKUP($O2922,'Customer List'!$A$1:$J$488,10,FALSE),"")</f>
        <v/>
      </c>
    </row>
    <row r="2923" spans="18:23">
      <c r="R2923" s="127">
        <f t="shared" si="167"/>
        <v>0</v>
      </c>
      <c r="T2923" s="128">
        <f t="shared" si="166"/>
        <v>0</v>
      </c>
      <c r="U2923" s="129" t="str">
        <f>IFERROR(IF(#REF!="S",VLOOKUP('Raw Data'!A2923,References!#REF!,2,FALSE),(VLOOKUP($S2923,References!$B$3:$C$7,2,FALSE))),"")</f>
        <v/>
      </c>
      <c r="W2923" s="74" t="str">
        <f>IFERROR(VLOOKUP($O2923,'Customer List'!$A$1:$J$488,10,FALSE),"")</f>
        <v/>
      </c>
    </row>
    <row r="2924" spans="18:23">
      <c r="R2924" s="127">
        <f t="shared" si="167"/>
        <v>0</v>
      </c>
      <c r="T2924" s="128">
        <f t="shared" si="166"/>
        <v>0</v>
      </c>
      <c r="U2924" s="129" t="str">
        <f>IFERROR(IF(#REF!="S",VLOOKUP('Raw Data'!A2924,References!#REF!,2,FALSE),(VLOOKUP($S2924,References!$B$3:$C$7,2,FALSE))),"")</f>
        <v/>
      </c>
      <c r="W2924" s="74" t="str">
        <f>IFERROR(VLOOKUP($O2924,'Customer List'!$A$1:$J$488,10,FALSE),"")</f>
        <v/>
      </c>
    </row>
    <row r="2925" spans="18:23">
      <c r="R2925" s="127">
        <f t="shared" si="167"/>
        <v>0</v>
      </c>
      <c r="T2925" s="128">
        <f t="shared" si="166"/>
        <v>0</v>
      </c>
      <c r="U2925" s="129" t="str">
        <f>IFERROR(IF(#REF!="S",VLOOKUP('Raw Data'!A2925,References!#REF!,2,FALSE),(VLOOKUP($S2925,References!$B$3:$C$7,2,FALSE))),"")</f>
        <v/>
      </c>
      <c r="W2925" s="74" t="str">
        <f>IFERROR(VLOOKUP($O2925,'Customer List'!$A$1:$J$488,10,FALSE),"")</f>
        <v/>
      </c>
    </row>
    <row r="2926" spans="18:23">
      <c r="R2926" s="127">
        <f t="shared" si="167"/>
        <v>0</v>
      </c>
      <c r="T2926" s="128">
        <f t="shared" si="166"/>
        <v>0</v>
      </c>
      <c r="U2926" s="129" t="str">
        <f>IFERROR(IF(#REF!="S",VLOOKUP('Raw Data'!A2926,References!#REF!,2,FALSE),(VLOOKUP($S2926,References!$B$3:$C$7,2,FALSE))),"")</f>
        <v/>
      </c>
      <c r="W2926" s="74" t="str">
        <f>IFERROR(VLOOKUP($O2926,'Customer List'!$A$1:$J$488,10,FALSE),"")</f>
        <v/>
      </c>
    </row>
    <row r="2927" spans="18:23">
      <c r="R2927" s="127">
        <f t="shared" si="167"/>
        <v>0</v>
      </c>
      <c r="T2927" s="128">
        <f t="shared" si="166"/>
        <v>0</v>
      </c>
      <c r="U2927" s="129" t="str">
        <f>IFERROR(IF(#REF!="S",VLOOKUP('Raw Data'!A2927,References!#REF!,2,FALSE),(VLOOKUP($S2927,References!$B$3:$C$7,2,FALSE))),"")</f>
        <v/>
      </c>
      <c r="W2927" s="74" t="str">
        <f>IFERROR(VLOOKUP($O2927,'Customer List'!$A$1:$J$488,10,FALSE),"")</f>
        <v/>
      </c>
    </row>
    <row r="2928" spans="18:23">
      <c r="R2928" s="127">
        <f t="shared" si="167"/>
        <v>0</v>
      </c>
      <c r="T2928" s="128">
        <f t="shared" si="166"/>
        <v>0</v>
      </c>
      <c r="U2928" s="129" t="str">
        <f>IFERROR(IF(#REF!="S",VLOOKUP('Raw Data'!A2928,References!#REF!,2,FALSE),(VLOOKUP($S2928,References!$B$3:$C$7,2,FALSE))),"")</f>
        <v/>
      </c>
      <c r="W2928" s="74" t="str">
        <f>IFERROR(VLOOKUP($O2928,'Customer List'!$A$1:$J$488,10,FALSE),"")</f>
        <v/>
      </c>
    </row>
    <row r="2929" spans="18:23">
      <c r="R2929" s="127">
        <f t="shared" si="167"/>
        <v>0</v>
      </c>
      <c r="T2929" s="128">
        <f t="shared" si="166"/>
        <v>0</v>
      </c>
      <c r="U2929" s="129" t="str">
        <f>IFERROR(IF(#REF!="S",VLOOKUP('Raw Data'!A2929,References!#REF!,2,FALSE),(VLOOKUP($S2929,References!$B$3:$C$7,2,FALSE))),"")</f>
        <v/>
      </c>
      <c r="W2929" s="74" t="str">
        <f>IFERROR(VLOOKUP($O2929,'Customer List'!$A$1:$J$488,10,FALSE),"")</f>
        <v/>
      </c>
    </row>
    <row r="2930" spans="18:23">
      <c r="R2930" s="127">
        <f t="shared" si="167"/>
        <v>0</v>
      </c>
      <c r="T2930" s="128">
        <f t="shared" si="166"/>
        <v>0</v>
      </c>
      <c r="U2930" s="129" t="str">
        <f>IFERROR(IF(#REF!="S",VLOOKUP('Raw Data'!A2930,References!#REF!,2,FALSE),(VLOOKUP($S2930,References!$B$3:$C$7,2,FALSE))),"")</f>
        <v/>
      </c>
      <c r="W2930" s="74" t="str">
        <f>IFERROR(VLOOKUP($O2930,'Customer List'!$A$1:$J$488,10,FALSE),"")</f>
        <v/>
      </c>
    </row>
    <row r="2931" spans="18:23">
      <c r="R2931" s="127">
        <f t="shared" si="167"/>
        <v>0</v>
      </c>
      <c r="T2931" s="128">
        <f t="shared" si="166"/>
        <v>0</v>
      </c>
      <c r="U2931" s="129" t="str">
        <f>IFERROR(IF(#REF!="S",VLOOKUP('Raw Data'!A2931,References!#REF!,2,FALSE),(VLOOKUP($S2931,References!$B$3:$C$7,2,FALSE))),"")</f>
        <v/>
      </c>
      <c r="W2931" s="74" t="str">
        <f>IFERROR(VLOOKUP($O2931,'Customer List'!$A$1:$J$488,10,FALSE),"")</f>
        <v/>
      </c>
    </row>
    <row r="2932" spans="18:23">
      <c r="R2932" s="127">
        <f t="shared" si="167"/>
        <v>0</v>
      </c>
      <c r="T2932" s="128">
        <f t="shared" si="166"/>
        <v>0</v>
      </c>
      <c r="U2932" s="129" t="str">
        <f>IFERROR(IF(#REF!="S",VLOOKUP('Raw Data'!A2932,References!#REF!,2,FALSE),(VLOOKUP($S2932,References!$B$3:$C$7,2,FALSE))),"")</f>
        <v/>
      </c>
      <c r="W2932" s="74" t="str">
        <f>IFERROR(VLOOKUP($O2932,'Customer List'!$A$1:$J$488,10,FALSE),"")</f>
        <v/>
      </c>
    </row>
    <row r="2933" spans="18:23">
      <c r="R2933" s="127">
        <f t="shared" si="167"/>
        <v>0</v>
      </c>
      <c r="T2933" s="128">
        <f t="shared" si="166"/>
        <v>0</v>
      </c>
      <c r="U2933" s="129" t="str">
        <f>IFERROR(IF(#REF!="S",VLOOKUP('Raw Data'!A2933,References!#REF!,2,FALSE),(VLOOKUP($S2933,References!$B$3:$C$7,2,FALSE))),"")</f>
        <v/>
      </c>
      <c r="W2933" s="74" t="str">
        <f>IFERROR(VLOOKUP($O2933,'Customer List'!$A$1:$J$488,10,FALSE),"")</f>
        <v/>
      </c>
    </row>
    <row r="2934" spans="18:23">
      <c r="R2934" s="127">
        <f t="shared" si="167"/>
        <v>0</v>
      </c>
      <c r="T2934" s="128">
        <f t="shared" si="166"/>
        <v>0</v>
      </c>
      <c r="U2934" s="129" t="str">
        <f>IFERROR(IF(#REF!="S",VLOOKUP('Raw Data'!A2934,References!#REF!,2,FALSE),(VLOOKUP($S2934,References!$B$3:$C$7,2,FALSE))),"")</f>
        <v/>
      </c>
      <c r="W2934" s="74" t="str">
        <f>IFERROR(VLOOKUP($O2934,'Customer List'!$A$1:$J$488,10,FALSE),"")</f>
        <v/>
      </c>
    </row>
    <row r="2935" spans="18:23">
      <c r="R2935" s="127">
        <f t="shared" si="167"/>
        <v>0</v>
      </c>
      <c r="T2935" s="128">
        <f t="shared" si="166"/>
        <v>0</v>
      </c>
      <c r="U2935" s="129" t="str">
        <f>IFERROR(IF(#REF!="S",VLOOKUP('Raw Data'!A2935,References!#REF!,2,FALSE),(VLOOKUP($S2935,References!$B$3:$C$7,2,FALSE))),"")</f>
        <v/>
      </c>
      <c r="W2935" s="74" t="str">
        <f>IFERROR(VLOOKUP($O2935,'Customer List'!$A$1:$J$488,10,FALSE),"")</f>
        <v/>
      </c>
    </row>
    <row r="2936" spans="18:23">
      <c r="R2936" s="127">
        <f t="shared" si="167"/>
        <v>0</v>
      </c>
      <c r="T2936" s="128">
        <f t="shared" si="166"/>
        <v>0</v>
      </c>
      <c r="U2936" s="129" t="str">
        <f>IFERROR(IF(#REF!="S",VLOOKUP('Raw Data'!A2936,References!#REF!,2,FALSE),(VLOOKUP($S2936,References!$B$3:$C$7,2,FALSE))),"")</f>
        <v/>
      </c>
      <c r="W2936" s="74" t="str">
        <f>IFERROR(VLOOKUP($O2936,'Customer List'!$A$1:$J$488,10,FALSE),"")</f>
        <v/>
      </c>
    </row>
    <row r="2937" spans="18:23">
      <c r="R2937" s="127">
        <f t="shared" si="167"/>
        <v>0</v>
      </c>
      <c r="T2937" s="128">
        <f t="shared" si="166"/>
        <v>0</v>
      </c>
      <c r="U2937" s="129" t="str">
        <f>IFERROR(IF(#REF!="S",VLOOKUP('Raw Data'!A2937,References!#REF!,2,FALSE),(VLOOKUP($S2937,References!$B$3:$C$7,2,FALSE))),"")</f>
        <v/>
      </c>
      <c r="W2937" s="74" t="str">
        <f>IFERROR(VLOOKUP($O2937,'Customer List'!$A$1:$J$488,10,FALSE),"")</f>
        <v/>
      </c>
    </row>
    <row r="2938" spans="18:23">
      <c r="R2938" s="127">
        <f t="shared" si="167"/>
        <v>0</v>
      </c>
      <c r="T2938" s="128">
        <f t="shared" si="166"/>
        <v>0</v>
      </c>
      <c r="U2938" s="129" t="str">
        <f>IFERROR(IF(#REF!="S",VLOOKUP('Raw Data'!A2938,References!#REF!,2,FALSE),(VLOOKUP($S2938,References!$B$3:$C$7,2,FALSE))),"")</f>
        <v/>
      </c>
      <c r="W2938" s="74" t="str">
        <f>IFERROR(VLOOKUP($O2938,'Customer List'!$A$1:$J$488,10,FALSE),"")</f>
        <v/>
      </c>
    </row>
    <row r="2939" spans="18:23">
      <c r="R2939" s="127">
        <f t="shared" si="167"/>
        <v>0</v>
      </c>
      <c r="T2939" s="128">
        <f t="shared" si="166"/>
        <v>0</v>
      </c>
      <c r="U2939" s="129" t="str">
        <f>IFERROR(IF(#REF!="S",VLOOKUP('Raw Data'!A2939,References!#REF!,2,FALSE),(VLOOKUP($S2939,References!$B$3:$C$7,2,FALSE))),"")</f>
        <v/>
      </c>
      <c r="W2939" s="74" t="str">
        <f>IFERROR(VLOOKUP($O2939,'Customer List'!$A$1:$J$488,10,FALSE),"")</f>
        <v/>
      </c>
    </row>
    <row r="2940" spans="18:23">
      <c r="R2940" s="127">
        <f t="shared" si="167"/>
        <v>0</v>
      </c>
      <c r="T2940" s="128">
        <f t="shared" si="166"/>
        <v>0</v>
      </c>
      <c r="U2940" s="129" t="str">
        <f>IFERROR(IF(#REF!="S",VLOOKUP('Raw Data'!A2940,References!#REF!,2,FALSE),(VLOOKUP($S2940,References!$B$3:$C$7,2,FALSE))),"")</f>
        <v/>
      </c>
      <c r="W2940" s="74" t="str">
        <f>IFERROR(VLOOKUP($O2940,'Customer List'!$A$1:$J$488,10,FALSE),"")</f>
        <v/>
      </c>
    </row>
    <row r="2941" spans="18:23">
      <c r="R2941" s="127">
        <f t="shared" si="167"/>
        <v>0</v>
      </c>
      <c r="T2941" s="128">
        <f t="shared" si="166"/>
        <v>0</v>
      </c>
      <c r="U2941" s="129" t="str">
        <f>IFERROR(IF(#REF!="S",VLOOKUP('Raw Data'!A2941,References!#REF!,2,FALSE),(VLOOKUP($S2941,References!$B$3:$C$7,2,FALSE))),"")</f>
        <v/>
      </c>
      <c r="W2941" s="74" t="str">
        <f>IFERROR(VLOOKUP($O2941,'Customer List'!$A$1:$J$488,10,FALSE),"")</f>
        <v/>
      </c>
    </row>
    <row r="2942" spans="18:23">
      <c r="R2942" s="127">
        <f t="shared" si="167"/>
        <v>0</v>
      </c>
      <c r="T2942" s="128">
        <f t="shared" si="166"/>
        <v>0</v>
      </c>
      <c r="U2942" s="129" t="str">
        <f>IFERROR(IF(#REF!="S",VLOOKUP('Raw Data'!A2942,References!#REF!,2,FALSE),(VLOOKUP($S2942,References!$B$3:$C$7,2,FALSE))),"")</f>
        <v/>
      </c>
      <c r="W2942" s="74" t="str">
        <f>IFERROR(VLOOKUP($O2942,'Customer List'!$A$1:$J$488,10,FALSE),"")</f>
        <v/>
      </c>
    </row>
    <row r="2943" spans="18:23">
      <c r="R2943" s="127">
        <f t="shared" si="167"/>
        <v>0</v>
      </c>
      <c r="T2943" s="128">
        <f t="shared" si="166"/>
        <v>0</v>
      </c>
      <c r="U2943" s="129" t="str">
        <f>IFERROR(IF(#REF!="S",VLOOKUP('Raw Data'!A2943,References!#REF!,2,FALSE),(VLOOKUP($S2943,References!$B$3:$C$7,2,FALSE))),"")</f>
        <v/>
      </c>
      <c r="W2943" s="74" t="str">
        <f>IFERROR(VLOOKUP($O2943,'Customer List'!$A$1:$J$488,10,FALSE),"")</f>
        <v/>
      </c>
    </row>
    <row r="2944" spans="18:23">
      <c r="R2944" s="127">
        <f t="shared" si="167"/>
        <v>0</v>
      </c>
      <c r="T2944" s="128">
        <f t="shared" si="166"/>
        <v>0</v>
      </c>
      <c r="U2944" s="129" t="str">
        <f>IFERROR(IF(#REF!="S",VLOOKUP('Raw Data'!A2944,References!#REF!,2,FALSE),(VLOOKUP($S2944,References!$B$3:$C$7,2,FALSE))),"")</f>
        <v/>
      </c>
      <c r="W2944" s="74" t="str">
        <f>IFERROR(VLOOKUP($O2944,'Customer List'!$A$1:$J$488,10,FALSE),"")</f>
        <v/>
      </c>
    </row>
    <row r="2945" spans="18:23">
      <c r="R2945" s="127">
        <f t="shared" si="167"/>
        <v>0</v>
      </c>
      <c r="T2945" s="128">
        <f t="shared" si="166"/>
        <v>0</v>
      </c>
      <c r="U2945" s="129" t="str">
        <f>IFERROR(IF(#REF!="S",VLOOKUP('Raw Data'!A2945,References!#REF!,2,FALSE),(VLOOKUP($S2945,References!$B$3:$C$7,2,FALSE))),"")</f>
        <v/>
      </c>
      <c r="W2945" s="74" t="str">
        <f>IFERROR(VLOOKUP($O2945,'Customer List'!$A$1:$J$488,10,FALSE),"")</f>
        <v/>
      </c>
    </row>
    <row r="2946" spans="18:23">
      <c r="R2946" s="127">
        <f t="shared" si="167"/>
        <v>0</v>
      </c>
      <c r="T2946" s="128">
        <f t="shared" si="166"/>
        <v>0</v>
      </c>
      <c r="U2946" s="129" t="str">
        <f>IFERROR(IF(#REF!="S",VLOOKUP('Raw Data'!A2946,References!#REF!,2,FALSE),(VLOOKUP($S2946,References!$B$3:$C$7,2,FALSE))),"")</f>
        <v/>
      </c>
      <c r="W2946" s="74" t="str">
        <f>IFERROR(VLOOKUP($O2946,'Customer List'!$A$1:$J$488,10,FALSE),"")</f>
        <v/>
      </c>
    </row>
    <row r="2947" spans="18:23">
      <c r="R2947" s="127">
        <f t="shared" si="167"/>
        <v>0</v>
      </c>
      <c r="T2947" s="128">
        <f t="shared" si="166"/>
        <v>0</v>
      </c>
      <c r="U2947" s="129" t="str">
        <f>IFERROR(IF(#REF!="S",VLOOKUP('Raw Data'!A2947,References!#REF!,2,FALSE),(VLOOKUP($S2947,References!$B$3:$C$7,2,FALSE))),"")</f>
        <v/>
      </c>
      <c r="W2947" s="74" t="str">
        <f>IFERROR(VLOOKUP($O2947,'Customer List'!$A$1:$J$488,10,FALSE),"")</f>
        <v/>
      </c>
    </row>
    <row r="2948" spans="18:23">
      <c r="R2948" s="127">
        <f t="shared" si="167"/>
        <v>0</v>
      </c>
      <c r="T2948" s="128">
        <f t="shared" si="166"/>
        <v>0</v>
      </c>
      <c r="U2948" s="129" t="str">
        <f>IFERROR(IF(#REF!="S",VLOOKUP('Raw Data'!A2948,References!#REF!,2,FALSE),(VLOOKUP($S2948,References!$B$3:$C$7,2,FALSE))),"")</f>
        <v/>
      </c>
      <c r="W2948" s="74" t="str">
        <f>IFERROR(VLOOKUP($O2948,'Customer List'!$A$1:$J$488,10,FALSE),"")</f>
        <v/>
      </c>
    </row>
    <row r="2949" spans="18:23">
      <c r="R2949" s="127">
        <f t="shared" si="167"/>
        <v>0</v>
      </c>
      <c r="T2949" s="128">
        <f t="shared" si="166"/>
        <v>0</v>
      </c>
      <c r="U2949" s="129" t="str">
        <f>IFERROR(IF(#REF!="S",VLOOKUP('Raw Data'!A2949,References!#REF!,2,FALSE),(VLOOKUP($S2949,References!$B$3:$C$7,2,FALSE))),"")</f>
        <v/>
      </c>
      <c r="W2949" s="74" t="str">
        <f>IFERROR(VLOOKUP($O2949,'Customer List'!$A$1:$J$488,10,FALSE),"")</f>
        <v/>
      </c>
    </row>
    <row r="2950" spans="18:23">
      <c r="R2950" s="127">
        <f t="shared" si="167"/>
        <v>0</v>
      </c>
      <c r="T2950" s="128">
        <f t="shared" si="166"/>
        <v>0</v>
      </c>
      <c r="U2950" s="129" t="str">
        <f>IFERROR(IF(#REF!="S",VLOOKUP('Raw Data'!A2950,References!#REF!,2,FALSE),(VLOOKUP($S2950,References!$B$3:$C$7,2,FALSE))),"")</f>
        <v/>
      </c>
      <c r="W2950" s="74" t="str">
        <f>IFERROR(VLOOKUP($O2950,'Customer List'!$A$1:$J$488,10,FALSE),"")</f>
        <v/>
      </c>
    </row>
    <row r="2951" spans="18:23">
      <c r="R2951" s="127">
        <f t="shared" si="167"/>
        <v>0</v>
      </c>
      <c r="T2951" s="128">
        <f t="shared" si="166"/>
        <v>0</v>
      </c>
      <c r="U2951" s="129" t="str">
        <f>IFERROR(IF(#REF!="S",VLOOKUP('Raw Data'!A2951,References!#REF!,2,FALSE),(VLOOKUP($S2951,References!$B$3:$C$7,2,FALSE))),"")</f>
        <v/>
      </c>
      <c r="W2951" s="74" t="str">
        <f>IFERROR(VLOOKUP($O2951,'Customer List'!$A$1:$J$488,10,FALSE),"")</f>
        <v/>
      </c>
    </row>
    <row r="2952" spans="18:23">
      <c r="R2952" s="127">
        <f t="shared" si="167"/>
        <v>0</v>
      </c>
      <c r="T2952" s="128">
        <f t="shared" si="166"/>
        <v>0</v>
      </c>
      <c r="U2952" s="129" t="str">
        <f>IFERROR(IF(#REF!="S",VLOOKUP('Raw Data'!A2952,References!#REF!,2,FALSE),(VLOOKUP($S2952,References!$B$3:$C$7,2,FALSE))),"")</f>
        <v/>
      </c>
      <c r="W2952" s="74" t="str">
        <f>IFERROR(VLOOKUP($O2952,'Customer List'!$A$1:$J$488,10,FALSE),"")</f>
        <v/>
      </c>
    </row>
    <row r="2953" spans="18:23">
      <c r="R2953" s="127">
        <f t="shared" si="167"/>
        <v>0</v>
      </c>
      <c r="T2953" s="128">
        <f t="shared" si="166"/>
        <v>0</v>
      </c>
      <c r="U2953" s="129" t="str">
        <f>IFERROR(IF(#REF!="S",VLOOKUP('Raw Data'!A2953,References!#REF!,2,FALSE),(VLOOKUP($S2953,References!$B$3:$C$7,2,FALSE))),"")</f>
        <v/>
      </c>
      <c r="W2953" s="74" t="str">
        <f>IFERROR(VLOOKUP($O2953,'Customer List'!$A$1:$J$488,10,FALSE),"")</f>
        <v/>
      </c>
    </row>
    <row r="2954" spans="18:23">
      <c r="R2954" s="127">
        <f t="shared" si="167"/>
        <v>0</v>
      </c>
      <c r="T2954" s="128">
        <f t="shared" ref="T2954:T3017" si="168">IF(S2954="50 - Cleaning Fee",1,HOUR($R2954)+MINUTE(R2954)/60)</f>
        <v>0</v>
      </c>
      <c r="U2954" s="129" t="str">
        <f>IFERROR(IF(#REF!="S",VLOOKUP('Raw Data'!A2954,References!#REF!,2,FALSE),(VLOOKUP($S2954,References!$B$3:$C$7,2,FALSE))),"")</f>
        <v/>
      </c>
      <c r="W2954" s="74" t="str">
        <f>IFERROR(VLOOKUP($O2954,'Customer List'!$A$1:$J$488,10,FALSE),"")</f>
        <v/>
      </c>
    </row>
    <row r="2955" spans="18:23">
      <c r="R2955" s="127">
        <f t="shared" si="167"/>
        <v>0</v>
      </c>
      <c r="T2955" s="128">
        <f t="shared" si="168"/>
        <v>0</v>
      </c>
      <c r="U2955" s="129" t="str">
        <f>IFERROR(IF(#REF!="S",VLOOKUP('Raw Data'!A2955,References!#REF!,2,FALSE),(VLOOKUP($S2955,References!$B$3:$C$7,2,FALSE))),"")</f>
        <v/>
      </c>
      <c r="W2955" s="74" t="str">
        <f>IFERROR(VLOOKUP($O2955,'Customer List'!$A$1:$J$488,10,FALSE),"")</f>
        <v/>
      </c>
    </row>
    <row r="2956" spans="18:23">
      <c r="R2956" s="127">
        <f t="shared" si="167"/>
        <v>0</v>
      </c>
      <c r="T2956" s="128">
        <f t="shared" si="168"/>
        <v>0</v>
      </c>
      <c r="U2956" s="129" t="str">
        <f>IFERROR(IF(#REF!="S",VLOOKUP('Raw Data'!A2956,References!#REF!,2,FALSE),(VLOOKUP($S2956,References!$B$3:$C$7,2,FALSE))),"")</f>
        <v/>
      </c>
      <c r="W2956" s="74" t="str">
        <f>IFERROR(VLOOKUP($O2956,'Customer List'!$A$1:$J$488,10,FALSE),"")</f>
        <v/>
      </c>
    </row>
    <row r="2957" spans="18:23">
      <c r="R2957" s="127">
        <f t="shared" si="167"/>
        <v>0</v>
      </c>
      <c r="T2957" s="128">
        <f t="shared" si="168"/>
        <v>0</v>
      </c>
      <c r="U2957" s="129" t="str">
        <f>IFERROR(IF(#REF!="S",VLOOKUP('Raw Data'!A2957,References!#REF!,2,FALSE),(VLOOKUP($S2957,References!$B$3:$C$7,2,FALSE))),"")</f>
        <v/>
      </c>
      <c r="W2957" s="74" t="str">
        <f>IFERROR(VLOOKUP($O2957,'Customer List'!$A$1:$J$488,10,FALSE),"")</f>
        <v/>
      </c>
    </row>
    <row r="2958" spans="18:23">
      <c r="R2958" s="127">
        <f t="shared" si="167"/>
        <v>0</v>
      </c>
      <c r="T2958" s="128">
        <f t="shared" si="168"/>
        <v>0</v>
      </c>
      <c r="U2958" s="129" t="str">
        <f>IFERROR(IF(#REF!="S",VLOOKUP('Raw Data'!A2958,References!#REF!,2,FALSE),(VLOOKUP($S2958,References!$B$3:$C$7,2,FALSE))),"")</f>
        <v/>
      </c>
      <c r="W2958" s="74" t="str">
        <f>IFERROR(VLOOKUP($O2958,'Customer List'!$A$1:$J$488,10,FALSE),"")</f>
        <v/>
      </c>
    </row>
    <row r="2959" spans="18:23">
      <c r="R2959" s="127">
        <f t="shared" si="167"/>
        <v>0</v>
      </c>
      <c r="T2959" s="128">
        <f t="shared" si="168"/>
        <v>0</v>
      </c>
      <c r="U2959" s="129" t="str">
        <f>IFERROR(IF(#REF!="S",VLOOKUP('Raw Data'!A2959,References!#REF!,2,FALSE),(VLOOKUP($S2959,References!$B$3:$C$7,2,FALSE))),"")</f>
        <v/>
      </c>
      <c r="W2959" s="74" t="str">
        <f>IFERROR(VLOOKUP($O2959,'Customer List'!$A$1:$J$488,10,FALSE),"")</f>
        <v/>
      </c>
    </row>
    <row r="2960" spans="18:23">
      <c r="R2960" s="127">
        <f t="shared" si="167"/>
        <v>0</v>
      </c>
      <c r="T2960" s="128">
        <f t="shared" si="168"/>
        <v>0</v>
      </c>
      <c r="U2960" s="129" t="str">
        <f>IFERROR(IF(#REF!="S",VLOOKUP('Raw Data'!A2960,References!#REF!,2,FALSE),(VLOOKUP($S2960,References!$B$3:$C$7,2,FALSE))),"")</f>
        <v/>
      </c>
      <c r="W2960" s="74" t="str">
        <f>IFERROR(VLOOKUP($O2960,'Customer List'!$A$1:$J$488,10,FALSE),"")</f>
        <v/>
      </c>
    </row>
    <row r="2961" spans="18:23">
      <c r="R2961" s="127">
        <f t="shared" si="167"/>
        <v>0</v>
      </c>
      <c r="T2961" s="128">
        <f t="shared" si="168"/>
        <v>0</v>
      </c>
      <c r="U2961" s="129" t="str">
        <f>IFERROR(IF(#REF!="S",VLOOKUP('Raw Data'!A2961,References!#REF!,2,FALSE),(VLOOKUP($S2961,References!$B$3:$C$7,2,FALSE))),"")</f>
        <v/>
      </c>
      <c r="W2961" s="74" t="str">
        <f>IFERROR(VLOOKUP($O2961,'Customer List'!$A$1:$J$488,10,FALSE),"")</f>
        <v/>
      </c>
    </row>
    <row r="2962" spans="18:23">
      <c r="R2962" s="127">
        <f t="shared" si="167"/>
        <v>0</v>
      </c>
      <c r="T2962" s="128">
        <f t="shared" si="168"/>
        <v>0</v>
      </c>
      <c r="U2962" s="129" t="str">
        <f>IFERROR(IF(#REF!="S",VLOOKUP('Raw Data'!A2962,References!#REF!,2,FALSE),(VLOOKUP($S2962,References!$B$3:$C$7,2,FALSE))),"")</f>
        <v/>
      </c>
      <c r="W2962" s="74" t="str">
        <f>IFERROR(VLOOKUP($O2962,'Customer List'!$A$1:$J$488,10,FALSE),"")</f>
        <v/>
      </c>
    </row>
    <row r="2963" spans="18:23">
      <c r="R2963" s="127">
        <f t="shared" si="167"/>
        <v>0</v>
      </c>
      <c r="T2963" s="128">
        <f t="shared" si="168"/>
        <v>0</v>
      </c>
      <c r="U2963" s="129" t="str">
        <f>IFERROR(IF(#REF!="S",VLOOKUP('Raw Data'!A2963,References!#REF!,2,FALSE),(VLOOKUP($S2963,References!$B$3:$C$7,2,FALSE))),"")</f>
        <v/>
      </c>
      <c r="W2963" s="74" t="str">
        <f>IFERROR(VLOOKUP($O2963,'Customer List'!$A$1:$J$488,10,FALSE),"")</f>
        <v/>
      </c>
    </row>
    <row r="2964" spans="18:23">
      <c r="R2964" s="127">
        <f t="shared" si="167"/>
        <v>0</v>
      </c>
      <c r="T2964" s="128">
        <f t="shared" si="168"/>
        <v>0</v>
      </c>
      <c r="U2964" s="129" t="str">
        <f>IFERROR(IF(#REF!="S",VLOOKUP('Raw Data'!A2964,References!#REF!,2,FALSE),(VLOOKUP($S2964,References!$B$3:$C$7,2,FALSE))),"")</f>
        <v/>
      </c>
      <c r="W2964" s="74" t="str">
        <f>IFERROR(VLOOKUP($O2964,'Customer List'!$A$1:$J$488,10,FALSE),"")</f>
        <v/>
      </c>
    </row>
    <row r="2965" spans="18:23">
      <c r="R2965" s="127">
        <f t="shared" si="167"/>
        <v>0</v>
      </c>
      <c r="T2965" s="128">
        <f t="shared" si="168"/>
        <v>0</v>
      </c>
      <c r="U2965" s="129" t="str">
        <f>IFERROR(IF(#REF!="S",VLOOKUP('Raw Data'!A2965,References!#REF!,2,FALSE),(VLOOKUP($S2965,References!$B$3:$C$7,2,FALSE))),"")</f>
        <v/>
      </c>
      <c r="W2965" s="74" t="str">
        <f>IFERROR(VLOOKUP($O2965,'Customer List'!$A$1:$J$488,10,FALSE),"")</f>
        <v/>
      </c>
    </row>
    <row r="2966" spans="18:23">
      <c r="R2966" s="127">
        <f t="shared" si="167"/>
        <v>0</v>
      </c>
      <c r="T2966" s="128">
        <f t="shared" si="168"/>
        <v>0</v>
      </c>
      <c r="U2966" s="129" t="str">
        <f>IFERROR(IF(#REF!="S",VLOOKUP('Raw Data'!A2966,References!#REF!,2,FALSE),(VLOOKUP($S2966,References!$B$3:$C$7,2,FALSE))),"")</f>
        <v/>
      </c>
      <c r="W2966" s="74" t="str">
        <f>IFERROR(VLOOKUP($O2966,'Customer List'!$A$1:$J$488,10,FALSE),"")</f>
        <v/>
      </c>
    </row>
    <row r="2967" spans="18:23">
      <c r="R2967" s="127">
        <f t="shared" si="167"/>
        <v>0</v>
      </c>
      <c r="T2967" s="128">
        <f t="shared" si="168"/>
        <v>0</v>
      </c>
      <c r="U2967" s="129" t="str">
        <f>IFERROR(IF(#REF!="S",VLOOKUP('Raw Data'!A2967,References!#REF!,2,FALSE),(VLOOKUP($S2967,References!$B$3:$C$7,2,FALSE))),"")</f>
        <v/>
      </c>
      <c r="W2967" s="74" t="str">
        <f>IFERROR(VLOOKUP($O2967,'Customer List'!$A$1:$J$488,10,FALSE),"")</f>
        <v/>
      </c>
    </row>
    <row r="2968" spans="18:23">
      <c r="R2968" s="127">
        <f t="shared" si="167"/>
        <v>0</v>
      </c>
      <c r="T2968" s="128">
        <f t="shared" si="168"/>
        <v>0</v>
      </c>
      <c r="U2968" s="129" t="str">
        <f>IFERROR(IF(#REF!="S",VLOOKUP('Raw Data'!A2968,References!#REF!,2,FALSE),(VLOOKUP($S2968,References!$B$3:$C$7,2,FALSE))),"")</f>
        <v/>
      </c>
      <c r="W2968" s="74" t="str">
        <f>IFERROR(VLOOKUP($O2968,'Customer List'!$A$1:$J$488,10,FALSE),"")</f>
        <v/>
      </c>
    </row>
    <row r="2969" spans="18:23">
      <c r="R2969" s="127">
        <f t="shared" si="167"/>
        <v>0</v>
      </c>
      <c r="T2969" s="128">
        <f t="shared" si="168"/>
        <v>0</v>
      </c>
      <c r="U2969" s="129" t="str">
        <f>IFERROR(IF(#REF!="S",VLOOKUP('Raw Data'!A2969,References!#REF!,2,FALSE),(VLOOKUP($S2969,References!$B$3:$C$7,2,FALSE))),"")</f>
        <v/>
      </c>
      <c r="W2969" s="74" t="str">
        <f>IFERROR(VLOOKUP($O2969,'Customer List'!$A$1:$J$488,10,FALSE),"")</f>
        <v/>
      </c>
    </row>
    <row r="2970" spans="18:23">
      <c r="R2970" s="127">
        <f t="shared" si="167"/>
        <v>0</v>
      </c>
      <c r="T2970" s="128">
        <f t="shared" si="168"/>
        <v>0</v>
      </c>
      <c r="U2970" s="129" t="str">
        <f>IFERROR(IF(#REF!="S",VLOOKUP('Raw Data'!A2970,References!#REF!,2,FALSE),(VLOOKUP($S2970,References!$B$3:$C$7,2,FALSE))),"")</f>
        <v/>
      </c>
      <c r="W2970" s="74" t="str">
        <f>IFERROR(VLOOKUP($O2970,'Customer List'!$A$1:$J$488,10,FALSE),"")</f>
        <v/>
      </c>
    </row>
    <row r="2971" spans="18:23">
      <c r="R2971" s="127">
        <f t="shared" si="167"/>
        <v>0</v>
      </c>
      <c r="T2971" s="128">
        <f t="shared" si="168"/>
        <v>0</v>
      </c>
      <c r="U2971" s="129" t="str">
        <f>IFERROR(IF(#REF!="S",VLOOKUP('Raw Data'!A2971,References!#REF!,2,FALSE),(VLOOKUP($S2971,References!$B$3:$C$7,2,FALSE))),"")</f>
        <v/>
      </c>
      <c r="W2971" s="74" t="str">
        <f>IFERROR(VLOOKUP($O2971,'Customer List'!$A$1:$J$488,10,FALSE),"")</f>
        <v/>
      </c>
    </row>
    <row r="2972" spans="18:23">
      <c r="R2972" s="127">
        <f t="shared" si="167"/>
        <v>0</v>
      </c>
      <c r="T2972" s="128">
        <f t="shared" si="168"/>
        <v>0</v>
      </c>
      <c r="U2972" s="129" t="str">
        <f>IFERROR(IF(#REF!="S",VLOOKUP('Raw Data'!A2972,References!#REF!,2,FALSE),(VLOOKUP($S2972,References!$B$3:$C$7,2,FALSE))),"")</f>
        <v/>
      </c>
      <c r="W2972" s="74" t="str">
        <f>IFERROR(VLOOKUP($O2972,'Customer List'!$A$1:$J$488,10,FALSE),"")</f>
        <v/>
      </c>
    </row>
    <row r="2973" spans="18:23">
      <c r="R2973" s="127">
        <f t="shared" si="167"/>
        <v>0</v>
      </c>
      <c r="T2973" s="128">
        <f t="shared" si="168"/>
        <v>0</v>
      </c>
      <c r="U2973" s="129" t="str">
        <f>IFERROR(IF(#REF!="S",VLOOKUP('Raw Data'!A2973,References!#REF!,2,FALSE),(VLOOKUP($S2973,References!$B$3:$C$7,2,FALSE))),"")</f>
        <v/>
      </c>
      <c r="W2973" s="74" t="str">
        <f>IFERROR(VLOOKUP($O2973,'Customer List'!$A$1:$J$488,10,FALSE),"")</f>
        <v/>
      </c>
    </row>
    <row r="2974" spans="18:23">
      <c r="R2974" s="127">
        <f t="shared" si="167"/>
        <v>0</v>
      </c>
      <c r="T2974" s="128">
        <f t="shared" si="168"/>
        <v>0</v>
      </c>
      <c r="U2974" s="129" t="str">
        <f>IFERROR(IF(#REF!="S",VLOOKUP('Raw Data'!A2974,References!#REF!,2,FALSE),(VLOOKUP($S2974,References!$B$3:$C$7,2,FALSE))),"")</f>
        <v/>
      </c>
      <c r="W2974" s="74" t="str">
        <f>IFERROR(VLOOKUP($O2974,'Customer List'!$A$1:$J$488,10,FALSE),"")</f>
        <v/>
      </c>
    </row>
    <row r="2975" spans="18:23">
      <c r="R2975" s="127">
        <f t="shared" si="167"/>
        <v>0</v>
      </c>
      <c r="T2975" s="128">
        <f t="shared" si="168"/>
        <v>0</v>
      </c>
      <c r="U2975" s="129" t="str">
        <f>IFERROR(IF(#REF!="S",VLOOKUP('Raw Data'!A2975,References!#REF!,2,FALSE),(VLOOKUP($S2975,References!$B$3:$C$7,2,FALSE))),"")</f>
        <v/>
      </c>
      <c r="W2975" s="74" t="str">
        <f>IFERROR(VLOOKUP($O2975,'Customer List'!$A$1:$J$488,10,FALSE),"")</f>
        <v/>
      </c>
    </row>
    <row r="2976" spans="18:23">
      <c r="R2976" s="127">
        <f t="shared" si="167"/>
        <v>0</v>
      </c>
      <c r="T2976" s="128">
        <f t="shared" si="168"/>
        <v>0</v>
      </c>
      <c r="U2976" s="129" t="str">
        <f>IFERROR(IF(#REF!="S",VLOOKUP('Raw Data'!A2976,References!#REF!,2,FALSE),(VLOOKUP($S2976,References!$B$3:$C$7,2,FALSE))),"")</f>
        <v/>
      </c>
      <c r="W2976" s="74" t="str">
        <f>IFERROR(VLOOKUP($O2976,'Customer List'!$A$1:$J$488,10,FALSE),"")</f>
        <v/>
      </c>
    </row>
    <row r="2977" spans="18:23">
      <c r="R2977" s="127">
        <f t="shared" si="167"/>
        <v>0</v>
      </c>
      <c r="T2977" s="128">
        <f t="shared" si="168"/>
        <v>0</v>
      </c>
      <c r="U2977" s="129" t="str">
        <f>IFERROR(IF(#REF!="S",VLOOKUP('Raw Data'!A2977,References!#REF!,2,FALSE),(VLOOKUP($S2977,References!$B$3:$C$7,2,FALSE))),"")</f>
        <v/>
      </c>
      <c r="W2977" s="74" t="str">
        <f>IFERROR(VLOOKUP($O2977,'Customer List'!$A$1:$J$488,10,FALSE),"")</f>
        <v/>
      </c>
    </row>
    <row r="2978" spans="18:23">
      <c r="R2978" s="127">
        <f t="shared" ref="R2978:R3041" si="169">L2978-K2978</f>
        <v>0</v>
      </c>
      <c r="T2978" s="128">
        <f t="shared" si="168"/>
        <v>0</v>
      </c>
      <c r="U2978" s="129" t="str">
        <f>IFERROR(IF(#REF!="S",VLOOKUP('Raw Data'!A2978,References!#REF!,2,FALSE),(VLOOKUP($S2978,References!$B$3:$C$7,2,FALSE))),"")</f>
        <v/>
      </c>
      <c r="W2978" s="74" t="str">
        <f>IFERROR(VLOOKUP($O2978,'Customer List'!$A$1:$J$488,10,FALSE),"")</f>
        <v/>
      </c>
    </row>
    <row r="2979" spans="18:23">
      <c r="R2979" s="127">
        <f t="shared" si="169"/>
        <v>0</v>
      </c>
      <c r="T2979" s="128">
        <f t="shared" si="168"/>
        <v>0</v>
      </c>
      <c r="U2979" s="129" t="str">
        <f>IFERROR(IF(#REF!="S",VLOOKUP('Raw Data'!A2979,References!#REF!,2,FALSE),(VLOOKUP($S2979,References!$B$3:$C$7,2,FALSE))),"")</f>
        <v/>
      </c>
      <c r="W2979" s="74" t="str">
        <f>IFERROR(VLOOKUP($O2979,'Customer List'!$A$1:$J$488,10,FALSE),"")</f>
        <v/>
      </c>
    </row>
    <row r="2980" spans="18:23">
      <c r="R2980" s="127">
        <f t="shared" si="169"/>
        <v>0</v>
      </c>
      <c r="T2980" s="128">
        <f t="shared" si="168"/>
        <v>0</v>
      </c>
      <c r="U2980" s="129" t="str">
        <f>IFERROR(IF(#REF!="S",VLOOKUP('Raw Data'!A2980,References!#REF!,2,FALSE),(VLOOKUP($S2980,References!$B$3:$C$7,2,FALSE))),"")</f>
        <v/>
      </c>
      <c r="W2980" s="74" t="str">
        <f>IFERROR(VLOOKUP($O2980,'Customer List'!$A$1:$J$488,10,FALSE),"")</f>
        <v/>
      </c>
    </row>
    <row r="2981" spans="18:23">
      <c r="R2981" s="127">
        <f t="shared" si="169"/>
        <v>0</v>
      </c>
      <c r="T2981" s="128">
        <f t="shared" si="168"/>
        <v>0</v>
      </c>
      <c r="U2981" s="129" t="str">
        <f>IFERROR(IF(#REF!="S",VLOOKUP('Raw Data'!A2981,References!#REF!,2,FALSE),(VLOOKUP($S2981,References!$B$3:$C$7,2,FALSE))),"")</f>
        <v/>
      </c>
      <c r="W2981" s="74" t="str">
        <f>IFERROR(VLOOKUP($O2981,'Customer List'!$A$1:$J$488,10,FALSE),"")</f>
        <v/>
      </c>
    </row>
    <row r="2982" spans="18:23">
      <c r="R2982" s="127">
        <f t="shared" si="169"/>
        <v>0</v>
      </c>
      <c r="T2982" s="128">
        <f t="shared" si="168"/>
        <v>0</v>
      </c>
      <c r="U2982" s="129" t="str">
        <f>IFERROR(IF(#REF!="S",VLOOKUP('Raw Data'!A2982,References!#REF!,2,FALSE),(VLOOKUP($S2982,References!$B$3:$C$7,2,FALSE))),"")</f>
        <v/>
      </c>
      <c r="W2982" s="74" t="str">
        <f>IFERROR(VLOOKUP($O2982,'Customer List'!$A$1:$J$488,10,FALSE),"")</f>
        <v/>
      </c>
    </row>
    <row r="2983" spans="18:23">
      <c r="R2983" s="127">
        <f t="shared" si="169"/>
        <v>0</v>
      </c>
      <c r="T2983" s="128">
        <f t="shared" si="168"/>
        <v>0</v>
      </c>
      <c r="U2983" s="129" t="str">
        <f>IFERROR(IF(#REF!="S",VLOOKUP('Raw Data'!A2983,References!#REF!,2,FALSE),(VLOOKUP($S2983,References!$B$3:$C$7,2,FALSE))),"")</f>
        <v/>
      </c>
      <c r="W2983" s="74" t="str">
        <f>IFERROR(VLOOKUP($O2983,'Customer List'!$A$1:$J$488,10,FALSE),"")</f>
        <v/>
      </c>
    </row>
    <row r="2984" spans="18:23">
      <c r="R2984" s="127">
        <f t="shared" si="169"/>
        <v>0</v>
      </c>
      <c r="T2984" s="128">
        <f t="shared" si="168"/>
        <v>0</v>
      </c>
      <c r="U2984" s="129" t="str">
        <f>IFERROR(IF(#REF!="S",VLOOKUP('Raw Data'!A2984,References!#REF!,2,FALSE),(VLOOKUP($S2984,References!$B$3:$C$7,2,FALSE))),"")</f>
        <v/>
      </c>
      <c r="W2984" s="74" t="str">
        <f>IFERROR(VLOOKUP($O2984,'Customer List'!$A$1:$J$488,10,FALSE),"")</f>
        <v/>
      </c>
    </row>
    <row r="2985" spans="18:23">
      <c r="R2985" s="127">
        <f t="shared" si="169"/>
        <v>0</v>
      </c>
      <c r="T2985" s="128">
        <f t="shared" si="168"/>
        <v>0</v>
      </c>
      <c r="U2985" s="129" t="str">
        <f>IFERROR(IF(#REF!="S",VLOOKUP('Raw Data'!A2985,References!#REF!,2,FALSE),(VLOOKUP($S2985,References!$B$3:$C$7,2,FALSE))),"")</f>
        <v/>
      </c>
      <c r="W2985" s="74" t="str">
        <f>IFERROR(VLOOKUP($O2985,'Customer List'!$A$1:$J$488,10,FALSE),"")</f>
        <v/>
      </c>
    </row>
    <row r="2986" spans="18:23">
      <c r="R2986" s="127">
        <f t="shared" si="169"/>
        <v>0</v>
      </c>
      <c r="T2986" s="128">
        <f t="shared" si="168"/>
        <v>0</v>
      </c>
      <c r="U2986" s="129" t="str">
        <f>IFERROR(IF(#REF!="S",VLOOKUP('Raw Data'!A2986,References!#REF!,2,FALSE),(VLOOKUP($S2986,References!$B$3:$C$7,2,FALSE))),"")</f>
        <v/>
      </c>
      <c r="W2986" s="74" t="str">
        <f>IFERROR(VLOOKUP($O2986,'Customer List'!$A$1:$J$488,10,FALSE),"")</f>
        <v/>
      </c>
    </row>
    <row r="2987" spans="18:23">
      <c r="R2987" s="127">
        <f t="shared" si="169"/>
        <v>0</v>
      </c>
      <c r="T2987" s="128">
        <f t="shared" si="168"/>
        <v>0</v>
      </c>
      <c r="U2987" s="129" t="str">
        <f>IFERROR(IF(#REF!="S",VLOOKUP('Raw Data'!A2987,References!#REF!,2,FALSE),(VLOOKUP($S2987,References!$B$3:$C$7,2,FALSE))),"")</f>
        <v/>
      </c>
      <c r="W2987" s="74" t="str">
        <f>IFERROR(VLOOKUP($O2987,'Customer List'!$A$1:$J$488,10,FALSE),"")</f>
        <v/>
      </c>
    </row>
    <row r="2988" spans="18:23">
      <c r="R2988" s="127">
        <f t="shared" si="169"/>
        <v>0</v>
      </c>
      <c r="T2988" s="128">
        <f t="shared" si="168"/>
        <v>0</v>
      </c>
      <c r="U2988" s="129" t="str">
        <f>IFERROR(IF(#REF!="S",VLOOKUP('Raw Data'!A2988,References!#REF!,2,FALSE),(VLOOKUP($S2988,References!$B$3:$C$7,2,FALSE))),"")</f>
        <v/>
      </c>
      <c r="W2988" s="74" t="str">
        <f>IFERROR(VLOOKUP($O2988,'Customer List'!$A$1:$J$488,10,FALSE),"")</f>
        <v/>
      </c>
    </row>
    <row r="2989" spans="18:23">
      <c r="R2989" s="127">
        <f t="shared" si="169"/>
        <v>0</v>
      </c>
      <c r="T2989" s="128">
        <f t="shared" si="168"/>
        <v>0</v>
      </c>
      <c r="U2989" s="129" t="str">
        <f>IFERROR(IF(#REF!="S",VLOOKUP('Raw Data'!A2989,References!#REF!,2,FALSE),(VLOOKUP($S2989,References!$B$3:$C$7,2,FALSE))),"")</f>
        <v/>
      </c>
      <c r="W2989" s="74" t="str">
        <f>IFERROR(VLOOKUP($O2989,'Customer List'!$A$1:$J$488,10,FALSE),"")</f>
        <v/>
      </c>
    </row>
    <row r="2990" spans="18:23">
      <c r="R2990" s="127">
        <f t="shared" si="169"/>
        <v>0</v>
      </c>
      <c r="T2990" s="128">
        <f t="shared" si="168"/>
        <v>0</v>
      </c>
      <c r="U2990" s="129" t="str">
        <f>IFERROR(IF(#REF!="S",VLOOKUP('Raw Data'!A2990,References!#REF!,2,FALSE),(VLOOKUP($S2990,References!$B$3:$C$7,2,FALSE))),"")</f>
        <v/>
      </c>
      <c r="W2990" s="74" t="str">
        <f>IFERROR(VLOOKUP($O2990,'Customer List'!$A$1:$J$488,10,FALSE),"")</f>
        <v/>
      </c>
    </row>
    <row r="2991" spans="18:23">
      <c r="R2991" s="127">
        <f t="shared" si="169"/>
        <v>0</v>
      </c>
      <c r="T2991" s="128">
        <f t="shared" si="168"/>
        <v>0</v>
      </c>
      <c r="U2991" s="129" t="str">
        <f>IFERROR(IF(#REF!="S",VLOOKUP('Raw Data'!A2991,References!#REF!,2,FALSE),(VLOOKUP($S2991,References!$B$3:$C$7,2,FALSE))),"")</f>
        <v/>
      </c>
      <c r="W2991" s="74" t="str">
        <f>IFERROR(VLOOKUP($O2991,'Customer List'!$A$1:$J$488,10,FALSE),"")</f>
        <v/>
      </c>
    </row>
    <row r="2992" spans="18:23">
      <c r="R2992" s="127">
        <f t="shared" si="169"/>
        <v>0</v>
      </c>
      <c r="T2992" s="128">
        <f t="shared" si="168"/>
        <v>0</v>
      </c>
      <c r="U2992" s="129" t="str">
        <f>IFERROR(IF(#REF!="S",VLOOKUP('Raw Data'!A2992,References!#REF!,2,FALSE),(VLOOKUP($S2992,References!$B$3:$C$7,2,FALSE))),"")</f>
        <v/>
      </c>
      <c r="W2992" s="74" t="str">
        <f>IFERROR(VLOOKUP($O2992,'Customer List'!$A$1:$J$488,10,FALSE),"")</f>
        <v/>
      </c>
    </row>
    <row r="2993" spans="18:23">
      <c r="R2993" s="127">
        <f t="shared" si="169"/>
        <v>0</v>
      </c>
      <c r="T2993" s="128">
        <f t="shared" si="168"/>
        <v>0</v>
      </c>
      <c r="U2993" s="129" t="str">
        <f>IFERROR(IF(#REF!="S",VLOOKUP('Raw Data'!A2993,References!#REF!,2,FALSE),(VLOOKUP($S2993,References!$B$3:$C$7,2,FALSE))),"")</f>
        <v/>
      </c>
      <c r="W2993" s="74" t="str">
        <f>IFERROR(VLOOKUP($O2993,'Customer List'!$A$1:$J$488,10,FALSE),"")</f>
        <v/>
      </c>
    </row>
    <row r="2994" spans="18:23">
      <c r="R2994" s="127">
        <f t="shared" si="169"/>
        <v>0</v>
      </c>
      <c r="T2994" s="128">
        <f t="shared" si="168"/>
        <v>0</v>
      </c>
      <c r="U2994" s="129" t="str">
        <f>IFERROR(IF(#REF!="S",VLOOKUP('Raw Data'!A2994,References!#REF!,2,FALSE),(VLOOKUP($S2994,References!$B$3:$C$7,2,FALSE))),"")</f>
        <v/>
      </c>
      <c r="W2994" s="74" t="str">
        <f>IFERROR(VLOOKUP($O2994,'Customer List'!$A$1:$J$488,10,FALSE),"")</f>
        <v/>
      </c>
    </row>
    <row r="2995" spans="18:23">
      <c r="R2995" s="127">
        <f t="shared" si="169"/>
        <v>0</v>
      </c>
      <c r="T2995" s="128">
        <f t="shared" si="168"/>
        <v>0</v>
      </c>
      <c r="U2995" s="129" t="str">
        <f>IFERROR(IF(#REF!="S",VLOOKUP('Raw Data'!A2995,References!#REF!,2,FALSE),(VLOOKUP($S2995,References!$B$3:$C$7,2,FALSE))),"")</f>
        <v/>
      </c>
      <c r="W2995" s="74" t="str">
        <f>IFERROR(VLOOKUP($O2995,'Customer List'!$A$1:$J$488,10,FALSE),"")</f>
        <v/>
      </c>
    </row>
    <row r="2996" spans="18:23">
      <c r="R2996" s="127">
        <f t="shared" si="169"/>
        <v>0</v>
      </c>
      <c r="T2996" s="128">
        <f t="shared" si="168"/>
        <v>0</v>
      </c>
      <c r="U2996" s="129" t="str">
        <f>IFERROR(IF(#REF!="S",VLOOKUP('Raw Data'!A2996,References!#REF!,2,FALSE),(VLOOKUP($S2996,References!$B$3:$C$7,2,FALSE))),"")</f>
        <v/>
      </c>
      <c r="W2996" s="74" t="str">
        <f>IFERROR(VLOOKUP($O2996,'Customer List'!$A$1:$J$488,10,FALSE),"")</f>
        <v/>
      </c>
    </row>
    <row r="2997" spans="18:23">
      <c r="R2997" s="127">
        <f t="shared" si="169"/>
        <v>0</v>
      </c>
      <c r="T2997" s="128">
        <f t="shared" si="168"/>
        <v>0</v>
      </c>
      <c r="U2997" s="129" t="str">
        <f>IFERROR(IF(#REF!="S",VLOOKUP('Raw Data'!A2997,References!#REF!,2,FALSE),(VLOOKUP($S2997,References!$B$3:$C$7,2,FALSE))),"")</f>
        <v/>
      </c>
      <c r="W2997" s="74" t="str">
        <f>IFERROR(VLOOKUP($O2997,'Customer List'!$A$1:$J$488,10,FALSE),"")</f>
        <v/>
      </c>
    </row>
    <row r="2998" spans="18:23">
      <c r="R2998" s="127">
        <f t="shared" si="169"/>
        <v>0</v>
      </c>
      <c r="T2998" s="128">
        <f t="shared" si="168"/>
        <v>0</v>
      </c>
      <c r="U2998" s="129" t="str">
        <f>IFERROR(IF(#REF!="S",VLOOKUP('Raw Data'!A2998,References!#REF!,2,FALSE),(VLOOKUP($S2998,References!$B$3:$C$7,2,FALSE))),"")</f>
        <v/>
      </c>
      <c r="W2998" s="74" t="str">
        <f>IFERROR(VLOOKUP($O2998,'Customer List'!$A$1:$J$488,10,FALSE),"")</f>
        <v/>
      </c>
    </row>
    <row r="2999" spans="18:23">
      <c r="R2999" s="127">
        <f t="shared" si="169"/>
        <v>0</v>
      </c>
      <c r="T2999" s="128">
        <f t="shared" si="168"/>
        <v>0</v>
      </c>
      <c r="U2999" s="129" t="str">
        <f>IFERROR(IF(#REF!="S",VLOOKUP('Raw Data'!A2999,References!#REF!,2,FALSE),(VLOOKUP($S2999,References!$B$3:$C$7,2,FALSE))),"")</f>
        <v/>
      </c>
      <c r="W2999" s="74" t="str">
        <f>IFERROR(VLOOKUP($O2999,'Customer List'!$A$1:$J$488,10,FALSE),"")</f>
        <v/>
      </c>
    </row>
    <row r="3000" spans="18:23">
      <c r="R3000" s="127">
        <f t="shared" si="169"/>
        <v>0</v>
      </c>
      <c r="T3000" s="128">
        <f t="shared" si="168"/>
        <v>0</v>
      </c>
      <c r="U3000" s="129" t="str">
        <f>IFERROR(IF(#REF!="S",VLOOKUP('Raw Data'!A3000,References!#REF!,2,FALSE),(VLOOKUP($S3000,References!$B$3:$C$7,2,FALSE))),"")</f>
        <v/>
      </c>
      <c r="W3000" s="74" t="str">
        <f>IFERROR(VLOOKUP($O3000,'Customer List'!$A$1:$J$488,10,FALSE),"")</f>
        <v/>
      </c>
    </row>
    <row r="3001" spans="18:23">
      <c r="R3001" s="127">
        <f t="shared" si="169"/>
        <v>0</v>
      </c>
      <c r="T3001" s="128">
        <f t="shared" si="168"/>
        <v>0</v>
      </c>
      <c r="U3001" s="129" t="str">
        <f>IFERROR(IF(#REF!="S",VLOOKUP('Raw Data'!A3001,References!#REF!,2,FALSE),(VLOOKUP($S3001,References!$B$3:$C$7,2,FALSE))),"")</f>
        <v/>
      </c>
      <c r="W3001" s="74" t="str">
        <f>IFERROR(VLOOKUP($O3001,'Customer List'!$A$1:$J$488,10,FALSE),"")</f>
        <v/>
      </c>
    </row>
    <row r="3002" spans="18:23">
      <c r="R3002" s="127">
        <f t="shared" si="169"/>
        <v>0</v>
      </c>
      <c r="T3002" s="128">
        <f t="shared" si="168"/>
        <v>0</v>
      </c>
      <c r="U3002" s="129" t="str">
        <f>IFERROR(IF(#REF!="S",VLOOKUP('Raw Data'!A3002,References!#REF!,2,FALSE),(VLOOKUP($S3002,References!$B$3:$C$7,2,FALSE))),"")</f>
        <v/>
      </c>
      <c r="W3002" s="74" t="str">
        <f>IFERROR(VLOOKUP($O3002,'Customer List'!$A$1:$J$488,10,FALSE),"")</f>
        <v/>
      </c>
    </row>
    <row r="3003" spans="18:23">
      <c r="R3003" s="127">
        <f t="shared" si="169"/>
        <v>0</v>
      </c>
      <c r="T3003" s="128">
        <f t="shared" si="168"/>
        <v>0</v>
      </c>
      <c r="U3003" s="129" t="str">
        <f>IFERROR(IF(#REF!="S",VLOOKUP('Raw Data'!A3003,References!#REF!,2,FALSE),(VLOOKUP($S3003,References!$B$3:$C$7,2,FALSE))),"")</f>
        <v/>
      </c>
      <c r="W3003" s="74" t="str">
        <f>IFERROR(VLOOKUP($O3003,'Customer List'!$A$1:$J$488,10,FALSE),"")</f>
        <v/>
      </c>
    </row>
    <row r="3004" spans="18:23">
      <c r="R3004" s="127">
        <f t="shared" si="169"/>
        <v>0</v>
      </c>
      <c r="T3004" s="128">
        <f t="shared" si="168"/>
        <v>0</v>
      </c>
      <c r="U3004" s="129" t="str">
        <f>IFERROR(IF(#REF!="S",VLOOKUP('Raw Data'!A3004,References!#REF!,2,FALSE),(VLOOKUP($S3004,References!$B$3:$C$7,2,FALSE))),"")</f>
        <v/>
      </c>
      <c r="W3004" s="74" t="str">
        <f>IFERROR(VLOOKUP($O3004,'Customer List'!$A$1:$J$488,10,FALSE),"")</f>
        <v/>
      </c>
    </row>
    <row r="3005" spans="18:23">
      <c r="R3005" s="127">
        <f t="shared" si="169"/>
        <v>0</v>
      </c>
      <c r="T3005" s="128">
        <f t="shared" si="168"/>
        <v>0</v>
      </c>
      <c r="U3005" s="129" t="str">
        <f>IFERROR(IF(#REF!="S",VLOOKUP('Raw Data'!A3005,References!#REF!,2,FALSE),(VLOOKUP($S3005,References!$B$3:$C$7,2,FALSE))),"")</f>
        <v/>
      </c>
      <c r="W3005" s="74" t="str">
        <f>IFERROR(VLOOKUP($O3005,'Customer List'!$A$1:$J$488,10,FALSE),"")</f>
        <v/>
      </c>
    </row>
    <row r="3006" spans="18:23">
      <c r="R3006" s="127">
        <f t="shared" si="169"/>
        <v>0</v>
      </c>
      <c r="T3006" s="128">
        <f t="shared" si="168"/>
        <v>0</v>
      </c>
      <c r="U3006" s="129" t="str">
        <f>IFERROR(IF(#REF!="S",VLOOKUP('Raw Data'!A3006,References!#REF!,2,FALSE),(VLOOKUP($S3006,References!$B$3:$C$7,2,FALSE))),"")</f>
        <v/>
      </c>
      <c r="W3006" s="74" t="str">
        <f>IFERROR(VLOOKUP($O3006,'Customer List'!$A$1:$J$488,10,FALSE),"")</f>
        <v/>
      </c>
    </row>
    <row r="3007" spans="18:23">
      <c r="R3007" s="127">
        <f t="shared" si="169"/>
        <v>0</v>
      </c>
      <c r="T3007" s="128">
        <f t="shared" si="168"/>
        <v>0</v>
      </c>
      <c r="U3007" s="129" t="str">
        <f>IFERROR(IF(#REF!="S",VLOOKUP('Raw Data'!A3007,References!#REF!,2,FALSE),(VLOOKUP($S3007,References!$B$3:$C$7,2,FALSE))),"")</f>
        <v/>
      </c>
      <c r="W3007" s="74" t="str">
        <f>IFERROR(VLOOKUP($O3007,'Customer List'!$A$1:$J$488,10,FALSE),"")</f>
        <v/>
      </c>
    </row>
    <row r="3008" spans="18:23">
      <c r="R3008" s="127">
        <f t="shared" si="169"/>
        <v>0</v>
      </c>
      <c r="T3008" s="128">
        <f t="shared" si="168"/>
        <v>0</v>
      </c>
      <c r="U3008" s="129" t="str">
        <f>IFERROR(IF(#REF!="S",VLOOKUP('Raw Data'!A3008,References!#REF!,2,FALSE),(VLOOKUP($S3008,References!$B$3:$C$7,2,FALSE))),"")</f>
        <v/>
      </c>
      <c r="W3008" s="74" t="str">
        <f>IFERROR(VLOOKUP($O3008,'Customer List'!$A$1:$J$488,10,FALSE),"")</f>
        <v/>
      </c>
    </row>
    <row r="3009" spans="18:23">
      <c r="R3009" s="127">
        <f t="shared" si="169"/>
        <v>0</v>
      </c>
      <c r="T3009" s="128">
        <f t="shared" si="168"/>
        <v>0</v>
      </c>
      <c r="U3009" s="129" t="str">
        <f>IFERROR(IF(#REF!="S",VLOOKUP('Raw Data'!A3009,References!#REF!,2,FALSE),(VLOOKUP($S3009,References!$B$3:$C$7,2,FALSE))),"")</f>
        <v/>
      </c>
      <c r="W3009" s="74" t="str">
        <f>IFERROR(VLOOKUP($O3009,'Customer List'!$A$1:$J$488,10,FALSE),"")</f>
        <v/>
      </c>
    </row>
    <row r="3010" spans="18:23">
      <c r="R3010" s="127">
        <f t="shared" si="169"/>
        <v>0</v>
      </c>
      <c r="T3010" s="128">
        <f t="shared" si="168"/>
        <v>0</v>
      </c>
      <c r="U3010" s="129" t="str">
        <f>IFERROR(IF(#REF!="S",VLOOKUP('Raw Data'!A3010,References!#REF!,2,FALSE),(VLOOKUP($S3010,References!$B$3:$C$7,2,FALSE))),"")</f>
        <v/>
      </c>
      <c r="W3010" s="74" t="str">
        <f>IFERROR(VLOOKUP($O3010,'Customer List'!$A$1:$J$488,10,FALSE),"")</f>
        <v/>
      </c>
    </row>
    <row r="3011" spans="18:23">
      <c r="R3011" s="127">
        <f t="shared" si="169"/>
        <v>0</v>
      </c>
      <c r="T3011" s="128">
        <f t="shared" si="168"/>
        <v>0</v>
      </c>
      <c r="U3011" s="129" t="str">
        <f>IFERROR(IF(#REF!="S",VLOOKUP('Raw Data'!A3011,References!#REF!,2,FALSE),(VLOOKUP($S3011,References!$B$3:$C$7,2,FALSE))),"")</f>
        <v/>
      </c>
      <c r="W3011" s="74" t="str">
        <f>IFERROR(VLOOKUP($O3011,'Customer List'!$A$1:$J$488,10,FALSE),"")</f>
        <v/>
      </c>
    </row>
    <row r="3012" spans="18:23">
      <c r="R3012" s="127">
        <f t="shared" si="169"/>
        <v>0</v>
      </c>
      <c r="T3012" s="128">
        <f t="shared" si="168"/>
        <v>0</v>
      </c>
      <c r="U3012" s="129" t="str">
        <f>IFERROR(IF(#REF!="S",VLOOKUP('Raw Data'!A3012,References!#REF!,2,FALSE),(VLOOKUP($S3012,References!$B$3:$C$7,2,FALSE))),"")</f>
        <v/>
      </c>
      <c r="W3012" s="74" t="str">
        <f>IFERROR(VLOOKUP($O3012,'Customer List'!$A$1:$J$488,10,FALSE),"")</f>
        <v/>
      </c>
    </row>
    <row r="3013" spans="18:23">
      <c r="R3013" s="127">
        <f t="shared" si="169"/>
        <v>0</v>
      </c>
      <c r="T3013" s="128">
        <f t="shared" si="168"/>
        <v>0</v>
      </c>
      <c r="U3013" s="129" t="str">
        <f>IFERROR(IF(#REF!="S",VLOOKUP('Raw Data'!A3013,References!#REF!,2,FALSE),(VLOOKUP($S3013,References!$B$3:$C$7,2,FALSE))),"")</f>
        <v/>
      </c>
      <c r="W3013" s="74" t="str">
        <f>IFERROR(VLOOKUP($O3013,'Customer List'!$A$1:$J$488,10,FALSE),"")</f>
        <v/>
      </c>
    </row>
    <row r="3014" spans="18:23">
      <c r="R3014" s="127">
        <f t="shared" si="169"/>
        <v>0</v>
      </c>
      <c r="T3014" s="128">
        <f t="shared" si="168"/>
        <v>0</v>
      </c>
      <c r="U3014" s="129" t="str">
        <f>IFERROR(IF(#REF!="S",VLOOKUP('Raw Data'!A3014,References!#REF!,2,FALSE),(VLOOKUP($S3014,References!$B$3:$C$7,2,FALSE))),"")</f>
        <v/>
      </c>
      <c r="W3014" s="74" t="str">
        <f>IFERROR(VLOOKUP($O3014,'Customer List'!$A$1:$J$488,10,FALSE),"")</f>
        <v/>
      </c>
    </row>
    <row r="3015" spans="18:23">
      <c r="R3015" s="127">
        <f t="shared" si="169"/>
        <v>0</v>
      </c>
      <c r="T3015" s="128">
        <f t="shared" si="168"/>
        <v>0</v>
      </c>
      <c r="U3015" s="129" t="str">
        <f>IFERROR(IF(#REF!="S",VLOOKUP('Raw Data'!A3015,References!#REF!,2,FALSE),(VLOOKUP($S3015,References!$B$3:$C$7,2,FALSE))),"")</f>
        <v/>
      </c>
      <c r="W3015" s="74" t="str">
        <f>IFERROR(VLOOKUP($O3015,'Customer List'!$A$1:$J$488,10,FALSE),"")</f>
        <v/>
      </c>
    </row>
    <row r="3016" spans="18:23">
      <c r="R3016" s="127">
        <f t="shared" si="169"/>
        <v>0</v>
      </c>
      <c r="T3016" s="128">
        <f t="shared" si="168"/>
        <v>0</v>
      </c>
      <c r="U3016" s="129" t="str">
        <f>IFERROR(IF(#REF!="S",VLOOKUP('Raw Data'!A3016,References!#REF!,2,FALSE),(VLOOKUP($S3016,References!$B$3:$C$7,2,FALSE))),"")</f>
        <v/>
      </c>
      <c r="W3016" s="74" t="str">
        <f>IFERROR(VLOOKUP($O3016,'Customer List'!$A$1:$J$488,10,FALSE),"")</f>
        <v/>
      </c>
    </row>
    <row r="3017" spans="18:23">
      <c r="R3017" s="127">
        <f t="shared" si="169"/>
        <v>0</v>
      </c>
      <c r="T3017" s="128">
        <f t="shared" si="168"/>
        <v>0</v>
      </c>
      <c r="U3017" s="129" t="str">
        <f>IFERROR(IF(#REF!="S",VLOOKUP('Raw Data'!A3017,References!#REF!,2,FALSE),(VLOOKUP($S3017,References!$B$3:$C$7,2,FALSE))),"")</f>
        <v/>
      </c>
      <c r="W3017" s="74" t="str">
        <f>IFERROR(VLOOKUP($O3017,'Customer List'!$A$1:$J$488,10,FALSE),"")</f>
        <v/>
      </c>
    </row>
    <row r="3018" spans="18:23">
      <c r="R3018" s="127">
        <f t="shared" si="169"/>
        <v>0</v>
      </c>
      <c r="T3018" s="128">
        <f t="shared" ref="T3018:T3081" si="170">IF(S3018="50 - Cleaning Fee",1,HOUR($R3018)+MINUTE(R3018)/60)</f>
        <v>0</v>
      </c>
      <c r="U3018" s="129" t="str">
        <f>IFERROR(IF(#REF!="S",VLOOKUP('Raw Data'!A3018,References!#REF!,2,FALSE),(VLOOKUP($S3018,References!$B$3:$C$7,2,FALSE))),"")</f>
        <v/>
      </c>
      <c r="W3018" s="74" t="str">
        <f>IFERROR(VLOOKUP($O3018,'Customer List'!$A$1:$J$488,10,FALSE),"")</f>
        <v/>
      </c>
    </row>
    <row r="3019" spans="18:23">
      <c r="R3019" s="127">
        <f t="shared" si="169"/>
        <v>0</v>
      </c>
      <c r="T3019" s="128">
        <f t="shared" si="170"/>
        <v>0</v>
      </c>
      <c r="U3019" s="129" t="str">
        <f>IFERROR(IF(#REF!="S",VLOOKUP('Raw Data'!A3019,References!#REF!,2,FALSE),(VLOOKUP($S3019,References!$B$3:$C$7,2,FALSE))),"")</f>
        <v/>
      </c>
      <c r="W3019" s="74" t="str">
        <f>IFERROR(VLOOKUP($O3019,'Customer List'!$A$1:$J$488,10,FALSE),"")</f>
        <v/>
      </c>
    </row>
    <row r="3020" spans="18:23">
      <c r="R3020" s="127">
        <f t="shared" si="169"/>
        <v>0</v>
      </c>
      <c r="T3020" s="128">
        <f t="shared" si="170"/>
        <v>0</v>
      </c>
      <c r="U3020" s="129" t="str">
        <f>IFERROR(IF(#REF!="S",VLOOKUP('Raw Data'!A3020,References!#REF!,2,FALSE),(VLOOKUP($S3020,References!$B$3:$C$7,2,FALSE))),"")</f>
        <v/>
      </c>
      <c r="W3020" s="74" t="str">
        <f>IFERROR(VLOOKUP($O3020,'Customer List'!$A$1:$J$488,10,FALSE),"")</f>
        <v/>
      </c>
    </row>
    <row r="3021" spans="18:23">
      <c r="R3021" s="127">
        <f t="shared" si="169"/>
        <v>0</v>
      </c>
      <c r="T3021" s="128">
        <f t="shared" si="170"/>
        <v>0</v>
      </c>
      <c r="U3021" s="129" t="str">
        <f>IFERROR(IF(#REF!="S",VLOOKUP('Raw Data'!A3021,References!#REF!,2,FALSE),(VLOOKUP($S3021,References!$B$3:$C$7,2,FALSE))),"")</f>
        <v/>
      </c>
      <c r="W3021" s="74" t="str">
        <f>IFERROR(VLOOKUP($O3021,'Customer List'!$A$1:$J$488,10,FALSE),"")</f>
        <v/>
      </c>
    </row>
    <row r="3022" spans="18:23">
      <c r="R3022" s="127">
        <f t="shared" si="169"/>
        <v>0</v>
      </c>
      <c r="T3022" s="128">
        <f t="shared" si="170"/>
        <v>0</v>
      </c>
      <c r="U3022" s="129" t="str">
        <f>IFERROR(IF(#REF!="S",VLOOKUP('Raw Data'!A3022,References!#REF!,2,FALSE),(VLOOKUP($S3022,References!$B$3:$C$7,2,FALSE))),"")</f>
        <v/>
      </c>
      <c r="W3022" s="74" t="str">
        <f>IFERROR(VLOOKUP($O3022,'Customer List'!$A$1:$J$488,10,FALSE),"")</f>
        <v/>
      </c>
    </row>
    <row r="3023" spans="18:23">
      <c r="R3023" s="127">
        <f t="shared" si="169"/>
        <v>0</v>
      </c>
      <c r="T3023" s="128">
        <f t="shared" si="170"/>
        <v>0</v>
      </c>
      <c r="U3023" s="129" t="str">
        <f>IFERROR(IF(#REF!="S",VLOOKUP('Raw Data'!A3023,References!#REF!,2,FALSE),(VLOOKUP($S3023,References!$B$3:$C$7,2,FALSE))),"")</f>
        <v/>
      </c>
      <c r="W3023" s="74" t="str">
        <f>IFERROR(VLOOKUP($O3023,'Customer List'!$A$1:$J$488,10,FALSE),"")</f>
        <v/>
      </c>
    </row>
    <row r="3024" spans="18:23">
      <c r="R3024" s="127">
        <f t="shared" si="169"/>
        <v>0</v>
      </c>
      <c r="T3024" s="128">
        <f t="shared" si="170"/>
        <v>0</v>
      </c>
      <c r="U3024" s="129" t="str">
        <f>IFERROR(IF(#REF!="S",VLOOKUP('Raw Data'!A3024,References!#REF!,2,FALSE),(VLOOKUP($S3024,References!$B$3:$C$7,2,FALSE))),"")</f>
        <v/>
      </c>
      <c r="W3024" s="74" t="str">
        <f>IFERROR(VLOOKUP($O3024,'Customer List'!$A$1:$J$488,10,FALSE),"")</f>
        <v/>
      </c>
    </row>
    <row r="3025" spans="18:23">
      <c r="R3025" s="127">
        <f t="shared" si="169"/>
        <v>0</v>
      </c>
      <c r="T3025" s="128">
        <f t="shared" si="170"/>
        <v>0</v>
      </c>
      <c r="U3025" s="129" t="str">
        <f>IFERROR(IF(#REF!="S",VLOOKUP('Raw Data'!A3025,References!#REF!,2,FALSE),(VLOOKUP($S3025,References!$B$3:$C$7,2,FALSE))),"")</f>
        <v/>
      </c>
      <c r="W3025" s="74" t="str">
        <f>IFERROR(VLOOKUP($O3025,'Customer List'!$A$1:$J$488,10,FALSE),"")</f>
        <v/>
      </c>
    </row>
    <row r="3026" spans="18:23">
      <c r="R3026" s="127">
        <f t="shared" si="169"/>
        <v>0</v>
      </c>
      <c r="T3026" s="128">
        <f t="shared" si="170"/>
        <v>0</v>
      </c>
      <c r="U3026" s="129" t="str">
        <f>IFERROR(IF(#REF!="S",VLOOKUP('Raw Data'!A3026,References!#REF!,2,FALSE),(VLOOKUP($S3026,References!$B$3:$C$7,2,FALSE))),"")</f>
        <v/>
      </c>
      <c r="W3026" s="74" t="str">
        <f>IFERROR(VLOOKUP($O3026,'Customer List'!$A$1:$J$488,10,FALSE),"")</f>
        <v/>
      </c>
    </row>
    <row r="3027" spans="18:23">
      <c r="R3027" s="127">
        <f t="shared" si="169"/>
        <v>0</v>
      </c>
      <c r="T3027" s="128">
        <f t="shared" si="170"/>
        <v>0</v>
      </c>
      <c r="U3027" s="129" t="str">
        <f>IFERROR(IF(#REF!="S",VLOOKUP('Raw Data'!A3027,References!#REF!,2,FALSE),(VLOOKUP($S3027,References!$B$3:$C$7,2,FALSE))),"")</f>
        <v/>
      </c>
      <c r="W3027" s="74" t="str">
        <f>IFERROR(VLOOKUP($O3027,'Customer List'!$A$1:$J$488,10,FALSE),"")</f>
        <v/>
      </c>
    </row>
    <row r="3028" spans="18:23">
      <c r="R3028" s="127">
        <f t="shared" si="169"/>
        <v>0</v>
      </c>
      <c r="T3028" s="128">
        <f t="shared" si="170"/>
        <v>0</v>
      </c>
      <c r="U3028" s="129" t="str">
        <f>IFERROR(IF(#REF!="S",VLOOKUP('Raw Data'!A3028,References!#REF!,2,FALSE),(VLOOKUP($S3028,References!$B$3:$C$7,2,FALSE))),"")</f>
        <v/>
      </c>
      <c r="W3028" s="74" t="str">
        <f>IFERROR(VLOOKUP($O3028,'Customer List'!$A$1:$J$488,10,FALSE),"")</f>
        <v/>
      </c>
    </row>
    <row r="3029" spans="18:23">
      <c r="R3029" s="127">
        <f t="shared" si="169"/>
        <v>0</v>
      </c>
      <c r="T3029" s="128">
        <f t="shared" si="170"/>
        <v>0</v>
      </c>
      <c r="U3029" s="129" t="str">
        <f>IFERROR(IF(#REF!="S",VLOOKUP('Raw Data'!A3029,References!#REF!,2,FALSE),(VLOOKUP($S3029,References!$B$3:$C$7,2,FALSE))),"")</f>
        <v/>
      </c>
      <c r="W3029" s="74" t="str">
        <f>IFERROR(VLOOKUP($O3029,'Customer List'!$A$1:$J$488,10,FALSE),"")</f>
        <v/>
      </c>
    </row>
    <row r="3030" spans="18:23">
      <c r="R3030" s="127">
        <f t="shared" si="169"/>
        <v>0</v>
      </c>
      <c r="T3030" s="128">
        <f t="shared" si="170"/>
        <v>0</v>
      </c>
      <c r="U3030" s="129" t="str">
        <f>IFERROR(IF(#REF!="S",VLOOKUP('Raw Data'!A3030,References!#REF!,2,FALSE),(VLOOKUP($S3030,References!$B$3:$C$7,2,FALSE))),"")</f>
        <v/>
      </c>
      <c r="W3030" s="74" t="str">
        <f>IFERROR(VLOOKUP($O3030,'Customer List'!$A$1:$J$488,10,FALSE),"")</f>
        <v/>
      </c>
    </row>
    <row r="3031" spans="18:23">
      <c r="R3031" s="127">
        <f t="shared" si="169"/>
        <v>0</v>
      </c>
      <c r="T3031" s="128">
        <f t="shared" si="170"/>
        <v>0</v>
      </c>
      <c r="U3031" s="129" t="str">
        <f>IFERROR(IF(#REF!="S",VLOOKUP('Raw Data'!A3031,References!#REF!,2,FALSE),(VLOOKUP($S3031,References!$B$3:$C$7,2,FALSE))),"")</f>
        <v/>
      </c>
      <c r="W3031" s="74" t="str">
        <f>IFERROR(VLOOKUP($O3031,'Customer List'!$A$1:$J$488,10,FALSE),"")</f>
        <v/>
      </c>
    </row>
    <row r="3032" spans="18:23">
      <c r="R3032" s="127">
        <f t="shared" si="169"/>
        <v>0</v>
      </c>
      <c r="T3032" s="128">
        <f t="shared" si="170"/>
        <v>0</v>
      </c>
      <c r="U3032" s="129" t="str">
        <f>IFERROR(IF(#REF!="S",VLOOKUP('Raw Data'!A3032,References!#REF!,2,FALSE),(VLOOKUP($S3032,References!$B$3:$C$7,2,FALSE))),"")</f>
        <v/>
      </c>
      <c r="W3032" s="74" t="str">
        <f>IFERROR(VLOOKUP($O3032,'Customer List'!$A$1:$J$488,10,FALSE),"")</f>
        <v/>
      </c>
    </row>
    <row r="3033" spans="18:23">
      <c r="R3033" s="127">
        <f t="shared" si="169"/>
        <v>0</v>
      </c>
      <c r="T3033" s="128">
        <f t="shared" si="170"/>
        <v>0</v>
      </c>
      <c r="U3033" s="129" t="str">
        <f>IFERROR(IF(#REF!="S",VLOOKUP('Raw Data'!A3033,References!#REF!,2,FALSE),(VLOOKUP($S3033,References!$B$3:$C$7,2,FALSE))),"")</f>
        <v/>
      </c>
      <c r="W3033" s="74" t="str">
        <f>IFERROR(VLOOKUP($O3033,'Customer List'!$A$1:$J$488,10,FALSE),"")</f>
        <v/>
      </c>
    </row>
    <row r="3034" spans="18:23">
      <c r="R3034" s="127">
        <f t="shared" si="169"/>
        <v>0</v>
      </c>
      <c r="T3034" s="128">
        <f t="shared" si="170"/>
        <v>0</v>
      </c>
      <c r="U3034" s="129" t="str">
        <f>IFERROR(IF(#REF!="S",VLOOKUP('Raw Data'!A3034,References!#REF!,2,FALSE),(VLOOKUP($S3034,References!$B$3:$C$7,2,FALSE))),"")</f>
        <v/>
      </c>
      <c r="W3034" s="74" t="str">
        <f>IFERROR(VLOOKUP($O3034,'Customer List'!$A$1:$J$488,10,FALSE),"")</f>
        <v/>
      </c>
    </row>
    <row r="3035" spans="18:23">
      <c r="R3035" s="127">
        <f t="shared" si="169"/>
        <v>0</v>
      </c>
      <c r="T3035" s="128">
        <f t="shared" si="170"/>
        <v>0</v>
      </c>
      <c r="U3035" s="129" t="str">
        <f>IFERROR(IF(#REF!="S",VLOOKUP('Raw Data'!A3035,References!#REF!,2,FALSE),(VLOOKUP($S3035,References!$B$3:$C$7,2,FALSE))),"")</f>
        <v/>
      </c>
      <c r="W3035" s="74" t="str">
        <f>IFERROR(VLOOKUP($O3035,'Customer List'!$A$1:$J$488,10,FALSE),"")</f>
        <v/>
      </c>
    </row>
    <row r="3036" spans="18:23">
      <c r="R3036" s="127">
        <f t="shared" si="169"/>
        <v>0</v>
      </c>
      <c r="T3036" s="128">
        <f t="shared" si="170"/>
        <v>0</v>
      </c>
      <c r="U3036" s="129" t="str">
        <f>IFERROR(IF(#REF!="S",VLOOKUP('Raw Data'!A3036,References!#REF!,2,FALSE),(VLOOKUP($S3036,References!$B$3:$C$7,2,FALSE))),"")</f>
        <v/>
      </c>
      <c r="W3036" s="74" t="str">
        <f>IFERROR(VLOOKUP($O3036,'Customer List'!$A$1:$J$488,10,FALSE),"")</f>
        <v/>
      </c>
    </row>
    <row r="3037" spans="18:23">
      <c r="R3037" s="127">
        <f t="shared" si="169"/>
        <v>0</v>
      </c>
      <c r="T3037" s="128">
        <f t="shared" si="170"/>
        <v>0</v>
      </c>
      <c r="U3037" s="129" t="str">
        <f>IFERROR(IF(#REF!="S",VLOOKUP('Raw Data'!A3037,References!#REF!,2,FALSE),(VLOOKUP($S3037,References!$B$3:$C$7,2,FALSE))),"")</f>
        <v/>
      </c>
      <c r="W3037" s="74" t="str">
        <f>IFERROR(VLOOKUP($O3037,'Customer List'!$A$1:$J$488,10,FALSE),"")</f>
        <v/>
      </c>
    </row>
    <row r="3038" spans="18:23">
      <c r="R3038" s="127">
        <f t="shared" si="169"/>
        <v>0</v>
      </c>
      <c r="T3038" s="128">
        <f t="shared" si="170"/>
        <v>0</v>
      </c>
      <c r="U3038" s="129" t="str">
        <f>IFERROR(IF(#REF!="S",VLOOKUP('Raw Data'!A3038,References!#REF!,2,FALSE),(VLOOKUP($S3038,References!$B$3:$C$7,2,FALSE))),"")</f>
        <v/>
      </c>
      <c r="W3038" s="74" t="str">
        <f>IFERROR(VLOOKUP($O3038,'Customer List'!$A$1:$J$488,10,FALSE),"")</f>
        <v/>
      </c>
    </row>
    <row r="3039" spans="18:23">
      <c r="R3039" s="127">
        <f t="shared" si="169"/>
        <v>0</v>
      </c>
      <c r="T3039" s="128">
        <f t="shared" si="170"/>
        <v>0</v>
      </c>
      <c r="U3039" s="129" t="str">
        <f>IFERROR(IF(#REF!="S",VLOOKUP('Raw Data'!A3039,References!#REF!,2,FALSE),(VLOOKUP($S3039,References!$B$3:$C$7,2,FALSE))),"")</f>
        <v/>
      </c>
      <c r="W3039" s="74" t="str">
        <f>IFERROR(VLOOKUP($O3039,'Customer List'!$A$1:$J$488,10,FALSE),"")</f>
        <v/>
      </c>
    </row>
    <row r="3040" spans="18:23">
      <c r="R3040" s="127">
        <f t="shared" si="169"/>
        <v>0</v>
      </c>
      <c r="T3040" s="128">
        <f t="shared" si="170"/>
        <v>0</v>
      </c>
      <c r="U3040" s="129" t="str">
        <f>IFERROR(IF(#REF!="S",VLOOKUP('Raw Data'!A3040,References!#REF!,2,FALSE),(VLOOKUP($S3040,References!$B$3:$C$7,2,FALSE))),"")</f>
        <v/>
      </c>
      <c r="W3040" s="74" t="str">
        <f>IFERROR(VLOOKUP($O3040,'Customer List'!$A$1:$J$488,10,FALSE),"")</f>
        <v/>
      </c>
    </row>
    <row r="3041" spans="18:23">
      <c r="R3041" s="127">
        <f t="shared" si="169"/>
        <v>0</v>
      </c>
      <c r="T3041" s="128">
        <f t="shared" si="170"/>
        <v>0</v>
      </c>
      <c r="U3041" s="129" t="str">
        <f>IFERROR(IF(#REF!="S",VLOOKUP('Raw Data'!A3041,References!#REF!,2,FALSE),(VLOOKUP($S3041,References!$B$3:$C$7,2,FALSE))),"")</f>
        <v/>
      </c>
      <c r="W3041" s="74" t="str">
        <f>IFERROR(VLOOKUP($O3041,'Customer List'!$A$1:$J$488,10,FALSE),"")</f>
        <v/>
      </c>
    </row>
    <row r="3042" spans="18:23">
      <c r="R3042" s="127">
        <f t="shared" ref="R3042:R3105" si="171">L3042-K3042</f>
        <v>0</v>
      </c>
      <c r="T3042" s="128">
        <f t="shared" si="170"/>
        <v>0</v>
      </c>
      <c r="U3042" s="129" t="str">
        <f>IFERROR(IF(#REF!="S",VLOOKUP('Raw Data'!A3042,References!#REF!,2,FALSE),(VLOOKUP($S3042,References!$B$3:$C$7,2,FALSE))),"")</f>
        <v/>
      </c>
      <c r="W3042" s="74" t="str">
        <f>IFERROR(VLOOKUP($O3042,'Customer List'!$A$1:$J$488,10,FALSE),"")</f>
        <v/>
      </c>
    </row>
    <row r="3043" spans="18:23">
      <c r="R3043" s="127">
        <f t="shared" si="171"/>
        <v>0</v>
      </c>
      <c r="T3043" s="128">
        <f t="shared" si="170"/>
        <v>0</v>
      </c>
      <c r="U3043" s="129" t="str">
        <f>IFERROR(IF(#REF!="S",VLOOKUP('Raw Data'!A3043,References!#REF!,2,FALSE),(VLOOKUP($S3043,References!$B$3:$C$7,2,FALSE))),"")</f>
        <v/>
      </c>
      <c r="W3043" s="74" t="str">
        <f>IFERROR(VLOOKUP($O3043,'Customer List'!$A$1:$J$488,10,FALSE),"")</f>
        <v/>
      </c>
    </row>
    <row r="3044" spans="18:23">
      <c r="R3044" s="127">
        <f t="shared" si="171"/>
        <v>0</v>
      </c>
      <c r="T3044" s="128">
        <f t="shared" si="170"/>
        <v>0</v>
      </c>
      <c r="U3044" s="129" t="str">
        <f>IFERROR(IF(#REF!="S",VLOOKUP('Raw Data'!A3044,References!#REF!,2,FALSE),(VLOOKUP($S3044,References!$B$3:$C$7,2,FALSE))),"")</f>
        <v/>
      </c>
      <c r="W3044" s="74" t="str">
        <f>IFERROR(VLOOKUP($O3044,'Customer List'!$A$1:$J$488,10,FALSE),"")</f>
        <v/>
      </c>
    </row>
    <row r="3045" spans="18:23">
      <c r="R3045" s="127">
        <f t="shared" si="171"/>
        <v>0</v>
      </c>
      <c r="T3045" s="128">
        <f t="shared" si="170"/>
        <v>0</v>
      </c>
      <c r="U3045" s="129" t="str">
        <f>IFERROR(IF(#REF!="S",VLOOKUP('Raw Data'!A3045,References!#REF!,2,FALSE),(VLOOKUP($S3045,References!$B$3:$C$7,2,FALSE))),"")</f>
        <v/>
      </c>
      <c r="W3045" s="74" t="str">
        <f>IFERROR(VLOOKUP($O3045,'Customer List'!$A$1:$J$488,10,FALSE),"")</f>
        <v/>
      </c>
    </row>
    <row r="3046" spans="18:23">
      <c r="R3046" s="127">
        <f t="shared" si="171"/>
        <v>0</v>
      </c>
      <c r="T3046" s="128">
        <f t="shared" si="170"/>
        <v>0</v>
      </c>
      <c r="U3046" s="129" t="str">
        <f>IFERROR(IF(#REF!="S",VLOOKUP('Raw Data'!A3046,References!#REF!,2,FALSE),(VLOOKUP($S3046,References!$B$3:$C$7,2,FALSE))),"")</f>
        <v/>
      </c>
      <c r="W3046" s="74" t="str">
        <f>IFERROR(VLOOKUP($O3046,'Customer List'!$A$1:$J$488,10,FALSE),"")</f>
        <v/>
      </c>
    </row>
    <row r="3047" spans="18:23">
      <c r="R3047" s="127">
        <f t="shared" si="171"/>
        <v>0</v>
      </c>
      <c r="T3047" s="128">
        <f t="shared" si="170"/>
        <v>0</v>
      </c>
      <c r="U3047" s="129" t="str">
        <f>IFERROR(IF(#REF!="S",VLOOKUP('Raw Data'!A3047,References!#REF!,2,FALSE),(VLOOKUP($S3047,References!$B$3:$C$7,2,FALSE))),"")</f>
        <v/>
      </c>
      <c r="W3047" s="74" t="str">
        <f>IFERROR(VLOOKUP($O3047,'Customer List'!$A$1:$J$488,10,FALSE),"")</f>
        <v/>
      </c>
    </row>
    <row r="3048" spans="18:23">
      <c r="R3048" s="127">
        <f t="shared" si="171"/>
        <v>0</v>
      </c>
      <c r="T3048" s="128">
        <f t="shared" si="170"/>
        <v>0</v>
      </c>
      <c r="U3048" s="129" t="str">
        <f>IFERROR(IF(#REF!="S",VLOOKUP('Raw Data'!A3048,References!#REF!,2,FALSE),(VLOOKUP($S3048,References!$B$3:$C$7,2,FALSE))),"")</f>
        <v/>
      </c>
      <c r="W3048" s="74" t="str">
        <f>IFERROR(VLOOKUP($O3048,'Customer List'!$A$1:$J$488,10,FALSE),"")</f>
        <v/>
      </c>
    </row>
    <row r="3049" spans="18:23">
      <c r="R3049" s="127">
        <f t="shared" si="171"/>
        <v>0</v>
      </c>
      <c r="T3049" s="128">
        <f t="shared" si="170"/>
        <v>0</v>
      </c>
      <c r="U3049" s="129" t="str">
        <f>IFERROR(IF(#REF!="S",VLOOKUP('Raw Data'!A3049,References!#REF!,2,FALSE),(VLOOKUP($S3049,References!$B$3:$C$7,2,FALSE))),"")</f>
        <v/>
      </c>
      <c r="W3049" s="74" t="str">
        <f>IFERROR(VLOOKUP($O3049,'Customer List'!$A$1:$J$488,10,FALSE),"")</f>
        <v/>
      </c>
    </row>
    <row r="3050" spans="18:23">
      <c r="R3050" s="127">
        <f t="shared" si="171"/>
        <v>0</v>
      </c>
      <c r="T3050" s="128">
        <f t="shared" si="170"/>
        <v>0</v>
      </c>
      <c r="U3050" s="129" t="str">
        <f>IFERROR(IF(#REF!="S",VLOOKUP('Raw Data'!A3050,References!#REF!,2,FALSE),(VLOOKUP($S3050,References!$B$3:$C$7,2,FALSE))),"")</f>
        <v/>
      </c>
      <c r="W3050" s="74" t="str">
        <f>IFERROR(VLOOKUP($O3050,'Customer List'!$A$1:$J$488,10,FALSE),"")</f>
        <v/>
      </c>
    </row>
    <row r="3051" spans="18:23">
      <c r="R3051" s="127">
        <f t="shared" si="171"/>
        <v>0</v>
      </c>
      <c r="T3051" s="128">
        <f t="shared" si="170"/>
        <v>0</v>
      </c>
      <c r="U3051" s="129" t="str">
        <f>IFERROR(IF(#REF!="S",VLOOKUP('Raw Data'!A3051,References!#REF!,2,FALSE),(VLOOKUP($S3051,References!$B$3:$C$7,2,FALSE))),"")</f>
        <v/>
      </c>
      <c r="W3051" s="74" t="str">
        <f>IFERROR(VLOOKUP($O3051,'Customer List'!$A$1:$J$488,10,FALSE),"")</f>
        <v/>
      </c>
    </row>
    <row r="3052" spans="18:23">
      <c r="R3052" s="127">
        <f t="shared" si="171"/>
        <v>0</v>
      </c>
      <c r="T3052" s="128">
        <f t="shared" si="170"/>
        <v>0</v>
      </c>
      <c r="U3052" s="129" t="str">
        <f>IFERROR(IF(#REF!="S",VLOOKUP('Raw Data'!A3052,References!#REF!,2,FALSE),(VLOOKUP($S3052,References!$B$3:$C$7,2,FALSE))),"")</f>
        <v/>
      </c>
      <c r="W3052" s="74" t="str">
        <f>IFERROR(VLOOKUP($O3052,'Customer List'!$A$1:$J$488,10,FALSE),"")</f>
        <v/>
      </c>
    </row>
    <row r="3053" spans="18:23">
      <c r="R3053" s="127">
        <f t="shared" si="171"/>
        <v>0</v>
      </c>
      <c r="T3053" s="128">
        <f t="shared" si="170"/>
        <v>0</v>
      </c>
      <c r="U3053" s="129" t="str">
        <f>IFERROR(IF(#REF!="S",VLOOKUP('Raw Data'!A3053,References!#REF!,2,FALSE),(VLOOKUP($S3053,References!$B$3:$C$7,2,FALSE))),"")</f>
        <v/>
      </c>
      <c r="W3053" s="74" t="str">
        <f>IFERROR(VLOOKUP($O3053,'Customer List'!$A$1:$J$488,10,FALSE),"")</f>
        <v/>
      </c>
    </row>
    <row r="3054" spans="18:23">
      <c r="R3054" s="127">
        <f t="shared" si="171"/>
        <v>0</v>
      </c>
      <c r="T3054" s="128">
        <f t="shared" si="170"/>
        <v>0</v>
      </c>
      <c r="U3054" s="129" t="str">
        <f>IFERROR(IF(#REF!="S",VLOOKUP('Raw Data'!A3054,References!#REF!,2,FALSE),(VLOOKUP($S3054,References!$B$3:$C$7,2,FALSE))),"")</f>
        <v/>
      </c>
      <c r="W3054" s="74" t="str">
        <f>IFERROR(VLOOKUP($O3054,'Customer List'!$A$1:$J$488,10,FALSE),"")</f>
        <v/>
      </c>
    </row>
    <row r="3055" spans="18:23">
      <c r="R3055" s="127">
        <f t="shared" si="171"/>
        <v>0</v>
      </c>
      <c r="T3055" s="128">
        <f t="shared" si="170"/>
        <v>0</v>
      </c>
      <c r="U3055" s="129" t="str">
        <f>IFERROR(IF(#REF!="S",VLOOKUP('Raw Data'!A3055,References!#REF!,2,FALSE),(VLOOKUP($S3055,References!$B$3:$C$7,2,FALSE))),"")</f>
        <v/>
      </c>
      <c r="W3055" s="74" t="str">
        <f>IFERROR(VLOOKUP($O3055,'Customer List'!$A$1:$J$488,10,FALSE),"")</f>
        <v/>
      </c>
    </row>
    <row r="3056" spans="18:23">
      <c r="R3056" s="127">
        <f t="shared" si="171"/>
        <v>0</v>
      </c>
      <c r="T3056" s="128">
        <f t="shared" si="170"/>
        <v>0</v>
      </c>
      <c r="U3056" s="129" t="str">
        <f>IFERROR(IF(#REF!="S",VLOOKUP('Raw Data'!A3056,References!#REF!,2,FALSE),(VLOOKUP($S3056,References!$B$3:$C$7,2,FALSE))),"")</f>
        <v/>
      </c>
      <c r="W3056" s="74" t="str">
        <f>IFERROR(VLOOKUP($O3056,'Customer List'!$A$1:$J$488,10,FALSE),"")</f>
        <v/>
      </c>
    </row>
    <row r="3057" spans="18:23">
      <c r="R3057" s="127">
        <f t="shared" si="171"/>
        <v>0</v>
      </c>
      <c r="T3057" s="128">
        <f t="shared" si="170"/>
        <v>0</v>
      </c>
      <c r="U3057" s="129" t="str">
        <f>IFERROR(IF(#REF!="S",VLOOKUP('Raw Data'!A3057,References!#REF!,2,FALSE),(VLOOKUP($S3057,References!$B$3:$C$7,2,FALSE))),"")</f>
        <v/>
      </c>
      <c r="W3057" s="74" t="str">
        <f>IFERROR(VLOOKUP($O3057,'Customer List'!$A$1:$J$488,10,FALSE),"")</f>
        <v/>
      </c>
    </row>
    <row r="3058" spans="18:23">
      <c r="R3058" s="127">
        <f t="shared" si="171"/>
        <v>0</v>
      </c>
      <c r="T3058" s="128">
        <f t="shared" si="170"/>
        <v>0</v>
      </c>
      <c r="U3058" s="129" t="str">
        <f>IFERROR(IF(#REF!="S",VLOOKUP('Raw Data'!A3058,References!#REF!,2,FALSE),(VLOOKUP($S3058,References!$B$3:$C$7,2,FALSE))),"")</f>
        <v/>
      </c>
      <c r="W3058" s="74" t="str">
        <f>IFERROR(VLOOKUP($O3058,'Customer List'!$A$1:$J$488,10,FALSE),"")</f>
        <v/>
      </c>
    </row>
    <row r="3059" spans="18:23">
      <c r="R3059" s="127">
        <f t="shared" si="171"/>
        <v>0</v>
      </c>
      <c r="T3059" s="128">
        <f t="shared" si="170"/>
        <v>0</v>
      </c>
      <c r="U3059" s="129" t="str">
        <f>IFERROR(IF(#REF!="S",VLOOKUP('Raw Data'!A3059,References!#REF!,2,FALSE),(VLOOKUP($S3059,References!$B$3:$C$7,2,FALSE))),"")</f>
        <v/>
      </c>
      <c r="W3059" s="74" t="str">
        <f>IFERROR(VLOOKUP($O3059,'Customer List'!$A$1:$J$488,10,FALSE),"")</f>
        <v/>
      </c>
    </row>
    <row r="3060" spans="18:23">
      <c r="R3060" s="127">
        <f t="shared" si="171"/>
        <v>0</v>
      </c>
      <c r="T3060" s="128">
        <f t="shared" si="170"/>
        <v>0</v>
      </c>
      <c r="U3060" s="129" t="str">
        <f>IFERROR(IF(#REF!="S",VLOOKUP('Raw Data'!A3060,References!#REF!,2,FALSE),(VLOOKUP($S3060,References!$B$3:$C$7,2,FALSE))),"")</f>
        <v/>
      </c>
      <c r="W3060" s="74" t="str">
        <f>IFERROR(VLOOKUP($O3060,'Customer List'!$A$1:$J$488,10,FALSE),"")</f>
        <v/>
      </c>
    </row>
    <row r="3061" spans="18:23">
      <c r="R3061" s="127">
        <f t="shared" si="171"/>
        <v>0</v>
      </c>
      <c r="T3061" s="128">
        <f t="shared" si="170"/>
        <v>0</v>
      </c>
      <c r="U3061" s="129" t="str">
        <f>IFERROR(IF(#REF!="S",VLOOKUP('Raw Data'!A3061,References!#REF!,2,FALSE),(VLOOKUP($S3061,References!$B$3:$C$7,2,FALSE))),"")</f>
        <v/>
      </c>
      <c r="W3061" s="74" t="str">
        <f>IFERROR(VLOOKUP($O3061,'Customer List'!$A$1:$J$488,10,FALSE),"")</f>
        <v/>
      </c>
    </row>
    <row r="3062" spans="18:23">
      <c r="R3062" s="127">
        <f t="shared" si="171"/>
        <v>0</v>
      </c>
      <c r="T3062" s="128">
        <f t="shared" si="170"/>
        <v>0</v>
      </c>
      <c r="U3062" s="129" t="str">
        <f>IFERROR(IF(#REF!="S",VLOOKUP('Raw Data'!A3062,References!#REF!,2,FALSE),(VLOOKUP($S3062,References!$B$3:$C$7,2,FALSE))),"")</f>
        <v/>
      </c>
      <c r="W3062" s="74" t="str">
        <f>IFERROR(VLOOKUP($O3062,'Customer List'!$A$1:$J$488,10,FALSE),"")</f>
        <v/>
      </c>
    </row>
    <row r="3063" spans="18:23">
      <c r="R3063" s="127">
        <f t="shared" si="171"/>
        <v>0</v>
      </c>
      <c r="T3063" s="128">
        <f t="shared" si="170"/>
        <v>0</v>
      </c>
      <c r="U3063" s="129" t="str">
        <f>IFERROR(IF(#REF!="S",VLOOKUP('Raw Data'!A3063,References!#REF!,2,FALSE),(VLOOKUP($S3063,References!$B$3:$C$7,2,FALSE))),"")</f>
        <v/>
      </c>
      <c r="W3063" s="74" t="str">
        <f>IFERROR(VLOOKUP($O3063,'Customer List'!$A$1:$J$488,10,FALSE),"")</f>
        <v/>
      </c>
    </row>
    <row r="3064" spans="18:23">
      <c r="R3064" s="127">
        <f t="shared" si="171"/>
        <v>0</v>
      </c>
      <c r="T3064" s="128">
        <f t="shared" si="170"/>
        <v>0</v>
      </c>
      <c r="U3064" s="129" t="str">
        <f>IFERROR(IF(#REF!="S",VLOOKUP('Raw Data'!A3064,References!#REF!,2,FALSE),(VLOOKUP($S3064,References!$B$3:$C$7,2,FALSE))),"")</f>
        <v/>
      </c>
      <c r="W3064" s="74" t="str">
        <f>IFERROR(VLOOKUP($O3064,'Customer List'!$A$1:$J$488,10,FALSE),"")</f>
        <v/>
      </c>
    </row>
    <row r="3065" spans="18:23">
      <c r="R3065" s="127">
        <f t="shared" si="171"/>
        <v>0</v>
      </c>
      <c r="T3065" s="128">
        <f t="shared" si="170"/>
        <v>0</v>
      </c>
      <c r="U3065" s="129" t="str">
        <f>IFERROR(IF(#REF!="S",VLOOKUP('Raw Data'!A3065,References!#REF!,2,FALSE),(VLOOKUP($S3065,References!$B$3:$C$7,2,FALSE))),"")</f>
        <v/>
      </c>
      <c r="W3065" s="74" t="str">
        <f>IFERROR(VLOOKUP($O3065,'Customer List'!$A$1:$J$488,10,FALSE),"")</f>
        <v/>
      </c>
    </row>
    <row r="3066" spans="18:23">
      <c r="R3066" s="127">
        <f t="shared" si="171"/>
        <v>0</v>
      </c>
      <c r="T3066" s="128">
        <f t="shared" si="170"/>
        <v>0</v>
      </c>
      <c r="U3066" s="129" t="str">
        <f>IFERROR(IF(#REF!="S",VLOOKUP('Raw Data'!A3066,References!#REF!,2,FALSE),(VLOOKUP($S3066,References!$B$3:$C$7,2,FALSE))),"")</f>
        <v/>
      </c>
      <c r="W3066" s="74" t="str">
        <f>IFERROR(VLOOKUP($O3066,'Customer List'!$A$1:$J$488,10,FALSE),"")</f>
        <v/>
      </c>
    </row>
    <row r="3067" spans="18:23">
      <c r="R3067" s="127">
        <f t="shared" si="171"/>
        <v>0</v>
      </c>
      <c r="T3067" s="128">
        <f t="shared" si="170"/>
        <v>0</v>
      </c>
      <c r="U3067" s="129" t="str">
        <f>IFERROR(IF(#REF!="S",VLOOKUP('Raw Data'!A3067,References!#REF!,2,FALSE),(VLOOKUP($S3067,References!$B$3:$C$7,2,FALSE))),"")</f>
        <v/>
      </c>
      <c r="W3067" s="74" t="str">
        <f>IFERROR(VLOOKUP($O3067,'Customer List'!$A$1:$J$488,10,FALSE),"")</f>
        <v/>
      </c>
    </row>
    <row r="3068" spans="18:23">
      <c r="R3068" s="127">
        <f t="shared" si="171"/>
        <v>0</v>
      </c>
      <c r="T3068" s="128">
        <f t="shared" si="170"/>
        <v>0</v>
      </c>
      <c r="U3068" s="129" t="str">
        <f>IFERROR(IF(#REF!="S",VLOOKUP('Raw Data'!A3068,References!#REF!,2,FALSE),(VLOOKUP($S3068,References!$B$3:$C$7,2,FALSE))),"")</f>
        <v/>
      </c>
      <c r="W3068" s="74" t="str">
        <f>IFERROR(VLOOKUP($O3068,'Customer List'!$A$1:$J$488,10,FALSE),"")</f>
        <v/>
      </c>
    </row>
    <row r="3069" spans="18:23">
      <c r="R3069" s="127">
        <f t="shared" si="171"/>
        <v>0</v>
      </c>
      <c r="T3069" s="128">
        <f t="shared" si="170"/>
        <v>0</v>
      </c>
      <c r="U3069" s="129" t="str">
        <f>IFERROR(IF(#REF!="S",VLOOKUP('Raw Data'!A3069,References!#REF!,2,FALSE),(VLOOKUP($S3069,References!$B$3:$C$7,2,FALSE))),"")</f>
        <v/>
      </c>
      <c r="W3069" s="74" t="str">
        <f>IFERROR(VLOOKUP($O3069,'Customer List'!$A$1:$J$488,10,FALSE),"")</f>
        <v/>
      </c>
    </row>
    <row r="3070" spans="18:23">
      <c r="R3070" s="127">
        <f t="shared" si="171"/>
        <v>0</v>
      </c>
      <c r="T3070" s="128">
        <f t="shared" si="170"/>
        <v>0</v>
      </c>
      <c r="U3070" s="129" t="str">
        <f>IFERROR(IF(#REF!="S",VLOOKUP('Raw Data'!A3070,References!#REF!,2,FALSE),(VLOOKUP($S3070,References!$B$3:$C$7,2,FALSE))),"")</f>
        <v/>
      </c>
      <c r="W3070" s="74" t="str">
        <f>IFERROR(VLOOKUP($O3070,'Customer List'!$A$1:$J$488,10,FALSE),"")</f>
        <v/>
      </c>
    </row>
    <row r="3071" spans="18:23">
      <c r="R3071" s="127">
        <f t="shared" si="171"/>
        <v>0</v>
      </c>
      <c r="T3071" s="128">
        <f t="shared" si="170"/>
        <v>0</v>
      </c>
      <c r="U3071" s="129" t="str">
        <f>IFERROR(IF(#REF!="S",VLOOKUP('Raw Data'!A3071,References!#REF!,2,FALSE),(VLOOKUP($S3071,References!$B$3:$C$7,2,FALSE))),"")</f>
        <v/>
      </c>
      <c r="W3071" s="74" t="str">
        <f>IFERROR(VLOOKUP($O3071,'Customer List'!$A$1:$J$488,10,FALSE),"")</f>
        <v/>
      </c>
    </row>
    <row r="3072" spans="18:23">
      <c r="R3072" s="127">
        <f t="shared" si="171"/>
        <v>0</v>
      </c>
      <c r="T3072" s="128">
        <f t="shared" si="170"/>
        <v>0</v>
      </c>
      <c r="U3072" s="129" t="str">
        <f>IFERROR(IF(#REF!="S",VLOOKUP('Raw Data'!A3072,References!#REF!,2,FALSE),(VLOOKUP($S3072,References!$B$3:$C$7,2,FALSE))),"")</f>
        <v/>
      </c>
      <c r="W3072" s="74" t="str">
        <f>IFERROR(VLOOKUP($O3072,'Customer List'!$A$1:$J$488,10,FALSE),"")</f>
        <v/>
      </c>
    </row>
    <row r="3073" spans="18:23">
      <c r="R3073" s="127">
        <f t="shared" si="171"/>
        <v>0</v>
      </c>
      <c r="T3073" s="128">
        <f t="shared" si="170"/>
        <v>0</v>
      </c>
      <c r="U3073" s="129" t="str">
        <f>IFERROR(IF(#REF!="S",VLOOKUP('Raw Data'!A3073,References!#REF!,2,FALSE),(VLOOKUP($S3073,References!$B$3:$C$7,2,FALSE))),"")</f>
        <v/>
      </c>
      <c r="W3073" s="74" t="str">
        <f>IFERROR(VLOOKUP($O3073,'Customer List'!$A$1:$J$488,10,FALSE),"")</f>
        <v/>
      </c>
    </row>
    <row r="3074" spans="18:23">
      <c r="R3074" s="127">
        <f t="shared" si="171"/>
        <v>0</v>
      </c>
      <c r="T3074" s="128">
        <f t="shared" si="170"/>
        <v>0</v>
      </c>
      <c r="U3074" s="129" t="str">
        <f>IFERROR(IF(#REF!="S",VLOOKUP('Raw Data'!A3074,References!#REF!,2,FALSE),(VLOOKUP($S3074,References!$B$3:$C$7,2,FALSE))),"")</f>
        <v/>
      </c>
      <c r="W3074" s="74" t="str">
        <f>IFERROR(VLOOKUP($O3074,'Customer List'!$A$1:$J$488,10,FALSE),"")</f>
        <v/>
      </c>
    </row>
    <row r="3075" spans="18:23">
      <c r="R3075" s="127">
        <f t="shared" si="171"/>
        <v>0</v>
      </c>
      <c r="T3075" s="128">
        <f t="shared" si="170"/>
        <v>0</v>
      </c>
      <c r="U3075" s="129" t="str">
        <f>IFERROR(IF(#REF!="S",VLOOKUP('Raw Data'!A3075,References!#REF!,2,FALSE),(VLOOKUP($S3075,References!$B$3:$C$7,2,FALSE))),"")</f>
        <v/>
      </c>
      <c r="W3075" s="74" t="str">
        <f>IFERROR(VLOOKUP($O3075,'Customer List'!$A$1:$J$488,10,FALSE),"")</f>
        <v/>
      </c>
    </row>
    <row r="3076" spans="18:23">
      <c r="R3076" s="127">
        <f t="shared" si="171"/>
        <v>0</v>
      </c>
      <c r="T3076" s="128">
        <f t="shared" si="170"/>
        <v>0</v>
      </c>
      <c r="U3076" s="129" t="str">
        <f>IFERROR(IF(#REF!="S",VLOOKUP('Raw Data'!A3076,References!#REF!,2,FALSE),(VLOOKUP($S3076,References!$B$3:$C$7,2,FALSE))),"")</f>
        <v/>
      </c>
      <c r="W3076" s="74" t="str">
        <f>IFERROR(VLOOKUP($O3076,'Customer List'!$A$1:$J$488,10,FALSE),"")</f>
        <v/>
      </c>
    </row>
    <row r="3077" spans="18:23">
      <c r="R3077" s="127">
        <f t="shared" si="171"/>
        <v>0</v>
      </c>
      <c r="T3077" s="128">
        <f t="shared" si="170"/>
        <v>0</v>
      </c>
      <c r="U3077" s="129" t="str">
        <f>IFERROR(IF(#REF!="S",VLOOKUP('Raw Data'!A3077,References!#REF!,2,FALSE),(VLOOKUP($S3077,References!$B$3:$C$7,2,FALSE))),"")</f>
        <v/>
      </c>
      <c r="W3077" s="74" t="str">
        <f>IFERROR(VLOOKUP($O3077,'Customer List'!$A$1:$J$488,10,FALSE),"")</f>
        <v/>
      </c>
    </row>
    <row r="3078" spans="18:23">
      <c r="R3078" s="127">
        <f t="shared" si="171"/>
        <v>0</v>
      </c>
      <c r="T3078" s="128">
        <f t="shared" si="170"/>
        <v>0</v>
      </c>
      <c r="U3078" s="129" t="str">
        <f>IFERROR(IF(#REF!="S",VLOOKUP('Raw Data'!A3078,References!#REF!,2,FALSE),(VLOOKUP($S3078,References!$B$3:$C$7,2,FALSE))),"")</f>
        <v/>
      </c>
      <c r="W3078" s="74" t="str">
        <f>IFERROR(VLOOKUP($O3078,'Customer List'!$A$1:$J$488,10,FALSE),"")</f>
        <v/>
      </c>
    </row>
    <row r="3079" spans="18:23">
      <c r="R3079" s="127">
        <f t="shared" si="171"/>
        <v>0</v>
      </c>
      <c r="T3079" s="128">
        <f t="shared" si="170"/>
        <v>0</v>
      </c>
      <c r="U3079" s="129" t="str">
        <f>IFERROR(IF(#REF!="S",VLOOKUP('Raw Data'!A3079,References!#REF!,2,FALSE),(VLOOKUP($S3079,References!$B$3:$C$7,2,FALSE))),"")</f>
        <v/>
      </c>
      <c r="W3079" s="74" t="str">
        <f>IFERROR(VLOOKUP($O3079,'Customer List'!$A$1:$J$488,10,FALSE),"")</f>
        <v/>
      </c>
    </row>
    <row r="3080" spans="18:23">
      <c r="R3080" s="127">
        <f t="shared" si="171"/>
        <v>0</v>
      </c>
      <c r="T3080" s="128">
        <f t="shared" si="170"/>
        <v>0</v>
      </c>
      <c r="U3080" s="129" t="str">
        <f>IFERROR(IF(#REF!="S",VLOOKUP('Raw Data'!A3080,References!#REF!,2,FALSE),(VLOOKUP($S3080,References!$B$3:$C$7,2,FALSE))),"")</f>
        <v/>
      </c>
      <c r="W3080" s="74" t="str">
        <f>IFERROR(VLOOKUP($O3080,'Customer List'!$A$1:$J$488,10,FALSE),"")</f>
        <v/>
      </c>
    </row>
    <row r="3081" spans="18:23">
      <c r="R3081" s="127">
        <f t="shared" si="171"/>
        <v>0</v>
      </c>
      <c r="T3081" s="128">
        <f t="shared" si="170"/>
        <v>0</v>
      </c>
      <c r="U3081" s="129" t="str">
        <f>IFERROR(IF(#REF!="S",VLOOKUP('Raw Data'!A3081,References!#REF!,2,FALSE),(VLOOKUP($S3081,References!$B$3:$C$7,2,FALSE))),"")</f>
        <v/>
      </c>
      <c r="W3081" s="74" t="str">
        <f>IFERROR(VLOOKUP($O3081,'Customer List'!$A$1:$J$488,10,FALSE),"")</f>
        <v/>
      </c>
    </row>
    <row r="3082" spans="18:23">
      <c r="R3082" s="127">
        <f t="shared" si="171"/>
        <v>0</v>
      </c>
      <c r="T3082" s="128">
        <f t="shared" ref="T3082:T3145" si="172">IF(S3082="50 - Cleaning Fee",1,HOUR($R3082)+MINUTE(R3082)/60)</f>
        <v>0</v>
      </c>
      <c r="U3082" s="129" t="str">
        <f>IFERROR(IF(#REF!="S",VLOOKUP('Raw Data'!A3082,References!#REF!,2,FALSE),(VLOOKUP($S3082,References!$B$3:$C$7,2,FALSE))),"")</f>
        <v/>
      </c>
      <c r="W3082" s="74" t="str">
        <f>IFERROR(VLOOKUP($O3082,'Customer List'!$A$1:$J$488,10,FALSE),"")</f>
        <v/>
      </c>
    </row>
    <row r="3083" spans="18:23">
      <c r="R3083" s="127">
        <f t="shared" si="171"/>
        <v>0</v>
      </c>
      <c r="T3083" s="128">
        <f t="shared" si="172"/>
        <v>0</v>
      </c>
      <c r="U3083" s="129" t="str">
        <f>IFERROR(IF(#REF!="S",VLOOKUP('Raw Data'!A3083,References!#REF!,2,FALSE),(VLOOKUP($S3083,References!$B$3:$C$7,2,FALSE))),"")</f>
        <v/>
      </c>
      <c r="W3083" s="74" t="str">
        <f>IFERROR(VLOOKUP($O3083,'Customer List'!$A$1:$J$488,10,FALSE),"")</f>
        <v/>
      </c>
    </row>
    <row r="3084" spans="18:23">
      <c r="R3084" s="127">
        <f t="shared" si="171"/>
        <v>0</v>
      </c>
      <c r="T3084" s="128">
        <f t="shared" si="172"/>
        <v>0</v>
      </c>
      <c r="U3084" s="129" t="str">
        <f>IFERROR(IF(#REF!="S",VLOOKUP('Raw Data'!A3084,References!#REF!,2,FALSE),(VLOOKUP($S3084,References!$B$3:$C$7,2,FALSE))),"")</f>
        <v/>
      </c>
      <c r="W3084" s="74" t="str">
        <f>IFERROR(VLOOKUP($O3084,'Customer List'!$A$1:$J$488,10,FALSE),"")</f>
        <v/>
      </c>
    </row>
    <row r="3085" spans="18:23">
      <c r="R3085" s="127">
        <f t="shared" si="171"/>
        <v>0</v>
      </c>
      <c r="T3085" s="128">
        <f t="shared" si="172"/>
        <v>0</v>
      </c>
      <c r="U3085" s="129" t="str">
        <f>IFERROR(IF(#REF!="S",VLOOKUP('Raw Data'!A3085,References!#REF!,2,FALSE),(VLOOKUP($S3085,References!$B$3:$C$7,2,FALSE))),"")</f>
        <v/>
      </c>
      <c r="W3085" s="74" t="str">
        <f>IFERROR(VLOOKUP($O3085,'Customer List'!$A$1:$J$488,10,FALSE),"")</f>
        <v/>
      </c>
    </row>
    <row r="3086" spans="18:23">
      <c r="R3086" s="127">
        <f t="shared" si="171"/>
        <v>0</v>
      </c>
      <c r="T3086" s="128">
        <f t="shared" si="172"/>
        <v>0</v>
      </c>
      <c r="U3086" s="129" t="str">
        <f>IFERROR(IF(#REF!="S",VLOOKUP('Raw Data'!A3086,References!#REF!,2,FALSE),(VLOOKUP($S3086,References!$B$3:$C$7,2,FALSE))),"")</f>
        <v/>
      </c>
      <c r="W3086" s="74" t="str">
        <f>IFERROR(VLOOKUP($O3086,'Customer List'!$A$1:$J$488,10,FALSE),"")</f>
        <v/>
      </c>
    </row>
    <row r="3087" spans="18:23">
      <c r="R3087" s="127">
        <f t="shared" si="171"/>
        <v>0</v>
      </c>
      <c r="T3087" s="128">
        <f t="shared" si="172"/>
        <v>0</v>
      </c>
      <c r="U3087" s="129" t="str">
        <f>IFERROR(IF(#REF!="S",VLOOKUP('Raw Data'!A3087,References!#REF!,2,FALSE),(VLOOKUP($S3087,References!$B$3:$C$7,2,FALSE))),"")</f>
        <v/>
      </c>
      <c r="W3087" s="74" t="str">
        <f>IFERROR(VLOOKUP($O3087,'Customer List'!$A$1:$J$488,10,FALSE),"")</f>
        <v/>
      </c>
    </row>
    <row r="3088" spans="18:23">
      <c r="R3088" s="127">
        <f t="shared" si="171"/>
        <v>0</v>
      </c>
      <c r="T3088" s="128">
        <f t="shared" si="172"/>
        <v>0</v>
      </c>
      <c r="U3088" s="129" t="str">
        <f>IFERROR(IF(#REF!="S",VLOOKUP('Raw Data'!A3088,References!#REF!,2,FALSE),(VLOOKUP($S3088,References!$B$3:$C$7,2,FALSE))),"")</f>
        <v/>
      </c>
      <c r="W3088" s="74" t="str">
        <f>IFERROR(VLOOKUP($O3088,'Customer List'!$A$1:$J$488,10,FALSE),"")</f>
        <v/>
      </c>
    </row>
    <row r="3089" spans="18:23">
      <c r="R3089" s="127">
        <f t="shared" si="171"/>
        <v>0</v>
      </c>
      <c r="T3089" s="128">
        <f t="shared" si="172"/>
        <v>0</v>
      </c>
      <c r="U3089" s="129" t="str">
        <f>IFERROR(IF(#REF!="S",VLOOKUP('Raw Data'!A3089,References!#REF!,2,FALSE),(VLOOKUP($S3089,References!$B$3:$C$7,2,FALSE))),"")</f>
        <v/>
      </c>
      <c r="W3089" s="74" t="str">
        <f>IFERROR(VLOOKUP($O3089,'Customer List'!$A$1:$J$488,10,FALSE),"")</f>
        <v/>
      </c>
    </row>
    <row r="3090" spans="18:23">
      <c r="R3090" s="127">
        <f t="shared" si="171"/>
        <v>0</v>
      </c>
      <c r="T3090" s="128">
        <f t="shared" si="172"/>
        <v>0</v>
      </c>
      <c r="U3090" s="129" t="str">
        <f>IFERROR(IF(#REF!="S",VLOOKUP('Raw Data'!A3090,References!#REF!,2,FALSE),(VLOOKUP($S3090,References!$B$3:$C$7,2,FALSE))),"")</f>
        <v/>
      </c>
      <c r="W3090" s="74" t="str">
        <f>IFERROR(VLOOKUP($O3090,'Customer List'!$A$1:$J$488,10,FALSE),"")</f>
        <v/>
      </c>
    </row>
    <row r="3091" spans="18:23">
      <c r="R3091" s="127">
        <f t="shared" si="171"/>
        <v>0</v>
      </c>
      <c r="T3091" s="128">
        <f t="shared" si="172"/>
        <v>0</v>
      </c>
      <c r="U3091" s="129" t="str">
        <f>IFERROR(IF(#REF!="S",VLOOKUP('Raw Data'!A3091,References!#REF!,2,FALSE),(VLOOKUP($S3091,References!$B$3:$C$7,2,FALSE))),"")</f>
        <v/>
      </c>
      <c r="W3091" s="74" t="str">
        <f>IFERROR(VLOOKUP($O3091,'Customer List'!$A$1:$J$488,10,FALSE),"")</f>
        <v/>
      </c>
    </row>
    <row r="3092" spans="18:23">
      <c r="R3092" s="127">
        <f t="shared" si="171"/>
        <v>0</v>
      </c>
      <c r="T3092" s="128">
        <f t="shared" si="172"/>
        <v>0</v>
      </c>
      <c r="U3092" s="129" t="str">
        <f>IFERROR(IF(#REF!="S",VLOOKUP('Raw Data'!A3092,References!#REF!,2,FALSE),(VLOOKUP($S3092,References!$B$3:$C$7,2,FALSE))),"")</f>
        <v/>
      </c>
      <c r="W3092" s="74" t="str">
        <f>IFERROR(VLOOKUP($O3092,'Customer List'!$A$1:$J$488,10,FALSE),"")</f>
        <v/>
      </c>
    </row>
    <row r="3093" spans="18:23">
      <c r="R3093" s="127">
        <f t="shared" si="171"/>
        <v>0</v>
      </c>
      <c r="T3093" s="128">
        <f t="shared" si="172"/>
        <v>0</v>
      </c>
      <c r="U3093" s="129" t="str">
        <f>IFERROR(IF(#REF!="S",VLOOKUP('Raw Data'!A3093,References!#REF!,2,FALSE),(VLOOKUP($S3093,References!$B$3:$C$7,2,FALSE))),"")</f>
        <v/>
      </c>
      <c r="W3093" s="74" t="str">
        <f>IFERROR(VLOOKUP($O3093,'Customer List'!$A$1:$J$488,10,FALSE),"")</f>
        <v/>
      </c>
    </row>
    <row r="3094" spans="18:23">
      <c r="R3094" s="127">
        <f t="shared" si="171"/>
        <v>0</v>
      </c>
      <c r="T3094" s="128">
        <f t="shared" si="172"/>
        <v>0</v>
      </c>
      <c r="U3094" s="129" t="str">
        <f>IFERROR(IF(#REF!="S",VLOOKUP('Raw Data'!A3094,References!#REF!,2,FALSE),(VLOOKUP($S3094,References!$B$3:$C$7,2,FALSE))),"")</f>
        <v/>
      </c>
      <c r="W3094" s="74" t="str">
        <f>IFERROR(VLOOKUP($O3094,'Customer List'!$A$1:$J$488,10,FALSE),"")</f>
        <v/>
      </c>
    </row>
    <row r="3095" spans="18:23">
      <c r="R3095" s="127">
        <f t="shared" si="171"/>
        <v>0</v>
      </c>
      <c r="T3095" s="128">
        <f t="shared" si="172"/>
        <v>0</v>
      </c>
      <c r="U3095" s="129" t="str">
        <f>IFERROR(IF(#REF!="S",VLOOKUP('Raw Data'!A3095,References!#REF!,2,FALSE),(VLOOKUP($S3095,References!$B$3:$C$7,2,FALSE))),"")</f>
        <v/>
      </c>
      <c r="W3095" s="74" t="str">
        <f>IFERROR(VLOOKUP($O3095,'Customer List'!$A$1:$J$488,10,FALSE),"")</f>
        <v/>
      </c>
    </row>
    <row r="3096" spans="18:23">
      <c r="R3096" s="127">
        <f t="shared" si="171"/>
        <v>0</v>
      </c>
      <c r="T3096" s="128">
        <f t="shared" si="172"/>
        <v>0</v>
      </c>
      <c r="U3096" s="129" t="str">
        <f>IFERROR(IF(#REF!="S",VLOOKUP('Raw Data'!A3096,References!#REF!,2,FALSE),(VLOOKUP($S3096,References!$B$3:$C$7,2,FALSE))),"")</f>
        <v/>
      </c>
      <c r="W3096" s="74" t="str">
        <f>IFERROR(VLOOKUP($O3096,'Customer List'!$A$1:$J$488,10,FALSE),"")</f>
        <v/>
      </c>
    </row>
    <row r="3097" spans="18:23">
      <c r="R3097" s="127">
        <f t="shared" si="171"/>
        <v>0</v>
      </c>
      <c r="T3097" s="128">
        <f t="shared" si="172"/>
        <v>0</v>
      </c>
      <c r="U3097" s="129" t="str">
        <f>IFERROR(IF(#REF!="S",VLOOKUP('Raw Data'!A3097,References!#REF!,2,FALSE),(VLOOKUP($S3097,References!$B$3:$C$7,2,FALSE))),"")</f>
        <v/>
      </c>
      <c r="W3097" s="74" t="str">
        <f>IFERROR(VLOOKUP($O3097,'Customer List'!$A$1:$J$488,10,FALSE),"")</f>
        <v/>
      </c>
    </row>
    <row r="3098" spans="18:23">
      <c r="R3098" s="127">
        <f t="shared" si="171"/>
        <v>0</v>
      </c>
      <c r="T3098" s="128">
        <f t="shared" si="172"/>
        <v>0</v>
      </c>
      <c r="U3098" s="129" t="str">
        <f>IFERROR(IF(#REF!="S",VLOOKUP('Raw Data'!A3098,References!#REF!,2,FALSE),(VLOOKUP($S3098,References!$B$3:$C$7,2,FALSE))),"")</f>
        <v/>
      </c>
      <c r="W3098" s="74" t="str">
        <f>IFERROR(VLOOKUP($O3098,'Customer List'!$A$1:$J$488,10,FALSE),"")</f>
        <v/>
      </c>
    </row>
    <row r="3099" spans="18:23">
      <c r="R3099" s="127">
        <f t="shared" si="171"/>
        <v>0</v>
      </c>
      <c r="T3099" s="128">
        <f t="shared" si="172"/>
        <v>0</v>
      </c>
      <c r="U3099" s="129" t="str">
        <f>IFERROR(IF(#REF!="S",VLOOKUP('Raw Data'!A3099,References!#REF!,2,FALSE),(VLOOKUP($S3099,References!$B$3:$C$7,2,FALSE))),"")</f>
        <v/>
      </c>
      <c r="W3099" s="74" t="str">
        <f>IFERROR(VLOOKUP($O3099,'Customer List'!$A$1:$J$488,10,FALSE),"")</f>
        <v/>
      </c>
    </row>
    <row r="3100" spans="18:23">
      <c r="R3100" s="127">
        <f t="shared" si="171"/>
        <v>0</v>
      </c>
      <c r="T3100" s="128">
        <f t="shared" si="172"/>
        <v>0</v>
      </c>
      <c r="U3100" s="129" t="str">
        <f>IFERROR(IF(#REF!="S",VLOOKUP('Raw Data'!A3100,References!#REF!,2,FALSE),(VLOOKUP($S3100,References!$B$3:$C$7,2,FALSE))),"")</f>
        <v/>
      </c>
      <c r="W3100" s="74" t="str">
        <f>IFERROR(VLOOKUP($O3100,'Customer List'!$A$1:$J$488,10,FALSE),"")</f>
        <v/>
      </c>
    </row>
    <row r="3101" spans="18:23">
      <c r="R3101" s="127">
        <f t="shared" si="171"/>
        <v>0</v>
      </c>
      <c r="T3101" s="128">
        <f t="shared" si="172"/>
        <v>0</v>
      </c>
      <c r="U3101" s="129" t="str">
        <f>IFERROR(IF(#REF!="S",VLOOKUP('Raw Data'!A3101,References!#REF!,2,FALSE),(VLOOKUP($S3101,References!$B$3:$C$7,2,FALSE))),"")</f>
        <v/>
      </c>
      <c r="W3101" s="74" t="str">
        <f>IFERROR(VLOOKUP($O3101,'Customer List'!$A$1:$J$488,10,FALSE),"")</f>
        <v/>
      </c>
    </row>
    <row r="3102" spans="18:23">
      <c r="R3102" s="127">
        <f t="shared" si="171"/>
        <v>0</v>
      </c>
      <c r="T3102" s="128">
        <f t="shared" si="172"/>
        <v>0</v>
      </c>
      <c r="U3102" s="129" t="str">
        <f>IFERROR(IF(#REF!="S",VLOOKUP('Raw Data'!A3102,References!#REF!,2,FALSE),(VLOOKUP($S3102,References!$B$3:$C$7,2,FALSE))),"")</f>
        <v/>
      </c>
      <c r="W3102" s="74" t="str">
        <f>IFERROR(VLOOKUP($O3102,'Customer List'!$A$1:$J$488,10,FALSE),"")</f>
        <v/>
      </c>
    </row>
    <row r="3103" spans="18:23">
      <c r="R3103" s="127">
        <f t="shared" si="171"/>
        <v>0</v>
      </c>
      <c r="T3103" s="128">
        <f t="shared" si="172"/>
        <v>0</v>
      </c>
      <c r="U3103" s="129" t="str">
        <f>IFERROR(IF(#REF!="S",VLOOKUP('Raw Data'!A3103,References!#REF!,2,FALSE),(VLOOKUP($S3103,References!$B$3:$C$7,2,FALSE))),"")</f>
        <v/>
      </c>
      <c r="W3103" s="74" t="str">
        <f>IFERROR(VLOOKUP($O3103,'Customer List'!$A$1:$J$488,10,FALSE),"")</f>
        <v/>
      </c>
    </row>
    <row r="3104" spans="18:23">
      <c r="R3104" s="127">
        <f t="shared" si="171"/>
        <v>0</v>
      </c>
      <c r="T3104" s="128">
        <f t="shared" si="172"/>
        <v>0</v>
      </c>
      <c r="U3104" s="129" t="str">
        <f>IFERROR(IF(#REF!="S",VLOOKUP('Raw Data'!A3104,References!#REF!,2,FALSE),(VLOOKUP($S3104,References!$B$3:$C$7,2,FALSE))),"")</f>
        <v/>
      </c>
      <c r="W3104" s="74" t="str">
        <f>IFERROR(VLOOKUP($O3104,'Customer List'!$A$1:$J$488,10,FALSE),"")</f>
        <v/>
      </c>
    </row>
    <row r="3105" spans="18:23">
      <c r="R3105" s="127">
        <f t="shared" si="171"/>
        <v>0</v>
      </c>
      <c r="T3105" s="128">
        <f t="shared" si="172"/>
        <v>0</v>
      </c>
      <c r="U3105" s="129" t="str">
        <f>IFERROR(IF(#REF!="S",VLOOKUP('Raw Data'!A3105,References!#REF!,2,FALSE),(VLOOKUP($S3105,References!$B$3:$C$7,2,FALSE))),"")</f>
        <v/>
      </c>
      <c r="W3105" s="74" t="str">
        <f>IFERROR(VLOOKUP($O3105,'Customer List'!$A$1:$J$488,10,FALSE),"")</f>
        <v/>
      </c>
    </row>
    <row r="3106" spans="18:23">
      <c r="R3106" s="127">
        <f t="shared" ref="R3106:R3169" si="173">L3106-K3106</f>
        <v>0</v>
      </c>
      <c r="T3106" s="128">
        <f t="shared" si="172"/>
        <v>0</v>
      </c>
      <c r="U3106" s="129" t="str">
        <f>IFERROR(IF(#REF!="S",VLOOKUP('Raw Data'!A3106,References!#REF!,2,FALSE),(VLOOKUP($S3106,References!$B$3:$C$7,2,FALSE))),"")</f>
        <v/>
      </c>
      <c r="W3106" s="74" t="str">
        <f>IFERROR(VLOOKUP($O3106,'Customer List'!$A$1:$J$488,10,FALSE),"")</f>
        <v/>
      </c>
    </row>
    <row r="3107" spans="18:23">
      <c r="R3107" s="127">
        <f t="shared" si="173"/>
        <v>0</v>
      </c>
      <c r="T3107" s="128">
        <f t="shared" si="172"/>
        <v>0</v>
      </c>
      <c r="U3107" s="129" t="str">
        <f>IFERROR(IF(#REF!="S",VLOOKUP('Raw Data'!A3107,References!#REF!,2,FALSE),(VLOOKUP($S3107,References!$B$3:$C$7,2,FALSE))),"")</f>
        <v/>
      </c>
      <c r="W3107" s="74" t="str">
        <f>IFERROR(VLOOKUP($O3107,'Customer List'!$A$1:$J$488,10,FALSE),"")</f>
        <v/>
      </c>
    </row>
    <row r="3108" spans="18:23">
      <c r="R3108" s="127">
        <f t="shared" si="173"/>
        <v>0</v>
      </c>
      <c r="T3108" s="128">
        <f t="shared" si="172"/>
        <v>0</v>
      </c>
      <c r="U3108" s="129" t="str">
        <f>IFERROR(IF(#REF!="S",VLOOKUP('Raw Data'!A3108,References!#REF!,2,FALSE),(VLOOKUP($S3108,References!$B$3:$C$7,2,FALSE))),"")</f>
        <v/>
      </c>
      <c r="W3108" s="74" t="str">
        <f>IFERROR(VLOOKUP($O3108,'Customer List'!$A$1:$J$488,10,FALSE),"")</f>
        <v/>
      </c>
    </row>
    <row r="3109" spans="18:23">
      <c r="R3109" s="127">
        <f t="shared" si="173"/>
        <v>0</v>
      </c>
      <c r="T3109" s="128">
        <f t="shared" si="172"/>
        <v>0</v>
      </c>
      <c r="U3109" s="129" t="str">
        <f>IFERROR(IF(#REF!="S",VLOOKUP('Raw Data'!A3109,References!#REF!,2,FALSE),(VLOOKUP($S3109,References!$B$3:$C$7,2,FALSE))),"")</f>
        <v/>
      </c>
      <c r="W3109" s="74" t="str">
        <f>IFERROR(VLOOKUP($O3109,'Customer List'!$A$1:$J$488,10,FALSE),"")</f>
        <v/>
      </c>
    </row>
    <row r="3110" spans="18:23">
      <c r="R3110" s="127">
        <f t="shared" si="173"/>
        <v>0</v>
      </c>
      <c r="T3110" s="128">
        <f t="shared" si="172"/>
        <v>0</v>
      </c>
      <c r="U3110" s="129" t="str">
        <f>IFERROR(IF(#REF!="S",VLOOKUP('Raw Data'!A3110,References!#REF!,2,FALSE),(VLOOKUP($S3110,References!$B$3:$C$7,2,FALSE))),"")</f>
        <v/>
      </c>
      <c r="W3110" s="74" t="str">
        <f>IFERROR(VLOOKUP($O3110,'Customer List'!$A$1:$J$488,10,FALSE),"")</f>
        <v/>
      </c>
    </row>
    <row r="3111" spans="18:23">
      <c r="R3111" s="127">
        <f t="shared" si="173"/>
        <v>0</v>
      </c>
      <c r="T3111" s="128">
        <f t="shared" si="172"/>
        <v>0</v>
      </c>
      <c r="U3111" s="129" t="str">
        <f>IFERROR(IF(#REF!="S",VLOOKUP('Raw Data'!A3111,References!#REF!,2,FALSE),(VLOOKUP($S3111,References!$B$3:$C$7,2,FALSE))),"")</f>
        <v/>
      </c>
      <c r="W3111" s="74" t="str">
        <f>IFERROR(VLOOKUP($O3111,'Customer List'!$A$1:$J$488,10,FALSE),"")</f>
        <v/>
      </c>
    </row>
    <row r="3112" spans="18:23">
      <c r="R3112" s="127">
        <f t="shared" si="173"/>
        <v>0</v>
      </c>
      <c r="T3112" s="128">
        <f t="shared" si="172"/>
        <v>0</v>
      </c>
      <c r="U3112" s="129" t="str">
        <f>IFERROR(IF(#REF!="S",VLOOKUP('Raw Data'!A3112,References!#REF!,2,FALSE),(VLOOKUP($S3112,References!$B$3:$C$7,2,FALSE))),"")</f>
        <v/>
      </c>
      <c r="W3112" s="74" t="str">
        <f>IFERROR(VLOOKUP($O3112,'Customer List'!$A$1:$J$488,10,FALSE),"")</f>
        <v/>
      </c>
    </row>
    <row r="3113" spans="18:23">
      <c r="R3113" s="127">
        <f t="shared" si="173"/>
        <v>0</v>
      </c>
      <c r="T3113" s="128">
        <f t="shared" si="172"/>
        <v>0</v>
      </c>
      <c r="U3113" s="129" t="str">
        <f>IFERROR(IF(#REF!="S",VLOOKUP('Raw Data'!A3113,References!#REF!,2,FALSE),(VLOOKUP($S3113,References!$B$3:$C$7,2,FALSE))),"")</f>
        <v/>
      </c>
      <c r="W3113" s="74" t="str">
        <f>IFERROR(VLOOKUP($O3113,'Customer List'!$A$1:$J$488,10,FALSE),"")</f>
        <v/>
      </c>
    </row>
    <row r="3114" spans="18:23">
      <c r="R3114" s="127">
        <f t="shared" si="173"/>
        <v>0</v>
      </c>
      <c r="T3114" s="128">
        <f t="shared" si="172"/>
        <v>0</v>
      </c>
      <c r="U3114" s="129" t="str">
        <f>IFERROR(IF(#REF!="S",VLOOKUP('Raw Data'!A3114,References!#REF!,2,FALSE),(VLOOKUP($S3114,References!$B$3:$C$7,2,FALSE))),"")</f>
        <v/>
      </c>
      <c r="W3114" s="74" t="str">
        <f>IFERROR(VLOOKUP($O3114,'Customer List'!$A$1:$J$488,10,FALSE),"")</f>
        <v/>
      </c>
    </row>
    <row r="3115" spans="18:23">
      <c r="R3115" s="127">
        <f t="shared" si="173"/>
        <v>0</v>
      </c>
      <c r="T3115" s="128">
        <f t="shared" si="172"/>
        <v>0</v>
      </c>
      <c r="U3115" s="129" t="str">
        <f>IFERROR(IF(#REF!="S",VLOOKUP('Raw Data'!A3115,References!#REF!,2,FALSE),(VLOOKUP($S3115,References!$B$3:$C$7,2,FALSE))),"")</f>
        <v/>
      </c>
      <c r="W3115" s="74" t="str">
        <f>IFERROR(VLOOKUP($O3115,'Customer List'!$A$1:$J$488,10,FALSE),"")</f>
        <v/>
      </c>
    </row>
    <row r="3116" spans="18:23">
      <c r="R3116" s="127">
        <f t="shared" si="173"/>
        <v>0</v>
      </c>
      <c r="T3116" s="128">
        <f t="shared" si="172"/>
        <v>0</v>
      </c>
      <c r="U3116" s="129" t="str">
        <f>IFERROR(IF(#REF!="S",VLOOKUP('Raw Data'!A3116,References!#REF!,2,FALSE),(VLOOKUP($S3116,References!$B$3:$C$7,2,FALSE))),"")</f>
        <v/>
      </c>
      <c r="W3116" s="74" t="str">
        <f>IFERROR(VLOOKUP($O3116,'Customer List'!$A$1:$J$488,10,FALSE),"")</f>
        <v/>
      </c>
    </row>
    <row r="3117" spans="18:23">
      <c r="R3117" s="127">
        <f t="shared" si="173"/>
        <v>0</v>
      </c>
      <c r="T3117" s="128">
        <f t="shared" si="172"/>
        <v>0</v>
      </c>
      <c r="U3117" s="129" t="str">
        <f>IFERROR(IF(#REF!="S",VLOOKUP('Raw Data'!A3117,References!#REF!,2,FALSE),(VLOOKUP($S3117,References!$B$3:$C$7,2,FALSE))),"")</f>
        <v/>
      </c>
      <c r="W3117" s="74" t="str">
        <f>IFERROR(VLOOKUP($O3117,'Customer List'!$A$1:$J$488,10,FALSE),"")</f>
        <v/>
      </c>
    </row>
    <row r="3118" spans="18:23">
      <c r="R3118" s="127">
        <f t="shared" si="173"/>
        <v>0</v>
      </c>
      <c r="T3118" s="128">
        <f t="shared" si="172"/>
        <v>0</v>
      </c>
      <c r="U3118" s="129" t="str">
        <f>IFERROR(IF(#REF!="S",VLOOKUP('Raw Data'!A3118,References!#REF!,2,FALSE),(VLOOKUP($S3118,References!$B$3:$C$7,2,FALSE))),"")</f>
        <v/>
      </c>
      <c r="W3118" s="74" t="str">
        <f>IFERROR(VLOOKUP($O3118,'Customer List'!$A$1:$J$488,10,FALSE),"")</f>
        <v/>
      </c>
    </row>
    <row r="3119" spans="18:23">
      <c r="R3119" s="127">
        <f t="shared" si="173"/>
        <v>0</v>
      </c>
      <c r="T3119" s="128">
        <f t="shared" si="172"/>
        <v>0</v>
      </c>
      <c r="U3119" s="129" t="str">
        <f>IFERROR(IF(#REF!="S",VLOOKUP('Raw Data'!A3119,References!#REF!,2,FALSE),(VLOOKUP($S3119,References!$B$3:$C$7,2,FALSE))),"")</f>
        <v/>
      </c>
      <c r="W3119" s="74" t="str">
        <f>IFERROR(VLOOKUP($O3119,'Customer List'!$A$1:$J$488,10,FALSE),"")</f>
        <v/>
      </c>
    </row>
    <row r="3120" spans="18:23">
      <c r="R3120" s="127">
        <f t="shared" si="173"/>
        <v>0</v>
      </c>
      <c r="T3120" s="128">
        <f t="shared" si="172"/>
        <v>0</v>
      </c>
      <c r="U3120" s="129" t="str">
        <f>IFERROR(IF(#REF!="S",VLOOKUP('Raw Data'!A3120,References!#REF!,2,FALSE),(VLOOKUP($S3120,References!$B$3:$C$7,2,FALSE))),"")</f>
        <v/>
      </c>
      <c r="W3120" s="74" t="str">
        <f>IFERROR(VLOOKUP($O3120,'Customer List'!$A$1:$J$488,10,FALSE),"")</f>
        <v/>
      </c>
    </row>
    <row r="3121" spans="18:23">
      <c r="R3121" s="127">
        <f t="shared" si="173"/>
        <v>0</v>
      </c>
      <c r="T3121" s="128">
        <f t="shared" si="172"/>
        <v>0</v>
      </c>
      <c r="U3121" s="129" t="str">
        <f>IFERROR(IF(#REF!="S",VLOOKUP('Raw Data'!A3121,References!#REF!,2,FALSE),(VLOOKUP($S3121,References!$B$3:$C$7,2,FALSE))),"")</f>
        <v/>
      </c>
      <c r="W3121" s="74" t="str">
        <f>IFERROR(VLOOKUP($O3121,'Customer List'!$A$1:$J$488,10,FALSE),"")</f>
        <v/>
      </c>
    </row>
    <row r="3122" spans="18:23">
      <c r="R3122" s="127">
        <f t="shared" si="173"/>
        <v>0</v>
      </c>
      <c r="T3122" s="128">
        <f t="shared" si="172"/>
        <v>0</v>
      </c>
      <c r="U3122" s="129" t="str">
        <f>IFERROR(IF(#REF!="S",VLOOKUP('Raw Data'!A3122,References!#REF!,2,FALSE),(VLOOKUP($S3122,References!$B$3:$C$7,2,FALSE))),"")</f>
        <v/>
      </c>
      <c r="W3122" s="74" t="str">
        <f>IFERROR(VLOOKUP($O3122,'Customer List'!$A$1:$J$488,10,FALSE),"")</f>
        <v/>
      </c>
    </row>
    <row r="3123" spans="18:23">
      <c r="R3123" s="127">
        <f t="shared" si="173"/>
        <v>0</v>
      </c>
      <c r="T3123" s="128">
        <f t="shared" si="172"/>
        <v>0</v>
      </c>
      <c r="U3123" s="129" t="str">
        <f>IFERROR(IF(#REF!="S",VLOOKUP('Raw Data'!A3123,References!#REF!,2,FALSE),(VLOOKUP($S3123,References!$B$3:$C$7,2,FALSE))),"")</f>
        <v/>
      </c>
      <c r="W3123" s="74" t="str">
        <f>IFERROR(VLOOKUP($O3123,'Customer List'!$A$1:$J$488,10,FALSE),"")</f>
        <v/>
      </c>
    </row>
    <row r="3124" spans="18:23">
      <c r="R3124" s="127">
        <f t="shared" si="173"/>
        <v>0</v>
      </c>
      <c r="T3124" s="128">
        <f t="shared" si="172"/>
        <v>0</v>
      </c>
      <c r="U3124" s="129" t="str">
        <f>IFERROR(IF(#REF!="S",VLOOKUP('Raw Data'!A3124,References!#REF!,2,FALSE),(VLOOKUP($S3124,References!$B$3:$C$7,2,FALSE))),"")</f>
        <v/>
      </c>
      <c r="W3124" s="74" t="str">
        <f>IFERROR(VLOOKUP($O3124,'Customer List'!$A$1:$J$488,10,FALSE),"")</f>
        <v/>
      </c>
    </row>
    <row r="3125" spans="18:23">
      <c r="R3125" s="127">
        <f t="shared" si="173"/>
        <v>0</v>
      </c>
      <c r="T3125" s="128">
        <f t="shared" si="172"/>
        <v>0</v>
      </c>
      <c r="U3125" s="129" t="str">
        <f>IFERROR(IF(#REF!="S",VLOOKUP('Raw Data'!A3125,References!#REF!,2,FALSE),(VLOOKUP($S3125,References!$B$3:$C$7,2,FALSE))),"")</f>
        <v/>
      </c>
      <c r="W3125" s="74" t="str">
        <f>IFERROR(VLOOKUP($O3125,'Customer List'!$A$1:$J$488,10,FALSE),"")</f>
        <v/>
      </c>
    </row>
    <row r="3126" spans="18:23">
      <c r="R3126" s="127">
        <f t="shared" si="173"/>
        <v>0</v>
      </c>
      <c r="T3126" s="128">
        <f t="shared" si="172"/>
        <v>0</v>
      </c>
      <c r="U3126" s="129" t="str">
        <f>IFERROR(IF(#REF!="S",VLOOKUP('Raw Data'!A3126,References!#REF!,2,FALSE),(VLOOKUP($S3126,References!$B$3:$C$7,2,FALSE))),"")</f>
        <v/>
      </c>
      <c r="W3126" s="74" t="str">
        <f>IFERROR(VLOOKUP($O3126,'Customer List'!$A$1:$J$488,10,FALSE),"")</f>
        <v/>
      </c>
    </row>
    <row r="3127" spans="18:23">
      <c r="R3127" s="127">
        <f t="shared" si="173"/>
        <v>0</v>
      </c>
      <c r="T3127" s="128">
        <f t="shared" si="172"/>
        <v>0</v>
      </c>
      <c r="U3127" s="129" t="str">
        <f>IFERROR(IF(#REF!="S",VLOOKUP('Raw Data'!A3127,References!#REF!,2,FALSE),(VLOOKUP($S3127,References!$B$3:$C$7,2,FALSE))),"")</f>
        <v/>
      </c>
      <c r="W3127" s="74" t="str">
        <f>IFERROR(VLOOKUP($O3127,'Customer List'!$A$1:$J$488,10,FALSE),"")</f>
        <v/>
      </c>
    </row>
    <row r="3128" spans="18:23">
      <c r="R3128" s="127">
        <f t="shared" si="173"/>
        <v>0</v>
      </c>
      <c r="T3128" s="128">
        <f t="shared" si="172"/>
        <v>0</v>
      </c>
      <c r="U3128" s="129" t="str">
        <f>IFERROR(IF(#REF!="S",VLOOKUP('Raw Data'!A3128,References!#REF!,2,FALSE),(VLOOKUP($S3128,References!$B$3:$C$7,2,FALSE))),"")</f>
        <v/>
      </c>
      <c r="W3128" s="74" t="str">
        <f>IFERROR(VLOOKUP($O3128,'Customer List'!$A$1:$J$488,10,FALSE),"")</f>
        <v/>
      </c>
    </row>
    <row r="3129" spans="18:23">
      <c r="R3129" s="127">
        <f t="shared" si="173"/>
        <v>0</v>
      </c>
      <c r="T3129" s="128">
        <f t="shared" si="172"/>
        <v>0</v>
      </c>
      <c r="U3129" s="129" t="str">
        <f>IFERROR(IF(#REF!="S",VLOOKUP('Raw Data'!A3129,References!#REF!,2,FALSE),(VLOOKUP($S3129,References!$B$3:$C$7,2,FALSE))),"")</f>
        <v/>
      </c>
      <c r="W3129" s="74" t="str">
        <f>IFERROR(VLOOKUP($O3129,'Customer List'!$A$1:$J$488,10,FALSE),"")</f>
        <v/>
      </c>
    </row>
    <row r="3130" spans="18:23">
      <c r="R3130" s="127">
        <f t="shared" si="173"/>
        <v>0</v>
      </c>
      <c r="T3130" s="128">
        <f t="shared" si="172"/>
        <v>0</v>
      </c>
      <c r="U3130" s="129" t="str">
        <f>IFERROR(IF(#REF!="S",VLOOKUP('Raw Data'!A3130,References!#REF!,2,FALSE),(VLOOKUP($S3130,References!$B$3:$C$7,2,FALSE))),"")</f>
        <v/>
      </c>
      <c r="W3130" s="74" t="str">
        <f>IFERROR(VLOOKUP($O3130,'Customer List'!$A$1:$J$488,10,FALSE),"")</f>
        <v/>
      </c>
    </row>
    <row r="3131" spans="18:23">
      <c r="R3131" s="127">
        <f t="shared" si="173"/>
        <v>0</v>
      </c>
      <c r="T3131" s="128">
        <f t="shared" si="172"/>
        <v>0</v>
      </c>
      <c r="U3131" s="129" t="str">
        <f>IFERROR(IF(#REF!="S",VLOOKUP('Raw Data'!A3131,References!#REF!,2,FALSE),(VLOOKUP($S3131,References!$B$3:$C$7,2,FALSE))),"")</f>
        <v/>
      </c>
      <c r="W3131" s="74" t="str">
        <f>IFERROR(VLOOKUP($O3131,'Customer List'!$A$1:$J$488,10,FALSE),"")</f>
        <v/>
      </c>
    </row>
    <row r="3132" spans="18:23">
      <c r="R3132" s="127">
        <f t="shared" si="173"/>
        <v>0</v>
      </c>
      <c r="T3132" s="128">
        <f t="shared" si="172"/>
        <v>0</v>
      </c>
      <c r="U3132" s="129" t="str">
        <f>IFERROR(IF(#REF!="S",VLOOKUP('Raw Data'!A3132,References!#REF!,2,FALSE),(VLOOKUP($S3132,References!$B$3:$C$7,2,FALSE))),"")</f>
        <v/>
      </c>
      <c r="W3132" s="74" t="str">
        <f>IFERROR(VLOOKUP($O3132,'Customer List'!$A$1:$J$488,10,FALSE),"")</f>
        <v/>
      </c>
    </row>
    <row r="3133" spans="18:23">
      <c r="R3133" s="127">
        <f t="shared" si="173"/>
        <v>0</v>
      </c>
      <c r="T3133" s="128">
        <f t="shared" si="172"/>
        <v>0</v>
      </c>
      <c r="U3133" s="129" t="str">
        <f>IFERROR(IF(#REF!="S",VLOOKUP('Raw Data'!A3133,References!#REF!,2,FALSE),(VLOOKUP($S3133,References!$B$3:$C$7,2,FALSE))),"")</f>
        <v/>
      </c>
      <c r="W3133" s="74" t="str">
        <f>IFERROR(VLOOKUP($O3133,'Customer List'!$A$1:$J$488,10,FALSE),"")</f>
        <v/>
      </c>
    </row>
    <row r="3134" spans="18:23">
      <c r="R3134" s="127">
        <f t="shared" si="173"/>
        <v>0</v>
      </c>
      <c r="T3134" s="128">
        <f t="shared" si="172"/>
        <v>0</v>
      </c>
      <c r="U3134" s="129" t="str">
        <f>IFERROR(IF(#REF!="S",VLOOKUP('Raw Data'!A3134,References!#REF!,2,FALSE),(VLOOKUP($S3134,References!$B$3:$C$7,2,FALSE))),"")</f>
        <v/>
      </c>
      <c r="W3134" s="74" t="str">
        <f>IFERROR(VLOOKUP($O3134,'Customer List'!$A$1:$J$488,10,FALSE),"")</f>
        <v/>
      </c>
    </row>
    <row r="3135" spans="18:23">
      <c r="R3135" s="127">
        <f t="shared" si="173"/>
        <v>0</v>
      </c>
      <c r="T3135" s="128">
        <f t="shared" si="172"/>
        <v>0</v>
      </c>
      <c r="U3135" s="129" t="str">
        <f>IFERROR(IF(#REF!="S",VLOOKUP('Raw Data'!A3135,References!#REF!,2,FALSE),(VLOOKUP($S3135,References!$B$3:$C$7,2,FALSE))),"")</f>
        <v/>
      </c>
      <c r="W3135" s="74" t="str">
        <f>IFERROR(VLOOKUP($O3135,'Customer List'!$A$1:$J$488,10,FALSE),"")</f>
        <v/>
      </c>
    </row>
    <row r="3136" spans="18:23">
      <c r="R3136" s="127">
        <f t="shared" si="173"/>
        <v>0</v>
      </c>
      <c r="T3136" s="128">
        <f t="shared" si="172"/>
        <v>0</v>
      </c>
      <c r="U3136" s="129" t="str">
        <f>IFERROR(IF(#REF!="S",VLOOKUP('Raw Data'!A3136,References!#REF!,2,FALSE),(VLOOKUP($S3136,References!$B$3:$C$7,2,FALSE))),"")</f>
        <v/>
      </c>
      <c r="W3136" s="74" t="str">
        <f>IFERROR(VLOOKUP($O3136,'Customer List'!$A$1:$J$488,10,FALSE),"")</f>
        <v/>
      </c>
    </row>
    <row r="3137" spans="18:23">
      <c r="R3137" s="127">
        <f t="shared" si="173"/>
        <v>0</v>
      </c>
      <c r="T3137" s="128">
        <f t="shared" si="172"/>
        <v>0</v>
      </c>
      <c r="U3137" s="129" t="str">
        <f>IFERROR(IF(#REF!="S",VLOOKUP('Raw Data'!A3137,References!#REF!,2,FALSE),(VLOOKUP($S3137,References!$B$3:$C$7,2,FALSE))),"")</f>
        <v/>
      </c>
      <c r="W3137" s="74" t="str">
        <f>IFERROR(VLOOKUP($O3137,'Customer List'!$A$1:$J$488,10,FALSE),"")</f>
        <v/>
      </c>
    </row>
    <row r="3138" spans="18:23">
      <c r="R3138" s="127">
        <f t="shared" si="173"/>
        <v>0</v>
      </c>
      <c r="T3138" s="128">
        <f t="shared" si="172"/>
        <v>0</v>
      </c>
      <c r="U3138" s="129" t="str">
        <f>IFERROR(IF(#REF!="S",VLOOKUP('Raw Data'!A3138,References!#REF!,2,FALSE),(VLOOKUP($S3138,References!$B$3:$C$7,2,FALSE))),"")</f>
        <v/>
      </c>
      <c r="W3138" s="74" t="str">
        <f>IFERROR(VLOOKUP($O3138,'Customer List'!$A$1:$J$488,10,FALSE),"")</f>
        <v/>
      </c>
    </row>
    <row r="3139" spans="18:23">
      <c r="R3139" s="127">
        <f t="shared" si="173"/>
        <v>0</v>
      </c>
      <c r="T3139" s="128">
        <f t="shared" si="172"/>
        <v>0</v>
      </c>
      <c r="U3139" s="129" t="str">
        <f>IFERROR(IF(#REF!="S",VLOOKUP('Raw Data'!A3139,References!#REF!,2,FALSE),(VLOOKUP($S3139,References!$B$3:$C$7,2,FALSE))),"")</f>
        <v/>
      </c>
      <c r="W3139" s="74" t="str">
        <f>IFERROR(VLOOKUP($O3139,'Customer List'!$A$1:$J$488,10,FALSE),"")</f>
        <v/>
      </c>
    </row>
    <row r="3140" spans="18:23">
      <c r="R3140" s="127">
        <f t="shared" si="173"/>
        <v>0</v>
      </c>
      <c r="T3140" s="128">
        <f t="shared" si="172"/>
        <v>0</v>
      </c>
      <c r="U3140" s="129" t="str">
        <f>IFERROR(IF(#REF!="S",VLOOKUP('Raw Data'!A3140,References!#REF!,2,FALSE),(VLOOKUP($S3140,References!$B$3:$C$7,2,FALSE))),"")</f>
        <v/>
      </c>
      <c r="W3140" s="74" t="str">
        <f>IFERROR(VLOOKUP($O3140,'Customer List'!$A$1:$J$488,10,FALSE),"")</f>
        <v/>
      </c>
    </row>
    <row r="3141" spans="18:23">
      <c r="R3141" s="127">
        <f t="shared" si="173"/>
        <v>0</v>
      </c>
      <c r="T3141" s="128">
        <f t="shared" si="172"/>
        <v>0</v>
      </c>
      <c r="U3141" s="129" t="str">
        <f>IFERROR(IF(#REF!="S",VLOOKUP('Raw Data'!A3141,References!#REF!,2,FALSE),(VLOOKUP($S3141,References!$B$3:$C$7,2,FALSE))),"")</f>
        <v/>
      </c>
      <c r="W3141" s="74" t="str">
        <f>IFERROR(VLOOKUP($O3141,'Customer List'!$A$1:$J$488,10,FALSE),"")</f>
        <v/>
      </c>
    </row>
    <row r="3142" spans="18:23">
      <c r="R3142" s="127">
        <f t="shared" si="173"/>
        <v>0</v>
      </c>
      <c r="T3142" s="128">
        <f t="shared" si="172"/>
        <v>0</v>
      </c>
      <c r="U3142" s="129" t="str">
        <f>IFERROR(IF(#REF!="S",VLOOKUP('Raw Data'!A3142,References!#REF!,2,FALSE),(VLOOKUP($S3142,References!$B$3:$C$7,2,FALSE))),"")</f>
        <v/>
      </c>
      <c r="W3142" s="74" t="str">
        <f>IFERROR(VLOOKUP($O3142,'Customer List'!$A$1:$J$488,10,FALSE),"")</f>
        <v/>
      </c>
    </row>
    <row r="3143" spans="18:23">
      <c r="R3143" s="127">
        <f t="shared" si="173"/>
        <v>0</v>
      </c>
      <c r="T3143" s="128">
        <f t="shared" si="172"/>
        <v>0</v>
      </c>
      <c r="U3143" s="129" t="str">
        <f>IFERROR(IF(#REF!="S",VLOOKUP('Raw Data'!A3143,References!#REF!,2,FALSE),(VLOOKUP($S3143,References!$B$3:$C$7,2,FALSE))),"")</f>
        <v/>
      </c>
      <c r="W3143" s="74" t="str">
        <f>IFERROR(VLOOKUP($O3143,'Customer List'!$A$1:$J$488,10,FALSE),"")</f>
        <v/>
      </c>
    </row>
    <row r="3144" spans="18:23">
      <c r="R3144" s="127">
        <f t="shared" si="173"/>
        <v>0</v>
      </c>
      <c r="T3144" s="128">
        <f t="shared" si="172"/>
        <v>0</v>
      </c>
      <c r="U3144" s="129" t="str">
        <f>IFERROR(IF(#REF!="S",VLOOKUP('Raw Data'!A3144,References!#REF!,2,FALSE),(VLOOKUP($S3144,References!$B$3:$C$7,2,FALSE))),"")</f>
        <v/>
      </c>
      <c r="W3144" s="74" t="str">
        <f>IFERROR(VLOOKUP($O3144,'Customer List'!$A$1:$J$488,10,FALSE),"")</f>
        <v/>
      </c>
    </row>
    <row r="3145" spans="18:23">
      <c r="R3145" s="127">
        <f t="shared" si="173"/>
        <v>0</v>
      </c>
      <c r="T3145" s="128">
        <f t="shared" si="172"/>
        <v>0</v>
      </c>
      <c r="U3145" s="129" t="str">
        <f>IFERROR(IF(#REF!="S",VLOOKUP('Raw Data'!A3145,References!#REF!,2,FALSE),(VLOOKUP($S3145,References!$B$3:$C$7,2,FALSE))),"")</f>
        <v/>
      </c>
      <c r="W3145" s="74" t="str">
        <f>IFERROR(VLOOKUP($O3145,'Customer List'!$A$1:$J$488,10,FALSE),"")</f>
        <v/>
      </c>
    </row>
    <row r="3146" spans="18:23">
      <c r="R3146" s="127">
        <f t="shared" si="173"/>
        <v>0</v>
      </c>
      <c r="T3146" s="128">
        <f t="shared" ref="T3146:T3209" si="174">IF(S3146="50 - Cleaning Fee",1,HOUR($R3146)+MINUTE(R3146)/60)</f>
        <v>0</v>
      </c>
      <c r="U3146" s="129" t="str">
        <f>IFERROR(IF(#REF!="S",VLOOKUP('Raw Data'!A3146,References!#REF!,2,FALSE),(VLOOKUP($S3146,References!$B$3:$C$7,2,FALSE))),"")</f>
        <v/>
      </c>
      <c r="W3146" s="74" t="str">
        <f>IFERROR(VLOOKUP($O3146,'Customer List'!$A$1:$J$488,10,FALSE),"")</f>
        <v/>
      </c>
    </row>
    <row r="3147" spans="18:23">
      <c r="R3147" s="127">
        <f t="shared" si="173"/>
        <v>0</v>
      </c>
      <c r="T3147" s="128">
        <f t="shared" si="174"/>
        <v>0</v>
      </c>
      <c r="U3147" s="129" t="str">
        <f>IFERROR(IF(#REF!="S",VLOOKUP('Raw Data'!A3147,References!#REF!,2,FALSE),(VLOOKUP($S3147,References!$B$3:$C$7,2,FALSE))),"")</f>
        <v/>
      </c>
      <c r="W3147" s="74" t="str">
        <f>IFERROR(VLOOKUP($O3147,'Customer List'!$A$1:$J$488,10,FALSE),"")</f>
        <v/>
      </c>
    </row>
    <row r="3148" spans="18:23">
      <c r="R3148" s="127">
        <f t="shared" si="173"/>
        <v>0</v>
      </c>
      <c r="T3148" s="128">
        <f t="shared" si="174"/>
        <v>0</v>
      </c>
      <c r="U3148" s="129" t="str">
        <f>IFERROR(IF(#REF!="S",VLOOKUP('Raw Data'!A3148,References!#REF!,2,FALSE),(VLOOKUP($S3148,References!$B$3:$C$7,2,FALSE))),"")</f>
        <v/>
      </c>
      <c r="W3148" s="74" t="str">
        <f>IFERROR(VLOOKUP($O3148,'Customer List'!$A$1:$J$488,10,FALSE),"")</f>
        <v/>
      </c>
    </row>
    <row r="3149" spans="18:23">
      <c r="R3149" s="127">
        <f t="shared" si="173"/>
        <v>0</v>
      </c>
      <c r="T3149" s="128">
        <f t="shared" si="174"/>
        <v>0</v>
      </c>
      <c r="U3149" s="129" t="str">
        <f>IFERROR(IF(#REF!="S",VLOOKUP('Raw Data'!A3149,References!#REF!,2,FALSE),(VLOOKUP($S3149,References!$B$3:$C$7,2,FALSE))),"")</f>
        <v/>
      </c>
      <c r="W3149" s="74" t="str">
        <f>IFERROR(VLOOKUP($O3149,'Customer List'!$A$1:$J$488,10,FALSE),"")</f>
        <v/>
      </c>
    </row>
    <row r="3150" spans="18:23">
      <c r="R3150" s="127">
        <f t="shared" si="173"/>
        <v>0</v>
      </c>
      <c r="T3150" s="128">
        <f t="shared" si="174"/>
        <v>0</v>
      </c>
      <c r="U3150" s="129" t="str">
        <f>IFERROR(IF(#REF!="S",VLOOKUP('Raw Data'!A3150,References!#REF!,2,FALSE),(VLOOKUP($S3150,References!$B$3:$C$7,2,FALSE))),"")</f>
        <v/>
      </c>
      <c r="W3150" s="74" t="str">
        <f>IFERROR(VLOOKUP($O3150,'Customer List'!$A$1:$J$488,10,FALSE),"")</f>
        <v/>
      </c>
    </row>
    <row r="3151" spans="18:23">
      <c r="R3151" s="127">
        <f t="shared" si="173"/>
        <v>0</v>
      </c>
      <c r="T3151" s="128">
        <f t="shared" si="174"/>
        <v>0</v>
      </c>
      <c r="U3151" s="129" t="str">
        <f>IFERROR(IF(#REF!="S",VLOOKUP('Raw Data'!A3151,References!#REF!,2,FALSE),(VLOOKUP($S3151,References!$B$3:$C$7,2,FALSE))),"")</f>
        <v/>
      </c>
      <c r="W3151" s="74" t="str">
        <f>IFERROR(VLOOKUP($O3151,'Customer List'!$A$1:$J$488,10,FALSE),"")</f>
        <v/>
      </c>
    </row>
    <row r="3152" spans="18:23">
      <c r="R3152" s="127">
        <f t="shared" si="173"/>
        <v>0</v>
      </c>
      <c r="T3152" s="128">
        <f t="shared" si="174"/>
        <v>0</v>
      </c>
      <c r="U3152" s="129" t="str">
        <f>IFERROR(IF(#REF!="S",VLOOKUP('Raw Data'!A3152,References!#REF!,2,FALSE),(VLOOKUP($S3152,References!$B$3:$C$7,2,FALSE))),"")</f>
        <v/>
      </c>
      <c r="W3152" s="74" t="str">
        <f>IFERROR(VLOOKUP($O3152,'Customer List'!$A$1:$J$488,10,FALSE),"")</f>
        <v/>
      </c>
    </row>
    <row r="3153" spans="18:23">
      <c r="R3153" s="127">
        <f t="shared" si="173"/>
        <v>0</v>
      </c>
      <c r="T3153" s="128">
        <f t="shared" si="174"/>
        <v>0</v>
      </c>
      <c r="U3153" s="129" t="str">
        <f>IFERROR(IF(#REF!="S",VLOOKUP('Raw Data'!A3153,References!#REF!,2,FALSE),(VLOOKUP($S3153,References!$B$3:$C$7,2,FALSE))),"")</f>
        <v/>
      </c>
      <c r="W3153" s="74" t="str">
        <f>IFERROR(VLOOKUP($O3153,'Customer List'!$A$1:$J$488,10,FALSE),"")</f>
        <v/>
      </c>
    </row>
    <row r="3154" spans="18:23">
      <c r="R3154" s="127">
        <f t="shared" si="173"/>
        <v>0</v>
      </c>
      <c r="T3154" s="128">
        <f t="shared" si="174"/>
        <v>0</v>
      </c>
      <c r="U3154" s="129" t="str">
        <f>IFERROR(IF(#REF!="S",VLOOKUP('Raw Data'!A3154,References!#REF!,2,FALSE),(VLOOKUP($S3154,References!$B$3:$C$7,2,FALSE))),"")</f>
        <v/>
      </c>
      <c r="W3154" s="74" t="str">
        <f>IFERROR(VLOOKUP($O3154,'Customer List'!$A$1:$J$488,10,FALSE),"")</f>
        <v/>
      </c>
    </row>
    <row r="3155" spans="18:23">
      <c r="R3155" s="127">
        <f t="shared" si="173"/>
        <v>0</v>
      </c>
      <c r="T3155" s="128">
        <f t="shared" si="174"/>
        <v>0</v>
      </c>
      <c r="U3155" s="129" t="str">
        <f>IFERROR(IF(#REF!="S",VLOOKUP('Raw Data'!A3155,References!#REF!,2,FALSE),(VLOOKUP($S3155,References!$B$3:$C$7,2,FALSE))),"")</f>
        <v/>
      </c>
      <c r="W3155" s="74" t="str">
        <f>IFERROR(VLOOKUP($O3155,'Customer List'!$A$1:$J$488,10,FALSE),"")</f>
        <v/>
      </c>
    </row>
    <row r="3156" spans="18:23">
      <c r="R3156" s="127">
        <f t="shared" si="173"/>
        <v>0</v>
      </c>
      <c r="T3156" s="128">
        <f t="shared" si="174"/>
        <v>0</v>
      </c>
      <c r="U3156" s="129" t="str">
        <f>IFERROR(IF(#REF!="S",VLOOKUP('Raw Data'!A3156,References!#REF!,2,FALSE),(VLOOKUP($S3156,References!$B$3:$C$7,2,FALSE))),"")</f>
        <v/>
      </c>
      <c r="W3156" s="74" t="str">
        <f>IFERROR(VLOOKUP($O3156,'Customer List'!$A$1:$J$488,10,FALSE),"")</f>
        <v/>
      </c>
    </row>
    <row r="3157" spans="18:23">
      <c r="R3157" s="127">
        <f t="shared" si="173"/>
        <v>0</v>
      </c>
      <c r="T3157" s="128">
        <f t="shared" si="174"/>
        <v>0</v>
      </c>
      <c r="U3157" s="129" t="str">
        <f>IFERROR(IF(#REF!="S",VLOOKUP('Raw Data'!A3157,References!#REF!,2,FALSE),(VLOOKUP($S3157,References!$B$3:$C$7,2,FALSE))),"")</f>
        <v/>
      </c>
      <c r="W3157" s="74" t="str">
        <f>IFERROR(VLOOKUP($O3157,'Customer List'!$A$1:$J$488,10,FALSE),"")</f>
        <v/>
      </c>
    </row>
    <row r="3158" spans="18:23">
      <c r="R3158" s="127">
        <f t="shared" si="173"/>
        <v>0</v>
      </c>
      <c r="T3158" s="128">
        <f t="shared" si="174"/>
        <v>0</v>
      </c>
      <c r="U3158" s="129" t="str">
        <f>IFERROR(IF(#REF!="S",VLOOKUP('Raw Data'!A3158,References!#REF!,2,FALSE),(VLOOKUP($S3158,References!$B$3:$C$7,2,FALSE))),"")</f>
        <v/>
      </c>
      <c r="W3158" s="74" t="str">
        <f>IFERROR(VLOOKUP($O3158,'Customer List'!$A$1:$J$488,10,FALSE),"")</f>
        <v/>
      </c>
    </row>
    <row r="3159" spans="18:23">
      <c r="R3159" s="127">
        <f t="shared" si="173"/>
        <v>0</v>
      </c>
      <c r="T3159" s="128">
        <f t="shared" si="174"/>
        <v>0</v>
      </c>
      <c r="U3159" s="129" t="str">
        <f>IFERROR(IF(#REF!="S",VLOOKUP('Raw Data'!A3159,References!#REF!,2,FALSE),(VLOOKUP($S3159,References!$B$3:$C$7,2,FALSE))),"")</f>
        <v/>
      </c>
      <c r="W3159" s="74" t="str">
        <f>IFERROR(VLOOKUP($O3159,'Customer List'!$A$1:$J$488,10,FALSE),"")</f>
        <v/>
      </c>
    </row>
    <row r="3160" spans="18:23">
      <c r="R3160" s="127">
        <f t="shared" si="173"/>
        <v>0</v>
      </c>
      <c r="T3160" s="128">
        <f t="shared" si="174"/>
        <v>0</v>
      </c>
      <c r="U3160" s="129" t="str">
        <f>IFERROR(IF(#REF!="S",VLOOKUP('Raw Data'!A3160,References!#REF!,2,FALSE),(VLOOKUP($S3160,References!$B$3:$C$7,2,FALSE))),"")</f>
        <v/>
      </c>
      <c r="W3160" s="74" t="str">
        <f>IFERROR(VLOOKUP($O3160,'Customer List'!$A$1:$J$488,10,FALSE),"")</f>
        <v/>
      </c>
    </row>
    <row r="3161" spans="18:23">
      <c r="R3161" s="127">
        <f t="shared" si="173"/>
        <v>0</v>
      </c>
      <c r="T3161" s="128">
        <f t="shared" si="174"/>
        <v>0</v>
      </c>
      <c r="U3161" s="129" t="str">
        <f>IFERROR(IF(#REF!="S",VLOOKUP('Raw Data'!A3161,References!#REF!,2,FALSE),(VLOOKUP($S3161,References!$B$3:$C$7,2,FALSE))),"")</f>
        <v/>
      </c>
      <c r="W3161" s="74" t="str">
        <f>IFERROR(VLOOKUP($O3161,'Customer List'!$A$1:$J$488,10,FALSE),"")</f>
        <v/>
      </c>
    </row>
    <row r="3162" spans="18:23">
      <c r="R3162" s="127">
        <f t="shared" si="173"/>
        <v>0</v>
      </c>
      <c r="T3162" s="128">
        <f t="shared" si="174"/>
        <v>0</v>
      </c>
      <c r="U3162" s="129" t="str">
        <f>IFERROR(IF(#REF!="S",VLOOKUP('Raw Data'!A3162,References!#REF!,2,FALSE),(VLOOKUP($S3162,References!$B$3:$C$7,2,FALSE))),"")</f>
        <v/>
      </c>
      <c r="W3162" s="74" t="str">
        <f>IFERROR(VLOOKUP($O3162,'Customer List'!$A$1:$J$488,10,FALSE),"")</f>
        <v/>
      </c>
    </row>
    <row r="3163" spans="18:23">
      <c r="R3163" s="127">
        <f t="shared" si="173"/>
        <v>0</v>
      </c>
      <c r="T3163" s="128">
        <f t="shared" si="174"/>
        <v>0</v>
      </c>
      <c r="U3163" s="129" t="str">
        <f>IFERROR(IF(#REF!="S",VLOOKUP('Raw Data'!A3163,References!#REF!,2,FALSE),(VLOOKUP($S3163,References!$B$3:$C$7,2,FALSE))),"")</f>
        <v/>
      </c>
      <c r="W3163" s="74" t="str">
        <f>IFERROR(VLOOKUP($O3163,'Customer List'!$A$1:$J$488,10,FALSE),"")</f>
        <v/>
      </c>
    </row>
    <row r="3164" spans="18:23">
      <c r="R3164" s="127">
        <f t="shared" si="173"/>
        <v>0</v>
      </c>
      <c r="T3164" s="128">
        <f t="shared" si="174"/>
        <v>0</v>
      </c>
      <c r="U3164" s="129" t="str">
        <f>IFERROR(IF(#REF!="S",VLOOKUP('Raw Data'!A3164,References!#REF!,2,FALSE),(VLOOKUP($S3164,References!$B$3:$C$7,2,FALSE))),"")</f>
        <v/>
      </c>
      <c r="W3164" s="74" t="str">
        <f>IFERROR(VLOOKUP($O3164,'Customer List'!$A$1:$J$488,10,FALSE),"")</f>
        <v/>
      </c>
    </row>
    <row r="3165" spans="18:23">
      <c r="R3165" s="127">
        <f t="shared" si="173"/>
        <v>0</v>
      </c>
      <c r="T3165" s="128">
        <f t="shared" si="174"/>
        <v>0</v>
      </c>
      <c r="U3165" s="129" t="str">
        <f>IFERROR(IF(#REF!="S",VLOOKUP('Raw Data'!A3165,References!#REF!,2,FALSE),(VLOOKUP($S3165,References!$B$3:$C$7,2,FALSE))),"")</f>
        <v/>
      </c>
      <c r="W3165" s="74" t="str">
        <f>IFERROR(VLOOKUP($O3165,'Customer List'!$A$1:$J$488,10,FALSE),"")</f>
        <v/>
      </c>
    </row>
    <row r="3166" spans="18:23">
      <c r="R3166" s="127">
        <f t="shared" si="173"/>
        <v>0</v>
      </c>
      <c r="T3166" s="128">
        <f t="shared" si="174"/>
        <v>0</v>
      </c>
      <c r="U3166" s="129" t="str">
        <f>IFERROR(IF(#REF!="S",VLOOKUP('Raw Data'!A3166,References!#REF!,2,FALSE),(VLOOKUP($S3166,References!$B$3:$C$7,2,FALSE))),"")</f>
        <v/>
      </c>
      <c r="W3166" s="74" t="str">
        <f>IFERROR(VLOOKUP($O3166,'Customer List'!$A$1:$J$488,10,FALSE),"")</f>
        <v/>
      </c>
    </row>
    <row r="3167" spans="18:23">
      <c r="R3167" s="127">
        <f t="shared" si="173"/>
        <v>0</v>
      </c>
      <c r="T3167" s="128">
        <f t="shared" si="174"/>
        <v>0</v>
      </c>
      <c r="U3167" s="129" t="str">
        <f>IFERROR(IF(#REF!="S",VLOOKUP('Raw Data'!A3167,References!#REF!,2,FALSE),(VLOOKUP($S3167,References!$B$3:$C$7,2,FALSE))),"")</f>
        <v/>
      </c>
      <c r="W3167" s="74" t="str">
        <f>IFERROR(VLOOKUP($O3167,'Customer List'!$A$1:$J$488,10,FALSE),"")</f>
        <v/>
      </c>
    </row>
    <row r="3168" spans="18:23">
      <c r="R3168" s="127">
        <f t="shared" si="173"/>
        <v>0</v>
      </c>
      <c r="T3168" s="128">
        <f t="shared" si="174"/>
        <v>0</v>
      </c>
      <c r="U3168" s="129" t="str">
        <f>IFERROR(IF(#REF!="S",VLOOKUP('Raw Data'!A3168,References!#REF!,2,FALSE),(VLOOKUP($S3168,References!$B$3:$C$7,2,FALSE))),"")</f>
        <v/>
      </c>
      <c r="W3168" s="74" t="str">
        <f>IFERROR(VLOOKUP($O3168,'Customer List'!$A$1:$J$488,10,FALSE),"")</f>
        <v/>
      </c>
    </row>
    <row r="3169" spans="18:23">
      <c r="R3169" s="127">
        <f t="shared" si="173"/>
        <v>0</v>
      </c>
      <c r="T3169" s="128">
        <f t="shared" si="174"/>
        <v>0</v>
      </c>
      <c r="U3169" s="129" t="str">
        <f>IFERROR(IF(#REF!="S",VLOOKUP('Raw Data'!A3169,References!#REF!,2,FALSE),(VLOOKUP($S3169,References!$B$3:$C$7,2,FALSE))),"")</f>
        <v/>
      </c>
      <c r="W3169" s="74" t="str">
        <f>IFERROR(VLOOKUP($O3169,'Customer List'!$A$1:$J$488,10,FALSE),"")</f>
        <v/>
      </c>
    </row>
    <row r="3170" spans="18:23">
      <c r="R3170" s="127">
        <f t="shared" ref="R3170:R3233" si="175">L3170-K3170</f>
        <v>0</v>
      </c>
      <c r="T3170" s="128">
        <f t="shared" si="174"/>
        <v>0</v>
      </c>
      <c r="U3170" s="129" t="str">
        <f>IFERROR(IF(#REF!="S",VLOOKUP('Raw Data'!A3170,References!#REF!,2,FALSE),(VLOOKUP($S3170,References!$B$3:$C$7,2,FALSE))),"")</f>
        <v/>
      </c>
      <c r="W3170" s="74" t="str">
        <f>IFERROR(VLOOKUP($O3170,'Customer List'!$A$1:$J$488,10,FALSE),"")</f>
        <v/>
      </c>
    </row>
    <row r="3171" spans="18:23">
      <c r="R3171" s="127">
        <f t="shared" si="175"/>
        <v>0</v>
      </c>
      <c r="T3171" s="128">
        <f t="shared" si="174"/>
        <v>0</v>
      </c>
      <c r="U3171" s="129" t="str">
        <f>IFERROR(IF(#REF!="S",VLOOKUP('Raw Data'!A3171,References!#REF!,2,FALSE),(VLOOKUP($S3171,References!$B$3:$C$7,2,FALSE))),"")</f>
        <v/>
      </c>
      <c r="W3171" s="74" t="str">
        <f>IFERROR(VLOOKUP($O3171,'Customer List'!$A$1:$J$488,10,FALSE),"")</f>
        <v/>
      </c>
    </row>
    <row r="3172" spans="18:23">
      <c r="R3172" s="127">
        <f t="shared" si="175"/>
        <v>0</v>
      </c>
      <c r="T3172" s="128">
        <f t="shared" si="174"/>
        <v>0</v>
      </c>
      <c r="U3172" s="129" t="str">
        <f>IFERROR(IF(#REF!="S",VLOOKUP('Raw Data'!A3172,References!#REF!,2,FALSE),(VLOOKUP($S3172,References!$B$3:$C$7,2,FALSE))),"")</f>
        <v/>
      </c>
      <c r="W3172" s="74" t="str">
        <f>IFERROR(VLOOKUP($O3172,'Customer List'!$A$1:$J$488,10,FALSE),"")</f>
        <v/>
      </c>
    </row>
    <row r="3173" spans="18:23">
      <c r="R3173" s="127">
        <f t="shared" si="175"/>
        <v>0</v>
      </c>
      <c r="T3173" s="128">
        <f t="shared" si="174"/>
        <v>0</v>
      </c>
      <c r="U3173" s="129" t="str">
        <f>IFERROR(IF(#REF!="S",VLOOKUP('Raw Data'!A3173,References!#REF!,2,FALSE),(VLOOKUP($S3173,References!$B$3:$C$7,2,FALSE))),"")</f>
        <v/>
      </c>
      <c r="W3173" s="74" t="str">
        <f>IFERROR(VLOOKUP($O3173,'Customer List'!$A$1:$J$488,10,FALSE),"")</f>
        <v/>
      </c>
    </row>
    <row r="3174" spans="18:23">
      <c r="R3174" s="127">
        <f t="shared" si="175"/>
        <v>0</v>
      </c>
      <c r="T3174" s="128">
        <f t="shared" si="174"/>
        <v>0</v>
      </c>
      <c r="U3174" s="129" t="str">
        <f>IFERROR(IF(#REF!="S",VLOOKUP('Raw Data'!A3174,References!#REF!,2,FALSE),(VLOOKUP($S3174,References!$B$3:$C$7,2,FALSE))),"")</f>
        <v/>
      </c>
      <c r="W3174" s="74" t="str">
        <f>IFERROR(VLOOKUP($O3174,'Customer List'!$A$1:$J$488,10,FALSE),"")</f>
        <v/>
      </c>
    </row>
    <row r="3175" spans="18:23">
      <c r="R3175" s="127">
        <f t="shared" si="175"/>
        <v>0</v>
      </c>
      <c r="T3175" s="128">
        <f t="shared" si="174"/>
        <v>0</v>
      </c>
      <c r="U3175" s="129" t="str">
        <f>IFERROR(IF(#REF!="S",VLOOKUP('Raw Data'!A3175,References!#REF!,2,FALSE),(VLOOKUP($S3175,References!$B$3:$C$7,2,FALSE))),"")</f>
        <v/>
      </c>
      <c r="W3175" s="74" t="str">
        <f>IFERROR(VLOOKUP($O3175,'Customer List'!$A$1:$J$488,10,FALSE),"")</f>
        <v/>
      </c>
    </row>
    <row r="3176" spans="18:23">
      <c r="R3176" s="127">
        <f t="shared" si="175"/>
        <v>0</v>
      </c>
      <c r="T3176" s="128">
        <f t="shared" si="174"/>
        <v>0</v>
      </c>
      <c r="U3176" s="129" t="str">
        <f>IFERROR(IF(#REF!="S",VLOOKUP('Raw Data'!A3176,References!#REF!,2,FALSE),(VLOOKUP($S3176,References!$B$3:$C$7,2,FALSE))),"")</f>
        <v/>
      </c>
      <c r="W3176" s="74" t="str">
        <f>IFERROR(VLOOKUP($O3176,'Customer List'!$A$1:$J$488,10,FALSE),"")</f>
        <v/>
      </c>
    </row>
    <row r="3177" spans="18:23">
      <c r="R3177" s="127">
        <f t="shared" si="175"/>
        <v>0</v>
      </c>
      <c r="T3177" s="128">
        <f t="shared" si="174"/>
        <v>0</v>
      </c>
      <c r="U3177" s="129" t="str">
        <f>IFERROR(IF(#REF!="S",VLOOKUP('Raw Data'!A3177,References!#REF!,2,FALSE),(VLOOKUP($S3177,References!$B$3:$C$7,2,FALSE))),"")</f>
        <v/>
      </c>
      <c r="W3177" s="74" t="str">
        <f>IFERROR(VLOOKUP($O3177,'Customer List'!$A$1:$J$488,10,FALSE),"")</f>
        <v/>
      </c>
    </row>
    <row r="3178" spans="18:23">
      <c r="R3178" s="127">
        <f t="shared" si="175"/>
        <v>0</v>
      </c>
      <c r="T3178" s="128">
        <f t="shared" si="174"/>
        <v>0</v>
      </c>
      <c r="U3178" s="129" t="str">
        <f>IFERROR(IF(#REF!="S",VLOOKUP('Raw Data'!A3178,References!#REF!,2,FALSE),(VLOOKUP($S3178,References!$B$3:$C$7,2,FALSE))),"")</f>
        <v/>
      </c>
      <c r="W3178" s="74" t="str">
        <f>IFERROR(VLOOKUP($O3178,'Customer List'!$A$1:$J$488,10,FALSE),"")</f>
        <v/>
      </c>
    </row>
    <row r="3179" spans="18:23">
      <c r="R3179" s="127">
        <f t="shared" si="175"/>
        <v>0</v>
      </c>
      <c r="T3179" s="128">
        <f t="shared" si="174"/>
        <v>0</v>
      </c>
      <c r="U3179" s="129" t="str">
        <f>IFERROR(IF(#REF!="S",VLOOKUP('Raw Data'!A3179,References!#REF!,2,FALSE),(VLOOKUP($S3179,References!$B$3:$C$7,2,FALSE))),"")</f>
        <v/>
      </c>
      <c r="W3179" s="74" t="str">
        <f>IFERROR(VLOOKUP($O3179,'Customer List'!$A$1:$J$488,10,FALSE),"")</f>
        <v/>
      </c>
    </row>
    <row r="3180" spans="18:23">
      <c r="R3180" s="127">
        <f t="shared" si="175"/>
        <v>0</v>
      </c>
      <c r="T3180" s="128">
        <f t="shared" si="174"/>
        <v>0</v>
      </c>
      <c r="U3180" s="129" t="str">
        <f>IFERROR(IF(#REF!="S",VLOOKUP('Raw Data'!A3180,References!#REF!,2,FALSE),(VLOOKUP($S3180,References!$B$3:$C$7,2,FALSE))),"")</f>
        <v/>
      </c>
      <c r="W3180" s="74" t="str">
        <f>IFERROR(VLOOKUP($O3180,'Customer List'!$A$1:$J$488,10,FALSE),"")</f>
        <v/>
      </c>
    </row>
    <row r="3181" spans="18:23">
      <c r="R3181" s="127">
        <f t="shared" si="175"/>
        <v>0</v>
      </c>
      <c r="T3181" s="128">
        <f t="shared" si="174"/>
        <v>0</v>
      </c>
      <c r="U3181" s="129" t="str">
        <f>IFERROR(IF(#REF!="S",VLOOKUP('Raw Data'!A3181,References!#REF!,2,FALSE),(VLOOKUP($S3181,References!$B$3:$C$7,2,FALSE))),"")</f>
        <v/>
      </c>
      <c r="W3181" s="74" t="str">
        <f>IFERROR(VLOOKUP($O3181,'Customer List'!$A$1:$J$488,10,FALSE),"")</f>
        <v/>
      </c>
    </row>
    <row r="3182" spans="18:23">
      <c r="R3182" s="127">
        <f t="shared" si="175"/>
        <v>0</v>
      </c>
      <c r="T3182" s="128">
        <f t="shared" si="174"/>
        <v>0</v>
      </c>
      <c r="U3182" s="129" t="str">
        <f>IFERROR(IF(#REF!="S",VLOOKUP('Raw Data'!A3182,References!#REF!,2,FALSE),(VLOOKUP($S3182,References!$B$3:$C$7,2,FALSE))),"")</f>
        <v/>
      </c>
      <c r="W3182" s="74" t="str">
        <f>IFERROR(VLOOKUP($O3182,'Customer List'!$A$1:$J$488,10,FALSE),"")</f>
        <v/>
      </c>
    </row>
    <row r="3183" spans="18:23">
      <c r="R3183" s="127">
        <f t="shared" si="175"/>
        <v>0</v>
      </c>
      <c r="T3183" s="128">
        <f t="shared" si="174"/>
        <v>0</v>
      </c>
      <c r="U3183" s="129" t="str">
        <f>IFERROR(IF(#REF!="S",VLOOKUP('Raw Data'!A3183,References!#REF!,2,FALSE),(VLOOKUP($S3183,References!$B$3:$C$7,2,FALSE))),"")</f>
        <v/>
      </c>
      <c r="W3183" s="74" t="str">
        <f>IFERROR(VLOOKUP($O3183,'Customer List'!$A$1:$J$488,10,FALSE),"")</f>
        <v/>
      </c>
    </row>
    <row r="3184" spans="18:23">
      <c r="R3184" s="127">
        <f t="shared" si="175"/>
        <v>0</v>
      </c>
      <c r="T3184" s="128">
        <f t="shared" si="174"/>
        <v>0</v>
      </c>
      <c r="U3184" s="129" t="str">
        <f>IFERROR(IF(#REF!="S",VLOOKUP('Raw Data'!A3184,References!#REF!,2,FALSE),(VLOOKUP($S3184,References!$B$3:$C$7,2,FALSE))),"")</f>
        <v/>
      </c>
      <c r="W3184" s="74" t="str">
        <f>IFERROR(VLOOKUP($O3184,'Customer List'!$A$1:$J$488,10,FALSE),"")</f>
        <v/>
      </c>
    </row>
    <row r="3185" spans="18:23">
      <c r="R3185" s="127">
        <f t="shared" si="175"/>
        <v>0</v>
      </c>
      <c r="T3185" s="128">
        <f t="shared" si="174"/>
        <v>0</v>
      </c>
      <c r="U3185" s="129" t="str">
        <f>IFERROR(IF(#REF!="S",VLOOKUP('Raw Data'!A3185,References!#REF!,2,FALSE),(VLOOKUP($S3185,References!$B$3:$C$7,2,FALSE))),"")</f>
        <v/>
      </c>
      <c r="W3185" s="74" t="str">
        <f>IFERROR(VLOOKUP($O3185,'Customer List'!$A$1:$J$488,10,FALSE),"")</f>
        <v/>
      </c>
    </row>
    <row r="3186" spans="18:23">
      <c r="R3186" s="127">
        <f t="shared" si="175"/>
        <v>0</v>
      </c>
      <c r="T3186" s="128">
        <f t="shared" si="174"/>
        <v>0</v>
      </c>
      <c r="U3186" s="129" t="str">
        <f>IFERROR(IF(#REF!="S",VLOOKUP('Raw Data'!A3186,References!#REF!,2,FALSE),(VLOOKUP($S3186,References!$B$3:$C$7,2,FALSE))),"")</f>
        <v/>
      </c>
      <c r="W3186" s="74" t="str">
        <f>IFERROR(VLOOKUP($O3186,'Customer List'!$A$1:$J$488,10,FALSE),"")</f>
        <v/>
      </c>
    </row>
    <row r="3187" spans="18:23">
      <c r="R3187" s="127">
        <f t="shared" si="175"/>
        <v>0</v>
      </c>
      <c r="T3187" s="128">
        <f t="shared" si="174"/>
        <v>0</v>
      </c>
      <c r="U3187" s="129" t="str">
        <f>IFERROR(IF(#REF!="S",VLOOKUP('Raw Data'!A3187,References!#REF!,2,FALSE),(VLOOKUP($S3187,References!$B$3:$C$7,2,FALSE))),"")</f>
        <v/>
      </c>
      <c r="W3187" s="74" t="str">
        <f>IFERROR(VLOOKUP($O3187,'Customer List'!$A$1:$J$488,10,FALSE),"")</f>
        <v/>
      </c>
    </row>
    <row r="3188" spans="18:23">
      <c r="R3188" s="127">
        <f t="shared" si="175"/>
        <v>0</v>
      </c>
      <c r="T3188" s="128">
        <f t="shared" si="174"/>
        <v>0</v>
      </c>
      <c r="U3188" s="129" t="str">
        <f>IFERROR(IF(#REF!="S",VLOOKUP('Raw Data'!A3188,References!#REF!,2,FALSE),(VLOOKUP($S3188,References!$B$3:$C$7,2,FALSE))),"")</f>
        <v/>
      </c>
      <c r="W3188" s="74" t="str">
        <f>IFERROR(VLOOKUP($O3188,'Customer List'!$A$1:$J$488,10,FALSE),"")</f>
        <v/>
      </c>
    </row>
    <row r="3189" spans="18:23">
      <c r="R3189" s="127">
        <f t="shared" si="175"/>
        <v>0</v>
      </c>
      <c r="T3189" s="128">
        <f t="shared" si="174"/>
        <v>0</v>
      </c>
      <c r="U3189" s="129" t="str">
        <f>IFERROR(IF(#REF!="S",VLOOKUP('Raw Data'!A3189,References!#REF!,2,FALSE),(VLOOKUP($S3189,References!$B$3:$C$7,2,FALSE))),"")</f>
        <v/>
      </c>
      <c r="W3189" s="74" t="str">
        <f>IFERROR(VLOOKUP($O3189,'Customer List'!$A$1:$J$488,10,FALSE),"")</f>
        <v/>
      </c>
    </row>
    <row r="3190" spans="18:23">
      <c r="R3190" s="127">
        <f t="shared" si="175"/>
        <v>0</v>
      </c>
      <c r="T3190" s="128">
        <f t="shared" si="174"/>
        <v>0</v>
      </c>
      <c r="U3190" s="129" t="str">
        <f>IFERROR(IF(#REF!="S",VLOOKUP('Raw Data'!A3190,References!#REF!,2,FALSE),(VLOOKUP($S3190,References!$B$3:$C$7,2,FALSE))),"")</f>
        <v/>
      </c>
      <c r="W3190" s="74" t="str">
        <f>IFERROR(VLOOKUP($O3190,'Customer List'!$A$1:$J$488,10,FALSE),"")</f>
        <v/>
      </c>
    </row>
    <row r="3191" spans="18:23">
      <c r="R3191" s="127">
        <f t="shared" si="175"/>
        <v>0</v>
      </c>
      <c r="T3191" s="128">
        <f t="shared" si="174"/>
        <v>0</v>
      </c>
      <c r="U3191" s="129" t="str">
        <f>IFERROR(IF(#REF!="S",VLOOKUP('Raw Data'!A3191,References!#REF!,2,FALSE),(VLOOKUP($S3191,References!$B$3:$C$7,2,FALSE))),"")</f>
        <v/>
      </c>
      <c r="W3191" s="74" t="str">
        <f>IFERROR(VLOOKUP($O3191,'Customer List'!$A$1:$J$488,10,FALSE),"")</f>
        <v/>
      </c>
    </row>
    <row r="3192" spans="18:23">
      <c r="R3192" s="127">
        <f t="shared" si="175"/>
        <v>0</v>
      </c>
      <c r="T3192" s="128">
        <f t="shared" si="174"/>
        <v>0</v>
      </c>
      <c r="U3192" s="129" t="str">
        <f>IFERROR(IF(#REF!="S",VLOOKUP('Raw Data'!A3192,References!#REF!,2,FALSE),(VLOOKUP($S3192,References!$B$3:$C$7,2,FALSE))),"")</f>
        <v/>
      </c>
      <c r="W3192" s="74" t="str">
        <f>IFERROR(VLOOKUP($O3192,'Customer List'!$A$1:$J$488,10,FALSE),"")</f>
        <v/>
      </c>
    </row>
    <row r="3193" spans="18:23">
      <c r="R3193" s="127">
        <f t="shared" si="175"/>
        <v>0</v>
      </c>
      <c r="T3193" s="128">
        <f t="shared" si="174"/>
        <v>0</v>
      </c>
      <c r="U3193" s="129" t="str">
        <f>IFERROR(IF(#REF!="S",VLOOKUP('Raw Data'!A3193,References!#REF!,2,FALSE),(VLOOKUP($S3193,References!$B$3:$C$7,2,FALSE))),"")</f>
        <v/>
      </c>
      <c r="W3193" s="74" t="str">
        <f>IFERROR(VLOOKUP($O3193,'Customer List'!$A$1:$J$488,10,FALSE),"")</f>
        <v/>
      </c>
    </row>
    <row r="3194" spans="18:23">
      <c r="R3194" s="127">
        <f t="shared" si="175"/>
        <v>0</v>
      </c>
      <c r="T3194" s="128">
        <f t="shared" si="174"/>
        <v>0</v>
      </c>
      <c r="U3194" s="129" t="str">
        <f>IFERROR(IF(#REF!="S",VLOOKUP('Raw Data'!A3194,References!#REF!,2,FALSE),(VLOOKUP($S3194,References!$B$3:$C$7,2,FALSE))),"")</f>
        <v/>
      </c>
      <c r="W3194" s="74" t="str">
        <f>IFERROR(VLOOKUP($O3194,'Customer List'!$A$1:$J$488,10,FALSE),"")</f>
        <v/>
      </c>
    </row>
    <row r="3195" spans="18:23">
      <c r="R3195" s="127">
        <f t="shared" si="175"/>
        <v>0</v>
      </c>
      <c r="T3195" s="128">
        <f t="shared" si="174"/>
        <v>0</v>
      </c>
      <c r="U3195" s="129" t="str">
        <f>IFERROR(IF(#REF!="S",VLOOKUP('Raw Data'!A3195,References!#REF!,2,FALSE),(VLOOKUP($S3195,References!$B$3:$C$7,2,FALSE))),"")</f>
        <v/>
      </c>
      <c r="W3195" s="74" t="str">
        <f>IFERROR(VLOOKUP($O3195,'Customer List'!$A$1:$J$488,10,FALSE),"")</f>
        <v/>
      </c>
    </row>
    <row r="3196" spans="18:23">
      <c r="R3196" s="127">
        <f t="shared" si="175"/>
        <v>0</v>
      </c>
      <c r="T3196" s="128">
        <f t="shared" si="174"/>
        <v>0</v>
      </c>
      <c r="U3196" s="129" t="str">
        <f>IFERROR(IF(#REF!="S",VLOOKUP('Raw Data'!A3196,References!#REF!,2,FALSE),(VLOOKUP($S3196,References!$B$3:$C$7,2,FALSE))),"")</f>
        <v/>
      </c>
      <c r="W3196" s="74" t="str">
        <f>IFERROR(VLOOKUP($O3196,'Customer List'!$A$1:$J$488,10,FALSE),"")</f>
        <v/>
      </c>
    </row>
    <row r="3197" spans="18:23">
      <c r="R3197" s="127">
        <f t="shared" si="175"/>
        <v>0</v>
      </c>
      <c r="T3197" s="128">
        <f t="shared" si="174"/>
        <v>0</v>
      </c>
      <c r="U3197" s="129" t="str">
        <f>IFERROR(IF(#REF!="S",VLOOKUP('Raw Data'!A3197,References!#REF!,2,FALSE),(VLOOKUP($S3197,References!$B$3:$C$7,2,FALSE))),"")</f>
        <v/>
      </c>
      <c r="W3197" s="74" t="str">
        <f>IFERROR(VLOOKUP($O3197,'Customer List'!$A$1:$J$488,10,FALSE),"")</f>
        <v/>
      </c>
    </row>
    <row r="3198" spans="18:23">
      <c r="R3198" s="127">
        <f t="shared" si="175"/>
        <v>0</v>
      </c>
      <c r="T3198" s="128">
        <f t="shared" si="174"/>
        <v>0</v>
      </c>
      <c r="U3198" s="129" t="str">
        <f>IFERROR(IF(#REF!="S",VLOOKUP('Raw Data'!A3198,References!#REF!,2,FALSE),(VLOOKUP($S3198,References!$B$3:$C$7,2,FALSE))),"")</f>
        <v/>
      </c>
      <c r="W3198" s="74" t="str">
        <f>IFERROR(VLOOKUP($O3198,'Customer List'!$A$1:$J$488,10,FALSE),"")</f>
        <v/>
      </c>
    </row>
    <row r="3199" spans="18:23">
      <c r="R3199" s="127">
        <f t="shared" si="175"/>
        <v>0</v>
      </c>
      <c r="T3199" s="128">
        <f t="shared" si="174"/>
        <v>0</v>
      </c>
      <c r="U3199" s="129" t="str">
        <f>IFERROR(IF(#REF!="S",VLOOKUP('Raw Data'!A3199,References!#REF!,2,FALSE),(VLOOKUP($S3199,References!$B$3:$C$7,2,FALSE))),"")</f>
        <v/>
      </c>
      <c r="W3199" s="74" t="str">
        <f>IFERROR(VLOOKUP($O3199,'Customer List'!$A$1:$J$488,10,FALSE),"")</f>
        <v/>
      </c>
    </row>
    <row r="3200" spans="18:23">
      <c r="R3200" s="127">
        <f t="shared" si="175"/>
        <v>0</v>
      </c>
      <c r="T3200" s="128">
        <f t="shared" si="174"/>
        <v>0</v>
      </c>
      <c r="U3200" s="129" t="str">
        <f>IFERROR(IF(#REF!="S",VLOOKUP('Raw Data'!A3200,References!#REF!,2,FALSE),(VLOOKUP($S3200,References!$B$3:$C$7,2,FALSE))),"")</f>
        <v/>
      </c>
      <c r="W3200" s="74" t="str">
        <f>IFERROR(VLOOKUP($O3200,'Customer List'!$A$1:$J$488,10,FALSE),"")</f>
        <v/>
      </c>
    </row>
    <row r="3201" spans="18:23">
      <c r="R3201" s="127">
        <f t="shared" si="175"/>
        <v>0</v>
      </c>
      <c r="T3201" s="128">
        <f t="shared" si="174"/>
        <v>0</v>
      </c>
      <c r="U3201" s="129" t="str">
        <f>IFERROR(IF(#REF!="S",VLOOKUP('Raw Data'!A3201,References!#REF!,2,FALSE),(VLOOKUP($S3201,References!$B$3:$C$7,2,FALSE))),"")</f>
        <v/>
      </c>
      <c r="W3201" s="74" t="str">
        <f>IFERROR(VLOOKUP($O3201,'Customer List'!$A$1:$J$488,10,FALSE),"")</f>
        <v/>
      </c>
    </row>
    <row r="3202" spans="18:23">
      <c r="R3202" s="127">
        <f t="shared" si="175"/>
        <v>0</v>
      </c>
      <c r="T3202" s="128">
        <f t="shared" si="174"/>
        <v>0</v>
      </c>
      <c r="U3202" s="129" t="str">
        <f>IFERROR(IF(#REF!="S",VLOOKUP('Raw Data'!A3202,References!#REF!,2,FALSE),(VLOOKUP($S3202,References!$B$3:$C$7,2,FALSE))),"")</f>
        <v/>
      </c>
      <c r="W3202" s="74" t="str">
        <f>IFERROR(VLOOKUP($O3202,'Customer List'!$A$1:$J$488,10,FALSE),"")</f>
        <v/>
      </c>
    </row>
    <row r="3203" spans="18:23">
      <c r="R3203" s="127">
        <f t="shared" si="175"/>
        <v>0</v>
      </c>
      <c r="T3203" s="128">
        <f t="shared" si="174"/>
        <v>0</v>
      </c>
      <c r="U3203" s="129" t="str">
        <f>IFERROR(IF(#REF!="S",VLOOKUP('Raw Data'!A3203,References!#REF!,2,FALSE),(VLOOKUP($S3203,References!$B$3:$C$7,2,FALSE))),"")</f>
        <v/>
      </c>
      <c r="W3203" s="74" t="str">
        <f>IFERROR(VLOOKUP($O3203,'Customer List'!$A$1:$J$488,10,FALSE),"")</f>
        <v/>
      </c>
    </row>
    <row r="3204" spans="18:23">
      <c r="R3204" s="127">
        <f t="shared" si="175"/>
        <v>0</v>
      </c>
      <c r="T3204" s="128">
        <f t="shared" si="174"/>
        <v>0</v>
      </c>
      <c r="U3204" s="129" t="str">
        <f>IFERROR(IF(#REF!="S",VLOOKUP('Raw Data'!A3204,References!#REF!,2,FALSE),(VLOOKUP($S3204,References!$B$3:$C$7,2,FALSE))),"")</f>
        <v/>
      </c>
      <c r="W3204" s="74" t="str">
        <f>IFERROR(VLOOKUP($O3204,'Customer List'!$A$1:$J$488,10,FALSE),"")</f>
        <v/>
      </c>
    </row>
    <row r="3205" spans="18:23">
      <c r="R3205" s="127">
        <f t="shared" si="175"/>
        <v>0</v>
      </c>
      <c r="T3205" s="128">
        <f t="shared" si="174"/>
        <v>0</v>
      </c>
      <c r="U3205" s="129" t="str">
        <f>IFERROR(IF(#REF!="S",VLOOKUP('Raw Data'!A3205,References!#REF!,2,FALSE),(VLOOKUP($S3205,References!$B$3:$C$7,2,FALSE))),"")</f>
        <v/>
      </c>
      <c r="W3205" s="74" t="str">
        <f>IFERROR(VLOOKUP($O3205,'Customer List'!$A$1:$J$488,10,FALSE),"")</f>
        <v/>
      </c>
    </row>
    <row r="3206" spans="18:23">
      <c r="R3206" s="127">
        <f t="shared" si="175"/>
        <v>0</v>
      </c>
      <c r="T3206" s="128">
        <f t="shared" si="174"/>
        <v>0</v>
      </c>
      <c r="U3206" s="129" t="str">
        <f>IFERROR(IF(#REF!="S",VLOOKUP('Raw Data'!A3206,References!#REF!,2,FALSE),(VLOOKUP($S3206,References!$B$3:$C$7,2,FALSE))),"")</f>
        <v/>
      </c>
      <c r="W3206" s="74" t="str">
        <f>IFERROR(VLOOKUP($O3206,'Customer List'!$A$1:$J$488,10,FALSE),"")</f>
        <v/>
      </c>
    </row>
    <row r="3207" spans="18:23">
      <c r="R3207" s="127">
        <f t="shared" si="175"/>
        <v>0</v>
      </c>
      <c r="T3207" s="128">
        <f t="shared" si="174"/>
        <v>0</v>
      </c>
      <c r="U3207" s="129" t="str">
        <f>IFERROR(IF(#REF!="S",VLOOKUP('Raw Data'!A3207,References!#REF!,2,FALSE),(VLOOKUP($S3207,References!$B$3:$C$7,2,FALSE))),"")</f>
        <v/>
      </c>
      <c r="W3207" s="74" t="str">
        <f>IFERROR(VLOOKUP($O3207,'Customer List'!$A$1:$J$488,10,FALSE),"")</f>
        <v/>
      </c>
    </row>
    <row r="3208" spans="18:23">
      <c r="R3208" s="127">
        <f t="shared" si="175"/>
        <v>0</v>
      </c>
      <c r="T3208" s="128">
        <f t="shared" si="174"/>
        <v>0</v>
      </c>
      <c r="U3208" s="129" t="str">
        <f>IFERROR(IF(#REF!="S",VLOOKUP('Raw Data'!A3208,References!#REF!,2,FALSE),(VLOOKUP($S3208,References!$B$3:$C$7,2,FALSE))),"")</f>
        <v/>
      </c>
      <c r="W3208" s="74" t="str">
        <f>IFERROR(VLOOKUP($O3208,'Customer List'!$A$1:$J$488,10,FALSE),"")</f>
        <v/>
      </c>
    </row>
    <row r="3209" spans="18:23">
      <c r="R3209" s="127">
        <f t="shared" si="175"/>
        <v>0</v>
      </c>
      <c r="T3209" s="128">
        <f t="shared" si="174"/>
        <v>0</v>
      </c>
      <c r="U3209" s="129" t="str">
        <f>IFERROR(IF(#REF!="S",VLOOKUP('Raw Data'!A3209,References!#REF!,2,FALSE),(VLOOKUP($S3209,References!$B$3:$C$7,2,FALSE))),"")</f>
        <v/>
      </c>
      <c r="W3209" s="74" t="str">
        <f>IFERROR(VLOOKUP($O3209,'Customer List'!$A$1:$J$488,10,FALSE),"")</f>
        <v/>
      </c>
    </row>
    <row r="3210" spans="18:23">
      <c r="R3210" s="127">
        <f t="shared" si="175"/>
        <v>0</v>
      </c>
      <c r="T3210" s="128">
        <f t="shared" ref="T3210:T3273" si="176">IF(S3210="50 - Cleaning Fee",1,HOUR($R3210)+MINUTE(R3210)/60)</f>
        <v>0</v>
      </c>
      <c r="U3210" s="129" t="str">
        <f>IFERROR(IF(#REF!="S",VLOOKUP('Raw Data'!A3210,References!#REF!,2,FALSE),(VLOOKUP($S3210,References!$B$3:$C$7,2,FALSE))),"")</f>
        <v/>
      </c>
      <c r="W3210" s="74" t="str">
        <f>IFERROR(VLOOKUP($O3210,'Customer List'!$A$1:$J$488,10,FALSE),"")</f>
        <v/>
      </c>
    </row>
    <row r="3211" spans="18:23">
      <c r="R3211" s="127">
        <f t="shared" si="175"/>
        <v>0</v>
      </c>
      <c r="T3211" s="128">
        <f t="shared" si="176"/>
        <v>0</v>
      </c>
      <c r="U3211" s="129" t="str">
        <f>IFERROR(IF(#REF!="S",VLOOKUP('Raw Data'!A3211,References!#REF!,2,FALSE),(VLOOKUP($S3211,References!$B$3:$C$7,2,FALSE))),"")</f>
        <v/>
      </c>
      <c r="W3211" s="74" t="str">
        <f>IFERROR(VLOOKUP($O3211,'Customer List'!$A$1:$J$488,10,FALSE),"")</f>
        <v/>
      </c>
    </row>
    <row r="3212" spans="18:23">
      <c r="R3212" s="127">
        <f t="shared" si="175"/>
        <v>0</v>
      </c>
      <c r="T3212" s="128">
        <f t="shared" si="176"/>
        <v>0</v>
      </c>
      <c r="U3212" s="129" t="str">
        <f>IFERROR(IF(#REF!="S",VLOOKUP('Raw Data'!A3212,References!#REF!,2,FALSE),(VLOOKUP($S3212,References!$B$3:$C$7,2,FALSE))),"")</f>
        <v/>
      </c>
      <c r="W3212" s="74" t="str">
        <f>IFERROR(VLOOKUP($O3212,'Customer List'!$A$1:$J$488,10,FALSE),"")</f>
        <v/>
      </c>
    </row>
    <row r="3213" spans="18:23">
      <c r="R3213" s="127">
        <f t="shared" si="175"/>
        <v>0</v>
      </c>
      <c r="T3213" s="128">
        <f t="shared" si="176"/>
        <v>0</v>
      </c>
      <c r="U3213" s="129" t="str">
        <f>IFERROR(IF(#REF!="S",VLOOKUP('Raw Data'!A3213,References!#REF!,2,FALSE),(VLOOKUP($S3213,References!$B$3:$C$7,2,FALSE))),"")</f>
        <v/>
      </c>
      <c r="W3213" s="74" t="str">
        <f>IFERROR(VLOOKUP($O3213,'Customer List'!$A$1:$J$488,10,FALSE),"")</f>
        <v/>
      </c>
    </row>
    <row r="3214" spans="18:23">
      <c r="R3214" s="127">
        <f t="shared" si="175"/>
        <v>0</v>
      </c>
      <c r="T3214" s="128">
        <f t="shared" si="176"/>
        <v>0</v>
      </c>
      <c r="U3214" s="129" t="str">
        <f>IFERROR(IF(#REF!="S",VLOOKUP('Raw Data'!A3214,References!#REF!,2,FALSE),(VLOOKUP($S3214,References!$B$3:$C$7,2,FALSE))),"")</f>
        <v/>
      </c>
      <c r="W3214" s="74" t="str">
        <f>IFERROR(VLOOKUP($O3214,'Customer List'!$A$1:$J$488,10,FALSE),"")</f>
        <v/>
      </c>
    </row>
    <row r="3215" spans="18:23">
      <c r="R3215" s="127">
        <f t="shared" si="175"/>
        <v>0</v>
      </c>
      <c r="T3215" s="128">
        <f t="shared" si="176"/>
        <v>0</v>
      </c>
      <c r="U3215" s="129" t="str">
        <f>IFERROR(IF(#REF!="S",VLOOKUP('Raw Data'!A3215,References!#REF!,2,FALSE),(VLOOKUP($S3215,References!$B$3:$C$7,2,FALSE))),"")</f>
        <v/>
      </c>
      <c r="W3215" s="74" t="str">
        <f>IFERROR(VLOOKUP($O3215,'Customer List'!$A$1:$J$488,10,FALSE),"")</f>
        <v/>
      </c>
    </row>
    <row r="3216" spans="18:23">
      <c r="R3216" s="127">
        <f t="shared" si="175"/>
        <v>0</v>
      </c>
      <c r="T3216" s="128">
        <f t="shared" si="176"/>
        <v>0</v>
      </c>
      <c r="U3216" s="129" t="str">
        <f>IFERROR(IF(#REF!="S",VLOOKUP('Raw Data'!A3216,References!#REF!,2,FALSE),(VLOOKUP($S3216,References!$B$3:$C$7,2,FALSE))),"")</f>
        <v/>
      </c>
      <c r="W3216" s="74" t="str">
        <f>IFERROR(VLOOKUP($O3216,'Customer List'!$A$1:$J$488,10,FALSE),"")</f>
        <v/>
      </c>
    </row>
    <row r="3217" spans="18:23">
      <c r="R3217" s="127">
        <f t="shared" si="175"/>
        <v>0</v>
      </c>
      <c r="T3217" s="128">
        <f t="shared" si="176"/>
        <v>0</v>
      </c>
      <c r="U3217" s="129" t="str">
        <f>IFERROR(IF(#REF!="S",VLOOKUP('Raw Data'!A3217,References!#REF!,2,FALSE),(VLOOKUP($S3217,References!$B$3:$C$7,2,FALSE))),"")</f>
        <v/>
      </c>
      <c r="W3217" s="74" t="str">
        <f>IFERROR(VLOOKUP($O3217,'Customer List'!$A$1:$J$488,10,FALSE),"")</f>
        <v/>
      </c>
    </row>
    <row r="3218" spans="18:23">
      <c r="R3218" s="127">
        <f t="shared" si="175"/>
        <v>0</v>
      </c>
      <c r="T3218" s="128">
        <f t="shared" si="176"/>
        <v>0</v>
      </c>
      <c r="U3218" s="129" t="str">
        <f>IFERROR(IF(#REF!="S",VLOOKUP('Raw Data'!A3218,References!#REF!,2,FALSE),(VLOOKUP($S3218,References!$B$3:$C$7,2,FALSE))),"")</f>
        <v/>
      </c>
      <c r="W3218" s="74" t="str">
        <f>IFERROR(VLOOKUP($O3218,'Customer List'!$A$1:$J$488,10,FALSE),"")</f>
        <v/>
      </c>
    </row>
    <row r="3219" spans="18:23">
      <c r="R3219" s="127">
        <f t="shared" si="175"/>
        <v>0</v>
      </c>
      <c r="T3219" s="128">
        <f t="shared" si="176"/>
        <v>0</v>
      </c>
      <c r="U3219" s="129" t="str">
        <f>IFERROR(IF(#REF!="S",VLOOKUP('Raw Data'!A3219,References!#REF!,2,FALSE),(VLOOKUP($S3219,References!$B$3:$C$7,2,FALSE))),"")</f>
        <v/>
      </c>
      <c r="W3219" s="74" t="str">
        <f>IFERROR(VLOOKUP($O3219,'Customer List'!$A$1:$J$488,10,FALSE),"")</f>
        <v/>
      </c>
    </row>
    <row r="3220" spans="18:23">
      <c r="R3220" s="127">
        <f t="shared" si="175"/>
        <v>0</v>
      </c>
      <c r="T3220" s="128">
        <f t="shared" si="176"/>
        <v>0</v>
      </c>
      <c r="U3220" s="129" t="str">
        <f>IFERROR(IF(#REF!="S",VLOOKUP('Raw Data'!A3220,References!#REF!,2,FALSE),(VLOOKUP($S3220,References!$B$3:$C$7,2,FALSE))),"")</f>
        <v/>
      </c>
      <c r="W3220" s="74" t="str">
        <f>IFERROR(VLOOKUP($O3220,'Customer List'!$A$1:$J$488,10,FALSE),"")</f>
        <v/>
      </c>
    </row>
    <row r="3221" spans="18:23">
      <c r="R3221" s="127">
        <f t="shared" si="175"/>
        <v>0</v>
      </c>
      <c r="T3221" s="128">
        <f t="shared" si="176"/>
        <v>0</v>
      </c>
      <c r="U3221" s="129" t="str">
        <f>IFERROR(IF(#REF!="S",VLOOKUP('Raw Data'!A3221,References!#REF!,2,FALSE),(VLOOKUP($S3221,References!$B$3:$C$7,2,FALSE))),"")</f>
        <v/>
      </c>
      <c r="W3221" s="74" t="str">
        <f>IFERROR(VLOOKUP($O3221,'Customer List'!$A$1:$J$488,10,FALSE),"")</f>
        <v/>
      </c>
    </row>
    <row r="3222" spans="18:23">
      <c r="R3222" s="127">
        <f t="shared" si="175"/>
        <v>0</v>
      </c>
      <c r="T3222" s="128">
        <f t="shared" si="176"/>
        <v>0</v>
      </c>
      <c r="U3222" s="129" t="str">
        <f>IFERROR(IF(#REF!="S",VLOOKUP('Raw Data'!A3222,References!#REF!,2,FALSE),(VLOOKUP($S3222,References!$B$3:$C$7,2,FALSE))),"")</f>
        <v/>
      </c>
      <c r="W3222" s="74" t="str">
        <f>IFERROR(VLOOKUP($O3222,'Customer List'!$A$1:$J$488,10,FALSE),"")</f>
        <v/>
      </c>
    </row>
    <row r="3223" spans="18:23">
      <c r="R3223" s="127">
        <f t="shared" si="175"/>
        <v>0</v>
      </c>
      <c r="T3223" s="128">
        <f t="shared" si="176"/>
        <v>0</v>
      </c>
      <c r="U3223" s="129" t="str">
        <f>IFERROR(IF(#REF!="S",VLOOKUP('Raw Data'!A3223,References!#REF!,2,FALSE),(VLOOKUP($S3223,References!$B$3:$C$7,2,FALSE))),"")</f>
        <v/>
      </c>
      <c r="W3223" s="74" t="str">
        <f>IFERROR(VLOOKUP($O3223,'Customer List'!$A$1:$J$488,10,FALSE),"")</f>
        <v/>
      </c>
    </row>
    <row r="3224" spans="18:23">
      <c r="R3224" s="127">
        <f t="shared" si="175"/>
        <v>0</v>
      </c>
      <c r="T3224" s="128">
        <f t="shared" si="176"/>
        <v>0</v>
      </c>
      <c r="U3224" s="129" t="str">
        <f>IFERROR(IF(#REF!="S",VLOOKUP('Raw Data'!A3224,References!#REF!,2,FALSE),(VLOOKUP($S3224,References!$B$3:$C$7,2,FALSE))),"")</f>
        <v/>
      </c>
      <c r="W3224" s="74" t="str">
        <f>IFERROR(VLOOKUP($O3224,'Customer List'!$A$1:$J$488,10,FALSE),"")</f>
        <v/>
      </c>
    </row>
    <row r="3225" spans="18:23">
      <c r="R3225" s="127">
        <f t="shared" si="175"/>
        <v>0</v>
      </c>
      <c r="T3225" s="128">
        <f t="shared" si="176"/>
        <v>0</v>
      </c>
      <c r="U3225" s="129" t="str">
        <f>IFERROR(IF(#REF!="S",VLOOKUP('Raw Data'!A3225,References!#REF!,2,FALSE),(VLOOKUP($S3225,References!$B$3:$C$7,2,FALSE))),"")</f>
        <v/>
      </c>
      <c r="W3225" s="74" t="str">
        <f>IFERROR(VLOOKUP($O3225,'Customer List'!$A$1:$J$488,10,FALSE),"")</f>
        <v/>
      </c>
    </row>
    <row r="3226" spans="18:23">
      <c r="R3226" s="127">
        <f t="shared" si="175"/>
        <v>0</v>
      </c>
      <c r="T3226" s="128">
        <f t="shared" si="176"/>
        <v>0</v>
      </c>
      <c r="U3226" s="129" t="str">
        <f>IFERROR(IF(#REF!="S",VLOOKUP('Raw Data'!A3226,References!#REF!,2,FALSE),(VLOOKUP($S3226,References!$B$3:$C$7,2,FALSE))),"")</f>
        <v/>
      </c>
      <c r="W3226" s="74" t="str">
        <f>IFERROR(VLOOKUP($O3226,'Customer List'!$A$1:$J$488,10,FALSE),"")</f>
        <v/>
      </c>
    </row>
    <row r="3227" spans="18:23">
      <c r="R3227" s="127">
        <f t="shared" si="175"/>
        <v>0</v>
      </c>
      <c r="T3227" s="128">
        <f t="shared" si="176"/>
        <v>0</v>
      </c>
      <c r="U3227" s="129" t="str">
        <f>IFERROR(IF(#REF!="S",VLOOKUP('Raw Data'!A3227,References!#REF!,2,FALSE),(VLOOKUP($S3227,References!$B$3:$C$7,2,FALSE))),"")</f>
        <v/>
      </c>
      <c r="W3227" s="74" t="str">
        <f>IFERROR(VLOOKUP($O3227,'Customer List'!$A$1:$J$488,10,FALSE),"")</f>
        <v/>
      </c>
    </row>
    <row r="3228" spans="18:23">
      <c r="R3228" s="127">
        <f t="shared" si="175"/>
        <v>0</v>
      </c>
      <c r="T3228" s="128">
        <f t="shared" si="176"/>
        <v>0</v>
      </c>
      <c r="U3228" s="129" t="str">
        <f>IFERROR(IF(#REF!="S",VLOOKUP('Raw Data'!A3228,References!#REF!,2,FALSE),(VLOOKUP($S3228,References!$B$3:$C$7,2,FALSE))),"")</f>
        <v/>
      </c>
      <c r="W3228" s="74" t="str">
        <f>IFERROR(VLOOKUP($O3228,'Customer List'!$A$1:$J$488,10,FALSE),"")</f>
        <v/>
      </c>
    </row>
    <row r="3229" spans="18:23">
      <c r="R3229" s="127">
        <f t="shared" si="175"/>
        <v>0</v>
      </c>
      <c r="T3229" s="128">
        <f t="shared" si="176"/>
        <v>0</v>
      </c>
      <c r="U3229" s="129" t="str">
        <f>IFERROR(IF(#REF!="S",VLOOKUP('Raw Data'!A3229,References!#REF!,2,FALSE),(VLOOKUP($S3229,References!$B$3:$C$7,2,FALSE))),"")</f>
        <v/>
      </c>
      <c r="W3229" s="74" t="str">
        <f>IFERROR(VLOOKUP($O3229,'Customer List'!$A$1:$J$488,10,FALSE),"")</f>
        <v/>
      </c>
    </row>
    <row r="3230" spans="18:23">
      <c r="R3230" s="127">
        <f t="shared" si="175"/>
        <v>0</v>
      </c>
      <c r="T3230" s="128">
        <f t="shared" si="176"/>
        <v>0</v>
      </c>
      <c r="U3230" s="129" t="str">
        <f>IFERROR(IF(#REF!="S",VLOOKUP('Raw Data'!A3230,References!#REF!,2,FALSE),(VLOOKUP($S3230,References!$B$3:$C$7,2,FALSE))),"")</f>
        <v/>
      </c>
      <c r="W3230" s="74" t="str">
        <f>IFERROR(VLOOKUP($O3230,'Customer List'!$A$1:$J$488,10,FALSE),"")</f>
        <v/>
      </c>
    </row>
    <row r="3231" spans="18:23">
      <c r="R3231" s="127">
        <f t="shared" si="175"/>
        <v>0</v>
      </c>
      <c r="T3231" s="128">
        <f t="shared" si="176"/>
        <v>0</v>
      </c>
      <c r="U3231" s="129" t="str">
        <f>IFERROR(IF(#REF!="S",VLOOKUP('Raw Data'!A3231,References!#REF!,2,FALSE),(VLOOKUP($S3231,References!$B$3:$C$7,2,FALSE))),"")</f>
        <v/>
      </c>
      <c r="W3231" s="74" t="str">
        <f>IFERROR(VLOOKUP($O3231,'Customer List'!$A$1:$J$488,10,FALSE),"")</f>
        <v/>
      </c>
    </row>
    <row r="3232" spans="18:23">
      <c r="R3232" s="127">
        <f t="shared" si="175"/>
        <v>0</v>
      </c>
      <c r="T3232" s="128">
        <f t="shared" si="176"/>
        <v>0</v>
      </c>
      <c r="U3232" s="129" t="str">
        <f>IFERROR(IF(#REF!="S",VLOOKUP('Raw Data'!A3232,References!#REF!,2,FALSE),(VLOOKUP($S3232,References!$B$3:$C$7,2,FALSE))),"")</f>
        <v/>
      </c>
      <c r="W3232" s="74" t="str">
        <f>IFERROR(VLOOKUP($O3232,'Customer List'!$A$1:$J$488,10,FALSE),"")</f>
        <v/>
      </c>
    </row>
    <row r="3233" spans="18:23">
      <c r="R3233" s="127">
        <f t="shared" si="175"/>
        <v>0</v>
      </c>
      <c r="T3233" s="128">
        <f t="shared" si="176"/>
        <v>0</v>
      </c>
      <c r="U3233" s="129" t="str">
        <f>IFERROR(IF(#REF!="S",VLOOKUP('Raw Data'!A3233,References!#REF!,2,FALSE),(VLOOKUP($S3233,References!$B$3:$C$7,2,FALSE))),"")</f>
        <v/>
      </c>
      <c r="W3233" s="74" t="str">
        <f>IFERROR(VLOOKUP($O3233,'Customer List'!$A$1:$J$488,10,FALSE),"")</f>
        <v/>
      </c>
    </row>
    <row r="3234" spans="18:23">
      <c r="R3234" s="127">
        <f t="shared" ref="R3234:R3297" si="177">L3234-K3234</f>
        <v>0</v>
      </c>
      <c r="T3234" s="128">
        <f t="shared" si="176"/>
        <v>0</v>
      </c>
      <c r="U3234" s="129" t="str">
        <f>IFERROR(IF(#REF!="S",VLOOKUP('Raw Data'!A3234,References!#REF!,2,FALSE),(VLOOKUP($S3234,References!$B$3:$C$7,2,FALSE))),"")</f>
        <v/>
      </c>
      <c r="W3234" s="74" t="str">
        <f>IFERROR(VLOOKUP($O3234,'Customer List'!$A$1:$J$488,10,FALSE),"")</f>
        <v/>
      </c>
    </row>
    <row r="3235" spans="18:23">
      <c r="R3235" s="127">
        <f t="shared" si="177"/>
        <v>0</v>
      </c>
      <c r="T3235" s="128">
        <f t="shared" si="176"/>
        <v>0</v>
      </c>
      <c r="U3235" s="129" t="str">
        <f>IFERROR(IF(#REF!="S",VLOOKUP('Raw Data'!A3235,References!#REF!,2,FALSE),(VLOOKUP($S3235,References!$B$3:$C$7,2,FALSE))),"")</f>
        <v/>
      </c>
      <c r="W3235" s="74" t="str">
        <f>IFERROR(VLOOKUP($O3235,'Customer List'!$A$1:$J$488,10,FALSE),"")</f>
        <v/>
      </c>
    </row>
    <row r="3236" spans="18:23">
      <c r="R3236" s="127">
        <f t="shared" si="177"/>
        <v>0</v>
      </c>
      <c r="T3236" s="128">
        <f t="shared" si="176"/>
        <v>0</v>
      </c>
      <c r="U3236" s="129" t="str">
        <f>IFERROR(IF(#REF!="S",VLOOKUP('Raw Data'!A3236,References!#REF!,2,FALSE),(VLOOKUP($S3236,References!$B$3:$C$7,2,FALSE))),"")</f>
        <v/>
      </c>
      <c r="W3236" s="74" t="str">
        <f>IFERROR(VLOOKUP($O3236,'Customer List'!$A$1:$J$488,10,FALSE),"")</f>
        <v/>
      </c>
    </row>
    <row r="3237" spans="18:23">
      <c r="R3237" s="127">
        <f t="shared" si="177"/>
        <v>0</v>
      </c>
      <c r="T3237" s="128">
        <f t="shared" si="176"/>
        <v>0</v>
      </c>
      <c r="U3237" s="129" t="str">
        <f>IFERROR(IF(#REF!="S",VLOOKUP('Raw Data'!A3237,References!#REF!,2,FALSE),(VLOOKUP($S3237,References!$B$3:$C$7,2,FALSE))),"")</f>
        <v/>
      </c>
      <c r="W3237" s="74" t="str">
        <f>IFERROR(VLOOKUP($O3237,'Customer List'!$A$1:$J$488,10,FALSE),"")</f>
        <v/>
      </c>
    </row>
    <row r="3238" spans="18:23">
      <c r="R3238" s="127">
        <f t="shared" si="177"/>
        <v>0</v>
      </c>
      <c r="T3238" s="128">
        <f t="shared" si="176"/>
        <v>0</v>
      </c>
      <c r="U3238" s="129" t="str">
        <f>IFERROR(IF(#REF!="S",VLOOKUP('Raw Data'!A3238,References!#REF!,2,FALSE),(VLOOKUP($S3238,References!$B$3:$C$7,2,FALSE))),"")</f>
        <v/>
      </c>
      <c r="W3238" s="74" t="str">
        <f>IFERROR(VLOOKUP($O3238,'Customer List'!$A$1:$J$488,10,FALSE),"")</f>
        <v/>
      </c>
    </row>
    <row r="3239" spans="18:23">
      <c r="R3239" s="127">
        <f t="shared" si="177"/>
        <v>0</v>
      </c>
      <c r="T3239" s="128">
        <f t="shared" si="176"/>
        <v>0</v>
      </c>
      <c r="U3239" s="129" t="str">
        <f>IFERROR(IF(#REF!="S",VLOOKUP('Raw Data'!A3239,References!#REF!,2,FALSE),(VLOOKUP($S3239,References!$B$3:$C$7,2,FALSE))),"")</f>
        <v/>
      </c>
      <c r="W3239" s="74" t="str">
        <f>IFERROR(VLOOKUP($O3239,'Customer List'!$A$1:$J$488,10,FALSE),"")</f>
        <v/>
      </c>
    </row>
    <row r="3240" spans="18:23">
      <c r="R3240" s="127">
        <f t="shared" si="177"/>
        <v>0</v>
      </c>
      <c r="T3240" s="128">
        <f t="shared" si="176"/>
        <v>0</v>
      </c>
      <c r="U3240" s="129" t="str">
        <f>IFERROR(IF(#REF!="S",VLOOKUP('Raw Data'!A3240,References!#REF!,2,FALSE),(VLOOKUP($S3240,References!$B$3:$C$7,2,FALSE))),"")</f>
        <v/>
      </c>
      <c r="W3240" s="74" t="str">
        <f>IFERROR(VLOOKUP($O3240,'Customer List'!$A$1:$J$488,10,FALSE),"")</f>
        <v/>
      </c>
    </row>
    <row r="3241" spans="18:23">
      <c r="R3241" s="127">
        <f t="shared" si="177"/>
        <v>0</v>
      </c>
      <c r="T3241" s="128">
        <f t="shared" si="176"/>
        <v>0</v>
      </c>
      <c r="U3241" s="129" t="str">
        <f>IFERROR(IF(#REF!="S",VLOOKUP('Raw Data'!A3241,References!#REF!,2,FALSE),(VLOOKUP($S3241,References!$B$3:$C$7,2,FALSE))),"")</f>
        <v/>
      </c>
      <c r="W3241" s="74" t="str">
        <f>IFERROR(VLOOKUP($O3241,'Customer List'!$A$1:$J$488,10,FALSE),"")</f>
        <v/>
      </c>
    </row>
    <row r="3242" spans="18:23">
      <c r="R3242" s="127">
        <f t="shared" si="177"/>
        <v>0</v>
      </c>
      <c r="T3242" s="128">
        <f t="shared" si="176"/>
        <v>0</v>
      </c>
      <c r="U3242" s="129" t="str">
        <f>IFERROR(IF(#REF!="S",VLOOKUP('Raw Data'!A3242,References!#REF!,2,FALSE),(VLOOKUP($S3242,References!$B$3:$C$7,2,FALSE))),"")</f>
        <v/>
      </c>
      <c r="W3242" s="74" t="str">
        <f>IFERROR(VLOOKUP($O3242,'Customer List'!$A$1:$J$488,10,FALSE),"")</f>
        <v/>
      </c>
    </row>
    <row r="3243" spans="18:23">
      <c r="R3243" s="127">
        <f t="shared" si="177"/>
        <v>0</v>
      </c>
      <c r="T3243" s="128">
        <f t="shared" si="176"/>
        <v>0</v>
      </c>
      <c r="U3243" s="129" t="str">
        <f>IFERROR(IF(#REF!="S",VLOOKUP('Raw Data'!A3243,References!#REF!,2,FALSE),(VLOOKUP($S3243,References!$B$3:$C$7,2,FALSE))),"")</f>
        <v/>
      </c>
      <c r="W3243" s="74" t="str">
        <f>IFERROR(VLOOKUP($O3243,'Customer List'!$A$1:$J$488,10,FALSE),"")</f>
        <v/>
      </c>
    </row>
    <row r="3244" spans="18:23">
      <c r="R3244" s="127">
        <f t="shared" si="177"/>
        <v>0</v>
      </c>
      <c r="T3244" s="128">
        <f t="shared" si="176"/>
        <v>0</v>
      </c>
      <c r="U3244" s="129" t="str">
        <f>IFERROR(IF(#REF!="S",VLOOKUP('Raw Data'!A3244,References!#REF!,2,FALSE),(VLOOKUP($S3244,References!$B$3:$C$7,2,FALSE))),"")</f>
        <v/>
      </c>
      <c r="W3244" s="74" t="str">
        <f>IFERROR(VLOOKUP($O3244,'Customer List'!$A$1:$J$488,10,FALSE),"")</f>
        <v/>
      </c>
    </row>
    <row r="3245" spans="18:23">
      <c r="R3245" s="127">
        <f t="shared" si="177"/>
        <v>0</v>
      </c>
      <c r="T3245" s="128">
        <f t="shared" si="176"/>
        <v>0</v>
      </c>
      <c r="U3245" s="129" t="str">
        <f>IFERROR(IF(#REF!="S",VLOOKUP('Raw Data'!A3245,References!#REF!,2,FALSE),(VLOOKUP($S3245,References!$B$3:$C$7,2,FALSE))),"")</f>
        <v/>
      </c>
      <c r="W3245" s="74" t="str">
        <f>IFERROR(VLOOKUP($O3245,'Customer List'!$A$1:$J$488,10,FALSE),"")</f>
        <v/>
      </c>
    </row>
    <row r="3246" spans="18:23">
      <c r="R3246" s="127">
        <f t="shared" si="177"/>
        <v>0</v>
      </c>
      <c r="T3246" s="128">
        <f t="shared" si="176"/>
        <v>0</v>
      </c>
      <c r="U3246" s="129" t="str">
        <f>IFERROR(IF(#REF!="S",VLOOKUP('Raw Data'!A3246,References!#REF!,2,FALSE),(VLOOKUP($S3246,References!$B$3:$C$7,2,FALSE))),"")</f>
        <v/>
      </c>
      <c r="W3246" s="74" t="str">
        <f>IFERROR(VLOOKUP($O3246,'Customer List'!$A$1:$J$488,10,FALSE),"")</f>
        <v/>
      </c>
    </row>
    <row r="3247" spans="18:23">
      <c r="R3247" s="127">
        <f t="shared" si="177"/>
        <v>0</v>
      </c>
      <c r="T3247" s="128">
        <f t="shared" si="176"/>
        <v>0</v>
      </c>
      <c r="U3247" s="129" t="str">
        <f>IFERROR(IF(#REF!="S",VLOOKUP('Raw Data'!A3247,References!#REF!,2,FALSE),(VLOOKUP($S3247,References!$B$3:$C$7,2,FALSE))),"")</f>
        <v/>
      </c>
      <c r="W3247" s="74" t="str">
        <f>IFERROR(VLOOKUP($O3247,'Customer List'!$A$1:$J$488,10,FALSE),"")</f>
        <v/>
      </c>
    </row>
    <row r="3248" spans="18:23">
      <c r="R3248" s="127">
        <f t="shared" si="177"/>
        <v>0</v>
      </c>
      <c r="T3248" s="128">
        <f t="shared" si="176"/>
        <v>0</v>
      </c>
      <c r="U3248" s="129" t="str">
        <f>IFERROR(IF(#REF!="S",VLOOKUP('Raw Data'!A3248,References!#REF!,2,FALSE),(VLOOKUP($S3248,References!$B$3:$C$7,2,FALSE))),"")</f>
        <v/>
      </c>
      <c r="W3248" s="74" t="str">
        <f>IFERROR(VLOOKUP($O3248,'Customer List'!$A$1:$J$488,10,FALSE),"")</f>
        <v/>
      </c>
    </row>
    <row r="3249" spans="18:23">
      <c r="R3249" s="127">
        <f t="shared" si="177"/>
        <v>0</v>
      </c>
      <c r="T3249" s="128">
        <f t="shared" si="176"/>
        <v>0</v>
      </c>
      <c r="U3249" s="129" t="str">
        <f>IFERROR(IF(#REF!="S",VLOOKUP('Raw Data'!A3249,References!#REF!,2,FALSE),(VLOOKUP($S3249,References!$B$3:$C$7,2,FALSE))),"")</f>
        <v/>
      </c>
      <c r="W3249" s="74" t="str">
        <f>IFERROR(VLOOKUP($O3249,'Customer List'!$A$1:$J$488,10,FALSE),"")</f>
        <v/>
      </c>
    </row>
    <row r="3250" spans="18:23">
      <c r="R3250" s="127">
        <f t="shared" si="177"/>
        <v>0</v>
      </c>
      <c r="T3250" s="128">
        <f t="shared" si="176"/>
        <v>0</v>
      </c>
      <c r="U3250" s="129" t="str">
        <f>IFERROR(IF(#REF!="S",VLOOKUP('Raw Data'!A3250,References!#REF!,2,FALSE),(VLOOKUP($S3250,References!$B$3:$C$7,2,FALSE))),"")</f>
        <v/>
      </c>
      <c r="W3250" s="74" t="str">
        <f>IFERROR(VLOOKUP($O3250,'Customer List'!$A$1:$J$488,10,FALSE),"")</f>
        <v/>
      </c>
    </row>
    <row r="3251" spans="18:23">
      <c r="R3251" s="127">
        <f t="shared" si="177"/>
        <v>0</v>
      </c>
      <c r="T3251" s="128">
        <f t="shared" si="176"/>
        <v>0</v>
      </c>
      <c r="U3251" s="129" t="str">
        <f>IFERROR(IF(#REF!="S",VLOOKUP('Raw Data'!A3251,References!#REF!,2,FALSE),(VLOOKUP($S3251,References!$B$3:$C$7,2,FALSE))),"")</f>
        <v/>
      </c>
      <c r="W3251" s="74" t="str">
        <f>IFERROR(VLOOKUP($O3251,'Customer List'!$A$1:$J$488,10,FALSE),"")</f>
        <v/>
      </c>
    </row>
    <row r="3252" spans="18:23">
      <c r="R3252" s="127">
        <f t="shared" si="177"/>
        <v>0</v>
      </c>
      <c r="T3252" s="128">
        <f t="shared" si="176"/>
        <v>0</v>
      </c>
      <c r="U3252" s="129" t="str">
        <f>IFERROR(IF(#REF!="S",VLOOKUP('Raw Data'!A3252,References!#REF!,2,FALSE),(VLOOKUP($S3252,References!$B$3:$C$7,2,FALSE))),"")</f>
        <v/>
      </c>
      <c r="W3252" s="74" t="str">
        <f>IFERROR(VLOOKUP($O3252,'Customer List'!$A$1:$J$488,10,FALSE),"")</f>
        <v/>
      </c>
    </row>
    <row r="3253" spans="18:23">
      <c r="R3253" s="127">
        <f t="shared" si="177"/>
        <v>0</v>
      </c>
      <c r="T3253" s="128">
        <f t="shared" si="176"/>
        <v>0</v>
      </c>
      <c r="U3253" s="129" t="str">
        <f>IFERROR(IF(#REF!="S",VLOOKUP('Raw Data'!A3253,References!#REF!,2,FALSE),(VLOOKUP($S3253,References!$B$3:$C$7,2,FALSE))),"")</f>
        <v/>
      </c>
      <c r="W3253" s="74" t="str">
        <f>IFERROR(VLOOKUP($O3253,'Customer List'!$A$1:$J$488,10,FALSE),"")</f>
        <v/>
      </c>
    </row>
    <row r="3254" spans="18:23">
      <c r="R3254" s="127">
        <f t="shared" si="177"/>
        <v>0</v>
      </c>
      <c r="T3254" s="128">
        <f t="shared" si="176"/>
        <v>0</v>
      </c>
      <c r="U3254" s="129" t="str">
        <f>IFERROR(IF(#REF!="S",VLOOKUP('Raw Data'!A3254,References!#REF!,2,FALSE),(VLOOKUP($S3254,References!$B$3:$C$7,2,FALSE))),"")</f>
        <v/>
      </c>
      <c r="W3254" s="74" t="str">
        <f>IFERROR(VLOOKUP($O3254,'Customer List'!$A$1:$J$488,10,FALSE),"")</f>
        <v/>
      </c>
    </row>
    <row r="3255" spans="18:23">
      <c r="R3255" s="127">
        <f t="shared" si="177"/>
        <v>0</v>
      </c>
      <c r="T3255" s="128">
        <f t="shared" si="176"/>
        <v>0</v>
      </c>
      <c r="U3255" s="129" t="str">
        <f>IFERROR(IF(#REF!="S",VLOOKUP('Raw Data'!A3255,References!#REF!,2,FALSE),(VLOOKUP($S3255,References!$B$3:$C$7,2,FALSE))),"")</f>
        <v/>
      </c>
      <c r="W3255" s="74" t="str">
        <f>IFERROR(VLOOKUP($O3255,'Customer List'!$A$1:$J$488,10,FALSE),"")</f>
        <v/>
      </c>
    </row>
    <row r="3256" spans="18:23">
      <c r="R3256" s="127">
        <f t="shared" si="177"/>
        <v>0</v>
      </c>
      <c r="T3256" s="128">
        <f t="shared" si="176"/>
        <v>0</v>
      </c>
      <c r="U3256" s="129" t="str">
        <f>IFERROR(IF(#REF!="S",VLOOKUP('Raw Data'!A3256,References!#REF!,2,FALSE),(VLOOKUP($S3256,References!$B$3:$C$7,2,FALSE))),"")</f>
        <v/>
      </c>
      <c r="W3256" s="74" t="str">
        <f>IFERROR(VLOOKUP($O3256,'Customer List'!$A$1:$J$488,10,FALSE),"")</f>
        <v/>
      </c>
    </row>
    <row r="3257" spans="18:23">
      <c r="R3257" s="127">
        <f t="shared" si="177"/>
        <v>0</v>
      </c>
      <c r="T3257" s="128">
        <f t="shared" si="176"/>
        <v>0</v>
      </c>
      <c r="U3257" s="129" t="str">
        <f>IFERROR(IF(#REF!="S",VLOOKUP('Raw Data'!A3257,References!#REF!,2,FALSE),(VLOOKUP($S3257,References!$B$3:$C$7,2,FALSE))),"")</f>
        <v/>
      </c>
      <c r="W3257" s="74" t="str">
        <f>IFERROR(VLOOKUP($O3257,'Customer List'!$A$1:$J$488,10,FALSE),"")</f>
        <v/>
      </c>
    </row>
    <row r="3258" spans="18:23">
      <c r="R3258" s="127">
        <f t="shared" si="177"/>
        <v>0</v>
      </c>
      <c r="T3258" s="128">
        <f t="shared" si="176"/>
        <v>0</v>
      </c>
      <c r="U3258" s="129" t="str">
        <f>IFERROR(IF(#REF!="S",VLOOKUP('Raw Data'!A3258,References!#REF!,2,FALSE),(VLOOKUP($S3258,References!$B$3:$C$7,2,FALSE))),"")</f>
        <v/>
      </c>
      <c r="W3258" s="74" t="str">
        <f>IFERROR(VLOOKUP($O3258,'Customer List'!$A$1:$J$488,10,FALSE),"")</f>
        <v/>
      </c>
    </row>
    <row r="3259" spans="18:23">
      <c r="R3259" s="127">
        <f t="shared" si="177"/>
        <v>0</v>
      </c>
      <c r="T3259" s="128">
        <f t="shared" si="176"/>
        <v>0</v>
      </c>
      <c r="U3259" s="129" t="str">
        <f>IFERROR(IF(#REF!="S",VLOOKUP('Raw Data'!A3259,References!#REF!,2,FALSE),(VLOOKUP($S3259,References!$B$3:$C$7,2,FALSE))),"")</f>
        <v/>
      </c>
      <c r="W3259" s="74" t="str">
        <f>IFERROR(VLOOKUP($O3259,'Customer List'!$A$1:$J$488,10,FALSE),"")</f>
        <v/>
      </c>
    </row>
    <row r="3260" spans="18:23">
      <c r="R3260" s="127">
        <f t="shared" si="177"/>
        <v>0</v>
      </c>
      <c r="T3260" s="128">
        <f t="shared" si="176"/>
        <v>0</v>
      </c>
      <c r="U3260" s="129" t="str">
        <f>IFERROR(IF(#REF!="S",VLOOKUP('Raw Data'!A3260,References!#REF!,2,FALSE),(VLOOKUP($S3260,References!$B$3:$C$7,2,FALSE))),"")</f>
        <v/>
      </c>
      <c r="W3260" s="74" t="str">
        <f>IFERROR(VLOOKUP($O3260,'Customer List'!$A$1:$J$488,10,FALSE),"")</f>
        <v/>
      </c>
    </row>
    <row r="3261" spans="18:23">
      <c r="R3261" s="127">
        <f t="shared" si="177"/>
        <v>0</v>
      </c>
      <c r="T3261" s="128">
        <f t="shared" si="176"/>
        <v>0</v>
      </c>
      <c r="U3261" s="129" t="str">
        <f>IFERROR(IF(#REF!="S",VLOOKUP('Raw Data'!A3261,References!#REF!,2,FALSE),(VLOOKUP($S3261,References!$B$3:$C$7,2,FALSE))),"")</f>
        <v/>
      </c>
      <c r="W3261" s="74" t="str">
        <f>IFERROR(VLOOKUP($O3261,'Customer List'!$A$1:$J$488,10,FALSE),"")</f>
        <v/>
      </c>
    </row>
    <row r="3262" spans="18:23">
      <c r="R3262" s="127">
        <f t="shared" si="177"/>
        <v>0</v>
      </c>
      <c r="T3262" s="128">
        <f t="shared" si="176"/>
        <v>0</v>
      </c>
      <c r="U3262" s="129" t="str">
        <f>IFERROR(IF(#REF!="S",VLOOKUP('Raw Data'!A3262,References!#REF!,2,FALSE),(VLOOKUP($S3262,References!$B$3:$C$7,2,FALSE))),"")</f>
        <v/>
      </c>
      <c r="W3262" s="74" t="str">
        <f>IFERROR(VLOOKUP($O3262,'Customer List'!$A$1:$J$488,10,FALSE),"")</f>
        <v/>
      </c>
    </row>
    <row r="3263" spans="18:23">
      <c r="R3263" s="127">
        <f t="shared" si="177"/>
        <v>0</v>
      </c>
      <c r="T3263" s="128">
        <f t="shared" si="176"/>
        <v>0</v>
      </c>
      <c r="U3263" s="129" t="str">
        <f>IFERROR(IF(#REF!="S",VLOOKUP('Raw Data'!A3263,References!#REF!,2,FALSE),(VLOOKUP($S3263,References!$B$3:$C$7,2,FALSE))),"")</f>
        <v/>
      </c>
      <c r="W3263" s="74" t="str">
        <f>IFERROR(VLOOKUP($O3263,'Customer List'!$A$1:$J$488,10,FALSE),"")</f>
        <v/>
      </c>
    </row>
    <row r="3264" spans="18:23">
      <c r="R3264" s="127">
        <f t="shared" si="177"/>
        <v>0</v>
      </c>
      <c r="T3264" s="128">
        <f t="shared" si="176"/>
        <v>0</v>
      </c>
      <c r="U3264" s="129" t="str">
        <f>IFERROR(IF(#REF!="S",VLOOKUP('Raw Data'!A3264,References!#REF!,2,FALSE),(VLOOKUP($S3264,References!$B$3:$C$7,2,FALSE))),"")</f>
        <v/>
      </c>
      <c r="W3264" s="74" t="str">
        <f>IFERROR(VLOOKUP($O3264,'Customer List'!$A$1:$J$488,10,FALSE),"")</f>
        <v/>
      </c>
    </row>
    <row r="3265" spans="18:23">
      <c r="R3265" s="127">
        <f t="shared" si="177"/>
        <v>0</v>
      </c>
      <c r="T3265" s="128">
        <f t="shared" si="176"/>
        <v>0</v>
      </c>
      <c r="U3265" s="129" t="str">
        <f>IFERROR(IF(#REF!="S",VLOOKUP('Raw Data'!A3265,References!#REF!,2,FALSE),(VLOOKUP($S3265,References!$B$3:$C$7,2,FALSE))),"")</f>
        <v/>
      </c>
      <c r="W3265" s="74" t="str">
        <f>IFERROR(VLOOKUP($O3265,'Customer List'!$A$1:$J$488,10,FALSE),"")</f>
        <v/>
      </c>
    </row>
    <row r="3266" spans="18:23">
      <c r="R3266" s="127">
        <f t="shared" si="177"/>
        <v>0</v>
      </c>
      <c r="T3266" s="128">
        <f t="shared" si="176"/>
        <v>0</v>
      </c>
      <c r="U3266" s="129" t="str">
        <f>IFERROR(IF(#REF!="S",VLOOKUP('Raw Data'!A3266,References!#REF!,2,FALSE),(VLOOKUP($S3266,References!$B$3:$C$7,2,FALSE))),"")</f>
        <v/>
      </c>
      <c r="W3266" s="74" t="str">
        <f>IFERROR(VLOOKUP($O3266,'Customer List'!$A$1:$J$488,10,FALSE),"")</f>
        <v/>
      </c>
    </row>
    <row r="3267" spans="18:23">
      <c r="R3267" s="127">
        <f t="shared" si="177"/>
        <v>0</v>
      </c>
      <c r="T3267" s="128">
        <f t="shared" si="176"/>
        <v>0</v>
      </c>
      <c r="U3267" s="129" t="str">
        <f>IFERROR(IF(#REF!="S",VLOOKUP('Raw Data'!A3267,References!#REF!,2,FALSE),(VLOOKUP($S3267,References!$B$3:$C$7,2,FALSE))),"")</f>
        <v/>
      </c>
      <c r="W3267" s="74" t="str">
        <f>IFERROR(VLOOKUP($O3267,'Customer List'!$A$1:$J$488,10,FALSE),"")</f>
        <v/>
      </c>
    </row>
    <row r="3268" spans="18:23">
      <c r="R3268" s="127">
        <f t="shared" si="177"/>
        <v>0</v>
      </c>
      <c r="T3268" s="128">
        <f t="shared" si="176"/>
        <v>0</v>
      </c>
      <c r="U3268" s="129" t="str">
        <f>IFERROR(IF(#REF!="S",VLOOKUP('Raw Data'!A3268,References!#REF!,2,FALSE),(VLOOKUP($S3268,References!$B$3:$C$7,2,FALSE))),"")</f>
        <v/>
      </c>
      <c r="W3268" s="74" t="str">
        <f>IFERROR(VLOOKUP($O3268,'Customer List'!$A$1:$J$488,10,FALSE),"")</f>
        <v/>
      </c>
    </row>
    <row r="3269" spans="18:23">
      <c r="R3269" s="127">
        <f t="shared" si="177"/>
        <v>0</v>
      </c>
      <c r="T3269" s="128">
        <f t="shared" si="176"/>
        <v>0</v>
      </c>
      <c r="U3269" s="129" t="str">
        <f>IFERROR(IF(#REF!="S",VLOOKUP('Raw Data'!A3269,References!#REF!,2,FALSE),(VLOOKUP($S3269,References!$B$3:$C$7,2,FALSE))),"")</f>
        <v/>
      </c>
      <c r="W3269" s="74" t="str">
        <f>IFERROR(VLOOKUP($O3269,'Customer List'!$A$1:$J$488,10,FALSE),"")</f>
        <v/>
      </c>
    </row>
    <row r="3270" spans="18:23">
      <c r="R3270" s="127">
        <f t="shared" si="177"/>
        <v>0</v>
      </c>
      <c r="T3270" s="128">
        <f t="shared" si="176"/>
        <v>0</v>
      </c>
      <c r="U3270" s="129" t="str">
        <f>IFERROR(IF(#REF!="S",VLOOKUP('Raw Data'!A3270,References!#REF!,2,FALSE),(VLOOKUP($S3270,References!$B$3:$C$7,2,FALSE))),"")</f>
        <v/>
      </c>
      <c r="W3270" s="74" t="str">
        <f>IFERROR(VLOOKUP($O3270,'Customer List'!$A$1:$J$488,10,FALSE),"")</f>
        <v/>
      </c>
    </row>
    <row r="3271" spans="18:23">
      <c r="R3271" s="127">
        <f t="shared" si="177"/>
        <v>0</v>
      </c>
      <c r="T3271" s="128">
        <f t="shared" si="176"/>
        <v>0</v>
      </c>
      <c r="U3271" s="129" t="str">
        <f>IFERROR(IF(#REF!="S",VLOOKUP('Raw Data'!A3271,References!#REF!,2,FALSE),(VLOOKUP($S3271,References!$B$3:$C$7,2,FALSE))),"")</f>
        <v/>
      </c>
      <c r="W3271" s="74" t="str">
        <f>IFERROR(VLOOKUP($O3271,'Customer List'!$A$1:$J$488,10,FALSE),"")</f>
        <v/>
      </c>
    </row>
    <row r="3272" spans="18:23">
      <c r="R3272" s="127">
        <f t="shared" si="177"/>
        <v>0</v>
      </c>
      <c r="T3272" s="128">
        <f t="shared" si="176"/>
        <v>0</v>
      </c>
      <c r="U3272" s="129" t="str">
        <f>IFERROR(IF(#REF!="S",VLOOKUP('Raw Data'!A3272,References!#REF!,2,FALSE),(VLOOKUP($S3272,References!$B$3:$C$7,2,FALSE))),"")</f>
        <v/>
      </c>
      <c r="W3272" s="74" t="str">
        <f>IFERROR(VLOOKUP($O3272,'Customer List'!$A$1:$J$488,10,FALSE),"")</f>
        <v/>
      </c>
    </row>
    <row r="3273" spans="18:23">
      <c r="R3273" s="127">
        <f t="shared" si="177"/>
        <v>0</v>
      </c>
      <c r="T3273" s="128">
        <f t="shared" si="176"/>
        <v>0</v>
      </c>
      <c r="U3273" s="129" t="str">
        <f>IFERROR(IF(#REF!="S",VLOOKUP('Raw Data'!A3273,References!#REF!,2,FALSE),(VLOOKUP($S3273,References!$B$3:$C$7,2,FALSE))),"")</f>
        <v/>
      </c>
      <c r="W3273" s="74" t="str">
        <f>IFERROR(VLOOKUP($O3273,'Customer List'!$A$1:$J$488,10,FALSE),"")</f>
        <v/>
      </c>
    </row>
    <row r="3274" spans="18:23">
      <c r="R3274" s="127">
        <f t="shared" si="177"/>
        <v>0</v>
      </c>
      <c r="T3274" s="128">
        <f t="shared" ref="T3274:T3337" si="178">IF(S3274="50 - Cleaning Fee",1,HOUR($R3274)+MINUTE(R3274)/60)</f>
        <v>0</v>
      </c>
      <c r="U3274" s="129" t="str">
        <f>IFERROR(IF(#REF!="S",VLOOKUP('Raw Data'!A3274,References!#REF!,2,FALSE),(VLOOKUP($S3274,References!$B$3:$C$7,2,FALSE))),"")</f>
        <v/>
      </c>
      <c r="W3274" s="74" t="str">
        <f>IFERROR(VLOOKUP($O3274,'Customer List'!$A$1:$J$488,10,FALSE),"")</f>
        <v/>
      </c>
    </row>
    <row r="3275" spans="18:23">
      <c r="R3275" s="127">
        <f t="shared" si="177"/>
        <v>0</v>
      </c>
      <c r="T3275" s="128">
        <f t="shared" si="178"/>
        <v>0</v>
      </c>
      <c r="U3275" s="129" t="str">
        <f>IFERROR(IF(#REF!="S",VLOOKUP('Raw Data'!A3275,References!#REF!,2,FALSE),(VLOOKUP($S3275,References!$B$3:$C$7,2,FALSE))),"")</f>
        <v/>
      </c>
      <c r="W3275" s="74" t="str">
        <f>IFERROR(VLOOKUP($O3275,'Customer List'!$A$1:$J$488,10,FALSE),"")</f>
        <v/>
      </c>
    </row>
    <row r="3276" spans="18:23">
      <c r="R3276" s="127">
        <f t="shared" si="177"/>
        <v>0</v>
      </c>
      <c r="T3276" s="128">
        <f t="shared" si="178"/>
        <v>0</v>
      </c>
      <c r="U3276" s="129" t="str">
        <f>IFERROR(IF(#REF!="S",VLOOKUP('Raw Data'!A3276,References!#REF!,2,FALSE),(VLOOKUP($S3276,References!$B$3:$C$7,2,FALSE))),"")</f>
        <v/>
      </c>
      <c r="W3276" s="74" t="str">
        <f>IFERROR(VLOOKUP($O3276,'Customer List'!$A$1:$J$488,10,FALSE),"")</f>
        <v/>
      </c>
    </row>
    <row r="3277" spans="18:23">
      <c r="R3277" s="127">
        <f t="shared" si="177"/>
        <v>0</v>
      </c>
      <c r="T3277" s="128">
        <f t="shared" si="178"/>
        <v>0</v>
      </c>
      <c r="U3277" s="129" t="str">
        <f>IFERROR(IF(#REF!="S",VLOOKUP('Raw Data'!A3277,References!#REF!,2,FALSE),(VLOOKUP($S3277,References!$B$3:$C$7,2,FALSE))),"")</f>
        <v/>
      </c>
      <c r="W3277" s="74" t="str">
        <f>IFERROR(VLOOKUP($O3277,'Customer List'!$A$1:$J$488,10,FALSE),"")</f>
        <v/>
      </c>
    </row>
    <row r="3278" spans="18:23">
      <c r="R3278" s="127">
        <f t="shared" si="177"/>
        <v>0</v>
      </c>
      <c r="T3278" s="128">
        <f t="shared" si="178"/>
        <v>0</v>
      </c>
      <c r="U3278" s="129" t="str">
        <f>IFERROR(IF(#REF!="S",VLOOKUP('Raw Data'!A3278,References!#REF!,2,FALSE),(VLOOKUP($S3278,References!$B$3:$C$7,2,FALSE))),"")</f>
        <v/>
      </c>
      <c r="W3278" s="74" t="str">
        <f>IFERROR(VLOOKUP($O3278,'Customer List'!$A$1:$J$488,10,FALSE),"")</f>
        <v/>
      </c>
    </row>
    <row r="3279" spans="18:23">
      <c r="R3279" s="127">
        <f t="shared" si="177"/>
        <v>0</v>
      </c>
      <c r="T3279" s="128">
        <f t="shared" si="178"/>
        <v>0</v>
      </c>
      <c r="U3279" s="129" t="str">
        <f>IFERROR(IF(#REF!="S",VLOOKUP('Raw Data'!A3279,References!#REF!,2,FALSE),(VLOOKUP($S3279,References!$B$3:$C$7,2,FALSE))),"")</f>
        <v/>
      </c>
      <c r="W3279" s="74" t="str">
        <f>IFERROR(VLOOKUP($O3279,'Customer List'!$A$1:$J$488,10,FALSE),"")</f>
        <v/>
      </c>
    </row>
    <row r="3280" spans="18:23">
      <c r="R3280" s="127">
        <f t="shared" si="177"/>
        <v>0</v>
      </c>
      <c r="T3280" s="128">
        <f t="shared" si="178"/>
        <v>0</v>
      </c>
      <c r="U3280" s="129" t="str">
        <f>IFERROR(IF(#REF!="S",VLOOKUP('Raw Data'!A3280,References!#REF!,2,FALSE),(VLOOKUP($S3280,References!$B$3:$C$7,2,FALSE))),"")</f>
        <v/>
      </c>
      <c r="W3280" s="74" t="str">
        <f>IFERROR(VLOOKUP($O3280,'Customer List'!$A$1:$J$488,10,FALSE),"")</f>
        <v/>
      </c>
    </row>
    <row r="3281" spans="18:23">
      <c r="R3281" s="127">
        <f t="shared" si="177"/>
        <v>0</v>
      </c>
      <c r="T3281" s="128">
        <f t="shared" si="178"/>
        <v>0</v>
      </c>
      <c r="U3281" s="129" t="str">
        <f>IFERROR(IF(#REF!="S",VLOOKUP('Raw Data'!A3281,References!#REF!,2,FALSE),(VLOOKUP($S3281,References!$B$3:$C$7,2,FALSE))),"")</f>
        <v/>
      </c>
      <c r="W3281" s="74" t="str">
        <f>IFERROR(VLOOKUP($O3281,'Customer List'!$A$1:$J$488,10,FALSE),"")</f>
        <v/>
      </c>
    </row>
    <row r="3282" spans="18:23">
      <c r="R3282" s="127">
        <f t="shared" si="177"/>
        <v>0</v>
      </c>
      <c r="T3282" s="128">
        <f t="shared" si="178"/>
        <v>0</v>
      </c>
      <c r="U3282" s="129" t="str">
        <f>IFERROR(IF(#REF!="S",VLOOKUP('Raw Data'!A3282,References!#REF!,2,FALSE),(VLOOKUP($S3282,References!$B$3:$C$7,2,FALSE))),"")</f>
        <v/>
      </c>
      <c r="W3282" s="74" t="str">
        <f>IFERROR(VLOOKUP($O3282,'Customer List'!$A$1:$J$488,10,FALSE),"")</f>
        <v/>
      </c>
    </row>
    <row r="3283" spans="18:23">
      <c r="R3283" s="127">
        <f t="shared" si="177"/>
        <v>0</v>
      </c>
      <c r="T3283" s="128">
        <f t="shared" si="178"/>
        <v>0</v>
      </c>
      <c r="U3283" s="129" t="str">
        <f>IFERROR(IF(#REF!="S",VLOOKUP('Raw Data'!A3283,References!#REF!,2,FALSE),(VLOOKUP($S3283,References!$B$3:$C$7,2,FALSE))),"")</f>
        <v/>
      </c>
      <c r="W3283" s="74" t="str">
        <f>IFERROR(VLOOKUP($O3283,'Customer List'!$A$1:$J$488,10,FALSE),"")</f>
        <v/>
      </c>
    </row>
    <row r="3284" spans="18:23">
      <c r="R3284" s="127">
        <f t="shared" si="177"/>
        <v>0</v>
      </c>
      <c r="T3284" s="128">
        <f t="shared" si="178"/>
        <v>0</v>
      </c>
      <c r="U3284" s="129" t="str">
        <f>IFERROR(IF(#REF!="S",VLOOKUP('Raw Data'!A3284,References!#REF!,2,FALSE),(VLOOKUP($S3284,References!$B$3:$C$7,2,FALSE))),"")</f>
        <v/>
      </c>
      <c r="W3284" s="74" t="str">
        <f>IFERROR(VLOOKUP($O3284,'Customer List'!$A$1:$J$488,10,FALSE),"")</f>
        <v/>
      </c>
    </row>
    <row r="3285" spans="18:23">
      <c r="R3285" s="127">
        <f t="shared" si="177"/>
        <v>0</v>
      </c>
      <c r="T3285" s="128">
        <f t="shared" si="178"/>
        <v>0</v>
      </c>
      <c r="U3285" s="129" t="str">
        <f>IFERROR(IF(#REF!="S",VLOOKUP('Raw Data'!A3285,References!#REF!,2,FALSE),(VLOOKUP($S3285,References!$B$3:$C$7,2,FALSE))),"")</f>
        <v/>
      </c>
      <c r="W3285" s="74" t="str">
        <f>IFERROR(VLOOKUP($O3285,'Customer List'!$A$1:$J$488,10,FALSE),"")</f>
        <v/>
      </c>
    </row>
    <row r="3286" spans="18:23">
      <c r="R3286" s="127">
        <f t="shared" si="177"/>
        <v>0</v>
      </c>
      <c r="T3286" s="128">
        <f t="shared" si="178"/>
        <v>0</v>
      </c>
      <c r="U3286" s="129" t="str">
        <f>IFERROR(IF(#REF!="S",VLOOKUP('Raw Data'!A3286,References!#REF!,2,FALSE),(VLOOKUP($S3286,References!$B$3:$C$7,2,FALSE))),"")</f>
        <v/>
      </c>
      <c r="W3286" s="74" t="str">
        <f>IFERROR(VLOOKUP($O3286,'Customer List'!$A$1:$J$488,10,FALSE),"")</f>
        <v/>
      </c>
    </row>
    <row r="3287" spans="18:23">
      <c r="R3287" s="127">
        <f t="shared" si="177"/>
        <v>0</v>
      </c>
      <c r="T3287" s="128">
        <f t="shared" si="178"/>
        <v>0</v>
      </c>
      <c r="U3287" s="129" t="str">
        <f>IFERROR(IF(#REF!="S",VLOOKUP('Raw Data'!A3287,References!#REF!,2,FALSE),(VLOOKUP($S3287,References!$B$3:$C$7,2,FALSE))),"")</f>
        <v/>
      </c>
      <c r="W3287" s="74" t="str">
        <f>IFERROR(VLOOKUP($O3287,'Customer List'!$A$1:$J$488,10,FALSE),"")</f>
        <v/>
      </c>
    </row>
    <row r="3288" spans="18:23">
      <c r="R3288" s="127">
        <f t="shared" si="177"/>
        <v>0</v>
      </c>
      <c r="T3288" s="128">
        <f t="shared" si="178"/>
        <v>0</v>
      </c>
      <c r="U3288" s="129" t="str">
        <f>IFERROR(IF(#REF!="S",VLOOKUP('Raw Data'!A3288,References!#REF!,2,FALSE),(VLOOKUP($S3288,References!$B$3:$C$7,2,FALSE))),"")</f>
        <v/>
      </c>
      <c r="W3288" s="74" t="str">
        <f>IFERROR(VLOOKUP($O3288,'Customer List'!$A$1:$J$488,10,FALSE),"")</f>
        <v/>
      </c>
    </row>
    <row r="3289" spans="18:23">
      <c r="R3289" s="127">
        <f t="shared" si="177"/>
        <v>0</v>
      </c>
      <c r="T3289" s="128">
        <f t="shared" si="178"/>
        <v>0</v>
      </c>
      <c r="U3289" s="129" t="str">
        <f>IFERROR(IF(#REF!="S",VLOOKUP('Raw Data'!A3289,References!#REF!,2,FALSE),(VLOOKUP($S3289,References!$B$3:$C$7,2,FALSE))),"")</f>
        <v/>
      </c>
      <c r="W3289" s="74" t="str">
        <f>IFERROR(VLOOKUP($O3289,'Customer List'!$A$1:$J$488,10,FALSE),"")</f>
        <v/>
      </c>
    </row>
    <row r="3290" spans="18:23">
      <c r="R3290" s="127">
        <f t="shared" si="177"/>
        <v>0</v>
      </c>
      <c r="T3290" s="128">
        <f t="shared" si="178"/>
        <v>0</v>
      </c>
      <c r="U3290" s="129" t="str">
        <f>IFERROR(IF(#REF!="S",VLOOKUP('Raw Data'!A3290,References!#REF!,2,FALSE),(VLOOKUP($S3290,References!$B$3:$C$7,2,FALSE))),"")</f>
        <v/>
      </c>
      <c r="W3290" s="74" t="str">
        <f>IFERROR(VLOOKUP($O3290,'Customer List'!$A$1:$J$488,10,FALSE),"")</f>
        <v/>
      </c>
    </row>
    <row r="3291" spans="18:23">
      <c r="R3291" s="127">
        <f t="shared" si="177"/>
        <v>0</v>
      </c>
      <c r="T3291" s="128">
        <f t="shared" si="178"/>
        <v>0</v>
      </c>
      <c r="U3291" s="129" t="str">
        <f>IFERROR(IF(#REF!="S",VLOOKUP('Raw Data'!A3291,References!#REF!,2,FALSE),(VLOOKUP($S3291,References!$B$3:$C$7,2,FALSE))),"")</f>
        <v/>
      </c>
      <c r="W3291" s="74" t="str">
        <f>IFERROR(VLOOKUP($O3291,'Customer List'!$A$1:$J$488,10,FALSE),"")</f>
        <v/>
      </c>
    </row>
    <row r="3292" spans="18:23">
      <c r="R3292" s="127">
        <f t="shared" si="177"/>
        <v>0</v>
      </c>
      <c r="T3292" s="128">
        <f t="shared" si="178"/>
        <v>0</v>
      </c>
      <c r="U3292" s="129" t="str">
        <f>IFERROR(IF(#REF!="S",VLOOKUP('Raw Data'!A3292,References!#REF!,2,FALSE),(VLOOKUP($S3292,References!$B$3:$C$7,2,FALSE))),"")</f>
        <v/>
      </c>
      <c r="W3292" s="74" t="str">
        <f>IFERROR(VLOOKUP($O3292,'Customer List'!$A$1:$J$488,10,FALSE),"")</f>
        <v/>
      </c>
    </row>
    <row r="3293" spans="18:23">
      <c r="R3293" s="127">
        <f t="shared" si="177"/>
        <v>0</v>
      </c>
      <c r="T3293" s="128">
        <f t="shared" si="178"/>
        <v>0</v>
      </c>
      <c r="U3293" s="129" t="str">
        <f>IFERROR(IF(#REF!="S",VLOOKUP('Raw Data'!A3293,References!#REF!,2,FALSE),(VLOOKUP($S3293,References!$B$3:$C$7,2,FALSE))),"")</f>
        <v/>
      </c>
      <c r="W3293" s="74" t="str">
        <f>IFERROR(VLOOKUP($O3293,'Customer List'!$A$1:$J$488,10,FALSE),"")</f>
        <v/>
      </c>
    </row>
    <row r="3294" spans="18:23">
      <c r="R3294" s="127">
        <f t="shared" si="177"/>
        <v>0</v>
      </c>
      <c r="T3294" s="128">
        <f t="shared" si="178"/>
        <v>0</v>
      </c>
      <c r="U3294" s="129" t="str">
        <f>IFERROR(IF(#REF!="S",VLOOKUP('Raw Data'!A3294,References!#REF!,2,FALSE),(VLOOKUP($S3294,References!$B$3:$C$7,2,FALSE))),"")</f>
        <v/>
      </c>
      <c r="W3294" s="74" t="str">
        <f>IFERROR(VLOOKUP($O3294,'Customer List'!$A$1:$J$488,10,FALSE),"")</f>
        <v/>
      </c>
    </row>
    <row r="3295" spans="18:23">
      <c r="R3295" s="127">
        <f t="shared" si="177"/>
        <v>0</v>
      </c>
      <c r="T3295" s="128">
        <f t="shared" si="178"/>
        <v>0</v>
      </c>
      <c r="U3295" s="129" t="str">
        <f>IFERROR(IF(#REF!="S",VLOOKUP('Raw Data'!A3295,References!#REF!,2,FALSE),(VLOOKUP($S3295,References!$B$3:$C$7,2,FALSE))),"")</f>
        <v/>
      </c>
      <c r="W3295" s="74" t="str">
        <f>IFERROR(VLOOKUP($O3295,'Customer List'!$A$1:$J$488,10,FALSE),"")</f>
        <v/>
      </c>
    </row>
    <row r="3296" spans="18:23">
      <c r="R3296" s="127">
        <f t="shared" si="177"/>
        <v>0</v>
      </c>
      <c r="T3296" s="128">
        <f t="shared" si="178"/>
        <v>0</v>
      </c>
      <c r="U3296" s="129" t="str">
        <f>IFERROR(IF(#REF!="S",VLOOKUP('Raw Data'!A3296,References!#REF!,2,FALSE),(VLOOKUP($S3296,References!$B$3:$C$7,2,FALSE))),"")</f>
        <v/>
      </c>
      <c r="W3296" s="74" t="str">
        <f>IFERROR(VLOOKUP($O3296,'Customer List'!$A$1:$J$488,10,FALSE),"")</f>
        <v/>
      </c>
    </row>
    <row r="3297" spans="18:23">
      <c r="R3297" s="127">
        <f t="shared" si="177"/>
        <v>0</v>
      </c>
      <c r="T3297" s="128">
        <f t="shared" si="178"/>
        <v>0</v>
      </c>
      <c r="U3297" s="129" t="str">
        <f>IFERROR(IF(#REF!="S",VLOOKUP('Raw Data'!A3297,References!#REF!,2,FALSE),(VLOOKUP($S3297,References!$B$3:$C$7,2,FALSE))),"")</f>
        <v/>
      </c>
      <c r="W3297" s="74" t="str">
        <f>IFERROR(VLOOKUP($O3297,'Customer List'!$A$1:$J$488,10,FALSE),"")</f>
        <v/>
      </c>
    </row>
    <row r="3298" spans="18:23">
      <c r="R3298" s="127">
        <f t="shared" ref="R3298:R3361" si="179">L3298-K3298</f>
        <v>0</v>
      </c>
      <c r="T3298" s="128">
        <f t="shared" si="178"/>
        <v>0</v>
      </c>
      <c r="U3298" s="129" t="str">
        <f>IFERROR(IF(#REF!="S",VLOOKUP('Raw Data'!A3298,References!#REF!,2,FALSE),(VLOOKUP($S3298,References!$B$3:$C$7,2,FALSE))),"")</f>
        <v/>
      </c>
      <c r="W3298" s="74" t="str">
        <f>IFERROR(VLOOKUP($O3298,'Customer List'!$A$1:$J$488,10,FALSE),"")</f>
        <v/>
      </c>
    </row>
    <row r="3299" spans="18:23">
      <c r="R3299" s="127">
        <f t="shared" si="179"/>
        <v>0</v>
      </c>
      <c r="T3299" s="128">
        <f t="shared" si="178"/>
        <v>0</v>
      </c>
      <c r="U3299" s="129" t="str">
        <f>IFERROR(IF(#REF!="S",VLOOKUP('Raw Data'!A3299,References!#REF!,2,FALSE),(VLOOKUP($S3299,References!$B$3:$C$7,2,FALSE))),"")</f>
        <v/>
      </c>
      <c r="W3299" s="74" t="str">
        <f>IFERROR(VLOOKUP($O3299,'Customer List'!$A$1:$J$488,10,FALSE),"")</f>
        <v/>
      </c>
    </row>
    <row r="3300" spans="18:23">
      <c r="R3300" s="127">
        <f t="shared" si="179"/>
        <v>0</v>
      </c>
      <c r="T3300" s="128">
        <f t="shared" si="178"/>
        <v>0</v>
      </c>
      <c r="U3300" s="129" t="str">
        <f>IFERROR(IF(#REF!="S",VLOOKUP('Raw Data'!A3300,References!#REF!,2,FALSE),(VLOOKUP($S3300,References!$B$3:$C$7,2,FALSE))),"")</f>
        <v/>
      </c>
      <c r="W3300" s="74" t="str">
        <f>IFERROR(VLOOKUP($O3300,'Customer List'!$A$1:$J$488,10,FALSE),"")</f>
        <v/>
      </c>
    </row>
    <row r="3301" spans="18:23">
      <c r="R3301" s="127">
        <f t="shared" si="179"/>
        <v>0</v>
      </c>
      <c r="T3301" s="128">
        <f t="shared" si="178"/>
        <v>0</v>
      </c>
      <c r="U3301" s="129" t="str">
        <f>IFERROR(IF(#REF!="S",VLOOKUP('Raw Data'!A3301,References!#REF!,2,FALSE),(VLOOKUP($S3301,References!$B$3:$C$7,2,FALSE))),"")</f>
        <v/>
      </c>
      <c r="W3301" s="74" t="str">
        <f>IFERROR(VLOOKUP($O3301,'Customer List'!$A$1:$J$488,10,FALSE),"")</f>
        <v/>
      </c>
    </row>
    <row r="3302" spans="18:23">
      <c r="R3302" s="127">
        <f t="shared" si="179"/>
        <v>0</v>
      </c>
      <c r="T3302" s="128">
        <f t="shared" si="178"/>
        <v>0</v>
      </c>
      <c r="U3302" s="129" t="str">
        <f>IFERROR(IF(#REF!="S",VLOOKUP('Raw Data'!A3302,References!#REF!,2,FALSE),(VLOOKUP($S3302,References!$B$3:$C$7,2,FALSE))),"")</f>
        <v/>
      </c>
      <c r="W3302" s="74" t="str">
        <f>IFERROR(VLOOKUP($O3302,'Customer List'!$A$1:$J$488,10,FALSE),"")</f>
        <v/>
      </c>
    </row>
    <row r="3303" spans="18:23">
      <c r="R3303" s="127">
        <f t="shared" si="179"/>
        <v>0</v>
      </c>
      <c r="T3303" s="128">
        <f t="shared" si="178"/>
        <v>0</v>
      </c>
      <c r="U3303" s="129" t="str">
        <f>IFERROR(IF(#REF!="S",VLOOKUP('Raw Data'!A3303,References!#REF!,2,FALSE),(VLOOKUP($S3303,References!$B$3:$C$7,2,FALSE))),"")</f>
        <v/>
      </c>
      <c r="W3303" s="74" t="str">
        <f>IFERROR(VLOOKUP($O3303,'Customer List'!$A$1:$J$488,10,FALSE),"")</f>
        <v/>
      </c>
    </row>
    <row r="3304" spans="18:23">
      <c r="R3304" s="127">
        <f t="shared" si="179"/>
        <v>0</v>
      </c>
      <c r="T3304" s="128">
        <f t="shared" si="178"/>
        <v>0</v>
      </c>
      <c r="U3304" s="129" t="str">
        <f>IFERROR(IF(#REF!="S",VLOOKUP('Raw Data'!A3304,References!#REF!,2,FALSE),(VLOOKUP($S3304,References!$B$3:$C$7,2,FALSE))),"")</f>
        <v/>
      </c>
      <c r="W3304" s="74" t="str">
        <f>IFERROR(VLOOKUP($O3304,'Customer List'!$A$1:$J$488,10,FALSE),"")</f>
        <v/>
      </c>
    </row>
    <row r="3305" spans="18:23">
      <c r="R3305" s="127">
        <f t="shared" si="179"/>
        <v>0</v>
      </c>
      <c r="T3305" s="128">
        <f t="shared" si="178"/>
        <v>0</v>
      </c>
      <c r="U3305" s="129" t="str">
        <f>IFERROR(IF(#REF!="S",VLOOKUP('Raw Data'!A3305,References!#REF!,2,FALSE),(VLOOKUP($S3305,References!$B$3:$C$7,2,FALSE))),"")</f>
        <v/>
      </c>
      <c r="W3305" s="74" t="str">
        <f>IFERROR(VLOOKUP($O3305,'Customer List'!$A$1:$J$488,10,FALSE),"")</f>
        <v/>
      </c>
    </row>
    <row r="3306" spans="18:23">
      <c r="R3306" s="127">
        <f t="shared" si="179"/>
        <v>0</v>
      </c>
      <c r="T3306" s="128">
        <f t="shared" si="178"/>
        <v>0</v>
      </c>
      <c r="U3306" s="129" t="str">
        <f>IFERROR(IF(#REF!="S",VLOOKUP('Raw Data'!A3306,References!#REF!,2,FALSE),(VLOOKUP($S3306,References!$B$3:$C$7,2,FALSE))),"")</f>
        <v/>
      </c>
      <c r="W3306" s="74" t="str">
        <f>IFERROR(VLOOKUP($O3306,'Customer List'!$A$1:$J$488,10,FALSE),"")</f>
        <v/>
      </c>
    </row>
    <row r="3307" spans="18:23">
      <c r="R3307" s="127">
        <f t="shared" si="179"/>
        <v>0</v>
      </c>
      <c r="T3307" s="128">
        <f t="shared" si="178"/>
        <v>0</v>
      </c>
      <c r="U3307" s="129" t="str">
        <f>IFERROR(IF(#REF!="S",VLOOKUP('Raw Data'!A3307,References!#REF!,2,FALSE),(VLOOKUP($S3307,References!$B$3:$C$7,2,FALSE))),"")</f>
        <v/>
      </c>
      <c r="W3307" s="74" t="str">
        <f>IFERROR(VLOOKUP($O3307,'Customer List'!$A$1:$J$488,10,FALSE),"")</f>
        <v/>
      </c>
    </row>
    <row r="3308" spans="18:23">
      <c r="R3308" s="127">
        <f t="shared" si="179"/>
        <v>0</v>
      </c>
      <c r="T3308" s="128">
        <f t="shared" si="178"/>
        <v>0</v>
      </c>
      <c r="U3308" s="129" t="str">
        <f>IFERROR(IF(#REF!="S",VLOOKUP('Raw Data'!A3308,References!#REF!,2,FALSE),(VLOOKUP($S3308,References!$B$3:$C$7,2,FALSE))),"")</f>
        <v/>
      </c>
      <c r="W3308" s="74" t="str">
        <f>IFERROR(VLOOKUP($O3308,'Customer List'!$A$1:$J$488,10,FALSE),"")</f>
        <v/>
      </c>
    </row>
    <row r="3309" spans="18:23">
      <c r="R3309" s="127">
        <f t="shared" si="179"/>
        <v>0</v>
      </c>
      <c r="T3309" s="128">
        <f t="shared" si="178"/>
        <v>0</v>
      </c>
      <c r="U3309" s="129" t="str">
        <f>IFERROR(IF(#REF!="S",VLOOKUP('Raw Data'!A3309,References!#REF!,2,FALSE),(VLOOKUP($S3309,References!$B$3:$C$7,2,FALSE))),"")</f>
        <v/>
      </c>
      <c r="W3309" s="74" t="str">
        <f>IFERROR(VLOOKUP($O3309,'Customer List'!$A$1:$J$488,10,FALSE),"")</f>
        <v/>
      </c>
    </row>
    <row r="3310" spans="18:23">
      <c r="R3310" s="127">
        <f t="shared" si="179"/>
        <v>0</v>
      </c>
      <c r="T3310" s="128">
        <f t="shared" si="178"/>
        <v>0</v>
      </c>
      <c r="U3310" s="129" t="str">
        <f>IFERROR(IF(#REF!="S",VLOOKUP('Raw Data'!A3310,References!#REF!,2,FALSE),(VLOOKUP($S3310,References!$B$3:$C$7,2,FALSE))),"")</f>
        <v/>
      </c>
      <c r="W3310" s="74" t="str">
        <f>IFERROR(VLOOKUP($O3310,'Customer List'!$A$1:$J$488,10,FALSE),"")</f>
        <v/>
      </c>
    </row>
    <row r="3311" spans="18:23">
      <c r="R3311" s="127">
        <f t="shared" si="179"/>
        <v>0</v>
      </c>
      <c r="T3311" s="128">
        <f t="shared" si="178"/>
        <v>0</v>
      </c>
      <c r="U3311" s="129" t="str">
        <f>IFERROR(IF(#REF!="S",VLOOKUP('Raw Data'!A3311,References!#REF!,2,FALSE),(VLOOKUP($S3311,References!$B$3:$C$7,2,FALSE))),"")</f>
        <v/>
      </c>
      <c r="W3311" s="74" t="str">
        <f>IFERROR(VLOOKUP($O3311,'Customer List'!$A$1:$J$488,10,FALSE),"")</f>
        <v/>
      </c>
    </row>
    <row r="3312" spans="18:23">
      <c r="R3312" s="127">
        <f t="shared" si="179"/>
        <v>0</v>
      </c>
      <c r="T3312" s="128">
        <f t="shared" si="178"/>
        <v>0</v>
      </c>
      <c r="U3312" s="129" t="str">
        <f>IFERROR(IF(#REF!="S",VLOOKUP('Raw Data'!A3312,References!#REF!,2,FALSE),(VLOOKUP($S3312,References!$B$3:$C$7,2,FALSE))),"")</f>
        <v/>
      </c>
      <c r="W3312" s="74" t="str">
        <f>IFERROR(VLOOKUP($O3312,'Customer List'!$A$1:$J$488,10,FALSE),"")</f>
        <v/>
      </c>
    </row>
    <row r="3313" spans="18:23">
      <c r="R3313" s="127">
        <f t="shared" si="179"/>
        <v>0</v>
      </c>
      <c r="T3313" s="128">
        <f t="shared" si="178"/>
        <v>0</v>
      </c>
      <c r="U3313" s="129" t="str">
        <f>IFERROR(IF(#REF!="S",VLOOKUP('Raw Data'!A3313,References!#REF!,2,FALSE),(VLOOKUP($S3313,References!$B$3:$C$7,2,FALSE))),"")</f>
        <v/>
      </c>
      <c r="W3313" s="74" t="str">
        <f>IFERROR(VLOOKUP($O3313,'Customer List'!$A$1:$J$488,10,FALSE),"")</f>
        <v/>
      </c>
    </row>
    <row r="3314" spans="18:23">
      <c r="R3314" s="127">
        <f t="shared" si="179"/>
        <v>0</v>
      </c>
      <c r="T3314" s="128">
        <f t="shared" si="178"/>
        <v>0</v>
      </c>
      <c r="U3314" s="129" t="str">
        <f>IFERROR(IF(#REF!="S",VLOOKUP('Raw Data'!A3314,References!#REF!,2,FALSE),(VLOOKUP($S3314,References!$B$3:$C$7,2,FALSE))),"")</f>
        <v/>
      </c>
      <c r="W3314" s="74" t="str">
        <f>IFERROR(VLOOKUP($O3314,'Customer List'!$A$1:$J$488,10,FALSE),"")</f>
        <v/>
      </c>
    </row>
    <row r="3315" spans="18:23">
      <c r="R3315" s="127">
        <f t="shared" si="179"/>
        <v>0</v>
      </c>
      <c r="T3315" s="128">
        <f t="shared" si="178"/>
        <v>0</v>
      </c>
      <c r="U3315" s="129" t="str">
        <f>IFERROR(IF(#REF!="S",VLOOKUP('Raw Data'!A3315,References!#REF!,2,FALSE),(VLOOKUP($S3315,References!$B$3:$C$7,2,FALSE))),"")</f>
        <v/>
      </c>
      <c r="W3315" s="74" t="str">
        <f>IFERROR(VLOOKUP($O3315,'Customer List'!$A$1:$J$488,10,FALSE),"")</f>
        <v/>
      </c>
    </row>
    <row r="3316" spans="18:23">
      <c r="R3316" s="127">
        <f t="shared" si="179"/>
        <v>0</v>
      </c>
      <c r="T3316" s="128">
        <f t="shared" si="178"/>
        <v>0</v>
      </c>
      <c r="U3316" s="129" t="str">
        <f>IFERROR(IF(#REF!="S",VLOOKUP('Raw Data'!A3316,References!#REF!,2,FALSE),(VLOOKUP($S3316,References!$B$3:$C$7,2,FALSE))),"")</f>
        <v/>
      </c>
      <c r="W3316" s="74" t="str">
        <f>IFERROR(VLOOKUP($O3316,'Customer List'!$A$1:$J$488,10,FALSE),"")</f>
        <v/>
      </c>
    </row>
    <row r="3317" spans="18:23">
      <c r="R3317" s="127">
        <f t="shared" si="179"/>
        <v>0</v>
      </c>
      <c r="T3317" s="128">
        <f t="shared" si="178"/>
        <v>0</v>
      </c>
      <c r="U3317" s="129" t="str">
        <f>IFERROR(IF(#REF!="S",VLOOKUP('Raw Data'!A3317,References!#REF!,2,FALSE),(VLOOKUP($S3317,References!$B$3:$C$7,2,FALSE))),"")</f>
        <v/>
      </c>
      <c r="W3317" s="74" t="str">
        <f>IFERROR(VLOOKUP($O3317,'Customer List'!$A$1:$J$488,10,FALSE),"")</f>
        <v/>
      </c>
    </row>
    <row r="3318" spans="18:23">
      <c r="R3318" s="127">
        <f t="shared" si="179"/>
        <v>0</v>
      </c>
      <c r="T3318" s="128">
        <f t="shared" si="178"/>
        <v>0</v>
      </c>
      <c r="U3318" s="129" t="str">
        <f>IFERROR(IF(#REF!="S",VLOOKUP('Raw Data'!A3318,References!#REF!,2,FALSE),(VLOOKUP($S3318,References!$B$3:$C$7,2,FALSE))),"")</f>
        <v/>
      </c>
      <c r="W3318" s="74" t="str">
        <f>IFERROR(VLOOKUP($O3318,'Customer List'!$A$1:$J$488,10,FALSE),"")</f>
        <v/>
      </c>
    </row>
    <row r="3319" spans="18:23">
      <c r="R3319" s="127">
        <f t="shared" si="179"/>
        <v>0</v>
      </c>
      <c r="T3319" s="128">
        <f t="shared" si="178"/>
        <v>0</v>
      </c>
      <c r="U3319" s="129" t="str">
        <f>IFERROR(IF(#REF!="S",VLOOKUP('Raw Data'!A3319,References!#REF!,2,FALSE),(VLOOKUP($S3319,References!$B$3:$C$7,2,FALSE))),"")</f>
        <v/>
      </c>
      <c r="W3319" s="74" t="str">
        <f>IFERROR(VLOOKUP($O3319,'Customer List'!$A$1:$J$488,10,FALSE),"")</f>
        <v/>
      </c>
    </row>
    <row r="3320" spans="18:23">
      <c r="R3320" s="127">
        <f t="shared" si="179"/>
        <v>0</v>
      </c>
      <c r="T3320" s="128">
        <f t="shared" si="178"/>
        <v>0</v>
      </c>
      <c r="U3320" s="129" t="str">
        <f>IFERROR(IF(#REF!="S",VLOOKUP('Raw Data'!A3320,References!#REF!,2,FALSE),(VLOOKUP($S3320,References!$B$3:$C$7,2,FALSE))),"")</f>
        <v/>
      </c>
      <c r="W3320" s="74" t="str">
        <f>IFERROR(VLOOKUP($O3320,'Customer List'!$A$1:$J$488,10,FALSE),"")</f>
        <v/>
      </c>
    </row>
    <row r="3321" spans="18:23">
      <c r="R3321" s="127">
        <f t="shared" si="179"/>
        <v>0</v>
      </c>
      <c r="T3321" s="128">
        <f t="shared" si="178"/>
        <v>0</v>
      </c>
      <c r="U3321" s="129" t="str">
        <f>IFERROR(IF(#REF!="S",VLOOKUP('Raw Data'!A3321,References!#REF!,2,FALSE),(VLOOKUP($S3321,References!$B$3:$C$7,2,FALSE))),"")</f>
        <v/>
      </c>
      <c r="W3321" s="74" t="str">
        <f>IFERROR(VLOOKUP($O3321,'Customer List'!$A$1:$J$488,10,FALSE),"")</f>
        <v/>
      </c>
    </row>
    <row r="3322" spans="18:23">
      <c r="R3322" s="127">
        <f t="shared" si="179"/>
        <v>0</v>
      </c>
      <c r="T3322" s="128">
        <f t="shared" si="178"/>
        <v>0</v>
      </c>
      <c r="U3322" s="129" t="str">
        <f>IFERROR(IF(#REF!="S",VLOOKUP('Raw Data'!A3322,References!#REF!,2,FALSE),(VLOOKUP($S3322,References!$B$3:$C$7,2,FALSE))),"")</f>
        <v/>
      </c>
      <c r="W3322" s="74" t="str">
        <f>IFERROR(VLOOKUP($O3322,'Customer List'!$A$1:$J$488,10,FALSE),"")</f>
        <v/>
      </c>
    </row>
    <row r="3323" spans="18:23">
      <c r="R3323" s="127">
        <f t="shared" si="179"/>
        <v>0</v>
      </c>
      <c r="T3323" s="128">
        <f t="shared" si="178"/>
        <v>0</v>
      </c>
      <c r="U3323" s="129" t="str">
        <f>IFERROR(IF(#REF!="S",VLOOKUP('Raw Data'!A3323,References!#REF!,2,FALSE),(VLOOKUP($S3323,References!$B$3:$C$7,2,FALSE))),"")</f>
        <v/>
      </c>
      <c r="W3323" s="74" t="str">
        <f>IFERROR(VLOOKUP($O3323,'Customer List'!$A$1:$J$488,10,FALSE),"")</f>
        <v/>
      </c>
    </row>
    <row r="3324" spans="18:23">
      <c r="R3324" s="127">
        <f t="shared" si="179"/>
        <v>0</v>
      </c>
      <c r="T3324" s="128">
        <f t="shared" si="178"/>
        <v>0</v>
      </c>
      <c r="U3324" s="129" t="str">
        <f>IFERROR(IF(#REF!="S",VLOOKUP('Raw Data'!A3324,References!#REF!,2,FALSE),(VLOOKUP($S3324,References!$B$3:$C$7,2,FALSE))),"")</f>
        <v/>
      </c>
      <c r="W3324" s="74" t="str">
        <f>IFERROR(VLOOKUP($O3324,'Customer List'!$A$1:$J$488,10,FALSE),"")</f>
        <v/>
      </c>
    </row>
    <row r="3325" spans="18:23">
      <c r="R3325" s="127">
        <f t="shared" si="179"/>
        <v>0</v>
      </c>
      <c r="T3325" s="128">
        <f t="shared" si="178"/>
        <v>0</v>
      </c>
      <c r="U3325" s="129" t="str">
        <f>IFERROR(IF(#REF!="S",VLOOKUP('Raw Data'!A3325,References!#REF!,2,FALSE),(VLOOKUP($S3325,References!$B$3:$C$7,2,FALSE))),"")</f>
        <v/>
      </c>
      <c r="W3325" s="74" t="str">
        <f>IFERROR(VLOOKUP($O3325,'Customer List'!$A$1:$J$488,10,FALSE),"")</f>
        <v/>
      </c>
    </row>
    <row r="3326" spans="18:23">
      <c r="R3326" s="127">
        <f t="shared" si="179"/>
        <v>0</v>
      </c>
      <c r="T3326" s="128">
        <f t="shared" si="178"/>
        <v>0</v>
      </c>
      <c r="U3326" s="129" t="str">
        <f>IFERROR(IF(#REF!="S",VLOOKUP('Raw Data'!A3326,References!#REF!,2,FALSE),(VLOOKUP($S3326,References!$B$3:$C$7,2,FALSE))),"")</f>
        <v/>
      </c>
      <c r="W3326" s="74" t="str">
        <f>IFERROR(VLOOKUP($O3326,'Customer List'!$A$1:$J$488,10,FALSE),"")</f>
        <v/>
      </c>
    </row>
    <row r="3327" spans="18:23">
      <c r="R3327" s="127">
        <f t="shared" si="179"/>
        <v>0</v>
      </c>
      <c r="T3327" s="128">
        <f t="shared" si="178"/>
        <v>0</v>
      </c>
      <c r="U3327" s="129" t="str">
        <f>IFERROR(IF(#REF!="S",VLOOKUP('Raw Data'!A3327,References!#REF!,2,FALSE),(VLOOKUP($S3327,References!$B$3:$C$7,2,FALSE))),"")</f>
        <v/>
      </c>
      <c r="W3327" s="74" t="str">
        <f>IFERROR(VLOOKUP($O3327,'Customer List'!$A$1:$J$488,10,FALSE),"")</f>
        <v/>
      </c>
    </row>
    <row r="3328" spans="18:23">
      <c r="R3328" s="127">
        <f t="shared" si="179"/>
        <v>0</v>
      </c>
      <c r="T3328" s="128">
        <f t="shared" si="178"/>
        <v>0</v>
      </c>
      <c r="U3328" s="129" t="str">
        <f>IFERROR(IF(#REF!="S",VLOOKUP('Raw Data'!A3328,References!#REF!,2,FALSE),(VLOOKUP($S3328,References!$B$3:$C$7,2,FALSE))),"")</f>
        <v/>
      </c>
      <c r="W3328" s="74" t="str">
        <f>IFERROR(VLOOKUP($O3328,'Customer List'!$A$1:$J$488,10,FALSE),"")</f>
        <v/>
      </c>
    </row>
    <row r="3329" spans="18:23">
      <c r="R3329" s="127">
        <f t="shared" si="179"/>
        <v>0</v>
      </c>
      <c r="T3329" s="128">
        <f t="shared" si="178"/>
        <v>0</v>
      </c>
      <c r="U3329" s="129" t="str">
        <f>IFERROR(IF(#REF!="S",VLOOKUP('Raw Data'!A3329,References!#REF!,2,FALSE),(VLOOKUP($S3329,References!$B$3:$C$7,2,FALSE))),"")</f>
        <v/>
      </c>
      <c r="W3329" s="74" t="str">
        <f>IFERROR(VLOOKUP($O3329,'Customer List'!$A$1:$J$488,10,FALSE),"")</f>
        <v/>
      </c>
    </row>
    <row r="3330" spans="18:23">
      <c r="R3330" s="127">
        <f t="shared" si="179"/>
        <v>0</v>
      </c>
      <c r="T3330" s="128">
        <f t="shared" si="178"/>
        <v>0</v>
      </c>
      <c r="U3330" s="129" t="str">
        <f>IFERROR(IF(#REF!="S",VLOOKUP('Raw Data'!A3330,References!#REF!,2,FALSE),(VLOOKUP($S3330,References!$B$3:$C$7,2,FALSE))),"")</f>
        <v/>
      </c>
      <c r="W3330" s="74" t="str">
        <f>IFERROR(VLOOKUP($O3330,'Customer List'!$A$1:$J$488,10,FALSE),"")</f>
        <v/>
      </c>
    </row>
    <row r="3331" spans="18:23">
      <c r="R3331" s="127">
        <f t="shared" si="179"/>
        <v>0</v>
      </c>
      <c r="T3331" s="128">
        <f t="shared" si="178"/>
        <v>0</v>
      </c>
      <c r="U3331" s="129" t="str">
        <f>IFERROR(IF(#REF!="S",VLOOKUP('Raw Data'!A3331,References!#REF!,2,FALSE),(VLOOKUP($S3331,References!$B$3:$C$7,2,FALSE))),"")</f>
        <v/>
      </c>
      <c r="W3331" s="74" t="str">
        <f>IFERROR(VLOOKUP($O3331,'Customer List'!$A$1:$J$488,10,FALSE),"")</f>
        <v/>
      </c>
    </row>
    <row r="3332" spans="18:23">
      <c r="R3332" s="127">
        <f t="shared" si="179"/>
        <v>0</v>
      </c>
      <c r="T3332" s="128">
        <f t="shared" si="178"/>
        <v>0</v>
      </c>
      <c r="U3332" s="129" t="str">
        <f>IFERROR(IF(#REF!="S",VLOOKUP('Raw Data'!A3332,References!#REF!,2,FALSE),(VLOOKUP($S3332,References!$B$3:$C$7,2,FALSE))),"")</f>
        <v/>
      </c>
      <c r="W3332" s="74" t="str">
        <f>IFERROR(VLOOKUP($O3332,'Customer List'!$A$1:$J$488,10,FALSE),"")</f>
        <v/>
      </c>
    </row>
    <row r="3333" spans="18:23">
      <c r="R3333" s="127">
        <f t="shared" si="179"/>
        <v>0</v>
      </c>
      <c r="T3333" s="128">
        <f t="shared" si="178"/>
        <v>0</v>
      </c>
      <c r="U3333" s="129" t="str">
        <f>IFERROR(IF(#REF!="S",VLOOKUP('Raw Data'!A3333,References!#REF!,2,FALSE),(VLOOKUP($S3333,References!$B$3:$C$7,2,FALSE))),"")</f>
        <v/>
      </c>
      <c r="W3333" s="74" t="str">
        <f>IFERROR(VLOOKUP($O3333,'Customer List'!$A$1:$J$488,10,FALSE),"")</f>
        <v/>
      </c>
    </row>
    <row r="3334" spans="18:23">
      <c r="R3334" s="127">
        <f t="shared" si="179"/>
        <v>0</v>
      </c>
      <c r="T3334" s="128">
        <f t="shared" si="178"/>
        <v>0</v>
      </c>
      <c r="U3334" s="129" t="str">
        <f>IFERROR(IF(#REF!="S",VLOOKUP('Raw Data'!A3334,References!#REF!,2,FALSE),(VLOOKUP($S3334,References!$B$3:$C$7,2,FALSE))),"")</f>
        <v/>
      </c>
      <c r="W3334" s="74" t="str">
        <f>IFERROR(VLOOKUP($O3334,'Customer List'!$A$1:$J$488,10,FALSE),"")</f>
        <v/>
      </c>
    </row>
    <row r="3335" spans="18:23">
      <c r="R3335" s="127">
        <f t="shared" si="179"/>
        <v>0</v>
      </c>
      <c r="T3335" s="128">
        <f t="shared" si="178"/>
        <v>0</v>
      </c>
      <c r="U3335" s="129" t="str">
        <f>IFERROR(IF(#REF!="S",VLOOKUP('Raw Data'!A3335,References!#REF!,2,FALSE),(VLOOKUP($S3335,References!$B$3:$C$7,2,FALSE))),"")</f>
        <v/>
      </c>
      <c r="W3335" s="74" t="str">
        <f>IFERROR(VLOOKUP($O3335,'Customer List'!$A$1:$J$488,10,FALSE),"")</f>
        <v/>
      </c>
    </row>
    <row r="3336" spans="18:23">
      <c r="R3336" s="127">
        <f t="shared" si="179"/>
        <v>0</v>
      </c>
      <c r="T3336" s="128">
        <f t="shared" si="178"/>
        <v>0</v>
      </c>
      <c r="U3336" s="129" t="str">
        <f>IFERROR(IF(#REF!="S",VLOOKUP('Raw Data'!A3336,References!#REF!,2,FALSE),(VLOOKUP($S3336,References!$B$3:$C$7,2,FALSE))),"")</f>
        <v/>
      </c>
      <c r="W3336" s="74" t="str">
        <f>IFERROR(VLOOKUP($O3336,'Customer List'!$A$1:$J$488,10,FALSE),"")</f>
        <v/>
      </c>
    </row>
    <row r="3337" spans="18:23">
      <c r="R3337" s="127">
        <f t="shared" si="179"/>
        <v>0</v>
      </c>
      <c r="T3337" s="128">
        <f t="shared" si="178"/>
        <v>0</v>
      </c>
      <c r="U3337" s="129" t="str">
        <f>IFERROR(IF(#REF!="S",VLOOKUP('Raw Data'!A3337,References!#REF!,2,FALSE),(VLOOKUP($S3337,References!$B$3:$C$7,2,FALSE))),"")</f>
        <v/>
      </c>
      <c r="W3337" s="74" t="str">
        <f>IFERROR(VLOOKUP($O3337,'Customer List'!$A$1:$J$488,10,FALSE),"")</f>
        <v/>
      </c>
    </row>
    <row r="3338" spans="18:23">
      <c r="R3338" s="127">
        <f t="shared" si="179"/>
        <v>0</v>
      </c>
      <c r="T3338" s="128">
        <f t="shared" ref="T3338:T3401" si="180">IF(S3338="50 - Cleaning Fee",1,HOUR($R3338)+MINUTE(R3338)/60)</f>
        <v>0</v>
      </c>
      <c r="U3338" s="129" t="str">
        <f>IFERROR(IF(#REF!="S",VLOOKUP('Raw Data'!A3338,References!#REF!,2,FALSE),(VLOOKUP($S3338,References!$B$3:$C$7,2,FALSE))),"")</f>
        <v/>
      </c>
      <c r="W3338" s="74" t="str">
        <f>IFERROR(VLOOKUP($O3338,'Customer List'!$A$1:$J$488,10,FALSE),"")</f>
        <v/>
      </c>
    </row>
    <row r="3339" spans="18:23">
      <c r="R3339" s="127">
        <f t="shared" si="179"/>
        <v>0</v>
      </c>
      <c r="T3339" s="128">
        <f t="shared" si="180"/>
        <v>0</v>
      </c>
      <c r="U3339" s="129" t="str">
        <f>IFERROR(IF(#REF!="S",VLOOKUP('Raw Data'!A3339,References!#REF!,2,FALSE),(VLOOKUP($S3339,References!$B$3:$C$7,2,FALSE))),"")</f>
        <v/>
      </c>
      <c r="W3339" s="74" t="str">
        <f>IFERROR(VLOOKUP($O3339,'Customer List'!$A$1:$J$488,10,FALSE),"")</f>
        <v/>
      </c>
    </row>
    <row r="3340" spans="18:23">
      <c r="R3340" s="127">
        <f t="shared" si="179"/>
        <v>0</v>
      </c>
      <c r="T3340" s="128">
        <f t="shared" si="180"/>
        <v>0</v>
      </c>
      <c r="U3340" s="129" t="str">
        <f>IFERROR(IF(#REF!="S",VLOOKUP('Raw Data'!A3340,References!#REF!,2,FALSE),(VLOOKUP($S3340,References!$B$3:$C$7,2,FALSE))),"")</f>
        <v/>
      </c>
      <c r="W3340" s="74" t="str">
        <f>IFERROR(VLOOKUP($O3340,'Customer List'!$A$1:$J$488,10,FALSE),"")</f>
        <v/>
      </c>
    </row>
    <row r="3341" spans="18:23">
      <c r="R3341" s="127">
        <f t="shared" si="179"/>
        <v>0</v>
      </c>
      <c r="T3341" s="128">
        <f t="shared" si="180"/>
        <v>0</v>
      </c>
      <c r="U3341" s="129" t="str">
        <f>IFERROR(IF(#REF!="S",VLOOKUP('Raw Data'!A3341,References!#REF!,2,FALSE),(VLOOKUP($S3341,References!$B$3:$C$7,2,FALSE))),"")</f>
        <v/>
      </c>
      <c r="W3341" s="74" t="str">
        <f>IFERROR(VLOOKUP($O3341,'Customer List'!$A$1:$J$488,10,FALSE),"")</f>
        <v/>
      </c>
    </row>
    <row r="3342" spans="18:23">
      <c r="R3342" s="127">
        <f t="shared" si="179"/>
        <v>0</v>
      </c>
      <c r="T3342" s="128">
        <f t="shared" si="180"/>
        <v>0</v>
      </c>
      <c r="U3342" s="129" t="str">
        <f>IFERROR(IF(#REF!="S",VLOOKUP('Raw Data'!A3342,References!#REF!,2,FALSE),(VLOOKUP($S3342,References!$B$3:$C$7,2,FALSE))),"")</f>
        <v/>
      </c>
      <c r="W3342" s="74" t="str">
        <f>IFERROR(VLOOKUP($O3342,'Customer List'!$A$1:$J$488,10,FALSE),"")</f>
        <v/>
      </c>
    </row>
    <row r="3343" spans="18:23">
      <c r="R3343" s="127">
        <f t="shared" si="179"/>
        <v>0</v>
      </c>
      <c r="T3343" s="128">
        <f t="shared" si="180"/>
        <v>0</v>
      </c>
      <c r="U3343" s="129" t="str">
        <f>IFERROR(IF(#REF!="S",VLOOKUP('Raw Data'!A3343,References!#REF!,2,FALSE),(VLOOKUP($S3343,References!$B$3:$C$7,2,FALSE))),"")</f>
        <v/>
      </c>
      <c r="W3343" s="74" t="str">
        <f>IFERROR(VLOOKUP($O3343,'Customer List'!$A$1:$J$488,10,FALSE),"")</f>
        <v/>
      </c>
    </row>
    <row r="3344" spans="18:23">
      <c r="R3344" s="127">
        <f t="shared" si="179"/>
        <v>0</v>
      </c>
      <c r="T3344" s="128">
        <f t="shared" si="180"/>
        <v>0</v>
      </c>
      <c r="U3344" s="129" t="str">
        <f>IFERROR(IF(#REF!="S",VLOOKUP('Raw Data'!A3344,References!#REF!,2,FALSE),(VLOOKUP($S3344,References!$B$3:$C$7,2,FALSE))),"")</f>
        <v/>
      </c>
      <c r="W3344" s="74" t="str">
        <f>IFERROR(VLOOKUP($O3344,'Customer List'!$A$1:$J$488,10,FALSE),"")</f>
        <v/>
      </c>
    </row>
    <row r="3345" spans="18:23">
      <c r="R3345" s="127">
        <f t="shared" si="179"/>
        <v>0</v>
      </c>
      <c r="T3345" s="128">
        <f t="shared" si="180"/>
        <v>0</v>
      </c>
      <c r="U3345" s="129" t="str">
        <f>IFERROR(IF(#REF!="S",VLOOKUP('Raw Data'!A3345,References!#REF!,2,FALSE),(VLOOKUP($S3345,References!$B$3:$C$7,2,FALSE))),"")</f>
        <v/>
      </c>
      <c r="W3345" s="74" t="str">
        <f>IFERROR(VLOOKUP($O3345,'Customer List'!$A$1:$J$488,10,FALSE),"")</f>
        <v/>
      </c>
    </row>
    <row r="3346" spans="18:23">
      <c r="R3346" s="127">
        <f t="shared" si="179"/>
        <v>0</v>
      </c>
      <c r="T3346" s="128">
        <f t="shared" si="180"/>
        <v>0</v>
      </c>
      <c r="U3346" s="129" t="str">
        <f>IFERROR(IF(#REF!="S",VLOOKUP('Raw Data'!A3346,References!#REF!,2,FALSE),(VLOOKUP($S3346,References!$B$3:$C$7,2,FALSE))),"")</f>
        <v/>
      </c>
      <c r="W3346" s="74" t="str">
        <f>IFERROR(VLOOKUP($O3346,'Customer List'!$A$1:$J$488,10,FALSE),"")</f>
        <v/>
      </c>
    </row>
    <row r="3347" spans="18:23">
      <c r="R3347" s="127">
        <f t="shared" si="179"/>
        <v>0</v>
      </c>
      <c r="T3347" s="128">
        <f t="shared" si="180"/>
        <v>0</v>
      </c>
      <c r="U3347" s="129" t="str">
        <f>IFERROR(IF(#REF!="S",VLOOKUP('Raw Data'!A3347,References!#REF!,2,FALSE),(VLOOKUP($S3347,References!$B$3:$C$7,2,FALSE))),"")</f>
        <v/>
      </c>
      <c r="W3347" s="74" t="str">
        <f>IFERROR(VLOOKUP($O3347,'Customer List'!$A$1:$J$488,10,FALSE),"")</f>
        <v/>
      </c>
    </row>
    <row r="3348" spans="18:23">
      <c r="R3348" s="127">
        <f t="shared" si="179"/>
        <v>0</v>
      </c>
      <c r="T3348" s="128">
        <f t="shared" si="180"/>
        <v>0</v>
      </c>
      <c r="U3348" s="129" t="str">
        <f>IFERROR(IF(#REF!="S",VLOOKUP('Raw Data'!A3348,References!#REF!,2,FALSE),(VLOOKUP($S3348,References!$B$3:$C$7,2,FALSE))),"")</f>
        <v/>
      </c>
      <c r="W3348" s="74" t="str">
        <f>IFERROR(VLOOKUP($O3348,'Customer List'!$A$1:$J$488,10,FALSE),"")</f>
        <v/>
      </c>
    </row>
    <row r="3349" spans="18:23">
      <c r="R3349" s="127">
        <f t="shared" si="179"/>
        <v>0</v>
      </c>
      <c r="T3349" s="128">
        <f t="shared" si="180"/>
        <v>0</v>
      </c>
      <c r="U3349" s="129" t="str">
        <f>IFERROR(IF(#REF!="S",VLOOKUP('Raw Data'!A3349,References!#REF!,2,FALSE),(VLOOKUP($S3349,References!$B$3:$C$7,2,FALSE))),"")</f>
        <v/>
      </c>
      <c r="W3349" s="74" t="str">
        <f>IFERROR(VLOOKUP($O3349,'Customer List'!$A$1:$J$488,10,FALSE),"")</f>
        <v/>
      </c>
    </row>
    <row r="3350" spans="18:23">
      <c r="R3350" s="127">
        <f t="shared" si="179"/>
        <v>0</v>
      </c>
      <c r="T3350" s="128">
        <f t="shared" si="180"/>
        <v>0</v>
      </c>
      <c r="U3350" s="129" t="str">
        <f>IFERROR(IF(#REF!="S",VLOOKUP('Raw Data'!A3350,References!#REF!,2,FALSE),(VLOOKUP($S3350,References!$B$3:$C$7,2,FALSE))),"")</f>
        <v/>
      </c>
      <c r="W3350" s="74" t="str">
        <f>IFERROR(VLOOKUP($O3350,'Customer List'!$A$1:$J$488,10,FALSE),"")</f>
        <v/>
      </c>
    </row>
    <row r="3351" spans="18:23">
      <c r="R3351" s="127">
        <f t="shared" si="179"/>
        <v>0</v>
      </c>
      <c r="T3351" s="128">
        <f t="shared" si="180"/>
        <v>0</v>
      </c>
      <c r="U3351" s="129" t="str">
        <f>IFERROR(IF(#REF!="S",VLOOKUP('Raw Data'!A3351,References!#REF!,2,FALSE),(VLOOKUP($S3351,References!$B$3:$C$7,2,FALSE))),"")</f>
        <v/>
      </c>
      <c r="W3351" s="74" t="str">
        <f>IFERROR(VLOOKUP($O3351,'Customer List'!$A$1:$J$488,10,FALSE),"")</f>
        <v/>
      </c>
    </row>
    <row r="3352" spans="18:23">
      <c r="R3352" s="127">
        <f t="shared" si="179"/>
        <v>0</v>
      </c>
      <c r="T3352" s="128">
        <f t="shared" si="180"/>
        <v>0</v>
      </c>
      <c r="U3352" s="129" t="str">
        <f>IFERROR(IF(#REF!="S",VLOOKUP('Raw Data'!A3352,References!#REF!,2,FALSE),(VLOOKUP($S3352,References!$B$3:$C$7,2,FALSE))),"")</f>
        <v/>
      </c>
      <c r="W3352" s="74" t="str">
        <f>IFERROR(VLOOKUP($O3352,'Customer List'!$A$1:$J$488,10,FALSE),"")</f>
        <v/>
      </c>
    </row>
    <row r="3353" spans="18:23">
      <c r="R3353" s="127">
        <f t="shared" si="179"/>
        <v>0</v>
      </c>
      <c r="T3353" s="128">
        <f t="shared" si="180"/>
        <v>0</v>
      </c>
      <c r="U3353" s="129" t="str">
        <f>IFERROR(IF(#REF!="S",VLOOKUP('Raw Data'!A3353,References!#REF!,2,FALSE),(VLOOKUP($S3353,References!$B$3:$C$7,2,FALSE))),"")</f>
        <v/>
      </c>
      <c r="W3353" s="74" t="str">
        <f>IFERROR(VLOOKUP($O3353,'Customer List'!$A$1:$J$488,10,FALSE),"")</f>
        <v/>
      </c>
    </row>
    <row r="3354" spans="18:23">
      <c r="R3354" s="127">
        <f t="shared" si="179"/>
        <v>0</v>
      </c>
      <c r="T3354" s="128">
        <f t="shared" si="180"/>
        <v>0</v>
      </c>
      <c r="U3354" s="129" t="str">
        <f>IFERROR(IF(#REF!="S",VLOOKUP('Raw Data'!A3354,References!#REF!,2,FALSE),(VLOOKUP($S3354,References!$B$3:$C$7,2,FALSE))),"")</f>
        <v/>
      </c>
      <c r="W3354" s="74" t="str">
        <f>IFERROR(VLOOKUP($O3354,'Customer List'!$A$1:$J$488,10,FALSE),"")</f>
        <v/>
      </c>
    </row>
    <row r="3355" spans="18:23">
      <c r="R3355" s="127">
        <f t="shared" si="179"/>
        <v>0</v>
      </c>
      <c r="T3355" s="128">
        <f t="shared" si="180"/>
        <v>0</v>
      </c>
      <c r="U3355" s="129" t="str">
        <f>IFERROR(IF(#REF!="S",VLOOKUP('Raw Data'!A3355,References!#REF!,2,FALSE),(VLOOKUP($S3355,References!$B$3:$C$7,2,FALSE))),"")</f>
        <v/>
      </c>
      <c r="W3355" s="74" t="str">
        <f>IFERROR(VLOOKUP($O3355,'Customer List'!$A$1:$J$488,10,FALSE),"")</f>
        <v/>
      </c>
    </row>
    <row r="3356" spans="18:23">
      <c r="R3356" s="127">
        <f t="shared" si="179"/>
        <v>0</v>
      </c>
      <c r="T3356" s="128">
        <f t="shared" si="180"/>
        <v>0</v>
      </c>
      <c r="U3356" s="129" t="str">
        <f>IFERROR(IF(#REF!="S",VLOOKUP('Raw Data'!A3356,References!#REF!,2,FALSE),(VLOOKUP($S3356,References!$B$3:$C$7,2,FALSE))),"")</f>
        <v/>
      </c>
      <c r="W3356" s="74" t="str">
        <f>IFERROR(VLOOKUP($O3356,'Customer List'!$A$1:$J$488,10,FALSE),"")</f>
        <v/>
      </c>
    </row>
    <row r="3357" spans="18:23">
      <c r="R3357" s="127">
        <f t="shared" si="179"/>
        <v>0</v>
      </c>
      <c r="T3357" s="128">
        <f t="shared" si="180"/>
        <v>0</v>
      </c>
      <c r="U3357" s="129" t="str">
        <f>IFERROR(IF(#REF!="S",VLOOKUP('Raw Data'!A3357,References!#REF!,2,FALSE),(VLOOKUP($S3357,References!$B$3:$C$7,2,FALSE))),"")</f>
        <v/>
      </c>
      <c r="W3357" s="74" t="str">
        <f>IFERROR(VLOOKUP($O3357,'Customer List'!$A$1:$J$488,10,FALSE),"")</f>
        <v/>
      </c>
    </row>
    <row r="3358" spans="18:23">
      <c r="R3358" s="127">
        <f t="shared" si="179"/>
        <v>0</v>
      </c>
      <c r="T3358" s="128">
        <f t="shared" si="180"/>
        <v>0</v>
      </c>
      <c r="U3358" s="129" t="str">
        <f>IFERROR(IF(#REF!="S",VLOOKUP('Raw Data'!A3358,References!#REF!,2,FALSE),(VLOOKUP($S3358,References!$B$3:$C$7,2,FALSE))),"")</f>
        <v/>
      </c>
      <c r="W3358" s="74" t="str">
        <f>IFERROR(VLOOKUP($O3358,'Customer List'!$A$1:$J$488,10,FALSE),"")</f>
        <v/>
      </c>
    </row>
    <row r="3359" spans="18:23">
      <c r="R3359" s="127">
        <f t="shared" si="179"/>
        <v>0</v>
      </c>
      <c r="T3359" s="128">
        <f t="shared" si="180"/>
        <v>0</v>
      </c>
      <c r="U3359" s="129" t="str">
        <f>IFERROR(IF(#REF!="S",VLOOKUP('Raw Data'!A3359,References!#REF!,2,FALSE),(VLOOKUP($S3359,References!$B$3:$C$7,2,FALSE))),"")</f>
        <v/>
      </c>
      <c r="W3359" s="74" t="str">
        <f>IFERROR(VLOOKUP($O3359,'Customer List'!$A$1:$J$488,10,FALSE),"")</f>
        <v/>
      </c>
    </row>
    <row r="3360" spans="18:23">
      <c r="R3360" s="127">
        <f t="shared" si="179"/>
        <v>0</v>
      </c>
      <c r="T3360" s="128">
        <f t="shared" si="180"/>
        <v>0</v>
      </c>
      <c r="U3360" s="129" t="str">
        <f>IFERROR(IF(#REF!="S",VLOOKUP('Raw Data'!A3360,References!#REF!,2,FALSE),(VLOOKUP($S3360,References!$B$3:$C$7,2,FALSE))),"")</f>
        <v/>
      </c>
      <c r="W3360" s="74" t="str">
        <f>IFERROR(VLOOKUP($O3360,'Customer List'!$A$1:$J$488,10,FALSE),"")</f>
        <v/>
      </c>
    </row>
    <row r="3361" spans="18:23">
      <c r="R3361" s="127">
        <f t="shared" si="179"/>
        <v>0</v>
      </c>
      <c r="T3361" s="128">
        <f t="shared" si="180"/>
        <v>0</v>
      </c>
      <c r="U3361" s="129" t="str">
        <f>IFERROR(IF(#REF!="S",VLOOKUP('Raw Data'!A3361,References!#REF!,2,FALSE),(VLOOKUP($S3361,References!$B$3:$C$7,2,FALSE))),"")</f>
        <v/>
      </c>
      <c r="W3361" s="74" t="str">
        <f>IFERROR(VLOOKUP($O3361,'Customer List'!$A$1:$J$488,10,FALSE),"")</f>
        <v/>
      </c>
    </row>
    <row r="3362" spans="18:23">
      <c r="R3362" s="127">
        <f t="shared" ref="R3362:R3425" si="181">L3362-K3362</f>
        <v>0</v>
      </c>
      <c r="T3362" s="128">
        <f t="shared" si="180"/>
        <v>0</v>
      </c>
      <c r="U3362" s="129" t="str">
        <f>IFERROR(IF(#REF!="S",VLOOKUP('Raw Data'!A3362,References!#REF!,2,FALSE),(VLOOKUP($S3362,References!$B$3:$C$7,2,FALSE))),"")</f>
        <v/>
      </c>
      <c r="W3362" s="74" t="str">
        <f>IFERROR(VLOOKUP($O3362,'Customer List'!$A$1:$J$488,10,FALSE),"")</f>
        <v/>
      </c>
    </row>
    <row r="3363" spans="18:23">
      <c r="R3363" s="127">
        <f t="shared" si="181"/>
        <v>0</v>
      </c>
      <c r="T3363" s="128">
        <f t="shared" si="180"/>
        <v>0</v>
      </c>
      <c r="U3363" s="129" t="str">
        <f>IFERROR(IF(#REF!="S",VLOOKUP('Raw Data'!A3363,References!#REF!,2,FALSE),(VLOOKUP($S3363,References!$B$3:$C$7,2,FALSE))),"")</f>
        <v/>
      </c>
      <c r="W3363" s="74" t="str">
        <f>IFERROR(VLOOKUP($O3363,'Customer List'!$A$1:$J$488,10,FALSE),"")</f>
        <v/>
      </c>
    </row>
    <row r="3364" spans="18:23">
      <c r="R3364" s="127">
        <f t="shared" si="181"/>
        <v>0</v>
      </c>
      <c r="T3364" s="128">
        <f t="shared" si="180"/>
        <v>0</v>
      </c>
      <c r="U3364" s="129" t="str">
        <f>IFERROR(IF(#REF!="S",VLOOKUP('Raw Data'!A3364,References!#REF!,2,FALSE),(VLOOKUP($S3364,References!$B$3:$C$7,2,FALSE))),"")</f>
        <v/>
      </c>
      <c r="W3364" s="74" t="str">
        <f>IFERROR(VLOOKUP($O3364,'Customer List'!$A$1:$J$488,10,FALSE),"")</f>
        <v/>
      </c>
    </row>
    <row r="3365" spans="18:23">
      <c r="R3365" s="127">
        <f t="shared" si="181"/>
        <v>0</v>
      </c>
      <c r="T3365" s="128">
        <f t="shared" si="180"/>
        <v>0</v>
      </c>
      <c r="U3365" s="129" t="str">
        <f>IFERROR(IF(#REF!="S",VLOOKUP('Raw Data'!A3365,References!#REF!,2,FALSE),(VLOOKUP($S3365,References!$B$3:$C$7,2,FALSE))),"")</f>
        <v/>
      </c>
      <c r="W3365" s="74" t="str">
        <f>IFERROR(VLOOKUP($O3365,'Customer List'!$A$1:$J$488,10,FALSE),"")</f>
        <v/>
      </c>
    </row>
    <row r="3366" spans="18:23">
      <c r="R3366" s="127">
        <f t="shared" si="181"/>
        <v>0</v>
      </c>
      <c r="T3366" s="128">
        <f t="shared" si="180"/>
        <v>0</v>
      </c>
      <c r="U3366" s="129" t="str">
        <f>IFERROR(IF(#REF!="S",VLOOKUP('Raw Data'!A3366,References!#REF!,2,FALSE),(VLOOKUP($S3366,References!$B$3:$C$7,2,FALSE))),"")</f>
        <v/>
      </c>
      <c r="W3366" s="74" t="str">
        <f>IFERROR(VLOOKUP($O3366,'Customer List'!$A$1:$J$488,10,FALSE),"")</f>
        <v/>
      </c>
    </row>
    <row r="3367" spans="18:23">
      <c r="R3367" s="127">
        <f t="shared" si="181"/>
        <v>0</v>
      </c>
      <c r="T3367" s="128">
        <f t="shared" si="180"/>
        <v>0</v>
      </c>
      <c r="U3367" s="129" t="str">
        <f>IFERROR(IF(#REF!="S",VLOOKUP('Raw Data'!A3367,References!#REF!,2,FALSE),(VLOOKUP($S3367,References!$B$3:$C$7,2,FALSE))),"")</f>
        <v/>
      </c>
      <c r="W3367" s="74" t="str">
        <f>IFERROR(VLOOKUP($O3367,'Customer List'!$A$1:$J$488,10,FALSE),"")</f>
        <v/>
      </c>
    </row>
    <row r="3368" spans="18:23">
      <c r="R3368" s="127">
        <f t="shared" si="181"/>
        <v>0</v>
      </c>
      <c r="T3368" s="128">
        <f t="shared" si="180"/>
        <v>0</v>
      </c>
      <c r="U3368" s="129" t="str">
        <f>IFERROR(IF(#REF!="S",VLOOKUP('Raw Data'!A3368,References!#REF!,2,FALSE),(VLOOKUP($S3368,References!$B$3:$C$7,2,FALSE))),"")</f>
        <v/>
      </c>
      <c r="W3368" s="74" t="str">
        <f>IFERROR(VLOOKUP($O3368,'Customer List'!$A$1:$J$488,10,FALSE),"")</f>
        <v/>
      </c>
    </row>
    <row r="3369" spans="18:23">
      <c r="R3369" s="127">
        <f t="shared" si="181"/>
        <v>0</v>
      </c>
      <c r="T3369" s="128">
        <f t="shared" si="180"/>
        <v>0</v>
      </c>
      <c r="U3369" s="129" t="str">
        <f>IFERROR(IF(#REF!="S",VLOOKUP('Raw Data'!A3369,References!#REF!,2,FALSE),(VLOOKUP($S3369,References!$B$3:$C$7,2,FALSE))),"")</f>
        <v/>
      </c>
      <c r="W3369" s="74" t="str">
        <f>IFERROR(VLOOKUP($O3369,'Customer List'!$A$1:$J$488,10,FALSE),"")</f>
        <v/>
      </c>
    </row>
    <row r="3370" spans="18:23">
      <c r="R3370" s="127">
        <f t="shared" si="181"/>
        <v>0</v>
      </c>
      <c r="T3370" s="128">
        <f t="shared" si="180"/>
        <v>0</v>
      </c>
      <c r="U3370" s="129" t="str">
        <f>IFERROR(IF(#REF!="S",VLOOKUP('Raw Data'!A3370,References!#REF!,2,FALSE),(VLOOKUP($S3370,References!$B$3:$C$7,2,FALSE))),"")</f>
        <v/>
      </c>
      <c r="W3370" s="74" t="str">
        <f>IFERROR(VLOOKUP($O3370,'Customer List'!$A$1:$J$488,10,FALSE),"")</f>
        <v/>
      </c>
    </row>
    <row r="3371" spans="18:23">
      <c r="R3371" s="127">
        <f t="shared" si="181"/>
        <v>0</v>
      </c>
      <c r="T3371" s="128">
        <f t="shared" si="180"/>
        <v>0</v>
      </c>
      <c r="U3371" s="129" t="str">
        <f>IFERROR(IF(#REF!="S",VLOOKUP('Raw Data'!A3371,References!#REF!,2,FALSE),(VLOOKUP($S3371,References!$B$3:$C$7,2,FALSE))),"")</f>
        <v/>
      </c>
      <c r="W3371" s="74" t="str">
        <f>IFERROR(VLOOKUP($O3371,'Customer List'!$A$1:$J$488,10,FALSE),"")</f>
        <v/>
      </c>
    </row>
    <row r="3372" spans="18:23">
      <c r="R3372" s="127">
        <f t="shared" si="181"/>
        <v>0</v>
      </c>
      <c r="T3372" s="128">
        <f t="shared" si="180"/>
        <v>0</v>
      </c>
      <c r="U3372" s="129" t="str">
        <f>IFERROR(IF(#REF!="S",VLOOKUP('Raw Data'!A3372,References!#REF!,2,FALSE),(VLOOKUP($S3372,References!$B$3:$C$7,2,FALSE))),"")</f>
        <v/>
      </c>
      <c r="W3372" s="74" t="str">
        <f>IFERROR(VLOOKUP($O3372,'Customer List'!$A$1:$J$488,10,FALSE),"")</f>
        <v/>
      </c>
    </row>
    <row r="3373" spans="18:23">
      <c r="R3373" s="127">
        <f t="shared" si="181"/>
        <v>0</v>
      </c>
      <c r="T3373" s="128">
        <f t="shared" si="180"/>
        <v>0</v>
      </c>
      <c r="U3373" s="129" t="str">
        <f>IFERROR(IF(#REF!="S",VLOOKUP('Raw Data'!A3373,References!#REF!,2,FALSE),(VLOOKUP($S3373,References!$B$3:$C$7,2,FALSE))),"")</f>
        <v/>
      </c>
      <c r="W3373" s="74" t="str">
        <f>IFERROR(VLOOKUP($O3373,'Customer List'!$A$1:$J$488,10,FALSE),"")</f>
        <v/>
      </c>
    </row>
    <row r="3374" spans="18:23">
      <c r="R3374" s="127">
        <f t="shared" si="181"/>
        <v>0</v>
      </c>
      <c r="T3374" s="128">
        <f t="shared" si="180"/>
        <v>0</v>
      </c>
      <c r="U3374" s="129" t="str">
        <f>IFERROR(IF(#REF!="S",VLOOKUP('Raw Data'!A3374,References!#REF!,2,FALSE),(VLOOKUP($S3374,References!$B$3:$C$7,2,FALSE))),"")</f>
        <v/>
      </c>
      <c r="W3374" s="74" t="str">
        <f>IFERROR(VLOOKUP($O3374,'Customer List'!$A$1:$J$488,10,FALSE),"")</f>
        <v/>
      </c>
    </row>
    <row r="3375" spans="18:23">
      <c r="R3375" s="127">
        <f t="shared" si="181"/>
        <v>0</v>
      </c>
      <c r="T3375" s="128">
        <f t="shared" si="180"/>
        <v>0</v>
      </c>
      <c r="U3375" s="129" t="str">
        <f>IFERROR(IF(#REF!="S",VLOOKUP('Raw Data'!A3375,References!#REF!,2,FALSE),(VLOOKUP($S3375,References!$B$3:$C$7,2,FALSE))),"")</f>
        <v/>
      </c>
      <c r="W3375" s="74" t="str">
        <f>IFERROR(VLOOKUP($O3375,'Customer List'!$A$1:$J$488,10,FALSE),"")</f>
        <v/>
      </c>
    </row>
    <row r="3376" spans="18:23">
      <c r="R3376" s="127">
        <f t="shared" si="181"/>
        <v>0</v>
      </c>
      <c r="T3376" s="128">
        <f t="shared" si="180"/>
        <v>0</v>
      </c>
      <c r="U3376" s="129" t="str">
        <f>IFERROR(IF(#REF!="S",VLOOKUP('Raw Data'!A3376,References!#REF!,2,FALSE),(VLOOKUP($S3376,References!$B$3:$C$7,2,FALSE))),"")</f>
        <v/>
      </c>
      <c r="W3376" s="74" t="str">
        <f>IFERROR(VLOOKUP($O3376,'Customer List'!$A$1:$J$488,10,FALSE),"")</f>
        <v/>
      </c>
    </row>
    <row r="3377" spans="18:23">
      <c r="R3377" s="127">
        <f t="shared" si="181"/>
        <v>0</v>
      </c>
      <c r="T3377" s="128">
        <f t="shared" si="180"/>
        <v>0</v>
      </c>
      <c r="U3377" s="129" t="str">
        <f>IFERROR(IF(#REF!="S",VLOOKUP('Raw Data'!A3377,References!#REF!,2,FALSE),(VLOOKUP($S3377,References!$B$3:$C$7,2,FALSE))),"")</f>
        <v/>
      </c>
      <c r="W3377" s="74" t="str">
        <f>IFERROR(VLOOKUP($O3377,'Customer List'!$A$1:$J$488,10,FALSE),"")</f>
        <v/>
      </c>
    </row>
    <row r="3378" spans="18:23">
      <c r="R3378" s="127">
        <f t="shared" si="181"/>
        <v>0</v>
      </c>
      <c r="T3378" s="128">
        <f t="shared" si="180"/>
        <v>0</v>
      </c>
      <c r="U3378" s="129" t="str">
        <f>IFERROR(IF(#REF!="S",VLOOKUP('Raw Data'!A3378,References!#REF!,2,FALSE),(VLOOKUP($S3378,References!$B$3:$C$7,2,FALSE))),"")</f>
        <v/>
      </c>
      <c r="W3378" s="74" t="str">
        <f>IFERROR(VLOOKUP($O3378,'Customer List'!$A$1:$J$488,10,FALSE),"")</f>
        <v/>
      </c>
    </row>
    <row r="3379" spans="18:23">
      <c r="R3379" s="127">
        <f t="shared" si="181"/>
        <v>0</v>
      </c>
      <c r="T3379" s="128">
        <f t="shared" si="180"/>
        <v>0</v>
      </c>
      <c r="U3379" s="129" t="str">
        <f>IFERROR(IF(#REF!="S",VLOOKUP('Raw Data'!A3379,References!#REF!,2,FALSE),(VLOOKUP($S3379,References!$B$3:$C$7,2,FALSE))),"")</f>
        <v/>
      </c>
      <c r="W3379" s="74" t="str">
        <f>IFERROR(VLOOKUP($O3379,'Customer List'!$A$1:$J$488,10,FALSE),"")</f>
        <v/>
      </c>
    </row>
    <row r="3380" spans="18:23">
      <c r="R3380" s="127">
        <f t="shared" si="181"/>
        <v>0</v>
      </c>
      <c r="T3380" s="128">
        <f t="shared" si="180"/>
        <v>0</v>
      </c>
      <c r="U3380" s="129" t="str">
        <f>IFERROR(IF(#REF!="S",VLOOKUP('Raw Data'!A3380,References!#REF!,2,FALSE),(VLOOKUP($S3380,References!$B$3:$C$7,2,FALSE))),"")</f>
        <v/>
      </c>
      <c r="W3380" s="74" t="str">
        <f>IFERROR(VLOOKUP($O3380,'Customer List'!$A$1:$J$488,10,FALSE),"")</f>
        <v/>
      </c>
    </row>
    <row r="3381" spans="18:23">
      <c r="R3381" s="127">
        <f t="shared" si="181"/>
        <v>0</v>
      </c>
      <c r="T3381" s="128">
        <f t="shared" si="180"/>
        <v>0</v>
      </c>
      <c r="U3381" s="129" t="str">
        <f>IFERROR(IF(#REF!="S",VLOOKUP('Raw Data'!A3381,References!#REF!,2,FALSE),(VLOOKUP($S3381,References!$B$3:$C$7,2,FALSE))),"")</f>
        <v/>
      </c>
      <c r="W3381" s="74" t="str">
        <f>IFERROR(VLOOKUP($O3381,'Customer List'!$A$1:$J$488,10,FALSE),"")</f>
        <v/>
      </c>
    </row>
    <row r="3382" spans="18:23">
      <c r="R3382" s="127">
        <f t="shared" si="181"/>
        <v>0</v>
      </c>
      <c r="T3382" s="128">
        <f t="shared" si="180"/>
        <v>0</v>
      </c>
      <c r="U3382" s="129" t="str">
        <f>IFERROR(IF(#REF!="S",VLOOKUP('Raw Data'!A3382,References!#REF!,2,FALSE),(VLOOKUP($S3382,References!$B$3:$C$7,2,FALSE))),"")</f>
        <v/>
      </c>
      <c r="W3382" s="74" t="str">
        <f>IFERROR(VLOOKUP($O3382,'Customer List'!$A$1:$J$488,10,FALSE),"")</f>
        <v/>
      </c>
    </row>
    <row r="3383" spans="18:23">
      <c r="R3383" s="127">
        <f t="shared" si="181"/>
        <v>0</v>
      </c>
      <c r="T3383" s="128">
        <f t="shared" si="180"/>
        <v>0</v>
      </c>
      <c r="U3383" s="129" t="str">
        <f>IFERROR(IF(#REF!="S",VLOOKUP('Raw Data'!A3383,References!#REF!,2,FALSE),(VLOOKUP($S3383,References!$B$3:$C$7,2,FALSE))),"")</f>
        <v/>
      </c>
      <c r="W3383" s="74" t="str">
        <f>IFERROR(VLOOKUP($O3383,'Customer List'!$A$1:$J$488,10,FALSE),"")</f>
        <v/>
      </c>
    </row>
    <row r="3384" spans="18:23">
      <c r="R3384" s="127">
        <f t="shared" si="181"/>
        <v>0</v>
      </c>
      <c r="T3384" s="128">
        <f t="shared" si="180"/>
        <v>0</v>
      </c>
      <c r="U3384" s="129" t="str">
        <f>IFERROR(IF(#REF!="S",VLOOKUP('Raw Data'!A3384,References!#REF!,2,FALSE),(VLOOKUP($S3384,References!$B$3:$C$7,2,FALSE))),"")</f>
        <v/>
      </c>
      <c r="W3384" s="74" t="str">
        <f>IFERROR(VLOOKUP($O3384,'Customer List'!$A$1:$J$488,10,FALSE),"")</f>
        <v/>
      </c>
    </row>
    <row r="3385" spans="18:23">
      <c r="R3385" s="127">
        <f t="shared" si="181"/>
        <v>0</v>
      </c>
      <c r="T3385" s="128">
        <f t="shared" si="180"/>
        <v>0</v>
      </c>
      <c r="U3385" s="129" t="str">
        <f>IFERROR(IF(#REF!="S",VLOOKUP('Raw Data'!A3385,References!#REF!,2,FALSE),(VLOOKUP($S3385,References!$B$3:$C$7,2,FALSE))),"")</f>
        <v/>
      </c>
      <c r="W3385" s="74" t="str">
        <f>IFERROR(VLOOKUP($O3385,'Customer List'!$A$1:$J$488,10,FALSE),"")</f>
        <v/>
      </c>
    </row>
    <row r="3386" spans="18:23">
      <c r="R3386" s="127">
        <f t="shared" si="181"/>
        <v>0</v>
      </c>
      <c r="T3386" s="128">
        <f t="shared" si="180"/>
        <v>0</v>
      </c>
      <c r="U3386" s="129" t="str">
        <f>IFERROR(IF(#REF!="S",VLOOKUP('Raw Data'!A3386,References!#REF!,2,FALSE),(VLOOKUP($S3386,References!$B$3:$C$7,2,FALSE))),"")</f>
        <v/>
      </c>
      <c r="W3386" s="74" t="str">
        <f>IFERROR(VLOOKUP($O3386,'Customer List'!$A$1:$J$488,10,FALSE),"")</f>
        <v/>
      </c>
    </row>
    <row r="3387" spans="18:23">
      <c r="R3387" s="127">
        <f t="shared" si="181"/>
        <v>0</v>
      </c>
      <c r="T3387" s="128">
        <f t="shared" si="180"/>
        <v>0</v>
      </c>
      <c r="U3387" s="129" t="str">
        <f>IFERROR(IF(#REF!="S",VLOOKUP('Raw Data'!A3387,References!#REF!,2,FALSE),(VLOOKUP($S3387,References!$B$3:$C$7,2,FALSE))),"")</f>
        <v/>
      </c>
      <c r="W3387" s="74" t="str">
        <f>IFERROR(VLOOKUP($O3387,'Customer List'!$A$1:$J$488,10,FALSE),"")</f>
        <v/>
      </c>
    </row>
    <row r="3388" spans="18:23">
      <c r="R3388" s="127">
        <f t="shared" si="181"/>
        <v>0</v>
      </c>
      <c r="T3388" s="128">
        <f t="shared" si="180"/>
        <v>0</v>
      </c>
      <c r="U3388" s="129" t="str">
        <f>IFERROR(IF(#REF!="S",VLOOKUP('Raw Data'!A3388,References!#REF!,2,FALSE),(VLOOKUP($S3388,References!$B$3:$C$7,2,FALSE))),"")</f>
        <v/>
      </c>
      <c r="W3388" s="74" t="str">
        <f>IFERROR(VLOOKUP($O3388,'Customer List'!$A$1:$J$488,10,FALSE),"")</f>
        <v/>
      </c>
    </row>
    <row r="3389" spans="18:23">
      <c r="R3389" s="127">
        <f t="shared" si="181"/>
        <v>0</v>
      </c>
      <c r="T3389" s="128">
        <f t="shared" si="180"/>
        <v>0</v>
      </c>
      <c r="U3389" s="129" t="str">
        <f>IFERROR(IF(#REF!="S",VLOOKUP('Raw Data'!A3389,References!#REF!,2,FALSE),(VLOOKUP($S3389,References!$B$3:$C$7,2,FALSE))),"")</f>
        <v/>
      </c>
      <c r="W3389" s="74" t="str">
        <f>IFERROR(VLOOKUP($O3389,'Customer List'!$A$1:$J$488,10,FALSE),"")</f>
        <v/>
      </c>
    </row>
    <row r="3390" spans="18:23">
      <c r="R3390" s="127">
        <f t="shared" si="181"/>
        <v>0</v>
      </c>
      <c r="T3390" s="128">
        <f t="shared" si="180"/>
        <v>0</v>
      </c>
      <c r="U3390" s="129" t="str">
        <f>IFERROR(IF(#REF!="S",VLOOKUP('Raw Data'!A3390,References!#REF!,2,FALSE),(VLOOKUP($S3390,References!$B$3:$C$7,2,FALSE))),"")</f>
        <v/>
      </c>
      <c r="W3390" s="74" t="str">
        <f>IFERROR(VLOOKUP($O3390,'Customer List'!$A$1:$J$488,10,FALSE),"")</f>
        <v/>
      </c>
    </row>
    <row r="3391" spans="18:23">
      <c r="R3391" s="127">
        <f t="shared" si="181"/>
        <v>0</v>
      </c>
      <c r="T3391" s="128">
        <f t="shared" si="180"/>
        <v>0</v>
      </c>
      <c r="U3391" s="129" t="str">
        <f>IFERROR(IF(#REF!="S",VLOOKUP('Raw Data'!A3391,References!#REF!,2,FALSE),(VLOOKUP($S3391,References!$B$3:$C$7,2,FALSE))),"")</f>
        <v/>
      </c>
      <c r="W3391" s="74" t="str">
        <f>IFERROR(VLOOKUP($O3391,'Customer List'!$A$1:$J$488,10,FALSE),"")</f>
        <v/>
      </c>
    </row>
    <row r="3392" spans="18:23">
      <c r="R3392" s="127">
        <f t="shared" si="181"/>
        <v>0</v>
      </c>
      <c r="T3392" s="128">
        <f t="shared" si="180"/>
        <v>0</v>
      </c>
      <c r="U3392" s="129" t="str">
        <f>IFERROR(IF(#REF!="S",VLOOKUP('Raw Data'!A3392,References!#REF!,2,FALSE),(VLOOKUP($S3392,References!$B$3:$C$7,2,FALSE))),"")</f>
        <v/>
      </c>
      <c r="W3392" s="74" t="str">
        <f>IFERROR(VLOOKUP($O3392,'Customer List'!$A$1:$J$488,10,FALSE),"")</f>
        <v/>
      </c>
    </row>
    <row r="3393" spans="18:23">
      <c r="R3393" s="127">
        <f t="shared" si="181"/>
        <v>0</v>
      </c>
      <c r="T3393" s="128">
        <f t="shared" si="180"/>
        <v>0</v>
      </c>
      <c r="U3393" s="129" t="str">
        <f>IFERROR(IF(#REF!="S",VLOOKUP('Raw Data'!A3393,References!#REF!,2,FALSE),(VLOOKUP($S3393,References!$B$3:$C$7,2,FALSE))),"")</f>
        <v/>
      </c>
      <c r="W3393" s="74" t="str">
        <f>IFERROR(VLOOKUP($O3393,'Customer List'!$A$1:$J$488,10,FALSE),"")</f>
        <v/>
      </c>
    </row>
    <row r="3394" spans="18:23">
      <c r="R3394" s="127">
        <f t="shared" si="181"/>
        <v>0</v>
      </c>
      <c r="T3394" s="128">
        <f t="shared" si="180"/>
        <v>0</v>
      </c>
      <c r="U3394" s="129" t="str">
        <f>IFERROR(IF(#REF!="S",VLOOKUP('Raw Data'!A3394,References!#REF!,2,FALSE),(VLOOKUP($S3394,References!$B$3:$C$7,2,FALSE))),"")</f>
        <v/>
      </c>
      <c r="W3394" s="74" t="str">
        <f>IFERROR(VLOOKUP($O3394,'Customer List'!$A$1:$J$488,10,FALSE),"")</f>
        <v/>
      </c>
    </row>
    <row r="3395" spans="18:23">
      <c r="R3395" s="127">
        <f t="shared" si="181"/>
        <v>0</v>
      </c>
      <c r="T3395" s="128">
        <f t="shared" si="180"/>
        <v>0</v>
      </c>
      <c r="U3395" s="129" t="str">
        <f>IFERROR(IF(#REF!="S",VLOOKUP('Raw Data'!A3395,References!#REF!,2,FALSE),(VLOOKUP($S3395,References!$B$3:$C$7,2,FALSE))),"")</f>
        <v/>
      </c>
      <c r="W3395" s="74" t="str">
        <f>IFERROR(VLOOKUP($O3395,'Customer List'!$A$1:$J$488,10,FALSE),"")</f>
        <v/>
      </c>
    </row>
    <row r="3396" spans="18:23">
      <c r="R3396" s="127">
        <f t="shared" si="181"/>
        <v>0</v>
      </c>
      <c r="T3396" s="128">
        <f t="shared" si="180"/>
        <v>0</v>
      </c>
      <c r="U3396" s="129" t="str">
        <f>IFERROR(IF(#REF!="S",VLOOKUP('Raw Data'!A3396,References!#REF!,2,FALSE),(VLOOKUP($S3396,References!$B$3:$C$7,2,FALSE))),"")</f>
        <v/>
      </c>
      <c r="W3396" s="74" t="str">
        <f>IFERROR(VLOOKUP($O3396,'Customer List'!$A$1:$J$488,10,FALSE),"")</f>
        <v/>
      </c>
    </row>
    <row r="3397" spans="18:23">
      <c r="R3397" s="127">
        <f t="shared" si="181"/>
        <v>0</v>
      </c>
      <c r="T3397" s="128">
        <f t="shared" si="180"/>
        <v>0</v>
      </c>
      <c r="U3397" s="129" t="str">
        <f>IFERROR(IF(#REF!="S",VLOOKUP('Raw Data'!A3397,References!#REF!,2,FALSE),(VLOOKUP($S3397,References!$B$3:$C$7,2,FALSE))),"")</f>
        <v/>
      </c>
      <c r="W3397" s="74" t="str">
        <f>IFERROR(VLOOKUP($O3397,'Customer List'!$A$1:$J$488,10,FALSE),"")</f>
        <v/>
      </c>
    </row>
    <row r="3398" spans="18:23">
      <c r="R3398" s="127">
        <f t="shared" si="181"/>
        <v>0</v>
      </c>
      <c r="T3398" s="128">
        <f t="shared" si="180"/>
        <v>0</v>
      </c>
      <c r="U3398" s="129" t="str">
        <f>IFERROR(IF(#REF!="S",VLOOKUP('Raw Data'!A3398,References!#REF!,2,FALSE),(VLOOKUP($S3398,References!$B$3:$C$7,2,FALSE))),"")</f>
        <v/>
      </c>
      <c r="W3398" s="74" t="str">
        <f>IFERROR(VLOOKUP($O3398,'Customer List'!$A$1:$J$488,10,FALSE),"")</f>
        <v/>
      </c>
    </row>
    <row r="3399" spans="18:23">
      <c r="R3399" s="127">
        <f t="shared" si="181"/>
        <v>0</v>
      </c>
      <c r="T3399" s="128">
        <f t="shared" si="180"/>
        <v>0</v>
      </c>
      <c r="U3399" s="129" t="str">
        <f>IFERROR(IF(#REF!="S",VLOOKUP('Raw Data'!A3399,References!#REF!,2,FALSE),(VLOOKUP($S3399,References!$B$3:$C$7,2,FALSE))),"")</f>
        <v/>
      </c>
      <c r="W3399" s="74" t="str">
        <f>IFERROR(VLOOKUP($O3399,'Customer List'!$A$1:$J$488,10,FALSE),"")</f>
        <v/>
      </c>
    </row>
    <row r="3400" spans="18:23">
      <c r="R3400" s="127">
        <f t="shared" si="181"/>
        <v>0</v>
      </c>
      <c r="T3400" s="128">
        <f t="shared" si="180"/>
        <v>0</v>
      </c>
      <c r="U3400" s="129" t="str">
        <f>IFERROR(IF(#REF!="S",VLOOKUP('Raw Data'!A3400,References!#REF!,2,FALSE),(VLOOKUP($S3400,References!$B$3:$C$7,2,FALSE))),"")</f>
        <v/>
      </c>
      <c r="W3400" s="74" t="str">
        <f>IFERROR(VLOOKUP($O3400,'Customer List'!$A$1:$J$488,10,FALSE),"")</f>
        <v/>
      </c>
    </row>
    <row r="3401" spans="18:23">
      <c r="R3401" s="127">
        <f t="shared" si="181"/>
        <v>0</v>
      </c>
      <c r="T3401" s="128">
        <f t="shared" si="180"/>
        <v>0</v>
      </c>
      <c r="U3401" s="129" t="str">
        <f>IFERROR(IF(#REF!="S",VLOOKUP('Raw Data'!A3401,References!#REF!,2,FALSE),(VLOOKUP($S3401,References!$B$3:$C$7,2,FALSE))),"")</f>
        <v/>
      </c>
      <c r="W3401" s="74" t="str">
        <f>IFERROR(VLOOKUP($O3401,'Customer List'!$A$1:$J$488,10,FALSE),"")</f>
        <v/>
      </c>
    </row>
    <row r="3402" spans="18:23">
      <c r="R3402" s="127">
        <f t="shared" si="181"/>
        <v>0</v>
      </c>
      <c r="T3402" s="128">
        <f t="shared" ref="T3402:T3465" si="182">IF(S3402="50 - Cleaning Fee",1,HOUR($R3402)+MINUTE(R3402)/60)</f>
        <v>0</v>
      </c>
      <c r="U3402" s="129" t="str">
        <f>IFERROR(IF(#REF!="S",VLOOKUP('Raw Data'!A3402,References!#REF!,2,FALSE),(VLOOKUP($S3402,References!$B$3:$C$7,2,FALSE))),"")</f>
        <v/>
      </c>
      <c r="W3402" s="74" t="str">
        <f>IFERROR(VLOOKUP($O3402,'Customer List'!$A$1:$J$488,10,FALSE),"")</f>
        <v/>
      </c>
    </row>
    <row r="3403" spans="18:23">
      <c r="R3403" s="127">
        <f t="shared" si="181"/>
        <v>0</v>
      </c>
      <c r="T3403" s="128">
        <f t="shared" si="182"/>
        <v>0</v>
      </c>
      <c r="U3403" s="129" t="str">
        <f>IFERROR(IF(#REF!="S",VLOOKUP('Raw Data'!A3403,References!#REF!,2,FALSE),(VLOOKUP($S3403,References!$B$3:$C$7,2,FALSE))),"")</f>
        <v/>
      </c>
      <c r="W3403" s="74" t="str">
        <f>IFERROR(VLOOKUP($O3403,'Customer List'!$A$1:$J$488,10,FALSE),"")</f>
        <v/>
      </c>
    </row>
    <row r="3404" spans="18:23">
      <c r="R3404" s="127">
        <f t="shared" si="181"/>
        <v>0</v>
      </c>
      <c r="T3404" s="128">
        <f t="shared" si="182"/>
        <v>0</v>
      </c>
      <c r="U3404" s="129" t="str">
        <f>IFERROR(IF(#REF!="S",VLOOKUP('Raw Data'!A3404,References!#REF!,2,FALSE),(VLOOKUP($S3404,References!$B$3:$C$7,2,FALSE))),"")</f>
        <v/>
      </c>
      <c r="W3404" s="74" t="str">
        <f>IFERROR(VLOOKUP($O3404,'Customer List'!$A$1:$J$488,10,FALSE),"")</f>
        <v/>
      </c>
    </row>
    <row r="3405" spans="18:23">
      <c r="R3405" s="127">
        <f t="shared" si="181"/>
        <v>0</v>
      </c>
      <c r="T3405" s="128">
        <f t="shared" si="182"/>
        <v>0</v>
      </c>
      <c r="U3405" s="129" t="str">
        <f>IFERROR(IF(#REF!="S",VLOOKUP('Raw Data'!A3405,References!#REF!,2,FALSE),(VLOOKUP($S3405,References!$B$3:$C$7,2,FALSE))),"")</f>
        <v/>
      </c>
      <c r="W3405" s="74" t="str">
        <f>IFERROR(VLOOKUP($O3405,'Customer List'!$A$1:$J$488,10,FALSE),"")</f>
        <v/>
      </c>
    </row>
    <row r="3406" spans="18:23">
      <c r="R3406" s="127">
        <f t="shared" si="181"/>
        <v>0</v>
      </c>
      <c r="T3406" s="128">
        <f t="shared" si="182"/>
        <v>0</v>
      </c>
      <c r="U3406" s="129" t="str">
        <f>IFERROR(IF(#REF!="S",VLOOKUP('Raw Data'!A3406,References!#REF!,2,FALSE),(VLOOKUP($S3406,References!$B$3:$C$7,2,FALSE))),"")</f>
        <v/>
      </c>
      <c r="W3406" s="74" t="str">
        <f>IFERROR(VLOOKUP($O3406,'Customer List'!$A$1:$J$488,10,FALSE),"")</f>
        <v/>
      </c>
    </row>
    <row r="3407" spans="18:23">
      <c r="R3407" s="127">
        <f t="shared" si="181"/>
        <v>0</v>
      </c>
      <c r="T3407" s="128">
        <f t="shared" si="182"/>
        <v>0</v>
      </c>
      <c r="U3407" s="129" t="str">
        <f>IFERROR(IF(#REF!="S",VLOOKUP('Raw Data'!A3407,References!#REF!,2,FALSE),(VLOOKUP($S3407,References!$B$3:$C$7,2,FALSE))),"")</f>
        <v/>
      </c>
      <c r="W3407" s="74" t="str">
        <f>IFERROR(VLOOKUP($O3407,'Customer List'!$A$1:$J$488,10,FALSE),"")</f>
        <v/>
      </c>
    </row>
    <row r="3408" spans="18:23">
      <c r="R3408" s="127">
        <f t="shared" si="181"/>
        <v>0</v>
      </c>
      <c r="T3408" s="128">
        <f t="shared" si="182"/>
        <v>0</v>
      </c>
      <c r="U3408" s="129" t="str">
        <f>IFERROR(IF(#REF!="S",VLOOKUP('Raw Data'!A3408,References!#REF!,2,FALSE),(VLOOKUP($S3408,References!$B$3:$C$7,2,FALSE))),"")</f>
        <v/>
      </c>
      <c r="W3408" s="74" t="str">
        <f>IFERROR(VLOOKUP($O3408,'Customer List'!$A$1:$J$488,10,FALSE),"")</f>
        <v/>
      </c>
    </row>
    <row r="3409" spans="18:23">
      <c r="R3409" s="127">
        <f t="shared" si="181"/>
        <v>0</v>
      </c>
      <c r="T3409" s="128">
        <f t="shared" si="182"/>
        <v>0</v>
      </c>
      <c r="U3409" s="129" t="str">
        <f>IFERROR(IF(#REF!="S",VLOOKUP('Raw Data'!A3409,References!#REF!,2,FALSE),(VLOOKUP($S3409,References!$B$3:$C$7,2,FALSE))),"")</f>
        <v/>
      </c>
      <c r="W3409" s="74" t="str">
        <f>IFERROR(VLOOKUP($O3409,'Customer List'!$A$1:$J$488,10,FALSE),"")</f>
        <v/>
      </c>
    </row>
    <row r="3410" spans="18:23">
      <c r="R3410" s="127">
        <f t="shared" si="181"/>
        <v>0</v>
      </c>
      <c r="T3410" s="128">
        <f t="shared" si="182"/>
        <v>0</v>
      </c>
      <c r="U3410" s="129" t="str">
        <f>IFERROR(IF(#REF!="S",VLOOKUP('Raw Data'!A3410,References!#REF!,2,FALSE),(VLOOKUP($S3410,References!$B$3:$C$7,2,FALSE))),"")</f>
        <v/>
      </c>
      <c r="W3410" s="74" t="str">
        <f>IFERROR(VLOOKUP($O3410,'Customer List'!$A$1:$J$488,10,FALSE),"")</f>
        <v/>
      </c>
    </row>
    <row r="3411" spans="18:23">
      <c r="R3411" s="127">
        <f t="shared" si="181"/>
        <v>0</v>
      </c>
      <c r="T3411" s="128">
        <f t="shared" si="182"/>
        <v>0</v>
      </c>
      <c r="U3411" s="129" t="str">
        <f>IFERROR(IF(#REF!="S",VLOOKUP('Raw Data'!A3411,References!#REF!,2,FALSE),(VLOOKUP($S3411,References!$B$3:$C$7,2,FALSE))),"")</f>
        <v/>
      </c>
      <c r="W3411" s="74" t="str">
        <f>IFERROR(VLOOKUP($O3411,'Customer List'!$A$1:$J$488,10,FALSE),"")</f>
        <v/>
      </c>
    </row>
    <row r="3412" spans="18:23">
      <c r="R3412" s="127">
        <f t="shared" si="181"/>
        <v>0</v>
      </c>
      <c r="T3412" s="128">
        <f t="shared" si="182"/>
        <v>0</v>
      </c>
      <c r="U3412" s="129" t="str">
        <f>IFERROR(IF(#REF!="S",VLOOKUP('Raw Data'!A3412,References!#REF!,2,FALSE),(VLOOKUP($S3412,References!$B$3:$C$7,2,FALSE))),"")</f>
        <v/>
      </c>
      <c r="W3412" s="74" t="str">
        <f>IFERROR(VLOOKUP($O3412,'Customer List'!$A$1:$J$488,10,FALSE),"")</f>
        <v/>
      </c>
    </row>
    <row r="3413" spans="18:23">
      <c r="R3413" s="127">
        <f t="shared" si="181"/>
        <v>0</v>
      </c>
      <c r="T3413" s="128">
        <f t="shared" si="182"/>
        <v>0</v>
      </c>
      <c r="U3413" s="129" t="str">
        <f>IFERROR(IF(#REF!="S",VLOOKUP('Raw Data'!A3413,References!#REF!,2,FALSE),(VLOOKUP($S3413,References!$B$3:$C$7,2,FALSE))),"")</f>
        <v/>
      </c>
      <c r="W3413" s="74" t="str">
        <f>IFERROR(VLOOKUP($O3413,'Customer List'!$A$1:$J$488,10,FALSE),"")</f>
        <v/>
      </c>
    </row>
    <row r="3414" spans="18:23">
      <c r="R3414" s="127">
        <f t="shared" si="181"/>
        <v>0</v>
      </c>
      <c r="T3414" s="128">
        <f t="shared" si="182"/>
        <v>0</v>
      </c>
      <c r="U3414" s="129" t="str">
        <f>IFERROR(IF(#REF!="S",VLOOKUP('Raw Data'!A3414,References!#REF!,2,FALSE),(VLOOKUP($S3414,References!$B$3:$C$7,2,FALSE))),"")</f>
        <v/>
      </c>
      <c r="W3414" s="74" t="str">
        <f>IFERROR(VLOOKUP($O3414,'Customer List'!$A$1:$J$488,10,FALSE),"")</f>
        <v/>
      </c>
    </row>
    <row r="3415" spans="18:23">
      <c r="R3415" s="127">
        <f t="shared" si="181"/>
        <v>0</v>
      </c>
      <c r="T3415" s="128">
        <f t="shared" si="182"/>
        <v>0</v>
      </c>
      <c r="U3415" s="129" t="str">
        <f>IFERROR(IF(#REF!="S",VLOOKUP('Raw Data'!A3415,References!#REF!,2,FALSE),(VLOOKUP($S3415,References!$B$3:$C$7,2,FALSE))),"")</f>
        <v/>
      </c>
      <c r="W3415" s="74" t="str">
        <f>IFERROR(VLOOKUP($O3415,'Customer List'!$A$1:$J$488,10,FALSE),"")</f>
        <v/>
      </c>
    </row>
    <row r="3416" spans="18:23">
      <c r="R3416" s="127">
        <f t="shared" si="181"/>
        <v>0</v>
      </c>
      <c r="T3416" s="128">
        <f t="shared" si="182"/>
        <v>0</v>
      </c>
      <c r="U3416" s="129" t="str">
        <f>IFERROR(IF(#REF!="S",VLOOKUP('Raw Data'!A3416,References!#REF!,2,FALSE),(VLOOKUP($S3416,References!$B$3:$C$7,2,FALSE))),"")</f>
        <v/>
      </c>
      <c r="W3416" s="74" t="str">
        <f>IFERROR(VLOOKUP($O3416,'Customer List'!$A$1:$J$488,10,FALSE),"")</f>
        <v/>
      </c>
    </row>
    <row r="3417" spans="18:23">
      <c r="R3417" s="127">
        <f t="shared" si="181"/>
        <v>0</v>
      </c>
      <c r="T3417" s="128">
        <f t="shared" si="182"/>
        <v>0</v>
      </c>
      <c r="U3417" s="129" t="str">
        <f>IFERROR(IF(#REF!="S",VLOOKUP('Raw Data'!A3417,References!#REF!,2,FALSE),(VLOOKUP($S3417,References!$B$3:$C$7,2,FALSE))),"")</f>
        <v/>
      </c>
      <c r="W3417" s="74" t="str">
        <f>IFERROR(VLOOKUP($O3417,'Customer List'!$A$1:$J$488,10,FALSE),"")</f>
        <v/>
      </c>
    </row>
    <row r="3418" spans="18:23">
      <c r="R3418" s="127">
        <f t="shared" si="181"/>
        <v>0</v>
      </c>
      <c r="T3418" s="128">
        <f t="shared" si="182"/>
        <v>0</v>
      </c>
      <c r="U3418" s="129" t="str">
        <f>IFERROR(IF(#REF!="S",VLOOKUP('Raw Data'!A3418,References!#REF!,2,FALSE),(VLOOKUP($S3418,References!$B$3:$C$7,2,FALSE))),"")</f>
        <v/>
      </c>
      <c r="W3418" s="74" t="str">
        <f>IFERROR(VLOOKUP($O3418,'Customer List'!$A$1:$J$488,10,FALSE),"")</f>
        <v/>
      </c>
    </row>
    <row r="3419" spans="18:23">
      <c r="R3419" s="127">
        <f t="shared" si="181"/>
        <v>0</v>
      </c>
      <c r="T3419" s="128">
        <f t="shared" si="182"/>
        <v>0</v>
      </c>
      <c r="U3419" s="129" t="str">
        <f>IFERROR(IF(#REF!="S",VLOOKUP('Raw Data'!A3419,References!#REF!,2,FALSE),(VLOOKUP($S3419,References!$B$3:$C$7,2,FALSE))),"")</f>
        <v/>
      </c>
      <c r="W3419" s="74" t="str">
        <f>IFERROR(VLOOKUP($O3419,'Customer List'!$A$1:$J$488,10,FALSE),"")</f>
        <v/>
      </c>
    </row>
    <row r="3420" spans="18:23">
      <c r="R3420" s="127">
        <f t="shared" si="181"/>
        <v>0</v>
      </c>
      <c r="T3420" s="128">
        <f t="shared" si="182"/>
        <v>0</v>
      </c>
      <c r="U3420" s="129" t="str">
        <f>IFERROR(IF(#REF!="S",VLOOKUP('Raw Data'!A3420,References!#REF!,2,FALSE),(VLOOKUP($S3420,References!$B$3:$C$7,2,FALSE))),"")</f>
        <v/>
      </c>
      <c r="W3420" s="74" t="str">
        <f>IFERROR(VLOOKUP($O3420,'Customer List'!$A$1:$J$488,10,FALSE),"")</f>
        <v/>
      </c>
    </row>
    <row r="3421" spans="18:23">
      <c r="R3421" s="127">
        <f t="shared" si="181"/>
        <v>0</v>
      </c>
      <c r="T3421" s="128">
        <f t="shared" si="182"/>
        <v>0</v>
      </c>
      <c r="U3421" s="129" t="str">
        <f>IFERROR(IF(#REF!="S",VLOOKUP('Raw Data'!A3421,References!#REF!,2,FALSE),(VLOOKUP($S3421,References!$B$3:$C$7,2,FALSE))),"")</f>
        <v/>
      </c>
      <c r="W3421" s="74" t="str">
        <f>IFERROR(VLOOKUP($O3421,'Customer List'!$A$1:$J$488,10,FALSE),"")</f>
        <v/>
      </c>
    </row>
    <row r="3422" spans="18:23">
      <c r="R3422" s="127">
        <f t="shared" si="181"/>
        <v>0</v>
      </c>
      <c r="T3422" s="128">
        <f t="shared" si="182"/>
        <v>0</v>
      </c>
      <c r="U3422" s="129" t="str">
        <f>IFERROR(IF(#REF!="S",VLOOKUP('Raw Data'!A3422,References!#REF!,2,FALSE),(VLOOKUP($S3422,References!$B$3:$C$7,2,FALSE))),"")</f>
        <v/>
      </c>
      <c r="W3422" s="74" t="str">
        <f>IFERROR(VLOOKUP($O3422,'Customer List'!$A$1:$J$488,10,FALSE),"")</f>
        <v/>
      </c>
    </row>
    <row r="3423" spans="18:23">
      <c r="R3423" s="127">
        <f t="shared" si="181"/>
        <v>0</v>
      </c>
      <c r="T3423" s="128">
        <f t="shared" si="182"/>
        <v>0</v>
      </c>
      <c r="U3423" s="129" t="str">
        <f>IFERROR(IF(#REF!="S",VLOOKUP('Raw Data'!A3423,References!#REF!,2,FALSE),(VLOOKUP($S3423,References!$B$3:$C$7,2,FALSE))),"")</f>
        <v/>
      </c>
      <c r="W3423" s="74" t="str">
        <f>IFERROR(VLOOKUP($O3423,'Customer List'!$A$1:$J$488,10,FALSE),"")</f>
        <v/>
      </c>
    </row>
    <row r="3424" spans="18:23">
      <c r="R3424" s="127">
        <f t="shared" si="181"/>
        <v>0</v>
      </c>
      <c r="T3424" s="128">
        <f t="shared" si="182"/>
        <v>0</v>
      </c>
      <c r="U3424" s="129" t="str">
        <f>IFERROR(IF(#REF!="S",VLOOKUP('Raw Data'!A3424,References!#REF!,2,FALSE),(VLOOKUP($S3424,References!$B$3:$C$7,2,FALSE))),"")</f>
        <v/>
      </c>
      <c r="W3424" s="74" t="str">
        <f>IFERROR(VLOOKUP($O3424,'Customer List'!$A$1:$J$488,10,FALSE),"")</f>
        <v/>
      </c>
    </row>
    <row r="3425" spans="18:23">
      <c r="R3425" s="127">
        <f t="shared" si="181"/>
        <v>0</v>
      </c>
      <c r="T3425" s="128">
        <f t="shared" si="182"/>
        <v>0</v>
      </c>
      <c r="U3425" s="129" t="str">
        <f>IFERROR(IF(#REF!="S",VLOOKUP('Raw Data'!A3425,References!#REF!,2,FALSE),(VLOOKUP($S3425,References!$B$3:$C$7,2,FALSE))),"")</f>
        <v/>
      </c>
      <c r="W3425" s="74" t="str">
        <f>IFERROR(VLOOKUP($O3425,'Customer List'!$A$1:$J$488,10,FALSE),"")</f>
        <v/>
      </c>
    </row>
    <row r="3426" spans="18:23">
      <c r="R3426" s="127">
        <f t="shared" ref="R3426:R3489" si="183">L3426-K3426</f>
        <v>0</v>
      </c>
      <c r="T3426" s="128">
        <f t="shared" si="182"/>
        <v>0</v>
      </c>
      <c r="U3426" s="129" t="str">
        <f>IFERROR(IF(#REF!="S",VLOOKUP('Raw Data'!A3426,References!#REF!,2,FALSE),(VLOOKUP($S3426,References!$B$3:$C$7,2,FALSE))),"")</f>
        <v/>
      </c>
      <c r="W3426" s="74" t="str">
        <f>IFERROR(VLOOKUP($O3426,'Customer List'!$A$1:$J$488,10,FALSE),"")</f>
        <v/>
      </c>
    </row>
    <row r="3427" spans="18:23">
      <c r="R3427" s="127">
        <f t="shared" si="183"/>
        <v>0</v>
      </c>
      <c r="T3427" s="128">
        <f t="shared" si="182"/>
        <v>0</v>
      </c>
      <c r="U3427" s="129" t="str">
        <f>IFERROR(IF(#REF!="S",VLOOKUP('Raw Data'!A3427,References!#REF!,2,FALSE),(VLOOKUP($S3427,References!$B$3:$C$7,2,FALSE))),"")</f>
        <v/>
      </c>
      <c r="W3427" s="74" t="str">
        <f>IFERROR(VLOOKUP($O3427,'Customer List'!$A$1:$J$488,10,FALSE),"")</f>
        <v/>
      </c>
    </row>
    <row r="3428" spans="18:23">
      <c r="R3428" s="127">
        <f t="shared" si="183"/>
        <v>0</v>
      </c>
      <c r="T3428" s="128">
        <f t="shared" si="182"/>
        <v>0</v>
      </c>
      <c r="U3428" s="129" t="str">
        <f>IFERROR(IF(#REF!="S",VLOOKUP('Raw Data'!A3428,References!#REF!,2,FALSE),(VLOOKUP($S3428,References!$B$3:$C$7,2,FALSE))),"")</f>
        <v/>
      </c>
      <c r="W3428" s="74" t="str">
        <f>IFERROR(VLOOKUP($O3428,'Customer List'!$A$1:$J$488,10,FALSE),"")</f>
        <v/>
      </c>
    </row>
    <row r="3429" spans="18:23">
      <c r="R3429" s="127">
        <f t="shared" si="183"/>
        <v>0</v>
      </c>
      <c r="T3429" s="128">
        <f t="shared" si="182"/>
        <v>0</v>
      </c>
      <c r="U3429" s="129" t="str">
        <f>IFERROR(IF(#REF!="S",VLOOKUP('Raw Data'!A3429,References!#REF!,2,FALSE),(VLOOKUP($S3429,References!$B$3:$C$7,2,FALSE))),"")</f>
        <v/>
      </c>
      <c r="W3429" s="74" t="str">
        <f>IFERROR(VLOOKUP($O3429,'Customer List'!$A$1:$J$488,10,FALSE),"")</f>
        <v/>
      </c>
    </row>
    <row r="3430" spans="18:23">
      <c r="R3430" s="127">
        <f t="shared" si="183"/>
        <v>0</v>
      </c>
      <c r="T3430" s="128">
        <f t="shared" si="182"/>
        <v>0</v>
      </c>
      <c r="U3430" s="129" t="str">
        <f>IFERROR(IF(#REF!="S",VLOOKUP('Raw Data'!A3430,References!#REF!,2,FALSE),(VLOOKUP($S3430,References!$B$3:$C$7,2,FALSE))),"")</f>
        <v/>
      </c>
      <c r="W3430" s="74" t="str">
        <f>IFERROR(VLOOKUP($O3430,'Customer List'!$A$1:$J$488,10,FALSE),"")</f>
        <v/>
      </c>
    </row>
    <row r="3431" spans="18:23">
      <c r="R3431" s="127">
        <f t="shared" si="183"/>
        <v>0</v>
      </c>
      <c r="T3431" s="128">
        <f t="shared" si="182"/>
        <v>0</v>
      </c>
      <c r="U3431" s="129" t="str">
        <f>IFERROR(IF(#REF!="S",VLOOKUP('Raw Data'!A3431,References!#REF!,2,FALSE),(VLOOKUP($S3431,References!$B$3:$C$7,2,FALSE))),"")</f>
        <v/>
      </c>
      <c r="W3431" s="74" t="str">
        <f>IFERROR(VLOOKUP($O3431,'Customer List'!$A$1:$J$488,10,FALSE),"")</f>
        <v/>
      </c>
    </row>
    <row r="3432" spans="18:23">
      <c r="R3432" s="127">
        <f t="shared" si="183"/>
        <v>0</v>
      </c>
      <c r="T3432" s="128">
        <f t="shared" si="182"/>
        <v>0</v>
      </c>
      <c r="U3432" s="129" t="str">
        <f>IFERROR(IF(#REF!="S",VLOOKUP('Raw Data'!A3432,References!#REF!,2,FALSE),(VLOOKUP($S3432,References!$B$3:$C$7,2,FALSE))),"")</f>
        <v/>
      </c>
      <c r="W3432" s="74" t="str">
        <f>IFERROR(VLOOKUP($O3432,'Customer List'!$A$1:$J$488,10,FALSE),"")</f>
        <v/>
      </c>
    </row>
    <row r="3433" spans="18:23">
      <c r="R3433" s="127">
        <f t="shared" si="183"/>
        <v>0</v>
      </c>
      <c r="T3433" s="128">
        <f t="shared" si="182"/>
        <v>0</v>
      </c>
      <c r="U3433" s="129" t="str">
        <f>IFERROR(IF(#REF!="S",VLOOKUP('Raw Data'!A3433,References!#REF!,2,FALSE),(VLOOKUP($S3433,References!$B$3:$C$7,2,FALSE))),"")</f>
        <v/>
      </c>
      <c r="W3433" s="74" t="str">
        <f>IFERROR(VLOOKUP($O3433,'Customer List'!$A$1:$J$488,10,FALSE),"")</f>
        <v/>
      </c>
    </row>
    <row r="3434" spans="18:23">
      <c r="R3434" s="127">
        <f t="shared" si="183"/>
        <v>0</v>
      </c>
      <c r="T3434" s="128">
        <f t="shared" si="182"/>
        <v>0</v>
      </c>
      <c r="U3434" s="129" t="str">
        <f>IFERROR(IF(#REF!="S",VLOOKUP('Raw Data'!A3434,References!#REF!,2,FALSE),(VLOOKUP($S3434,References!$B$3:$C$7,2,FALSE))),"")</f>
        <v/>
      </c>
      <c r="W3434" s="74" t="str">
        <f>IFERROR(VLOOKUP($O3434,'Customer List'!$A$1:$J$488,10,FALSE),"")</f>
        <v/>
      </c>
    </row>
    <row r="3435" spans="18:23">
      <c r="R3435" s="127">
        <f t="shared" si="183"/>
        <v>0</v>
      </c>
      <c r="T3435" s="128">
        <f t="shared" si="182"/>
        <v>0</v>
      </c>
      <c r="U3435" s="129" t="str">
        <f>IFERROR(IF(#REF!="S",VLOOKUP('Raw Data'!A3435,References!#REF!,2,FALSE),(VLOOKUP($S3435,References!$B$3:$C$7,2,FALSE))),"")</f>
        <v/>
      </c>
      <c r="W3435" s="74" t="str">
        <f>IFERROR(VLOOKUP($O3435,'Customer List'!$A$1:$J$488,10,FALSE),"")</f>
        <v/>
      </c>
    </row>
    <row r="3436" spans="18:23">
      <c r="R3436" s="127">
        <f t="shared" si="183"/>
        <v>0</v>
      </c>
      <c r="T3436" s="128">
        <f t="shared" si="182"/>
        <v>0</v>
      </c>
      <c r="U3436" s="129" t="str">
        <f>IFERROR(IF(#REF!="S",VLOOKUP('Raw Data'!A3436,References!#REF!,2,FALSE),(VLOOKUP($S3436,References!$B$3:$C$7,2,FALSE))),"")</f>
        <v/>
      </c>
      <c r="W3436" s="74" t="str">
        <f>IFERROR(VLOOKUP($O3436,'Customer List'!$A$1:$J$488,10,FALSE),"")</f>
        <v/>
      </c>
    </row>
    <row r="3437" spans="18:23">
      <c r="R3437" s="127">
        <f t="shared" si="183"/>
        <v>0</v>
      </c>
      <c r="T3437" s="128">
        <f t="shared" si="182"/>
        <v>0</v>
      </c>
      <c r="U3437" s="129" t="str">
        <f>IFERROR(IF(#REF!="S",VLOOKUP('Raw Data'!A3437,References!#REF!,2,FALSE),(VLOOKUP($S3437,References!$B$3:$C$7,2,FALSE))),"")</f>
        <v/>
      </c>
      <c r="W3437" s="74" t="str">
        <f>IFERROR(VLOOKUP($O3437,'Customer List'!$A$1:$J$488,10,FALSE),"")</f>
        <v/>
      </c>
    </row>
    <row r="3438" spans="18:23">
      <c r="R3438" s="127">
        <f t="shared" si="183"/>
        <v>0</v>
      </c>
      <c r="T3438" s="128">
        <f t="shared" si="182"/>
        <v>0</v>
      </c>
      <c r="U3438" s="129" t="str">
        <f>IFERROR(IF(#REF!="S",VLOOKUP('Raw Data'!A3438,References!#REF!,2,FALSE),(VLOOKUP($S3438,References!$B$3:$C$7,2,FALSE))),"")</f>
        <v/>
      </c>
      <c r="W3438" s="74" t="str">
        <f>IFERROR(VLOOKUP($O3438,'Customer List'!$A$1:$J$488,10,FALSE),"")</f>
        <v/>
      </c>
    </row>
    <row r="3439" spans="18:23">
      <c r="R3439" s="127">
        <f t="shared" si="183"/>
        <v>0</v>
      </c>
      <c r="T3439" s="128">
        <f t="shared" si="182"/>
        <v>0</v>
      </c>
      <c r="U3439" s="129" t="str">
        <f>IFERROR(IF(#REF!="S",VLOOKUP('Raw Data'!A3439,References!#REF!,2,FALSE),(VLOOKUP($S3439,References!$B$3:$C$7,2,FALSE))),"")</f>
        <v/>
      </c>
      <c r="W3439" s="74" t="str">
        <f>IFERROR(VLOOKUP($O3439,'Customer List'!$A$1:$J$488,10,FALSE),"")</f>
        <v/>
      </c>
    </row>
    <row r="3440" spans="18:23">
      <c r="R3440" s="127">
        <f t="shared" si="183"/>
        <v>0</v>
      </c>
      <c r="T3440" s="128">
        <f t="shared" si="182"/>
        <v>0</v>
      </c>
      <c r="U3440" s="129" t="str">
        <f>IFERROR(IF(#REF!="S",VLOOKUP('Raw Data'!A3440,References!#REF!,2,FALSE),(VLOOKUP($S3440,References!$B$3:$C$7,2,FALSE))),"")</f>
        <v/>
      </c>
      <c r="W3440" s="74" t="str">
        <f>IFERROR(VLOOKUP($O3440,'Customer List'!$A$1:$J$488,10,FALSE),"")</f>
        <v/>
      </c>
    </row>
    <row r="3441" spans="18:23">
      <c r="R3441" s="127">
        <f t="shared" si="183"/>
        <v>0</v>
      </c>
      <c r="T3441" s="128">
        <f t="shared" si="182"/>
        <v>0</v>
      </c>
      <c r="U3441" s="129" t="str">
        <f>IFERROR(IF(#REF!="S",VLOOKUP('Raw Data'!A3441,References!#REF!,2,FALSE),(VLOOKUP($S3441,References!$B$3:$C$7,2,FALSE))),"")</f>
        <v/>
      </c>
      <c r="W3441" s="74" t="str">
        <f>IFERROR(VLOOKUP($O3441,'Customer List'!$A$1:$J$488,10,FALSE),"")</f>
        <v/>
      </c>
    </row>
    <row r="3442" spans="18:23">
      <c r="R3442" s="127">
        <f t="shared" si="183"/>
        <v>0</v>
      </c>
      <c r="T3442" s="128">
        <f t="shared" si="182"/>
        <v>0</v>
      </c>
      <c r="U3442" s="129" t="str">
        <f>IFERROR(IF(#REF!="S",VLOOKUP('Raw Data'!A3442,References!#REF!,2,FALSE),(VLOOKUP($S3442,References!$B$3:$C$7,2,FALSE))),"")</f>
        <v/>
      </c>
      <c r="W3442" s="74" t="str">
        <f>IFERROR(VLOOKUP($O3442,'Customer List'!$A$1:$J$488,10,FALSE),"")</f>
        <v/>
      </c>
    </row>
    <row r="3443" spans="18:23">
      <c r="R3443" s="127">
        <f t="shared" si="183"/>
        <v>0</v>
      </c>
      <c r="T3443" s="128">
        <f t="shared" si="182"/>
        <v>0</v>
      </c>
      <c r="U3443" s="129" t="str">
        <f>IFERROR(IF(#REF!="S",VLOOKUP('Raw Data'!A3443,References!#REF!,2,FALSE),(VLOOKUP($S3443,References!$B$3:$C$7,2,FALSE))),"")</f>
        <v/>
      </c>
      <c r="W3443" s="74" t="str">
        <f>IFERROR(VLOOKUP($O3443,'Customer List'!$A$1:$J$488,10,FALSE),"")</f>
        <v/>
      </c>
    </row>
    <row r="3444" spans="18:23">
      <c r="R3444" s="127">
        <f t="shared" si="183"/>
        <v>0</v>
      </c>
      <c r="T3444" s="128">
        <f t="shared" si="182"/>
        <v>0</v>
      </c>
      <c r="U3444" s="129" t="str">
        <f>IFERROR(IF(#REF!="S",VLOOKUP('Raw Data'!A3444,References!#REF!,2,FALSE),(VLOOKUP($S3444,References!$B$3:$C$7,2,FALSE))),"")</f>
        <v/>
      </c>
      <c r="W3444" s="74" t="str">
        <f>IFERROR(VLOOKUP($O3444,'Customer List'!$A$1:$J$488,10,FALSE),"")</f>
        <v/>
      </c>
    </row>
    <row r="3445" spans="18:23">
      <c r="R3445" s="127">
        <f t="shared" si="183"/>
        <v>0</v>
      </c>
      <c r="T3445" s="128">
        <f t="shared" si="182"/>
        <v>0</v>
      </c>
      <c r="U3445" s="129" t="str">
        <f>IFERROR(IF(#REF!="S",VLOOKUP('Raw Data'!A3445,References!#REF!,2,FALSE),(VLOOKUP($S3445,References!$B$3:$C$7,2,FALSE))),"")</f>
        <v/>
      </c>
      <c r="W3445" s="74" t="str">
        <f>IFERROR(VLOOKUP($O3445,'Customer List'!$A$1:$J$488,10,FALSE),"")</f>
        <v/>
      </c>
    </row>
    <row r="3446" spans="18:23">
      <c r="R3446" s="127">
        <f t="shared" si="183"/>
        <v>0</v>
      </c>
      <c r="T3446" s="128">
        <f t="shared" si="182"/>
        <v>0</v>
      </c>
      <c r="U3446" s="129" t="str">
        <f>IFERROR(IF(#REF!="S",VLOOKUP('Raw Data'!A3446,References!#REF!,2,FALSE),(VLOOKUP($S3446,References!$B$3:$C$7,2,FALSE))),"")</f>
        <v/>
      </c>
      <c r="W3446" s="74" t="str">
        <f>IFERROR(VLOOKUP($O3446,'Customer List'!$A$1:$J$488,10,FALSE),"")</f>
        <v/>
      </c>
    </row>
    <row r="3447" spans="18:23">
      <c r="R3447" s="127">
        <f t="shared" si="183"/>
        <v>0</v>
      </c>
      <c r="T3447" s="128">
        <f t="shared" si="182"/>
        <v>0</v>
      </c>
      <c r="U3447" s="129" t="str">
        <f>IFERROR(IF(#REF!="S",VLOOKUP('Raw Data'!A3447,References!#REF!,2,FALSE),(VLOOKUP($S3447,References!$B$3:$C$7,2,FALSE))),"")</f>
        <v/>
      </c>
      <c r="W3447" s="74" t="str">
        <f>IFERROR(VLOOKUP($O3447,'Customer List'!$A$1:$J$488,10,FALSE),"")</f>
        <v/>
      </c>
    </row>
    <row r="3448" spans="18:23">
      <c r="R3448" s="127">
        <f t="shared" si="183"/>
        <v>0</v>
      </c>
      <c r="T3448" s="128">
        <f t="shared" si="182"/>
        <v>0</v>
      </c>
      <c r="U3448" s="129" t="str">
        <f>IFERROR(IF(#REF!="S",VLOOKUP('Raw Data'!A3448,References!#REF!,2,FALSE),(VLOOKUP($S3448,References!$B$3:$C$7,2,FALSE))),"")</f>
        <v/>
      </c>
      <c r="W3448" s="74" t="str">
        <f>IFERROR(VLOOKUP($O3448,'Customer List'!$A$1:$J$488,10,FALSE),"")</f>
        <v/>
      </c>
    </row>
    <row r="3449" spans="18:23">
      <c r="R3449" s="127">
        <f t="shared" si="183"/>
        <v>0</v>
      </c>
      <c r="T3449" s="128">
        <f t="shared" si="182"/>
        <v>0</v>
      </c>
      <c r="U3449" s="129" t="str">
        <f>IFERROR(IF(#REF!="S",VLOOKUP('Raw Data'!A3449,References!#REF!,2,FALSE),(VLOOKUP($S3449,References!$B$3:$C$7,2,FALSE))),"")</f>
        <v/>
      </c>
      <c r="W3449" s="74" t="str">
        <f>IFERROR(VLOOKUP($O3449,'Customer List'!$A$1:$J$488,10,FALSE),"")</f>
        <v/>
      </c>
    </row>
    <row r="3450" spans="18:23">
      <c r="R3450" s="127">
        <f t="shared" si="183"/>
        <v>0</v>
      </c>
      <c r="T3450" s="128">
        <f t="shared" si="182"/>
        <v>0</v>
      </c>
      <c r="U3450" s="129" t="str">
        <f>IFERROR(IF(#REF!="S",VLOOKUP('Raw Data'!A3450,References!#REF!,2,FALSE),(VLOOKUP($S3450,References!$B$3:$C$7,2,FALSE))),"")</f>
        <v/>
      </c>
      <c r="W3450" s="74" t="str">
        <f>IFERROR(VLOOKUP($O3450,'Customer List'!$A$1:$J$488,10,FALSE),"")</f>
        <v/>
      </c>
    </row>
    <row r="3451" spans="18:23">
      <c r="R3451" s="127">
        <f t="shared" si="183"/>
        <v>0</v>
      </c>
      <c r="T3451" s="128">
        <f t="shared" si="182"/>
        <v>0</v>
      </c>
      <c r="U3451" s="129" t="str">
        <f>IFERROR(IF(#REF!="S",VLOOKUP('Raw Data'!A3451,References!#REF!,2,FALSE),(VLOOKUP($S3451,References!$B$3:$C$7,2,FALSE))),"")</f>
        <v/>
      </c>
      <c r="W3451" s="74" t="str">
        <f>IFERROR(VLOOKUP($O3451,'Customer List'!$A$1:$J$488,10,FALSE),"")</f>
        <v/>
      </c>
    </row>
    <row r="3452" spans="18:23">
      <c r="R3452" s="127">
        <f t="shared" si="183"/>
        <v>0</v>
      </c>
      <c r="T3452" s="128">
        <f t="shared" si="182"/>
        <v>0</v>
      </c>
      <c r="U3452" s="129" t="str">
        <f>IFERROR(IF(#REF!="S",VLOOKUP('Raw Data'!A3452,References!#REF!,2,FALSE),(VLOOKUP($S3452,References!$B$3:$C$7,2,FALSE))),"")</f>
        <v/>
      </c>
      <c r="W3452" s="74" t="str">
        <f>IFERROR(VLOOKUP($O3452,'Customer List'!$A$1:$J$488,10,FALSE),"")</f>
        <v/>
      </c>
    </row>
    <row r="3453" spans="18:23">
      <c r="R3453" s="127">
        <f t="shared" si="183"/>
        <v>0</v>
      </c>
      <c r="T3453" s="128">
        <f t="shared" si="182"/>
        <v>0</v>
      </c>
      <c r="U3453" s="129" t="str">
        <f>IFERROR(IF(#REF!="S",VLOOKUP('Raw Data'!A3453,References!#REF!,2,FALSE),(VLOOKUP($S3453,References!$B$3:$C$7,2,FALSE))),"")</f>
        <v/>
      </c>
      <c r="W3453" s="74" t="str">
        <f>IFERROR(VLOOKUP($O3453,'Customer List'!$A$1:$J$488,10,FALSE),"")</f>
        <v/>
      </c>
    </row>
    <row r="3454" spans="18:23">
      <c r="R3454" s="127">
        <f t="shared" si="183"/>
        <v>0</v>
      </c>
      <c r="T3454" s="128">
        <f t="shared" si="182"/>
        <v>0</v>
      </c>
      <c r="U3454" s="129" t="str">
        <f>IFERROR(IF(#REF!="S",VLOOKUP('Raw Data'!A3454,References!#REF!,2,FALSE),(VLOOKUP($S3454,References!$B$3:$C$7,2,FALSE))),"")</f>
        <v/>
      </c>
      <c r="W3454" s="74" t="str">
        <f>IFERROR(VLOOKUP($O3454,'Customer List'!$A$1:$J$488,10,FALSE),"")</f>
        <v/>
      </c>
    </row>
    <row r="3455" spans="18:23">
      <c r="R3455" s="127">
        <f t="shared" si="183"/>
        <v>0</v>
      </c>
      <c r="T3455" s="128">
        <f t="shared" si="182"/>
        <v>0</v>
      </c>
      <c r="U3455" s="129" t="str">
        <f>IFERROR(IF(#REF!="S",VLOOKUP('Raw Data'!A3455,References!#REF!,2,FALSE),(VLOOKUP($S3455,References!$B$3:$C$7,2,FALSE))),"")</f>
        <v/>
      </c>
      <c r="W3455" s="74" t="str">
        <f>IFERROR(VLOOKUP($O3455,'Customer List'!$A$1:$J$488,10,FALSE),"")</f>
        <v/>
      </c>
    </row>
    <row r="3456" spans="18:23">
      <c r="R3456" s="127">
        <f t="shared" si="183"/>
        <v>0</v>
      </c>
      <c r="T3456" s="128">
        <f t="shared" si="182"/>
        <v>0</v>
      </c>
      <c r="U3456" s="129" t="str">
        <f>IFERROR(IF(#REF!="S",VLOOKUP('Raw Data'!A3456,References!#REF!,2,FALSE),(VLOOKUP($S3456,References!$B$3:$C$7,2,FALSE))),"")</f>
        <v/>
      </c>
      <c r="W3456" s="74" t="str">
        <f>IFERROR(VLOOKUP($O3456,'Customer List'!$A$1:$J$488,10,FALSE),"")</f>
        <v/>
      </c>
    </row>
    <row r="3457" spans="18:23">
      <c r="R3457" s="127">
        <f t="shared" si="183"/>
        <v>0</v>
      </c>
      <c r="T3457" s="128">
        <f t="shared" si="182"/>
        <v>0</v>
      </c>
      <c r="U3457" s="129" t="str">
        <f>IFERROR(IF(#REF!="S",VLOOKUP('Raw Data'!A3457,References!#REF!,2,FALSE),(VLOOKUP($S3457,References!$B$3:$C$7,2,FALSE))),"")</f>
        <v/>
      </c>
      <c r="W3457" s="74" t="str">
        <f>IFERROR(VLOOKUP($O3457,'Customer List'!$A$1:$J$488,10,FALSE),"")</f>
        <v/>
      </c>
    </row>
    <row r="3458" spans="18:23">
      <c r="R3458" s="127">
        <f t="shared" si="183"/>
        <v>0</v>
      </c>
      <c r="T3458" s="128">
        <f t="shared" si="182"/>
        <v>0</v>
      </c>
      <c r="U3458" s="129" t="str">
        <f>IFERROR(IF(#REF!="S",VLOOKUP('Raw Data'!A3458,References!#REF!,2,FALSE),(VLOOKUP($S3458,References!$B$3:$C$7,2,FALSE))),"")</f>
        <v/>
      </c>
      <c r="W3458" s="74" t="str">
        <f>IFERROR(VLOOKUP($O3458,'Customer List'!$A$1:$J$488,10,FALSE),"")</f>
        <v/>
      </c>
    </row>
    <row r="3459" spans="18:23">
      <c r="R3459" s="127">
        <f t="shared" si="183"/>
        <v>0</v>
      </c>
      <c r="T3459" s="128">
        <f t="shared" si="182"/>
        <v>0</v>
      </c>
      <c r="U3459" s="129" t="str">
        <f>IFERROR(IF(#REF!="S",VLOOKUP('Raw Data'!A3459,References!#REF!,2,FALSE),(VLOOKUP($S3459,References!$B$3:$C$7,2,FALSE))),"")</f>
        <v/>
      </c>
      <c r="W3459" s="74" t="str">
        <f>IFERROR(VLOOKUP($O3459,'Customer List'!$A$1:$J$488,10,FALSE),"")</f>
        <v/>
      </c>
    </row>
    <row r="3460" spans="18:23">
      <c r="R3460" s="127">
        <f t="shared" si="183"/>
        <v>0</v>
      </c>
      <c r="T3460" s="128">
        <f t="shared" si="182"/>
        <v>0</v>
      </c>
      <c r="U3460" s="129" t="str">
        <f>IFERROR(IF(#REF!="S",VLOOKUP('Raw Data'!A3460,References!#REF!,2,FALSE),(VLOOKUP($S3460,References!$B$3:$C$7,2,FALSE))),"")</f>
        <v/>
      </c>
      <c r="W3460" s="74" t="str">
        <f>IFERROR(VLOOKUP($O3460,'Customer List'!$A$1:$J$488,10,FALSE),"")</f>
        <v/>
      </c>
    </row>
    <row r="3461" spans="18:23">
      <c r="R3461" s="127">
        <f t="shared" si="183"/>
        <v>0</v>
      </c>
      <c r="T3461" s="128">
        <f t="shared" si="182"/>
        <v>0</v>
      </c>
      <c r="U3461" s="129" t="str">
        <f>IFERROR(IF(#REF!="S",VLOOKUP('Raw Data'!A3461,References!#REF!,2,FALSE),(VLOOKUP($S3461,References!$B$3:$C$7,2,FALSE))),"")</f>
        <v/>
      </c>
      <c r="W3461" s="74" t="str">
        <f>IFERROR(VLOOKUP($O3461,'Customer List'!$A$1:$J$488,10,FALSE),"")</f>
        <v/>
      </c>
    </row>
    <row r="3462" spans="18:23">
      <c r="R3462" s="127">
        <f t="shared" si="183"/>
        <v>0</v>
      </c>
      <c r="T3462" s="128">
        <f t="shared" si="182"/>
        <v>0</v>
      </c>
      <c r="U3462" s="129" t="str">
        <f>IFERROR(IF(#REF!="S",VLOOKUP('Raw Data'!A3462,References!#REF!,2,FALSE),(VLOOKUP($S3462,References!$B$3:$C$7,2,FALSE))),"")</f>
        <v/>
      </c>
      <c r="W3462" s="74" t="str">
        <f>IFERROR(VLOOKUP($O3462,'Customer List'!$A$1:$J$488,10,FALSE),"")</f>
        <v/>
      </c>
    </row>
    <row r="3463" spans="18:23">
      <c r="R3463" s="127">
        <f t="shared" si="183"/>
        <v>0</v>
      </c>
      <c r="T3463" s="128">
        <f t="shared" si="182"/>
        <v>0</v>
      </c>
      <c r="U3463" s="129" t="str">
        <f>IFERROR(IF(#REF!="S",VLOOKUP('Raw Data'!A3463,References!#REF!,2,FALSE),(VLOOKUP($S3463,References!$B$3:$C$7,2,FALSE))),"")</f>
        <v/>
      </c>
      <c r="W3463" s="74" t="str">
        <f>IFERROR(VLOOKUP($O3463,'Customer List'!$A$1:$J$488,10,FALSE),"")</f>
        <v/>
      </c>
    </row>
    <row r="3464" spans="18:23">
      <c r="R3464" s="127">
        <f t="shared" si="183"/>
        <v>0</v>
      </c>
      <c r="T3464" s="128">
        <f t="shared" si="182"/>
        <v>0</v>
      </c>
      <c r="U3464" s="129" t="str">
        <f>IFERROR(IF(#REF!="S",VLOOKUP('Raw Data'!A3464,References!#REF!,2,FALSE),(VLOOKUP($S3464,References!$B$3:$C$7,2,FALSE))),"")</f>
        <v/>
      </c>
      <c r="W3464" s="74" t="str">
        <f>IFERROR(VLOOKUP($O3464,'Customer List'!$A$1:$J$488,10,FALSE),"")</f>
        <v/>
      </c>
    </row>
    <row r="3465" spans="18:23">
      <c r="R3465" s="127">
        <f t="shared" si="183"/>
        <v>0</v>
      </c>
      <c r="T3465" s="128">
        <f t="shared" si="182"/>
        <v>0</v>
      </c>
      <c r="U3465" s="129" t="str">
        <f>IFERROR(IF(#REF!="S",VLOOKUP('Raw Data'!A3465,References!#REF!,2,FALSE),(VLOOKUP($S3465,References!$B$3:$C$7,2,FALSE))),"")</f>
        <v/>
      </c>
      <c r="W3465" s="74" t="str">
        <f>IFERROR(VLOOKUP($O3465,'Customer List'!$A$1:$J$488,10,FALSE),"")</f>
        <v/>
      </c>
    </row>
    <row r="3466" spans="18:23">
      <c r="R3466" s="127">
        <f t="shared" si="183"/>
        <v>0</v>
      </c>
      <c r="T3466" s="128">
        <f t="shared" ref="T3466:T3529" si="184">IF(S3466="50 - Cleaning Fee",1,HOUR($R3466)+MINUTE(R3466)/60)</f>
        <v>0</v>
      </c>
      <c r="U3466" s="129" t="str">
        <f>IFERROR(IF(#REF!="S",VLOOKUP('Raw Data'!A3466,References!#REF!,2,FALSE),(VLOOKUP($S3466,References!$B$3:$C$7,2,FALSE))),"")</f>
        <v/>
      </c>
      <c r="W3466" s="74" t="str">
        <f>IFERROR(VLOOKUP($O3466,'Customer List'!$A$1:$J$488,10,FALSE),"")</f>
        <v/>
      </c>
    </row>
    <row r="3467" spans="18:23">
      <c r="R3467" s="127">
        <f t="shared" si="183"/>
        <v>0</v>
      </c>
      <c r="T3467" s="128">
        <f t="shared" si="184"/>
        <v>0</v>
      </c>
      <c r="U3467" s="129" t="str">
        <f>IFERROR(IF(#REF!="S",VLOOKUP('Raw Data'!A3467,References!#REF!,2,FALSE),(VLOOKUP($S3467,References!$B$3:$C$7,2,FALSE))),"")</f>
        <v/>
      </c>
      <c r="W3467" s="74" t="str">
        <f>IFERROR(VLOOKUP($O3467,'Customer List'!$A$1:$J$488,10,FALSE),"")</f>
        <v/>
      </c>
    </row>
    <row r="3468" spans="18:23">
      <c r="R3468" s="127">
        <f t="shared" si="183"/>
        <v>0</v>
      </c>
      <c r="T3468" s="128">
        <f t="shared" si="184"/>
        <v>0</v>
      </c>
      <c r="U3468" s="129" t="str">
        <f>IFERROR(IF(#REF!="S",VLOOKUP('Raw Data'!A3468,References!#REF!,2,FALSE),(VLOOKUP($S3468,References!$B$3:$C$7,2,FALSE))),"")</f>
        <v/>
      </c>
      <c r="W3468" s="74" t="str">
        <f>IFERROR(VLOOKUP($O3468,'Customer List'!$A$1:$J$488,10,FALSE),"")</f>
        <v/>
      </c>
    </row>
    <row r="3469" spans="18:23">
      <c r="R3469" s="127">
        <f t="shared" si="183"/>
        <v>0</v>
      </c>
      <c r="T3469" s="128">
        <f t="shared" si="184"/>
        <v>0</v>
      </c>
      <c r="U3469" s="129" t="str">
        <f>IFERROR(IF(#REF!="S",VLOOKUP('Raw Data'!A3469,References!#REF!,2,FALSE),(VLOOKUP($S3469,References!$B$3:$C$7,2,FALSE))),"")</f>
        <v/>
      </c>
      <c r="W3469" s="74" t="str">
        <f>IFERROR(VLOOKUP($O3469,'Customer List'!$A$1:$J$488,10,FALSE),"")</f>
        <v/>
      </c>
    </row>
    <row r="3470" spans="18:23">
      <c r="R3470" s="127">
        <f t="shared" si="183"/>
        <v>0</v>
      </c>
      <c r="T3470" s="128">
        <f t="shared" si="184"/>
        <v>0</v>
      </c>
      <c r="U3470" s="129" t="str">
        <f>IFERROR(IF(#REF!="S",VLOOKUP('Raw Data'!A3470,References!#REF!,2,FALSE),(VLOOKUP($S3470,References!$B$3:$C$7,2,FALSE))),"")</f>
        <v/>
      </c>
      <c r="W3470" s="74" t="str">
        <f>IFERROR(VLOOKUP($O3470,'Customer List'!$A$1:$J$488,10,FALSE),"")</f>
        <v/>
      </c>
    </row>
    <row r="3471" spans="18:23">
      <c r="R3471" s="127">
        <f t="shared" si="183"/>
        <v>0</v>
      </c>
      <c r="T3471" s="128">
        <f t="shared" si="184"/>
        <v>0</v>
      </c>
      <c r="U3471" s="129" t="str">
        <f>IFERROR(IF(#REF!="S",VLOOKUP('Raw Data'!A3471,References!#REF!,2,FALSE),(VLOOKUP($S3471,References!$B$3:$C$7,2,FALSE))),"")</f>
        <v/>
      </c>
      <c r="W3471" s="74" t="str">
        <f>IFERROR(VLOOKUP($O3471,'Customer List'!$A$1:$J$488,10,FALSE),"")</f>
        <v/>
      </c>
    </row>
    <row r="3472" spans="18:23">
      <c r="R3472" s="127">
        <f t="shared" si="183"/>
        <v>0</v>
      </c>
      <c r="T3472" s="128">
        <f t="shared" si="184"/>
        <v>0</v>
      </c>
      <c r="U3472" s="129" t="str">
        <f>IFERROR(IF(#REF!="S",VLOOKUP('Raw Data'!A3472,References!#REF!,2,FALSE),(VLOOKUP($S3472,References!$B$3:$C$7,2,FALSE))),"")</f>
        <v/>
      </c>
      <c r="W3472" s="74" t="str">
        <f>IFERROR(VLOOKUP($O3472,'Customer List'!$A$1:$J$488,10,FALSE),"")</f>
        <v/>
      </c>
    </row>
    <row r="3473" spans="18:23">
      <c r="R3473" s="127">
        <f t="shared" si="183"/>
        <v>0</v>
      </c>
      <c r="T3473" s="128">
        <f t="shared" si="184"/>
        <v>0</v>
      </c>
      <c r="U3473" s="129" t="str">
        <f>IFERROR(IF(#REF!="S",VLOOKUP('Raw Data'!A3473,References!#REF!,2,FALSE),(VLOOKUP($S3473,References!$B$3:$C$7,2,FALSE))),"")</f>
        <v/>
      </c>
      <c r="W3473" s="74" t="str">
        <f>IFERROR(VLOOKUP($O3473,'Customer List'!$A$1:$J$488,10,FALSE),"")</f>
        <v/>
      </c>
    </row>
    <row r="3474" spans="18:23">
      <c r="R3474" s="127">
        <f t="shared" si="183"/>
        <v>0</v>
      </c>
      <c r="T3474" s="128">
        <f t="shared" si="184"/>
        <v>0</v>
      </c>
      <c r="U3474" s="129" t="str">
        <f>IFERROR(IF(#REF!="S",VLOOKUP('Raw Data'!A3474,References!#REF!,2,FALSE),(VLOOKUP($S3474,References!$B$3:$C$7,2,FALSE))),"")</f>
        <v/>
      </c>
      <c r="W3474" s="74" t="str">
        <f>IFERROR(VLOOKUP($O3474,'Customer List'!$A$1:$J$488,10,FALSE),"")</f>
        <v/>
      </c>
    </row>
    <row r="3475" spans="18:23">
      <c r="R3475" s="127">
        <f t="shared" si="183"/>
        <v>0</v>
      </c>
      <c r="T3475" s="128">
        <f t="shared" si="184"/>
        <v>0</v>
      </c>
      <c r="U3475" s="129" t="str">
        <f>IFERROR(IF(#REF!="S",VLOOKUP('Raw Data'!A3475,References!#REF!,2,FALSE),(VLOOKUP($S3475,References!$B$3:$C$7,2,FALSE))),"")</f>
        <v/>
      </c>
      <c r="W3475" s="74" t="str">
        <f>IFERROR(VLOOKUP($O3475,'Customer List'!$A$1:$J$488,10,FALSE),"")</f>
        <v/>
      </c>
    </row>
    <row r="3476" spans="18:23">
      <c r="R3476" s="127">
        <f t="shared" si="183"/>
        <v>0</v>
      </c>
      <c r="T3476" s="128">
        <f t="shared" si="184"/>
        <v>0</v>
      </c>
      <c r="U3476" s="129" t="str">
        <f>IFERROR(IF(#REF!="S",VLOOKUP('Raw Data'!A3476,References!#REF!,2,FALSE),(VLOOKUP($S3476,References!$B$3:$C$7,2,FALSE))),"")</f>
        <v/>
      </c>
      <c r="W3476" s="74" t="str">
        <f>IFERROR(VLOOKUP($O3476,'Customer List'!$A$1:$J$488,10,FALSE),"")</f>
        <v/>
      </c>
    </row>
    <row r="3477" spans="18:23">
      <c r="R3477" s="127">
        <f t="shared" si="183"/>
        <v>0</v>
      </c>
      <c r="T3477" s="128">
        <f t="shared" si="184"/>
        <v>0</v>
      </c>
      <c r="U3477" s="129" t="str">
        <f>IFERROR(IF(#REF!="S",VLOOKUP('Raw Data'!A3477,References!#REF!,2,FALSE),(VLOOKUP($S3477,References!$B$3:$C$7,2,FALSE))),"")</f>
        <v/>
      </c>
      <c r="W3477" s="74" t="str">
        <f>IFERROR(VLOOKUP($O3477,'Customer List'!$A$1:$J$488,10,FALSE),"")</f>
        <v/>
      </c>
    </row>
    <row r="3478" spans="18:23">
      <c r="R3478" s="127">
        <f t="shared" si="183"/>
        <v>0</v>
      </c>
      <c r="T3478" s="128">
        <f t="shared" si="184"/>
        <v>0</v>
      </c>
      <c r="U3478" s="129" t="str">
        <f>IFERROR(IF(#REF!="S",VLOOKUP('Raw Data'!A3478,References!#REF!,2,FALSE),(VLOOKUP($S3478,References!$B$3:$C$7,2,FALSE))),"")</f>
        <v/>
      </c>
      <c r="W3478" s="74" t="str">
        <f>IFERROR(VLOOKUP($O3478,'Customer List'!$A$1:$J$488,10,FALSE),"")</f>
        <v/>
      </c>
    </row>
    <row r="3479" spans="18:23">
      <c r="R3479" s="127">
        <f t="shared" si="183"/>
        <v>0</v>
      </c>
      <c r="T3479" s="128">
        <f t="shared" si="184"/>
        <v>0</v>
      </c>
      <c r="U3479" s="129" t="str">
        <f>IFERROR(IF(#REF!="S",VLOOKUP('Raw Data'!A3479,References!#REF!,2,FALSE),(VLOOKUP($S3479,References!$B$3:$C$7,2,FALSE))),"")</f>
        <v/>
      </c>
      <c r="W3479" s="74" t="str">
        <f>IFERROR(VLOOKUP($O3479,'Customer List'!$A$1:$J$488,10,FALSE),"")</f>
        <v/>
      </c>
    </row>
    <row r="3480" spans="18:23">
      <c r="R3480" s="127">
        <f t="shared" si="183"/>
        <v>0</v>
      </c>
      <c r="T3480" s="128">
        <f t="shared" si="184"/>
        <v>0</v>
      </c>
      <c r="U3480" s="129" t="str">
        <f>IFERROR(IF(#REF!="S",VLOOKUP('Raw Data'!A3480,References!#REF!,2,FALSE),(VLOOKUP($S3480,References!$B$3:$C$7,2,FALSE))),"")</f>
        <v/>
      </c>
      <c r="W3480" s="74" t="str">
        <f>IFERROR(VLOOKUP($O3480,'Customer List'!$A$1:$J$488,10,FALSE),"")</f>
        <v/>
      </c>
    </row>
    <row r="3481" spans="18:23">
      <c r="R3481" s="127">
        <f t="shared" si="183"/>
        <v>0</v>
      </c>
      <c r="T3481" s="128">
        <f t="shared" si="184"/>
        <v>0</v>
      </c>
      <c r="U3481" s="129" t="str">
        <f>IFERROR(IF(#REF!="S",VLOOKUP('Raw Data'!A3481,References!#REF!,2,FALSE),(VLOOKUP($S3481,References!$B$3:$C$7,2,FALSE))),"")</f>
        <v/>
      </c>
      <c r="W3481" s="74" t="str">
        <f>IFERROR(VLOOKUP($O3481,'Customer List'!$A$1:$J$488,10,FALSE),"")</f>
        <v/>
      </c>
    </row>
    <row r="3482" spans="18:23">
      <c r="R3482" s="127">
        <f t="shared" si="183"/>
        <v>0</v>
      </c>
      <c r="T3482" s="128">
        <f t="shared" si="184"/>
        <v>0</v>
      </c>
      <c r="U3482" s="129" t="str">
        <f>IFERROR(IF(#REF!="S",VLOOKUP('Raw Data'!A3482,References!#REF!,2,FALSE),(VLOOKUP($S3482,References!$B$3:$C$7,2,FALSE))),"")</f>
        <v/>
      </c>
      <c r="W3482" s="74" t="str">
        <f>IFERROR(VLOOKUP($O3482,'Customer List'!$A$1:$J$488,10,FALSE),"")</f>
        <v/>
      </c>
    </row>
    <row r="3483" spans="18:23">
      <c r="R3483" s="127">
        <f t="shared" si="183"/>
        <v>0</v>
      </c>
      <c r="T3483" s="128">
        <f t="shared" si="184"/>
        <v>0</v>
      </c>
      <c r="U3483" s="129" t="str">
        <f>IFERROR(IF(#REF!="S",VLOOKUP('Raw Data'!A3483,References!#REF!,2,FALSE),(VLOOKUP($S3483,References!$B$3:$C$7,2,FALSE))),"")</f>
        <v/>
      </c>
      <c r="W3483" s="74" t="str">
        <f>IFERROR(VLOOKUP($O3483,'Customer List'!$A$1:$J$488,10,FALSE),"")</f>
        <v/>
      </c>
    </row>
    <row r="3484" spans="18:23">
      <c r="R3484" s="127">
        <f t="shared" si="183"/>
        <v>0</v>
      </c>
      <c r="T3484" s="128">
        <f t="shared" si="184"/>
        <v>0</v>
      </c>
      <c r="U3484" s="129" t="str">
        <f>IFERROR(IF(#REF!="S",VLOOKUP('Raw Data'!A3484,References!#REF!,2,FALSE),(VLOOKUP($S3484,References!$B$3:$C$7,2,FALSE))),"")</f>
        <v/>
      </c>
      <c r="W3484" s="74" t="str">
        <f>IFERROR(VLOOKUP($O3484,'Customer List'!$A$1:$J$488,10,FALSE),"")</f>
        <v/>
      </c>
    </row>
    <row r="3485" spans="18:23">
      <c r="R3485" s="127">
        <f t="shared" si="183"/>
        <v>0</v>
      </c>
      <c r="T3485" s="128">
        <f t="shared" si="184"/>
        <v>0</v>
      </c>
      <c r="U3485" s="129" t="str">
        <f>IFERROR(IF(#REF!="S",VLOOKUP('Raw Data'!A3485,References!#REF!,2,FALSE),(VLOOKUP($S3485,References!$B$3:$C$7,2,FALSE))),"")</f>
        <v/>
      </c>
      <c r="W3485" s="74" t="str">
        <f>IFERROR(VLOOKUP($O3485,'Customer List'!$A$1:$J$488,10,FALSE),"")</f>
        <v/>
      </c>
    </row>
    <row r="3486" spans="18:23">
      <c r="R3486" s="127">
        <f t="shared" si="183"/>
        <v>0</v>
      </c>
      <c r="T3486" s="128">
        <f t="shared" si="184"/>
        <v>0</v>
      </c>
      <c r="U3486" s="129" t="str">
        <f>IFERROR(IF(#REF!="S",VLOOKUP('Raw Data'!A3486,References!#REF!,2,FALSE),(VLOOKUP($S3486,References!$B$3:$C$7,2,FALSE))),"")</f>
        <v/>
      </c>
      <c r="W3486" s="74" t="str">
        <f>IFERROR(VLOOKUP($O3486,'Customer List'!$A$1:$J$488,10,FALSE),"")</f>
        <v/>
      </c>
    </row>
    <row r="3487" spans="18:23">
      <c r="R3487" s="127">
        <f t="shared" si="183"/>
        <v>0</v>
      </c>
      <c r="T3487" s="128">
        <f t="shared" si="184"/>
        <v>0</v>
      </c>
      <c r="U3487" s="129" t="str">
        <f>IFERROR(IF(#REF!="S",VLOOKUP('Raw Data'!A3487,References!#REF!,2,FALSE),(VLOOKUP($S3487,References!$B$3:$C$7,2,FALSE))),"")</f>
        <v/>
      </c>
      <c r="W3487" s="74" t="str">
        <f>IFERROR(VLOOKUP($O3487,'Customer List'!$A$1:$J$488,10,FALSE),"")</f>
        <v/>
      </c>
    </row>
    <row r="3488" spans="18:23">
      <c r="R3488" s="127">
        <f t="shared" si="183"/>
        <v>0</v>
      </c>
      <c r="T3488" s="128">
        <f t="shared" si="184"/>
        <v>0</v>
      </c>
      <c r="U3488" s="129" t="str">
        <f>IFERROR(IF(#REF!="S",VLOOKUP('Raw Data'!A3488,References!#REF!,2,FALSE),(VLOOKUP($S3488,References!$B$3:$C$7,2,FALSE))),"")</f>
        <v/>
      </c>
      <c r="W3488" s="74" t="str">
        <f>IFERROR(VLOOKUP($O3488,'Customer List'!$A$1:$J$488,10,FALSE),"")</f>
        <v/>
      </c>
    </row>
    <row r="3489" spans="18:23">
      <c r="R3489" s="127">
        <f t="shared" si="183"/>
        <v>0</v>
      </c>
      <c r="T3489" s="128">
        <f t="shared" si="184"/>
        <v>0</v>
      </c>
      <c r="U3489" s="129" t="str">
        <f>IFERROR(IF(#REF!="S",VLOOKUP('Raw Data'!A3489,References!#REF!,2,FALSE),(VLOOKUP($S3489,References!$B$3:$C$7,2,FALSE))),"")</f>
        <v/>
      </c>
      <c r="W3489" s="74" t="str">
        <f>IFERROR(VLOOKUP($O3489,'Customer List'!$A$1:$J$488,10,FALSE),"")</f>
        <v/>
      </c>
    </row>
    <row r="3490" spans="18:23">
      <c r="R3490" s="127">
        <f t="shared" ref="R3490:R3553" si="185">L3490-K3490</f>
        <v>0</v>
      </c>
      <c r="T3490" s="128">
        <f t="shared" si="184"/>
        <v>0</v>
      </c>
      <c r="U3490" s="129" t="str">
        <f>IFERROR(IF(#REF!="S",VLOOKUP('Raw Data'!A3490,References!#REF!,2,FALSE),(VLOOKUP($S3490,References!$B$3:$C$7,2,FALSE))),"")</f>
        <v/>
      </c>
      <c r="W3490" s="74" t="str">
        <f>IFERROR(VLOOKUP($O3490,'Customer List'!$A$1:$J$488,10,FALSE),"")</f>
        <v/>
      </c>
    </row>
    <row r="3491" spans="18:23">
      <c r="R3491" s="127">
        <f t="shared" si="185"/>
        <v>0</v>
      </c>
      <c r="T3491" s="128">
        <f t="shared" si="184"/>
        <v>0</v>
      </c>
      <c r="U3491" s="129" t="str">
        <f>IFERROR(IF(#REF!="S",VLOOKUP('Raw Data'!A3491,References!#REF!,2,FALSE),(VLOOKUP($S3491,References!$B$3:$C$7,2,FALSE))),"")</f>
        <v/>
      </c>
      <c r="W3491" s="74" t="str">
        <f>IFERROR(VLOOKUP($O3491,'Customer List'!$A$1:$J$488,10,FALSE),"")</f>
        <v/>
      </c>
    </row>
    <row r="3492" spans="18:23">
      <c r="R3492" s="127">
        <f t="shared" si="185"/>
        <v>0</v>
      </c>
      <c r="T3492" s="128">
        <f t="shared" si="184"/>
        <v>0</v>
      </c>
      <c r="U3492" s="129" t="str">
        <f>IFERROR(IF(#REF!="S",VLOOKUP('Raw Data'!A3492,References!#REF!,2,FALSE),(VLOOKUP($S3492,References!$B$3:$C$7,2,FALSE))),"")</f>
        <v/>
      </c>
      <c r="W3492" s="74" t="str">
        <f>IFERROR(VLOOKUP($O3492,'Customer List'!$A$1:$J$488,10,FALSE),"")</f>
        <v/>
      </c>
    </row>
    <row r="3493" spans="18:23">
      <c r="R3493" s="127">
        <f t="shared" si="185"/>
        <v>0</v>
      </c>
      <c r="T3493" s="128">
        <f t="shared" si="184"/>
        <v>0</v>
      </c>
      <c r="U3493" s="129" t="str">
        <f>IFERROR(IF(#REF!="S",VLOOKUP('Raw Data'!A3493,References!#REF!,2,FALSE),(VLOOKUP($S3493,References!$B$3:$C$7,2,FALSE))),"")</f>
        <v/>
      </c>
      <c r="W3493" s="74" t="str">
        <f>IFERROR(VLOOKUP($O3493,'Customer List'!$A$1:$J$488,10,FALSE),"")</f>
        <v/>
      </c>
    </row>
    <row r="3494" spans="18:23">
      <c r="R3494" s="127">
        <f t="shared" si="185"/>
        <v>0</v>
      </c>
      <c r="T3494" s="128">
        <f t="shared" si="184"/>
        <v>0</v>
      </c>
      <c r="U3494" s="129" t="str">
        <f>IFERROR(IF(#REF!="S",VLOOKUP('Raw Data'!A3494,References!#REF!,2,FALSE),(VLOOKUP($S3494,References!$B$3:$C$7,2,FALSE))),"")</f>
        <v/>
      </c>
      <c r="W3494" s="74" t="str">
        <f>IFERROR(VLOOKUP($O3494,'Customer List'!$A$1:$J$488,10,FALSE),"")</f>
        <v/>
      </c>
    </row>
    <row r="3495" spans="18:23">
      <c r="R3495" s="127">
        <f t="shared" si="185"/>
        <v>0</v>
      </c>
      <c r="T3495" s="128">
        <f t="shared" si="184"/>
        <v>0</v>
      </c>
      <c r="U3495" s="129" t="str">
        <f>IFERROR(IF(#REF!="S",VLOOKUP('Raw Data'!A3495,References!#REF!,2,FALSE),(VLOOKUP($S3495,References!$B$3:$C$7,2,FALSE))),"")</f>
        <v/>
      </c>
      <c r="W3495" s="74" t="str">
        <f>IFERROR(VLOOKUP($O3495,'Customer List'!$A$1:$J$488,10,FALSE),"")</f>
        <v/>
      </c>
    </row>
    <row r="3496" spans="18:23">
      <c r="R3496" s="127">
        <f t="shared" si="185"/>
        <v>0</v>
      </c>
      <c r="T3496" s="128">
        <f t="shared" si="184"/>
        <v>0</v>
      </c>
      <c r="U3496" s="129" t="str">
        <f>IFERROR(IF(#REF!="S",VLOOKUP('Raw Data'!A3496,References!#REF!,2,FALSE),(VLOOKUP($S3496,References!$B$3:$C$7,2,FALSE))),"")</f>
        <v/>
      </c>
      <c r="W3496" s="74" t="str">
        <f>IFERROR(VLOOKUP($O3496,'Customer List'!$A$1:$J$488,10,FALSE),"")</f>
        <v/>
      </c>
    </row>
    <row r="3497" spans="18:23">
      <c r="R3497" s="127">
        <f t="shared" si="185"/>
        <v>0</v>
      </c>
      <c r="T3497" s="128">
        <f t="shared" si="184"/>
        <v>0</v>
      </c>
      <c r="U3497" s="129" t="str">
        <f>IFERROR(IF(#REF!="S",VLOOKUP('Raw Data'!A3497,References!#REF!,2,FALSE),(VLOOKUP($S3497,References!$B$3:$C$7,2,FALSE))),"")</f>
        <v/>
      </c>
      <c r="W3497" s="74" t="str">
        <f>IFERROR(VLOOKUP($O3497,'Customer List'!$A$1:$J$488,10,FALSE),"")</f>
        <v/>
      </c>
    </row>
    <row r="3498" spans="18:23">
      <c r="R3498" s="127">
        <f t="shared" si="185"/>
        <v>0</v>
      </c>
      <c r="T3498" s="128">
        <f t="shared" si="184"/>
        <v>0</v>
      </c>
      <c r="U3498" s="129" t="str">
        <f>IFERROR(IF(#REF!="S",VLOOKUP('Raw Data'!A3498,References!#REF!,2,FALSE),(VLOOKUP($S3498,References!$B$3:$C$7,2,FALSE))),"")</f>
        <v/>
      </c>
      <c r="W3498" s="74" t="str">
        <f>IFERROR(VLOOKUP($O3498,'Customer List'!$A$1:$J$488,10,FALSE),"")</f>
        <v/>
      </c>
    </row>
    <row r="3499" spans="18:23">
      <c r="R3499" s="127">
        <f t="shared" si="185"/>
        <v>0</v>
      </c>
      <c r="T3499" s="128">
        <f t="shared" si="184"/>
        <v>0</v>
      </c>
      <c r="U3499" s="129" t="str">
        <f>IFERROR(IF(#REF!="S",VLOOKUP('Raw Data'!A3499,References!#REF!,2,FALSE),(VLOOKUP($S3499,References!$B$3:$C$7,2,FALSE))),"")</f>
        <v/>
      </c>
      <c r="W3499" s="74" t="str">
        <f>IFERROR(VLOOKUP($O3499,'Customer List'!$A$1:$J$488,10,FALSE),"")</f>
        <v/>
      </c>
    </row>
    <row r="3500" spans="18:23">
      <c r="R3500" s="127">
        <f t="shared" si="185"/>
        <v>0</v>
      </c>
      <c r="T3500" s="128">
        <f t="shared" si="184"/>
        <v>0</v>
      </c>
      <c r="U3500" s="129" t="str">
        <f>IFERROR(IF(#REF!="S",VLOOKUP('Raw Data'!A3500,References!#REF!,2,FALSE),(VLOOKUP($S3500,References!$B$3:$C$7,2,FALSE))),"")</f>
        <v/>
      </c>
      <c r="W3500" s="74" t="str">
        <f>IFERROR(VLOOKUP($O3500,'Customer List'!$A$1:$J$488,10,FALSE),"")</f>
        <v/>
      </c>
    </row>
    <row r="3501" spans="18:23">
      <c r="R3501" s="127">
        <f t="shared" si="185"/>
        <v>0</v>
      </c>
      <c r="T3501" s="128">
        <f t="shared" si="184"/>
        <v>0</v>
      </c>
      <c r="U3501" s="129" t="str">
        <f>IFERROR(IF(#REF!="S",VLOOKUP('Raw Data'!A3501,References!#REF!,2,FALSE),(VLOOKUP($S3501,References!$B$3:$C$7,2,FALSE))),"")</f>
        <v/>
      </c>
      <c r="W3501" s="74" t="str">
        <f>IFERROR(VLOOKUP($O3501,'Customer List'!$A$1:$J$488,10,FALSE),"")</f>
        <v/>
      </c>
    </row>
    <row r="3502" spans="18:23">
      <c r="R3502" s="127">
        <f t="shared" si="185"/>
        <v>0</v>
      </c>
      <c r="T3502" s="128">
        <f t="shared" si="184"/>
        <v>0</v>
      </c>
      <c r="U3502" s="129" t="str">
        <f>IFERROR(IF(#REF!="S",VLOOKUP('Raw Data'!A3502,References!#REF!,2,FALSE),(VLOOKUP($S3502,References!$B$3:$C$7,2,FALSE))),"")</f>
        <v/>
      </c>
      <c r="W3502" s="74" t="str">
        <f>IFERROR(VLOOKUP($O3502,'Customer List'!$A$1:$J$488,10,FALSE),"")</f>
        <v/>
      </c>
    </row>
    <row r="3503" spans="18:23">
      <c r="R3503" s="127">
        <f t="shared" si="185"/>
        <v>0</v>
      </c>
      <c r="T3503" s="128">
        <f t="shared" si="184"/>
        <v>0</v>
      </c>
      <c r="U3503" s="129" t="str">
        <f>IFERROR(IF(#REF!="S",VLOOKUP('Raw Data'!A3503,References!#REF!,2,FALSE),(VLOOKUP($S3503,References!$B$3:$C$7,2,FALSE))),"")</f>
        <v/>
      </c>
      <c r="W3503" s="74" t="str">
        <f>IFERROR(VLOOKUP($O3503,'Customer List'!$A$1:$J$488,10,FALSE),"")</f>
        <v/>
      </c>
    </row>
    <row r="3504" spans="18:23">
      <c r="R3504" s="127">
        <f t="shared" si="185"/>
        <v>0</v>
      </c>
      <c r="T3504" s="128">
        <f t="shared" si="184"/>
        <v>0</v>
      </c>
      <c r="U3504" s="129" t="str">
        <f>IFERROR(IF(#REF!="S",VLOOKUP('Raw Data'!A3504,References!#REF!,2,FALSE),(VLOOKUP($S3504,References!$B$3:$C$7,2,FALSE))),"")</f>
        <v/>
      </c>
      <c r="W3504" s="74" t="str">
        <f>IFERROR(VLOOKUP($O3504,'Customer List'!$A$1:$J$488,10,FALSE),"")</f>
        <v/>
      </c>
    </row>
    <row r="3505" spans="18:23">
      <c r="R3505" s="127">
        <f t="shared" si="185"/>
        <v>0</v>
      </c>
      <c r="T3505" s="128">
        <f t="shared" si="184"/>
        <v>0</v>
      </c>
      <c r="U3505" s="129" t="str">
        <f>IFERROR(IF(#REF!="S",VLOOKUP('Raw Data'!A3505,References!#REF!,2,FALSE),(VLOOKUP($S3505,References!$B$3:$C$7,2,FALSE))),"")</f>
        <v/>
      </c>
      <c r="W3505" s="74" t="str">
        <f>IFERROR(VLOOKUP($O3505,'Customer List'!$A$1:$J$488,10,FALSE),"")</f>
        <v/>
      </c>
    </row>
    <row r="3506" spans="18:23">
      <c r="R3506" s="127">
        <f t="shared" si="185"/>
        <v>0</v>
      </c>
      <c r="T3506" s="128">
        <f t="shared" si="184"/>
        <v>0</v>
      </c>
      <c r="U3506" s="129" t="str">
        <f>IFERROR(IF(#REF!="S",VLOOKUP('Raw Data'!A3506,References!#REF!,2,FALSE),(VLOOKUP($S3506,References!$B$3:$C$7,2,FALSE))),"")</f>
        <v/>
      </c>
      <c r="W3506" s="74" t="str">
        <f>IFERROR(VLOOKUP($O3506,'Customer List'!$A$1:$J$488,10,FALSE),"")</f>
        <v/>
      </c>
    </row>
    <row r="3507" spans="18:23">
      <c r="R3507" s="127">
        <f t="shared" si="185"/>
        <v>0</v>
      </c>
      <c r="T3507" s="128">
        <f t="shared" si="184"/>
        <v>0</v>
      </c>
      <c r="U3507" s="129" t="str">
        <f>IFERROR(IF(#REF!="S",VLOOKUP('Raw Data'!A3507,References!#REF!,2,FALSE),(VLOOKUP($S3507,References!$B$3:$C$7,2,FALSE))),"")</f>
        <v/>
      </c>
      <c r="W3507" s="74" t="str">
        <f>IFERROR(VLOOKUP($O3507,'Customer List'!$A$1:$J$488,10,FALSE),"")</f>
        <v/>
      </c>
    </row>
    <row r="3508" spans="18:23">
      <c r="R3508" s="127">
        <f t="shared" si="185"/>
        <v>0</v>
      </c>
      <c r="T3508" s="128">
        <f t="shared" si="184"/>
        <v>0</v>
      </c>
      <c r="U3508" s="129" t="str">
        <f>IFERROR(IF(#REF!="S",VLOOKUP('Raw Data'!A3508,References!#REF!,2,FALSE),(VLOOKUP($S3508,References!$B$3:$C$7,2,FALSE))),"")</f>
        <v/>
      </c>
      <c r="W3508" s="74" t="str">
        <f>IFERROR(VLOOKUP($O3508,'Customer List'!$A$1:$J$488,10,FALSE),"")</f>
        <v/>
      </c>
    </row>
    <row r="3509" spans="18:23">
      <c r="R3509" s="127">
        <f t="shared" si="185"/>
        <v>0</v>
      </c>
      <c r="T3509" s="128">
        <f t="shared" si="184"/>
        <v>0</v>
      </c>
      <c r="U3509" s="129" t="str">
        <f>IFERROR(IF(#REF!="S",VLOOKUP('Raw Data'!A3509,References!#REF!,2,FALSE),(VLOOKUP($S3509,References!$B$3:$C$7,2,FALSE))),"")</f>
        <v/>
      </c>
      <c r="W3509" s="74" t="str">
        <f>IFERROR(VLOOKUP($O3509,'Customer List'!$A$1:$J$488,10,FALSE),"")</f>
        <v/>
      </c>
    </row>
    <row r="3510" spans="18:23">
      <c r="R3510" s="127">
        <f t="shared" si="185"/>
        <v>0</v>
      </c>
      <c r="T3510" s="128">
        <f t="shared" si="184"/>
        <v>0</v>
      </c>
      <c r="U3510" s="129" t="str">
        <f>IFERROR(IF(#REF!="S",VLOOKUP('Raw Data'!A3510,References!#REF!,2,FALSE),(VLOOKUP($S3510,References!$B$3:$C$7,2,FALSE))),"")</f>
        <v/>
      </c>
      <c r="W3510" s="74" t="str">
        <f>IFERROR(VLOOKUP($O3510,'Customer List'!$A$1:$J$488,10,FALSE),"")</f>
        <v/>
      </c>
    </row>
    <row r="3511" spans="18:23">
      <c r="R3511" s="127">
        <f t="shared" si="185"/>
        <v>0</v>
      </c>
      <c r="T3511" s="128">
        <f t="shared" si="184"/>
        <v>0</v>
      </c>
      <c r="U3511" s="129" t="str">
        <f>IFERROR(IF(#REF!="S",VLOOKUP('Raw Data'!A3511,References!#REF!,2,FALSE),(VLOOKUP($S3511,References!$B$3:$C$7,2,FALSE))),"")</f>
        <v/>
      </c>
      <c r="W3511" s="74" t="str">
        <f>IFERROR(VLOOKUP($O3511,'Customer List'!$A$1:$J$488,10,FALSE),"")</f>
        <v/>
      </c>
    </row>
    <row r="3512" spans="18:23">
      <c r="R3512" s="127">
        <f t="shared" si="185"/>
        <v>0</v>
      </c>
      <c r="T3512" s="128">
        <f t="shared" si="184"/>
        <v>0</v>
      </c>
      <c r="U3512" s="129" t="str">
        <f>IFERROR(IF(#REF!="S",VLOOKUP('Raw Data'!A3512,References!#REF!,2,FALSE),(VLOOKUP($S3512,References!$B$3:$C$7,2,FALSE))),"")</f>
        <v/>
      </c>
      <c r="W3512" s="74" t="str">
        <f>IFERROR(VLOOKUP($O3512,'Customer List'!$A$1:$J$488,10,FALSE),"")</f>
        <v/>
      </c>
    </row>
    <row r="3513" spans="18:23">
      <c r="R3513" s="127">
        <f t="shared" si="185"/>
        <v>0</v>
      </c>
      <c r="T3513" s="128">
        <f t="shared" si="184"/>
        <v>0</v>
      </c>
      <c r="U3513" s="129" t="str">
        <f>IFERROR(IF(#REF!="S",VLOOKUP('Raw Data'!A3513,References!#REF!,2,FALSE),(VLOOKUP($S3513,References!$B$3:$C$7,2,FALSE))),"")</f>
        <v/>
      </c>
      <c r="W3513" s="74" t="str">
        <f>IFERROR(VLOOKUP($O3513,'Customer List'!$A$1:$J$488,10,FALSE),"")</f>
        <v/>
      </c>
    </row>
    <row r="3514" spans="18:23">
      <c r="R3514" s="127">
        <f t="shared" si="185"/>
        <v>0</v>
      </c>
      <c r="T3514" s="128">
        <f t="shared" si="184"/>
        <v>0</v>
      </c>
      <c r="U3514" s="129" t="str">
        <f>IFERROR(IF(#REF!="S",VLOOKUP('Raw Data'!A3514,References!#REF!,2,FALSE),(VLOOKUP($S3514,References!$B$3:$C$7,2,FALSE))),"")</f>
        <v/>
      </c>
      <c r="W3514" s="74" t="str">
        <f>IFERROR(VLOOKUP($O3514,'Customer List'!$A$1:$J$488,10,FALSE),"")</f>
        <v/>
      </c>
    </row>
    <row r="3515" spans="18:23">
      <c r="R3515" s="127">
        <f t="shared" si="185"/>
        <v>0</v>
      </c>
      <c r="T3515" s="128">
        <f t="shared" si="184"/>
        <v>0</v>
      </c>
      <c r="U3515" s="129" t="str">
        <f>IFERROR(IF(#REF!="S",VLOOKUP('Raw Data'!A3515,References!#REF!,2,FALSE),(VLOOKUP($S3515,References!$B$3:$C$7,2,FALSE))),"")</f>
        <v/>
      </c>
      <c r="W3515" s="74" t="str">
        <f>IFERROR(VLOOKUP($O3515,'Customer List'!$A$1:$J$488,10,FALSE),"")</f>
        <v/>
      </c>
    </row>
    <row r="3516" spans="18:23">
      <c r="R3516" s="127">
        <f t="shared" si="185"/>
        <v>0</v>
      </c>
      <c r="T3516" s="128">
        <f t="shared" si="184"/>
        <v>0</v>
      </c>
      <c r="U3516" s="129" t="str">
        <f>IFERROR(IF(#REF!="S",VLOOKUP('Raw Data'!A3516,References!#REF!,2,FALSE),(VLOOKUP($S3516,References!$B$3:$C$7,2,FALSE))),"")</f>
        <v/>
      </c>
      <c r="W3516" s="74" t="str">
        <f>IFERROR(VLOOKUP($O3516,'Customer List'!$A$1:$J$488,10,FALSE),"")</f>
        <v/>
      </c>
    </row>
    <row r="3517" spans="18:23">
      <c r="R3517" s="127">
        <f t="shared" si="185"/>
        <v>0</v>
      </c>
      <c r="T3517" s="128">
        <f t="shared" si="184"/>
        <v>0</v>
      </c>
      <c r="U3517" s="129" t="str">
        <f>IFERROR(IF(#REF!="S",VLOOKUP('Raw Data'!A3517,References!#REF!,2,FALSE),(VLOOKUP($S3517,References!$B$3:$C$7,2,FALSE))),"")</f>
        <v/>
      </c>
      <c r="W3517" s="74" t="str">
        <f>IFERROR(VLOOKUP($O3517,'Customer List'!$A$1:$J$488,10,FALSE),"")</f>
        <v/>
      </c>
    </row>
    <row r="3518" spans="18:23">
      <c r="R3518" s="127">
        <f t="shared" si="185"/>
        <v>0</v>
      </c>
      <c r="T3518" s="128">
        <f t="shared" si="184"/>
        <v>0</v>
      </c>
      <c r="U3518" s="129" t="str">
        <f>IFERROR(IF(#REF!="S",VLOOKUP('Raw Data'!A3518,References!#REF!,2,FALSE),(VLOOKUP($S3518,References!$B$3:$C$7,2,FALSE))),"")</f>
        <v/>
      </c>
      <c r="W3518" s="74" t="str">
        <f>IFERROR(VLOOKUP($O3518,'Customer List'!$A$1:$J$488,10,FALSE),"")</f>
        <v/>
      </c>
    </row>
    <row r="3519" spans="18:23">
      <c r="R3519" s="127">
        <f t="shared" si="185"/>
        <v>0</v>
      </c>
      <c r="T3519" s="128">
        <f t="shared" si="184"/>
        <v>0</v>
      </c>
      <c r="U3519" s="129" t="str">
        <f>IFERROR(IF(#REF!="S",VLOOKUP('Raw Data'!A3519,References!#REF!,2,FALSE),(VLOOKUP($S3519,References!$B$3:$C$7,2,FALSE))),"")</f>
        <v/>
      </c>
      <c r="W3519" s="74" t="str">
        <f>IFERROR(VLOOKUP($O3519,'Customer List'!$A$1:$J$488,10,FALSE),"")</f>
        <v/>
      </c>
    </row>
    <row r="3520" spans="18:23">
      <c r="R3520" s="127">
        <f t="shared" si="185"/>
        <v>0</v>
      </c>
      <c r="T3520" s="128">
        <f t="shared" si="184"/>
        <v>0</v>
      </c>
      <c r="U3520" s="129" t="str">
        <f>IFERROR(IF(#REF!="S",VLOOKUP('Raw Data'!A3520,References!#REF!,2,FALSE),(VLOOKUP($S3520,References!$B$3:$C$7,2,FALSE))),"")</f>
        <v/>
      </c>
      <c r="W3520" s="74" t="str">
        <f>IFERROR(VLOOKUP($O3520,'Customer List'!$A$1:$J$488,10,FALSE),"")</f>
        <v/>
      </c>
    </row>
    <row r="3521" spans="18:23">
      <c r="R3521" s="127">
        <f t="shared" si="185"/>
        <v>0</v>
      </c>
      <c r="T3521" s="128">
        <f t="shared" si="184"/>
        <v>0</v>
      </c>
      <c r="U3521" s="129" t="str">
        <f>IFERROR(IF(#REF!="S",VLOOKUP('Raw Data'!A3521,References!#REF!,2,FALSE),(VLOOKUP($S3521,References!$B$3:$C$7,2,FALSE))),"")</f>
        <v/>
      </c>
      <c r="W3521" s="74" t="str">
        <f>IFERROR(VLOOKUP($O3521,'Customer List'!$A$1:$J$488,10,FALSE),"")</f>
        <v/>
      </c>
    </row>
    <row r="3522" spans="18:23">
      <c r="R3522" s="127">
        <f t="shared" si="185"/>
        <v>0</v>
      </c>
      <c r="T3522" s="128">
        <f t="shared" si="184"/>
        <v>0</v>
      </c>
      <c r="U3522" s="129" t="str">
        <f>IFERROR(IF(#REF!="S",VLOOKUP('Raw Data'!A3522,References!#REF!,2,FALSE),(VLOOKUP($S3522,References!$B$3:$C$7,2,FALSE))),"")</f>
        <v/>
      </c>
      <c r="W3522" s="74" t="str">
        <f>IFERROR(VLOOKUP($O3522,'Customer List'!$A$1:$J$488,10,FALSE),"")</f>
        <v/>
      </c>
    </row>
    <row r="3523" spans="18:23">
      <c r="R3523" s="127">
        <f t="shared" si="185"/>
        <v>0</v>
      </c>
      <c r="T3523" s="128">
        <f t="shared" si="184"/>
        <v>0</v>
      </c>
      <c r="U3523" s="129" t="str">
        <f>IFERROR(IF(#REF!="S",VLOOKUP('Raw Data'!A3523,References!#REF!,2,FALSE),(VLOOKUP($S3523,References!$B$3:$C$7,2,FALSE))),"")</f>
        <v/>
      </c>
      <c r="W3523" s="74" t="str">
        <f>IFERROR(VLOOKUP($O3523,'Customer List'!$A$1:$J$488,10,FALSE),"")</f>
        <v/>
      </c>
    </row>
    <row r="3524" spans="18:23">
      <c r="R3524" s="127">
        <f t="shared" si="185"/>
        <v>0</v>
      </c>
      <c r="T3524" s="128">
        <f t="shared" si="184"/>
        <v>0</v>
      </c>
      <c r="U3524" s="129" t="str">
        <f>IFERROR(IF(#REF!="S",VLOOKUP('Raw Data'!A3524,References!#REF!,2,FALSE),(VLOOKUP($S3524,References!$B$3:$C$7,2,FALSE))),"")</f>
        <v/>
      </c>
      <c r="W3524" s="74" t="str">
        <f>IFERROR(VLOOKUP($O3524,'Customer List'!$A$1:$J$488,10,FALSE),"")</f>
        <v/>
      </c>
    </row>
    <row r="3525" spans="18:23">
      <c r="R3525" s="127">
        <f t="shared" si="185"/>
        <v>0</v>
      </c>
      <c r="T3525" s="128">
        <f t="shared" si="184"/>
        <v>0</v>
      </c>
      <c r="U3525" s="129" t="str">
        <f>IFERROR(IF(#REF!="S",VLOOKUP('Raw Data'!A3525,References!#REF!,2,FALSE),(VLOOKUP($S3525,References!$B$3:$C$7,2,FALSE))),"")</f>
        <v/>
      </c>
      <c r="W3525" s="74" t="str">
        <f>IFERROR(VLOOKUP($O3525,'Customer List'!$A$1:$J$488,10,FALSE),"")</f>
        <v/>
      </c>
    </row>
    <row r="3526" spans="18:23">
      <c r="R3526" s="127">
        <f t="shared" si="185"/>
        <v>0</v>
      </c>
      <c r="T3526" s="128">
        <f t="shared" si="184"/>
        <v>0</v>
      </c>
      <c r="U3526" s="129" t="str">
        <f>IFERROR(IF(#REF!="S",VLOOKUP('Raw Data'!A3526,References!#REF!,2,FALSE),(VLOOKUP($S3526,References!$B$3:$C$7,2,FALSE))),"")</f>
        <v/>
      </c>
      <c r="W3526" s="74" t="str">
        <f>IFERROR(VLOOKUP($O3526,'Customer List'!$A$1:$J$488,10,FALSE),"")</f>
        <v/>
      </c>
    </row>
    <row r="3527" spans="18:23">
      <c r="R3527" s="127">
        <f t="shared" si="185"/>
        <v>0</v>
      </c>
      <c r="T3527" s="128">
        <f t="shared" si="184"/>
        <v>0</v>
      </c>
      <c r="U3527" s="129" t="str">
        <f>IFERROR(IF(#REF!="S",VLOOKUP('Raw Data'!A3527,References!#REF!,2,FALSE),(VLOOKUP($S3527,References!$B$3:$C$7,2,FALSE))),"")</f>
        <v/>
      </c>
      <c r="W3527" s="74" t="str">
        <f>IFERROR(VLOOKUP($O3527,'Customer List'!$A$1:$J$488,10,FALSE),"")</f>
        <v/>
      </c>
    </row>
    <row r="3528" spans="18:23">
      <c r="R3528" s="127">
        <f t="shared" si="185"/>
        <v>0</v>
      </c>
      <c r="T3528" s="128">
        <f t="shared" si="184"/>
        <v>0</v>
      </c>
      <c r="U3528" s="129" t="str">
        <f>IFERROR(IF(#REF!="S",VLOOKUP('Raw Data'!A3528,References!#REF!,2,FALSE),(VLOOKUP($S3528,References!$B$3:$C$7,2,FALSE))),"")</f>
        <v/>
      </c>
      <c r="W3528" s="74" t="str">
        <f>IFERROR(VLOOKUP($O3528,'Customer List'!$A$1:$J$488,10,FALSE),"")</f>
        <v/>
      </c>
    </row>
    <row r="3529" spans="18:23">
      <c r="R3529" s="127">
        <f t="shared" si="185"/>
        <v>0</v>
      </c>
      <c r="T3529" s="128">
        <f t="shared" si="184"/>
        <v>0</v>
      </c>
      <c r="U3529" s="129" t="str">
        <f>IFERROR(IF(#REF!="S",VLOOKUP('Raw Data'!A3529,References!#REF!,2,FALSE),(VLOOKUP($S3529,References!$B$3:$C$7,2,FALSE))),"")</f>
        <v/>
      </c>
      <c r="W3529" s="74" t="str">
        <f>IFERROR(VLOOKUP($O3529,'Customer List'!$A$1:$J$488,10,FALSE),"")</f>
        <v/>
      </c>
    </row>
    <row r="3530" spans="18:23">
      <c r="R3530" s="127">
        <f t="shared" si="185"/>
        <v>0</v>
      </c>
      <c r="T3530" s="128">
        <f t="shared" ref="T3530:T3593" si="186">IF(S3530="50 - Cleaning Fee",1,HOUR($R3530)+MINUTE(R3530)/60)</f>
        <v>0</v>
      </c>
      <c r="U3530" s="129" t="str">
        <f>IFERROR(IF(#REF!="S",VLOOKUP('Raw Data'!A3530,References!#REF!,2,FALSE),(VLOOKUP($S3530,References!$B$3:$C$7,2,FALSE))),"")</f>
        <v/>
      </c>
      <c r="W3530" s="74" t="str">
        <f>IFERROR(VLOOKUP($O3530,'Customer List'!$A$1:$J$488,10,FALSE),"")</f>
        <v/>
      </c>
    </row>
    <row r="3531" spans="18:23">
      <c r="R3531" s="127">
        <f t="shared" si="185"/>
        <v>0</v>
      </c>
      <c r="T3531" s="128">
        <f t="shared" si="186"/>
        <v>0</v>
      </c>
      <c r="U3531" s="129" t="str">
        <f>IFERROR(IF(#REF!="S",VLOOKUP('Raw Data'!A3531,References!#REF!,2,FALSE),(VLOOKUP($S3531,References!$B$3:$C$7,2,FALSE))),"")</f>
        <v/>
      </c>
      <c r="W3531" s="74" t="str">
        <f>IFERROR(VLOOKUP($O3531,'Customer List'!$A$1:$J$488,10,FALSE),"")</f>
        <v/>
      </c>
    </row>
    <row r="3532" spans="18:23">
      <c r="R3532" s="127">
        <f t="shared" si="185"/>
        <v>0</v>
      </c>
      <c r="T3532" s="128">
        <f t="shared" si="186"/>
        <v>0</v>
      </c>
      <c r="U3532" s="129" t="str">
        <f>IFERROR(IF(#REF!="S",VLOOKUP('Raw Data'!A3532,References!#REF!,2,FALSE),(VLOOKUP($S3532,References!$B$3:$C$7,2,FALSE))),"")</f>
        <v/>
      </c>
      <c r="W3532" s="74" t="str">
        <f>IFERROR(VLOOKUP($O3532,'Customer List'!$A$1:$J$488,10,FALSE),"")</f>
        <v/>
      </c>
    </row>
    <row r="3533" spans="18:23">
      <c r="R3533" s="127">
        <f t="shared" si="185"/>
        <v>0</v>
      </c>
      <c r="T3533" s="128">
        <f t="shared" si="186"/>
        <v>0</v>
      </c>
      <c r="U3533" s="129" t="str">
        <f>IFERROR(IF(#REF!="S",VLOOKUP('Raw Data'!A3533,References!#REF!,2,FALSE),(VLOOKUP($S3533,References!$B$3:$C$7,2,FALSE))),"")</f>
        <v/>
      </c>
      <c r="W3533" s="74" t="str">
        <f>IFERROR(VLOOKUP($O3533,'Customer List'!$A$1:$J$488,10,FALSE),"")</f>
        <v/>
      </c>
    </row>
    <row r="3534" spans="18:23">
      <c r="R3534" s="127">
        <f t="shared" si="185"/>
        <v>0</v>
      </c>
      <c r="T3534" s="128">
        <f t="shared" si="186"/>
        <v>0</v>
      </c>
      <c r="U3534" s="129" t="str">
        <f>IFERROR(IF(#REF!="S",VLOOKUP('Raw Data'!A3534,References!#REF!,2,FALSE),(VLOOKUP($S3534,References!$B$3:$C$7,2,FALSE))),"")</f>
        <v/>
      </c>
      <c r="W3534" s="74" t="str">
        <f>IFERROR(VLOOKUP($O3534,'Customer List'!$A$1:$J$488,10,FALSE),"")</f>
        <v/>
      </c>
    </row>
    <row r="3535" spans="18:23">
      <c r="R3535" s="127">
        <f t="shared" si="185"/>
        <v>0</v>
      </c>
      <c r="T3535" s="128">
        <f t="shared" si="186"/>
        <v>0</v>
      </c>
      <c r="U3535" s="129" t="str">
        <f>IFERROR(IF(#REF!="S",VLOOKUP('Raw Data'!A3535,References!#REF!,2,FALSE),(VLOOKUP($S3535,References!$B$3:$C$7,2,FALSE))),"")</f>
        <v/>
      </c>
      <c r="W3535" s="74" t="str">
        <f>IFERROR(VLOOKUP($O3535,'Customer List'!$A$1:$J$488,10,FALSE),"")</f>
        <v/>
      </c>
    </row>
    <row r="3536" spans="18:23">
      <c r="R3536" s="127">
        <f t="shared" si="185"/>
        <v>0</v>
      </c>
      <c r="T3536" s="128">
        <f t="shared" si="186"/>
        <v>0</v>
      </c>
      <c r="U3536" s="129" t="str">
        <f>IFERROR(IF(#REF!="S",VLOOKUP('Raw Data'!A3536,References!#REF!,2,FALSE),(VLOOKUP($S3536,References!$B$3:$C$7,2,FALSE))),"")</f>
        <v/>
      </c>
      <c r="W3536" s="74" t="str">
        <f>IFERROR(VLOOKUP($O3536,'Customer List'!$A$1:$J$488,10,FALSE),"")</f>
        <v/>
      </c>
    </row>
    <row r="3537" spans="18:23">
      <c r="R3537" s="127">
        <f t="shared" si="185"/>
        <v>0</v>
      </c>
      <c r="T3537" s="128">
        <f t="shared" si="186"/>
        <v>0</v>
      </c>
      <c r="U3537" s="129" t="str">
        <f>IFERROR(IF(#REF!="S",VLOOKUP('Raw Data'!A3537,References!#REF!,2,FALSE),(VLOOKUP($S3537,References!$B$3:$C$7,2,FALSE))),"")</f>
        <v/>
      </c>
      <c r="W3537" s="74" t="str">
        <f>IFERROR(VLOOKUP($O3537,'Customer List'!$A$1:$J$488,10,FALSE),"")</f>
        <v/>
      </c>
    </row>
    <row r="3538" spans="18:23">
      <c r="R3538" s="127">
        <f t="shared" si="185"/>
        <v>0</v>
      </c>
      <c r="T3538" s="128">
        <f t="shared" si="186"/>
        <v>0</v>
      </c>
      <c r="U3538" s="129" t="str">
        <f>IFERROR(IF(#REF!="S",VLOOKUP('Raw Data'!A3538,References!#REF!,2,FALSE),(VLOOKUP($S3538,References!$B$3:$C$7,2,FALSE))),"")</f>
        <v/>
      </c>
      <c r="W3538" s="74" t="str">
        <f>IFERROR(VLOOKUP($O3538,'Customer List'!$A$1:$J$488,10,FALSE),"")</f>
        <v/>
      </c>
    </row>
    <row r="3539" spans="18:23">
      <c r="R3539" s="127">
        <f t="shared" si="185"/>
        <v>0</v>
      </c>
      <c r="T3539" s="128">
        <f t="shared" si="186"/>
        <v>0</v>
      </c>
      <c r="U3539" s="129" t="str">
        <f>IFERROR(IF(#REF!="S",VLOOKUP('Raw Data'!A3539,References!#REF!,2,FALSE),(VLOOKUP($S3539,References!$B$3:$C$7,2,FALSE))),"")</f>
        <v/>
      </c>
      <c r="W3539" s="74" t="str">
        <f>IFERROR(VLOOKUP($O3539,'Customer List'!$A$1:$J$488,10,FALSE),"")</f>
        <v/>
      </c>
    </row>
    <row r="3540" spans="18:23">
      <c r="R3540" s="127">
        <f t="shared" si="185"/>
        <v>0</v>
      </c>
      <c r="T3540" s="128">
        <f t="shared" si="186"/>
        <v>0</v>
      </c>
      <c r="U3540" s="129" t="str">
        <f>IFERROR(IF(#REF!="S",VLOOKUP('Raw Data'!A3540,References!#REF!,2,FALSE),(VLOOKUP($S3540,References!$B$3:$C$7,2,FALSE))),"")</f>
        <v/>
      </c>
      <c r="W3540" s="74" t="str">
        <f>IFERROR(VLOOKUP($O3540,'Customer List'!$A$1:$J$488,10,FALSE),"")</f>
        <v/>
      </c>
    </row>
    <row r="3541" spans="18:23">
      <c r="R3541" s="127">
        <f t="shared" si="185"/>
        <v>0</v>
      </c>
      <c r="T3541" s="128">
        <f t="shared" si="186"/>
        <v>0</v>
      </c>
      <c r="U3541" s="129" t="str">
        <f>IFERROR(IF(#REF!="S",VLOOKUP('Raw Data'!A3541,References!#REF!,2,FALSE),(VLOOKUP($S3541,References!$B$3:$C$7,2,FALSE))),"")</f>
        <v/>
      </c>
      <c r="W3541" s="74" t="str">
        <f>IFERROR(VLOOKUP($O3541,'Customer List'!$A$1:$J$488,10,FALSE),"")</f>
        <v/>
      </c>
    </row>
    <row r="3542" spans="18:23">
      <c r="R3542" s="127">
        <f t="shared" si="185"/>
        <v>0</v>
      </c>
      <c r="T3542" s="128">
        <f t="shared" si="186"/>
        <v>0</v>
      </c>
      <c r="U3542" s="129" t="str">
        <f>IFERROR(IF(#REF!="S",VLOOKUP('Raw Data'!A3542,References!#REF!,2,FALSE),(VLOOKUP($S3542,References!$B$3:$C$7,2,FALSE))),"")</f>
        <v/>
      </c>
      <c r="W3542" s="74" t="str">
        <f>IFERROR(VLOOKUP($O3542,'Customer List'!$A$1:$J$488,10,FALSE),"")</f>
        <v/>
      </c>
    </row>
    <row r="3543" spans="18:23">
      <c r="R3543" s="127">
        <f t="shared" si="185"/>
        <v>0</v>
      </c>
      <c r="T3543" s="128">
        <f t="shared" si="186"/>
        <v>0</v>
      </c>
      <c r="U3543" s="129" t="str">
        <f>IFERROR(IF(#REF!="S",VLOOKUP('Raw Data'!A3543,References!#REF!,2,FALSE),(VLOOKUP($S3543,References!$B$3:$C$7,2,FALSE))),"")</f>
        <v/>
      </c>
      <c r="W3543" s="74" t="str">
        <f>IFERROR(VLOOKUP($O3543,'Customer List'!$A$1:$J$488,10,FALSE),"")</f>
        <v/>
      </c>
    </row>
    <row r="3544" spans="18:23">
      <c r="R3544" s="127">
        <f t="shared" si="185"/>
        <v>0</v>
      </c>
      <c r="T3544" s="128">
        <f t="shared" si="186"/>
        <v>0</v>
      </c>
      <c r="U3544" s="129" t="str">
        <f>IFERROR(IF(#REF!="S",VLOOKUP('Raw Data'!A3544,References!#REF!,2,FALSE),(VLOOKUP($S3544,References!$B$3:$C$7,2,FALSE))),"")</f>
        <v/>
      </c>
      <c r="W3544" s="74" t="str">
        <f>IFERROR(VLOOKUP($O3544,'Customer List'!$A$1:$J$488,10,FALSE),"")</f>
        <v/>
      </c>
    </row>
    <row r="3545" spans="18:23">
      <c r="R3545" s="127">
        <f t="shared" si="185"/>
        <v>0</v>
      </c>
      <c r="T3545" s="128">
        <f t="shared" si="186"/>
        <v>0</v>
      </c>
      <c r="U3545" s="129" t="str">
        <f>IFERROR(IF(#REF!="S",VLOOKUP('Raw Data'!A3545,References!#REF!,2,FALSE),(VLOOKUP($S3545,References!$B$3:$C$7,2,FALSE))),"")</f>
        <v/>
      </c>
      <c r="W3545" s="74" t="str">
        <f>IFERROR(VLOOKUP($O3545,'Customer List'!$A$1:$J$488,10,FALSE),"")</f>
        <v/>
      </c>
    </row>
    <row r="3546" spans="18:23">
      <c r="R3546" s="127">
        <f t="shared" si="185"/>
        <v>0</v>
      </c>
      <c r="T3546" s="128">
        <f t="shared" si="186"/>
        <v>0</v>
      </c>
      <c r="U3546" s="129" t="str">
        <f>IFERROR(IF(#REF!="S",VLOOKUP('Raw Data'!A3546,References!#REF!,2,FALSE),(VLOOKUP($S3546,References!$B$3:$C$7,2,FALSE))),"")</f>
        <v/>
      </c>
      <c r="W3546" s="74" t="str">
        <f>IFERROR(VLOOKUP($O3546,'Customer List'!$A$1:$J$488,10,FALSE),"")</f>
        <v/>
      </c>
    </row>
    <row r="3547" spans="18:23">
      <c r="R3547" s="127">
        <f t="shared" si="185"/>
        <v>0</v>
      </c>
      <c r="T3547" s="128">
        <f t="shared" si="186"/>
        <v>0</v>
      </c>
      <c r="U3547" s="129" t="str">
        <f>IFERROR(IF(#REF!="S",VLOOKUP('Raw Data'!A3547,References!#REF!,2,FALSE),(VLOOKUP($S3547,References!$B$3:$C$7,2,FALSE))),"")</f>
        <v/>
      </c>
      <c r="W3547" s="74" t="str">
        <f>IFERROR(VLOOKUP($O3547,'Customer List'!$A$1:$J$488,10,FALSE),"")</f>
        <v/>
      </c>
    </row>
    <row r="3548" spans="18:23">
      <c r="R3548" s="127">
        <f t="shared" si="185"/>
        <v>0</v>
      </c>
      <c r="T3548" s="128">
        <f t="shared" si="186"/>
        <v>0</v>
      </c>
      <c r="U3548" s="129" t="str">
        <f>IFERROR(IF(#REF!="S",VLOOKUP('Raw Data'!A3548,References!#REF!,2,FALSE),(VLOOKUP($S3548,References!$B$3:$C$7,2,FALSE))),"")</f>
        <v/>
      </c>
      <c r="W3548" s="74" t="str">
        <f>IFERROR(VLOOKUP($O3548,'Customer List'!$A$1:$J$488,10,FALSE),"")</f>
        <v/>
      </c>
    </row>
    <row r="3549" spans="18:23">
      <c r="R3549" s="127">
        <f t="shared" si="185"/>
        <v>0</v>
      </c>
      <c r="T3549" s="128">
        <f t="shared" si="186"/>
        <v>0</v>
      </c>
      <c r="U3549" s="129" t="str">
        <f>IFERROR(IF(#REF!="S",VLOOKUP('Raw Data'!A3549,References!#REF!,2,FALSE),(VLOOKUP($S3549,References!$B$3:$C$7,2,FALSE))),"")</f>
        <v/>
      </c>
      <c r="W3549" s="74" t="str">
        <f>IFERROR(VLOOKUP($O3549,'Customer List'!$A$1:$J$488,10,FALSE),"")</f>
        <v/>
      </c>
    </row>
    <row r="3550" spans="18:23">
      <c r="R3550" s="127">
        <f t="shared" si="185"/>
        <v>0</v>
      </c>
      <c r="T3550" s="128">
        <f t="shared" si="186"/>
        <v>0</v>
      </c>
      <c r="U3550" s="129" t="str">
        <f>IFERROR(IF(#REF!="S",VLOOKUP('Raw Data'!A3550,References!#REF!,2,FALSE),(VLOOKUP($S3550,References!$B$3:$C$7,2,FALSE))),"")</f>
        <v/>
      </c>
      <c r="W3550" s="74" t="str">
        <f>IFERROR(VLOOKUP($O3550,'Customer List'!$A$1:$J$488,10,FALSE),"")</f>
        <v/>
      </c>
    </row>
    <row r="3551" spans="18:23">
      <c r="R3551" s="127">
        <f t="shared" si="185"/>
        <v>0</v>
      </c>
      <c r="T3551" s="128">
        <f t="shared" si="186"/>
        <v>0</v>
      </c>
      <c r="U3551" s="129" t="str">
        <f>IFERROR(IF(#REF!="S",VLOOKUP('Raw Data'!A3551,References!#REF!,2,FALSE),(VLOOKUP($S3551,References!$B$3:$C$7,2,FALSE))),"")</f>
        <v/>
      </c>
      <c r="W3551" s="74" t="str">
        <f>IFERROR(VLOOKUP($O3551,'Customer List'!$A$1:$J$488,10,FALSE),"")</f>
        <v/>
      </c>
    </row>
    <row r="3552" spans="18:23">
      <c r="R3552" s="127">
        <f t="shared" si="185"/>
        <v>0</v>
      </c>
      <c r="T3552" s="128">
        <f t="shared" si="186"/>
        <v>0</v>
      </c>
      <c r="U3552" s="129" t="str">
        <f>IFERROR(IF(#REF!="S",VLOOKUP('Raw Data'!A3552,References!#REF!,2,FALSE),(VLOOKUP($S3552,References!$B$3:$C$7,2,FALSE))),"")</f>
        <v/>
      </c>
      <c r="W3552" s="74" t="str">
        <f>IFERROR(VLOOKUP($O3552,'Customer List'!$A$1:$J$488,10,FALSE),"")</f>
        <v/>
      </c>
    </row>
    <row r="3553" spans="18:23">
      <c r="R3553" s="127">
        <f t="shared" si="185"/>
        <v>0</v>
      </c>
      <c r="T3553" s="128">
        <f t="shared" si="186"/>
        <v>0</v>
      </c>
      <c r="U3553" s="129" t="str">
        <f>IFERROR(IF(#REF!="S",VLOOKUP('Raw Data'!A3553,References!#REF!,2,FALSE),(VLOOKUP($S3553,References!$B$3:$C$7,2,FALSE))),"")</f>
        <v/>
      </c>
      <c r="W3553" s="74" t="str">
        <f>IFERROR(VLOOKUP($O3553,'Customer List'!$A$1:$J$488,10,FALSE),"")</f>
        <v/>
      </c>
    </row>
    <row r="3554" spans="18:23">
      <c r="R3554" s="127">
        <f t="shared" ref="R3554:R3617" si="187">L3554-K3554</f>
        <v>0</v>
      </c>
      <c r="T3554" s="128">
        <f t="shared" si="186"/>
        <v>0</v>
      </c>
      <c r="U3554" s="129" t="str">
        <f>IFERROR(IF(#REF!="S",VLOOKUP('Raw Data'!A3554,References!#REF!,2,FALSE),(VLOOKUP($S3554,References!$B$3:$C$7,2,FALSE))),"")</f>
        <v/>
      </c>
      <c r="W3554" s="74" t="str">
        <f>IFERROR(VLOOKUP($O3554,'Customer List'!$A$1:$J$488,10,FALSE),"")</f>
        <v/>
      </c>
    </row>
    <row r="3555" spans="18:23">
      <c r="R3555" s="127">
        <f t="shared" si="187"/>
        <v>0</v>
      </c>
      <c r="T3555" s="128">
        <f t="shared" si="186"/>
        <v>0</v>
      </c>
      <c r="U3555" s="129" t="str">
        <f>IFERROR(IF(#REF!="S",VLOOKUP('Raw Data'!A3555,References!#REF!,2,FALSE),(VLOOKUP($S3555,References!$B$3:$C$7,2,FALSE))),"")</f>
        <v/>
      </c>
      <c r="W3555" s="74" t="str">
        <f>IFERROR(VLOOKUP($O3555,'Customer List'!$A$1:$J$488,10,FALSE),"")</f>
        <v/>
      </c>
    </row>
    <row r="3556" spans="18:23">
      <c r="R3556" s="127">
        <f t="shared" si="187"/>
        <v>0</v>
      </c>
      <c r="T3556" s="128">
        <f t="shared" si="186"/>
        <v>0</v>
      </c>
      <c r="U3556" s="129" t="str">
        <f>IFERROR(IF(#REF!="S",VLOOKUP('Raw Data'!A3556,References!#REF!,2,FALSE),(VLOOKUP($S3556,References!$B$3:$C$7,2,FALSE))),"")</f>
        <v/>
      </c>
      <c r="W3556" s="74" t="str">
        <f>IFERROR(VLOOKUP($O3556,'Customer List'!$A$1:$J$488,10,FALSE),"")</f>
        <v/>
      </c>
    </row>
    <row r="3557" spans="18:23">
      <c r="R3557" s="127">
        <f t="shared" si="187"/>
        <v>0</v>
      </c>
      <c r="T3557" s="128">
        <f t="shared" si="186"/>
        <v>0</v>
      </c>
      <c r="U3557" s="129" t="str">
        <f>IFERROR(IF(#REF!="S",VLOOKUP('Raw Data'!A3557,References!#REF!,2,FALSE),(VLOOKUP($S3557,References!$B$3:$C$7,2,FALSE))),"")</f>
        <v/>
      </c>
      <c r="W3557" s="74" t="str">
        <f>IFERROR(VLOOKUP($O3557,'Customer List'!$A$1:$J$488,10,FALSE),"")</f>
        <v/>
      </c>
    </row>
    <row r="3558" spans="18:23">
      <c r="R3558" s="127">
        <f t="shared" si="187"/>
        <v>0</v>
      </c>
      <c r="T3558" s="128">
        <f t="shared" si="186"/>
        <v>0</v>
      </c>
      <c r="U3558" s="129" t="str">
        <f>IFERROR(IF(#REF!="S",VLOOKUP('Raw Data'!A3558,References!#REF!,2,FALSE),(VLOOKUP($S3558,References!$B$3:$C$7,2,FALSE))),"")</f>
        <v/>
      </c>
      <c r="W3558" s="74" t="str">
        <f>IFERROR(VLOOKUP($O3558,'Customer List'!$A$1:$J$488,10,FALSE),"")</f>
        <v/>
      </c>
    </row>
    <row r="3559" spans="18:23">
      <c r="R3559" s="127">
        <f t="shared" si="187"/>
        <v>0</v>
      </c>
      <c r="T3559" s="128">
        <f t="shared" si="186"/>
        <v>0</v>
      </c>
      <c r="U3559" s="129" t="str">
        <f>IFERROR(IF(#REF!="S",VLOOKUP('Raw Data'!A3559,References!#REF!,2,FALSE),(VLOOKUP($S3559,References!$B$3:$C$7,2,FALSE))),"")</f>
        <v/>
      </c>
      <c r="W3559" s="74" t="str">
        <f>IFERROR(VLOOKUP($O3559,'Customer List'!$A$1:$J$488,10,FALSE),"")</f>
        <v/>
      </c>
    </row>
    <row r="3560" spans="18:23">
      <c r="R3560" s="127">
        <f t="shared" si="187"/>
        <v>0</v>
      </c>
      <c r="T3560" s="128">
        <f t="shared" si="186"/>
        <v>0</v>
      </c>
      <c r="U3560" s="129" t="str">
        <f>IFERROR(IF(#REF!="S",VLOOKUP('Raw Data'!A3560,References!#REF!,2,FALSE),(VLOOKUP($S3560,References!$B$3:$C$7,2,FALSE))),"")</f>
        <v/>
      </c>
      <c r="W3560" s="74" t="str">
        <f>IFERROR(VLOOKUP($O3560,'Customer List'!$A$1:$J$488,10,FALSE),"")</f>
        <v/>
      </c>
    </row>
    <row r="3561" spans="18:23">
      <c r="R3561" s="127">
        <f t="shared" si="187"/>
        <v>0</v>
      </c>
      <c r="T3561" s="128">
        <f t="shared" si="186"/>
        <v>0</v>
      </c>
      <c r="U3561" s="129" t="str">
        <f>IFERROR(IF(#REF!="S",VLOOKUP('Raw Data'!A3561,References!#REF!,2,FALSE),(VLOOKUP($S3561,References!$B$3:$C$7,2,FALSE))),"")</f>
        <v/>
      </c>
      <c r="W3561" s="74" t="str">
        <f>IFERROR(VLOOKUP($O3561,'Customer List'!$A$1:$J$488,10,FALSE),"")</f>
        <v/>
      </c>
    </row>
    <row r="3562" spans="18:23">
      <c r="R3562" s="127">
        <f t="shared" si="187"/>
        <v>0</v>
      </c>
      <c r="T3562" s="128">
        <f t="shared" si="186"/>
        <v>0</v>
      </c>
      <c r="U3562" s="129" t="str">
        <f>IFERROR(IF(#REF!="S",VLOOKUP('Raw Data'!A3562,References!#REF!,2,FALSE),(VLOOKUP($S3562,References!$B$3:$C$7,2,FALSE))),"")</f>
        <v/>
      </c>
      <c r="W3562" s="74" t="str">
        <f>IFERROR(VLOOKUP($O3562,'Customer List'!$A$1:$J$488,10,FALSE),"")</f>
        <v/>
      </c>
    </row>
    <row r="3563" spans="18:23">
      <c r="R3563" s="127">
        <f t="shared" si="187"/>
        <v>0</v>
      </c>
      <c r="T3563" s="128">
        <f t="shared" si="186"/>
        <v>0</v>
      </c>
      <c r="U3563" s="129" t="str">
        <f>IFERROR(IF(#REF!="S",VLOOKUP('Raw Data'!A3563,References!#REF!,2,FALSE),(VLOOKUP($S3563,References!$B$3:$C$7,2,FALSE))),"")</f>
        <v/>
      </c>
      <c r="W3563" s="74" t="str">
        <f>IFERROR(VLOOKUP($O3563,'Customer List'!$A$1:$J$488,10,FALSE),"")</f>
        <v/>
      </c>
    </row>
    <row r="3564" spans="18:23">
      <c r="R3564" s="127">
        <f t="shared" si="187"/>
        <v>0</v>
      </c>
      <c r="T3564" s="128">
        <f t="shared" si="186"/>
        <v>0</v>
      </c>
      <c r="U3564" s="129" t="str">
        <f>IFERROR(IF(#REF!="S",VLOOKUP('Raw Data'!A3564,References!#REF!,2,FALSE),(VLOOKUP($S3564,References!$B$3:$C$7,2,FALSE))),"")</f>
        <v/>
      </c>
      <c r="W3564" s="74" t="str">
        <f>IFERROR(VLOOKUP($O3564,'Customer List'!$A$1:$J$488,10,FALSE),"")</f>
        <v/>
      </c>
    </row>
    <row r="3565" spans="18:23">
      <c r="R3565" s="127">
        <f t="shared" si="187"/>
        <v>0</v>
      </c>
      <c r="T3565" s="128">
        <f t="shared" si="186"/>
        <v>0</v>
      </c>
      <c r="U3565" s="129" t="str">
        <f>IFERROR(IF(#REF!="S",VLOOKUP('Raw Data'!A3565,References!#REF!,2,FALSE),(VLOOKUP($S3565,References!$B$3:$C$7,2,FALSE))),"")</f>
        <v/>
      </c>
      <c r="W3565" s="74" t="str">
        <f>IFERROR(VLOOKUP($O3565,'Customer List'!$A$1:$J$488,10,FALSE),"")</f>
        <v/>
      </c>
    </row>
    <row r="3566" spans="18:23">
      <c r="R3566" s="127">
        <f t="shared" si="187"/>
        <v>0</v>
      </c>
      <c r="T3566" s="128">
        <f t="shared" si="186"/>
        <v>0</v>
      </c>
      <c r="U3566" s="129" t="str">
        <f>IFERROR(IF(#REF!="S",VLOOKUP('Raw Data'!A3566,References!#REF!,2,FALSE),(VLOOKUP($S3566,References!$B$3:$C$7,2,FALSE))),"")</f>
        <v/>
      </c>
      <c r="W3566" s="74" t="str">
        <f>IFERROR(VLOOKUP($O3566,'Customer List'!$A$1:$J$488,10,FALSE),"")</f>
        <v/>
      </c>
    </row>
    <row r="3567" spans="18:23">
      <c r="R3567" s="127">
        <f t="shared" si="187"/>
        <v>0</v>
      </c>
      <c r="T3567" s="128">
        <f t="shared" si="186"/>
        <v>0</v>
      </c>
      <c r="U3567" s="129" t="str">
        <f>IFERROR(IF(#REF!="S",VLOOKUP('Raw Data'!A3567,References!#REF!,2,FALSE),(VLOOKUP($S3567,References!$B$3:$C$7,2,FALSE))),"")</f>
        <v/>
      </c>
      <c r="W3567" s="74" t="str">
        <f>IFERROR(VLOOKUP($O3567,'Customer List'!$A$1:$J$488,10,FALSE),"")</f>
        <v/>
      </c>
    </row>
    <row r="3568" spans="18:23">
      <c r="R3568" s="127">
        <f t="shared" si="187"/>
        <v>0</v>
      </c>
      <c r="T3568" s="128">
        <f t="shared" si="186"/>
        <v>0</v>
      </c>
      <c r="U3568" s="129" t="str">
        <f>IFERROR(IF(#REF!="S",VLOOKUP('Raw Data'!A3568,References!#REF!,2,FALSE),(VLOOKUP($S3568,References!$B$3:$C$7,2,FALSE))),"")</f>
        <v/>
      </c>
      <c r="W3568" s="74" t="str">
        <f>IFERROR(VLOOKUP($O3568,'Customer List'!$A$1:$J$488,10,FALSE),"")</f>
        <v/>
      </c>
    </row>
    <row r="3569" spans="18:23">
      <c r="R3569" s="127">
        <f t="shared" si="187"/>
        <v>0</v>
      </c>
      <c r="T3569" s="128">
        <f t="shared" si="186"/>
        <v>0</v>
      </c>
      <c r="U3569" s="129" t="str">
        <f>IFERROR(IF(#REF!="S",VLOOKUP('Raw Data'!A3569,References!#REF!,2,FALSE),(VLOOKUP($S3569,References!$B$3:$C$7,2,FALSE))),"")</f>
        <v/>
      </c>
      <c r="W3569" s="74" t="str">
        <f>IFERROR(VLOOKUP($O3569,'Customer List'!$A$1:$J$488,10,FALSE),"")</f>
        <v/>
      </c>
    </row>
    <row r="3570" spans="18:23">
      <c r="R3570" s="127">
        <f t="shared" si="187"/>
        <v>0</v>
      </c>
      <c r="T3570" s="128">
        <f t="shared" si="186"/>
        <v>0</v>
      </c>
      <c r="U3570" s="129" t="str">
        <f>IFERROR(IF(#REF!="S",VLOOKUP('Raw Data'!A3570,References!#REF!,2,FALSE),(VLOOKUP($S3570,References!$B$3:$C$7,2,FALSE))),"")</f>
        <v/>
      </c>
      <c r="W3570" s="74" t="str">
        <f>IFERROR(VLOOKUP($O3570,'Customer List'!$A$1:$J$488,10,FALSE),"")</f>
        <v/>
      </c>
    </row>
    <row r="3571" spans="18:23">
      <c r="R3571" s="127">
        <f t="shared" si="187"/>
        <v>0</v>
      </c>
      <c r="T3571" s="128">
        <f t="shared" si="186"/>
        <v>0</v>
      </c>
      <c r="U3571" s="129" t="str">
        <f>IFERROR(IF(#REF!="S",VLOOKUP('Raw Data'!A3571,References!#REF!,2,FALSE),(VLOOKUP($S3571,References!$B$3:$C$7,2,FALSE))),"")</f>
        <v/>
      </c>
      <c r="W3571" s="74" t="str">
        <f>IFERROR(VLOOKUP($O3571,'Customer List'!$A$1:$J$488,10,FALSE),"")</f>
        <v/>
      </c>
    </row>
    <row r="3572" spans="18:23">
      <c r="R3572" s="127">
        <f t="shared" si="187"/>
        <v>0</v>
      </c>
      <c r="T3572" s="128">
        <f t="shared" si="186"/>
        <v>0</v>
      </c>
      <c r="U3572" s="129" t="str">
        <f>IFERROR(IF(#REF!="S",VLOOKUP('Raw Data'!A3572,References!#REF!,2,FALSE),(VLOOKUP($S3572,References!$B$3:$C$7,2,FALSE))),"")</f>
        <v/>
      </c>
      <c r="W3572" s="74" t="str">
        <f>IFERROR(VLOOKUP($O3572,'Customer List'!$A$1:$J$488,10,FALSE),"")</f>
        <v/>
      </c>
    </row>
    <row r="3573" spans="18:23">
      <c r="R3573" s="127">
        <f t="shared" si="187"/>
        <v>0</v>
      </c>
      <c r="T3573" s="128">
        <f t="shared" si="186"/>
        <v>0</v>
      </c>
      <c r="U3573" s="129" t="str">
        <f>IFERROR(IF(#REF!="S",VLOOKUP('Raw Data'!A3573,References!#REF!,2,FALSE),(VLOOKUP($S3573,References!$B$3:$C$7,2,FALSE))),"")</f>
        <v/>
      </c>
      <c r="W3573" s="74" t="str">
        <f>IFERROR(VLOOKUP($O3573,'Customer List'!$A$1:$J$488,10,FALSE),"")</f>
        <v/>
      </c>
    </row>
    <row r="3574" spans="18:23">
      <c r="R3574" s="127">
        <f t="shared" si="187"/>
        <v>0</v>
      </c>
      <c r="T3574" s="128">
        <f t="shared" si="186"/>
        <v>0</v>
      </c>
      <c r="U3574" s="129" t="str">
        <f>IFERROR(IF(#REF!="S",VLOOKUP('Raw Data'!A3574,References!#REF!,2,FALSE),(VLOOKUP($S3574,References!$B$3:$C$7,2,FALSE))),"")</f>
        <v/>
      </c>
      <c r="W3574" s="74" t="str">
        <f>IFERROR(VLOOKUP($O3574,'Customer List'!$A$1:$J$488,10,FALSE),"")</f>
        <v/>
      </c>
    </row>
    <row r="3575" spans="18:23">
      <c r="R3575" s="127">
        <f t="shared" si="187"/>
        <v>0</v>
      </c>
      <c r="T3575" s="128">
        <f t="shared" si="186"/>
        <v>0</v>
      </c>
      <c r="U3575" s="129" t="str">
        <f>IFERROR(IF(#REF!="S",VLOOKUP('Raw Data'!A3575,References!#REF!,2,FALSE),(VLOOKUP($S3575,References!$B$3:$C$7,2,FALSE))),"")</f>
        <v/>
      </c>
      <c r="W3575" s="74" t="str">
        <f>IFERROR(VLOOKUP($O3575,'Customer List'!$A$1:$J$488,10,FALSE),"")</f>
        <v/>
      </c>
    </row>
    <row r="3576" spans="18:23">
      <c r="R3576" s="127">
        <f t="shared" si="187"/>
        <v>0</v>
      </c>
      <c r="T3576" s="128">
        <f t="shared" si="186"/>
        <v>0</v>
      </c>
      <c r="U3576" s="129" t="str">
        <f>IFERROR(IF(#REF!="S",VLOOKUP('Raw Data'!A3576,References!#REF!,2,FALSE),(VLOOKUP($S3576,References!$B$3:$C$7,2,FALSE))),"")</f>
        <v/>
      </c>
      <c r="W3576" s="74" t="str">
        <f>IFERROR(VLOOKUP($O3576,'Customer List'!$A$1:$J$488,10,FALSE),"")</f>
        <v/>
      </c>
    </row>
    <row r="3577" spans="18:23">
      <c r="R3577" s="127">
        <f t="shared" si="187"/>
        <v>0</v>
      </c>
      <c r="T3577" s="128">
        <f t="shared" si="186"/>
        <v>0</v>
      </c>
      <c r="U3577" s="129" t="str">
        <f>IFERROR(IF(#REF!="S",VLOOKUP('Raw Data'!A3577,References!#REF!,2,FALSE),(VLOOKUP($S3577,References!$B$3:$C$7,2,FALSE))),"")</f>
        <v/>
      </c>
      <c r="W3577" s="74" t="str">
        <f>IFERROR(VLOOKUP($O3577,'Customer List'!$A$1:$J$488,10,FALSE),"")</f>
        <v/>
      </c>
    </row>
    <row r="3578" spans="18:23">
      <c r="R3578" s="127">
        <f t="shared" si="187"/>
        <v>0</v>
      </c>
      <c r="T3578" s="128">
        <f t="shared" si="186"/>
        <v>0</v>
      </c>
      <c r="U3578" s="129" t="str">
        <f>IFERROR(IF(#REF!="S",VLOOKUP('Raw Data'!A3578,References!#REF!,2,FALSE),(VLOOKUP($S3578,References!$B$3:$C$7,2,FALSE))),"")</f>
        <v/>
      </c>
      <c r="W3578" s="74" t="str">
        <f>IFERROR(VLOOKUP($O3578,'Customer List'!$A$1:$J$488,10,FALSE),"")</f>
        <v/>
      </c>
    </row>
    <row r="3579" spans="18:23">
      <c r="R3579" s="127">
        <f t="shared" si="187"/>
        <v>0</v>
      </c>
      <c r="T3579" s="128">
        <f t="shared" si="186"/>
        <v>0</v>
      </c>
      <c r="U3579" s="129" t="str">
        <f>IFERROR(IF(#REF!="S",VLOOKUP('Raw Data'!A3579,References!#REF!,2,FALSE),(VLOOKUP($S3579,References!$B$3:$C$7,2,FALSE))),"")</f>
        <v/>
      </c>
      <c r="W3579" s="74" t="str">
        <f>IFERROR(VLOOKUP($O3579,'Customer List'!$A$1:$J$488,10,FALSE),"")</f>
        <v/>
      </c>
    </row>
    <row r="3580" spans="18:23">
      <c r="R3580" s="127">
        <f t="shared" si="187"/>
        <v>0</v>
      </c>
      <c r="T3580" s="128">
        <f t="shared" si="186"/>
        <v>0</v>
      </c>
      <c r="U3580" s="129" t="str">
        <f>IFERROR(IF(#REF!="S",VLOOKUP('Raw Data'!A3580,References!#REF!,2,FALSE),(VLOOKUP($S3580,References!$B$3:$C$7,2,FALSE))),"")</f>
        <v/>
      </c>
      <c r="W3580" s="74" t="str">
        <f>IFERROR(VLOOKUP($O3580,'Customer List'!$A$1:$J$488,10,FALSE),"")</f>
        <v/>
      </c>
    </row>
    <row r="3581" spans="18:23">
      <c r="R3581" s="127">
        <f t="shared" si="187"/>
        <v>0</v>
      </c>
      <c r="T3581" s="128">
        <f t="shared" si="186"/>
        <v>0</v>
      </c>
      <c r="U3581" s="129" t="str">
        <f>IFERROR(IF(#REF!="S",VLOOKUP('Raw Data'!A3581,References!#REF!,2,FALSE),(VLOOKUP($S3581,References!$B$3:$C$7,2,FALSE))),"")</f>
        <v/>
      </c>
      <c r="W3581" s="74" t="str">
        <f>IFERROR(VLOOKUP($O3581,'Customer List'!$A$1:$J$488,10,FALSE),"")</f>
        <v/>
      </c>
    </row>
    <row r="3582" spans="18:23">
      <c r="R3582" s="127">
        <f t="shared" si="187"/>
        <v>0</v>
      </c>
      <c r="T3582" s="128">
        <f t="shared" si="186"/>
        <v>0</v>
      </c>
      <c r="U3582" s="129" t="str">
        <f>IFERROR(IF(#REF!="S",VLOOKUP('Raw Data'!A3582,References!#REF!,2,FALSE),(VLOOKUP($S3582,References!$B$3:$C$7,2,FALSE))),"")</f>
        <v/>
      </c>
      <c r="W3582" s="74" t="str">
        <f>IFERROR(VLOOKUP($O3582,'Customer List'!$A$1:$J$488,10,FALSE),"")</f>
        <v/>
      </c>
    </row>
    <row r="3583" spans="18:23">
      <c r="R3583" s="127">
        <f t="shared" si="187"/>
        <v>0</v>
      </c>
      <c r="T3583" s="128">
        <f t="shared" si="186"/>
        <v>0</v>
      </c>
      <c r="U3583" s="129" t="str">
        <f>IFERROR(IF(#REF!="S",VLOOKUP('Raw Data'!A3583,References!#REF!,2,FALSE),(VLOOKUP($S3583,References!$B$3:$C$7,2,FALSE))),"")</f>
        <v/>
      </c>
      <c r="W3583" s="74" t="str">
        <f>IFERROR(VLOOKUP($O3583,'Customer List'!$A$1:$J$488,10,FALSE),"")</f>
        <v/>
      </c>
    </row>
    <row r="3584" spans="18:23">
      <c r="R3584" s="127">
        <f t="shared" si="187"/>
        <v>0</v>
      </c>
      <c r="T3584" s="128">
        <f t="shared" si="186"/>
        <v>0</v>
      </c>
      <c r="U3584" s="129" t="str">
        <f>IFERROR(IF(#REF!="S",VLOOKUP('Raw Data'!A3584,References!#REF!,2,FALSE),(VLOOKUP($S3584,References!$B$3:$C$7,2,FALSE))),"")</f>
        <v/>
      </c>
      <c r="W3584" s="74" t="str">
        <f>IFERROR(VLOOKUP($O3584,'Customer List'!$A$1:$J$488,10,FALSE),"")</f>
        <v/>
      </c>
    </row>
    <row r="3585" spans="18:23">
      <c r="R3585" s="127">
        <f t="shared" si="187"/>
        <v>0</v>
      </c>
      <c r="T3585" s="128">
        <f t="shared" si="186"/>
        <v>0</v>
      </c>
      <c r="U3585" s="129" t="str">
        <f>IFERROR(IF(#REF!="S",VLOOKUP('Raw Data'!A3585,References!#REF!,2,FALSE),(VLOOKUP($S3585,References!$B$3:$C$7,2,FALSE))),"")</f>
        <v/>
      </c>
      <c r="W3585" s="74" t="str">
        <f>IFERROR(VLOOKUP($O3585,'Customer List'!$A$1:$J$488,10,FALSE),"")</f>
        <v/>
      </c>
    </row>
    <row r="3586" spans="18:23">
      <c r="R3586" s="127">
        <f t="shared" si="187"/>
        <v>0</v>
      </c>
      <c r="T3586" s="128">
        <f t="shared" si="186"/>
        <v>0</v>
      </c>
      <c r="U3586" s="129" t="str">
        <f>IFERROR(IF(#REF!="S",VLOOKUP('Raw Data'!A3586,References!#REF!,2,FALSE),(VLOOKUP($S3586,References!$B$3:$C$7,2,FALSE))),"")</f>
        <v/>
      </c>
      <c r="W3586" s="74" t="str">
        <f>IFERROR(VLOOKUP($O3586,'Customer List'!$A$1:$J$488,10,FALSE),"")</f>
        <v/>
      </c>
    </row>
    <row r="3587" spans="18:23">
      <c r="R3587" s="127">
        <f t="shared" si="187"/>
        <v>0</v>
      </c>
      <c r="T3587" s="128">
        <f t="shared" si="186"/>
        <v>0</v>
      </c>
      <c r="U3587" s="129" t="str">
        <f>IFERROR(IF(#REF!="S",VLOOKUP('Raw Data'!A3587,References!#REF!,2,FALSE),(VLOOKUP($S3587,References!$B$3:$C$7,2,FALSE))),"")</f>
        <v/>
      </c>
      <c r="W3587" s="74" t="str">
        <f>IFERROR(VLOOKUP($O3587,'Customer List'!$A$1:$J$488,10,FALSE),"")</f>
        <v/>
      </c>
    </row>
    <row r="3588" spans="18:23">
      <c r="R3588" s="127">
        <f t="shared" si="187"/>
        <v>0</v>
      </c>
      <c r="T3588" s="128">
        <f t="shared" si="186"/>
        <v>0</v>
      </c>
      <c r="U3588" s="129" t="str">
        <f>IFERROR(IF(#REF!="S",VLOOKUP('Raw Data'!A3588,References!#REF!,2,FALSE),(VLOOKUP($S3588,References!$B$3:$C$7,2,FALSE))),"")</f>
        <v/>
      </c>
      <c r="W3588" s="74" t="str">
        <f>IFERROR(VLOOKUP($O3588,'Customer List'!$A$1:$J$488,10,FALSE),"")</f>
        <v/>
      </c>
    </row>
    <row r="3589" spans="18:23">
      <c r="R3589" s="127">
        <f t="shared" si="187"/>
        <v>0</v>
      </c>
      <c r="T3589" s="128">
        <f t="shared" si="186"/>
        <v>0</v>
      </c>
      <c r="U3589" s="129" t="str">
        <f>IFERROR(IF(#REF!="S",VLOOKUP('Raw Data'!A3589,References!#REF!,2,FALSE),(VLOOKUP($S3589,References!$B$3:$C$7,2,FALSE))),"")</f>
        <v/>
      </c>
      <c r="W3589" s="74" t="str">
        <f>IFERROR(VLOOKUP($O3589,'Customer List'!$A$1:$J$488,10,FALSE),"")</f>
        <v/>
      </c>
    </row>
    <row r="3590" spans="18:23">
      <c r="R3590" s="127">
        <f t="shared" si="187"/>
        <v>0</v>
      </c>
      <c r="T3590" s="128">
        <f t="shared" si="186"/>
        <v>0</v>
      </c>
      <c r="U3590" s="129" t="str">
        <f>IFERROR(IF(#REF!="S",VLOOKUP('Raw Data'!A3590,References!#REF!,2,FALSE),(VLOOKUP($S3590,References!$B$3:$C$7,2,FALSE))),"")</f>
        <v/>
      </c>
      <c r="W3590" s="74" t="str">
        <f>IFERROR(VLOOKUP($O3590,'Customer List'!$A$1:$J$488,10,FALSE),"")</f>
        <v/>
      </c>
    </row>
    <row r="3591" spans="18:23">
      <c r="R3591" s="127">
        <f t="shared" si="187"/>
        <v>0</v>
      </c>
      <c r="T3591" s="128">
        <f t="shared" si="186"/>
        <v>0</v>
      </c>
      <c r="U3591" s="129" t="str">
        <f>IFERROR(IF(#REF!="S",VLOOKUP('Raw Data'!A3591,References!#REF!,2,FALSE),(VLOOKUP($S3591,References!$B$3:$C$7,2,FALSE))),"")</f>
        <v/>
      </c>
      <c r="W3591" s="74" t="str">
        <f>IFERROR(VLOOKUP($O3591,'Customer List'!$A$1:$J$488,10,FALSE),"")</f>
        <v/>
      </c>
    </row>
    <row r="3592" spans="18:23">
      <c r="R3592" s="127">
        <f t="shared" si="187"/>
        <v>0</v>
      </c>
      <c r="T3592" s="128">
        <f t="shared" si="186"/>
        <v>0</v>
      </c>
      <c r="U3592" s="129" t="str">
        <f>IFERROR(IF(#REF!="S",VLOOKUP('Raw Data'!A3592,References!#REF!,2,FALSE),(VLOOKUP($S3592,References!$B$3:$C$7,2,FALSE))),"")</f>
        <v/>
      </c>
      <c r="W3592" s="74" t="str">
        <f>IFERROR(VLOOKUP($O3592,'Customer List'!$A$1:$J$488,10,FALSE),"")</f>
        <v/>
      </c>
    </row>
    <row r="3593" spans="18:23">
      <c r="R3593" s="127">
        <f t="shared" si="187"/>
        <v>0</v>
      </c>
      <c r="T3593" s="128">
        <f t="shared" si="186"/>
        <v>0</v>
      </c>
      <c r="U3593" s="129" t="str">
        <f>IFERROR(IF(#REF!="S",VLOOKUP('Raw Data'!A3593,References!#REF!,2,FALSE),(VLOOKUP($S3593,References!$B$3:$C$7,2,FALSE))),"")</f>
        <v/>
      </c>
      <c r="W3593" s="74" t="str">
        <f>IFERROR(VLOOKUP($O3593,'Customer List'!$A$1:$J$488,10,FALSE),"")</f>
        <v/>
      </c>
    </row>
    <row r="3594" spans="18:23">
      <c r="R3594" s="127">
        <f t="shared" si="187"/>
        <v>0</v>
      </c>
      <c r="T3594" s="128">
        <f t="shared" ref="T3594:T3657" si="188">IF(S3594="50 - Cleaning Fee",1,HOUR($R3594)+MINUTE(R3594)/60)</f>
        <v>0</v>
      </c>
      <c r="U3594" s="129" t="str">
        <f>IFERROR(IF(#REF!="S",VLOOKUP('Raw Data'!A3594,References!#REF!,2,FALSE),(VLOOKUP($S3594,References!$B$3:$C$7,2,FALSE))),"")</f>
        <v/>
      </c>
      <c r="W3594" s="74" t="str">
        <f>IFERROR(VLOOKUP($O3594,'Customer List'!$A$1:$J$488,10,FALSE),"")</f>
        <v/>
      </c>
    </row>
    <row r="3595" spans="18:23">
      <c r="R3595" s="127">
        <f t="shared" si="187"/>
        <v>0</v>
      </c>
      <c r="T3595" s="128">
        <f t="shared" si="188"/>
        <v>0</v>
      </c>
      <c r="U3595" s="129" t="str">
        <f>IFERROR(IF(#REF!="S",VLOOKUP('Raw Data'!A3595,References!#REF!,2,FALSE),(VLOOKUP($S3595,References!$B$3:$C$7,2,FALSE))),"")</f>
        <v/>
      </c>
      <c r="W3595" s="74" t="str">
        <f>IFERROR(VLOOKUP($O3595,'Customer List'!$A$1:$J$488,10,FALSE),"")</f>
        <v/>
      </c>
    </row>
    <row r="3596" spans="18:23">
      <c r="R3596" s="127">
        <f t="shared" si="187"/>
        <v>0</v>
      </c>
      <c r="T3596" s="128">
        <f t="shared" si="188"/>
        <v>0</v>
      </c>
      <c r="U3596" s="129" t="str">
        <f>IFERROR(IF(#REF!="S",VLOOKUP('Raw Data'!A3596,References!#REF!,2,FALSE),(VLOOKUP($S3596,References!$B$3:$C$7,2,FALSE))),"")</f>
        <v/>
      </c>
      <c r="W3596" s="74" t="str">
        <f>IFERROR(VLOOKUP($O3596,'Customer List'!$A$1:$J$488,10,FALSE),"")</f>
        <v/>
      </c>
    </row>
    <row r="3597" spans="18:23">
      <c r="R3597" s="127">
        <f t="shared" si="187"/>
        <v>0</v>
      </c>
      <c r="T3597" s="128">
        <f t="shared" si="188"/>
        <v>0</v>
      </c>
      <c r="U3597" s="129" t="str">
        <f>IFERROR(IF(#REF!="S",VLOOKUP('Raw Data'!A3597,References!#REF!,2,FALSE),(VLOOKUP($S3597,References!$B$3:$C$7,2,FALSE))),"")</f>
        <v/>
      </c>
      <c r="W3597" s="74" t="str">
        <f>IFERROR(VLOOKUP($O3597,'Customer List'!$A$1:$J$488,10,FALSE),"")</f>
        <v/>
      </c>
    </row>
    <row r="3598" spans="18:23">
      <c r="R3598" s="127">
        <f t="shared" si="187"/>
        <v>0</v>
      </c>
      <c r="T3598" s="128">
        <f t="shared" si="188"/>
        <v>0</v>
      </c>
      <c r="U3598" s="129" t="str">
        <f>IFERROR(IF(#REF!="S",VLOOKUP('Raw Data'!A3598,References!#REF!,2,FALSE),(VLOOKUP($S3598,References!$B$3:$C$7,2,FALSE))),"")</f>
        <v/>
      </c>
      <c r="W3598" s="74" t="str">
        <f>IFERROR(VLOOKUP($O3598,'Customer List'!$A$1:$J$488,10,FALSE),"")</f>
        <v/>
      </c>
    </row>
    <row r="3599" spans="18:23">
      <c r="R3599" s="127">
        <f t="shared" si="187"/>
        <v>0</v>
      </c>
      <c r="T3599" s="128">
        <f t="shared" si="188"/>
        <v>0</v>
      </c>
      <c r="U3599" s="129" t="str">
        <f>IFERROR(IF(#REF!="S",VLOOKUP('Raw Data'!A3599,References!#REF!,2,FALSE),(VLOOKUP($S3599,References!$B$3:$C$7,2,FALSE))),"")</f>
        <v/>
      </c>
      <c r="W3599" s="74" t="str">
        <f>IFERROR(VLOOKUP($O3599,'Customer List'!$A$1:$J$488,10,FALSE),"")</f>
        <v/>
      </c>
    </row>
    <row r="3600" spans="18:23">
      <c r="R3600" s="127">
        <f t="shared" si="187"/>
        <v>0</v>
      </c>
      <c r="T3600" s="128">
        <f t="shared" si="188"/>
        <v>0</v>
      </c>
      <c r="U3600" s="129" t="str">
        <f>IFERROR(IF(#REF!="S",VLOOKUP('Raw Data'!A3600,References!#REF!,2,FALSE),(VLOOKUP($S3600,References!$B$3:$C$7,2,FALSE))),"")</f>
        <v/>
      </c>
      <c r="W3600" s="74" t="str">
        <f>IFERROR(VLOOKUP($O3600,'Customer List'!$A$1:$J$488,10,FALSE),"")</f>
        <v/>
      </c>
    </row>
    <row r="3601" spans="18:23">
      <c r="R3601" s="127">
        <f t="shared" si="187"/>
        <v>0</v>
      </c>
      <c r="T3601" s="128">
        <f t="shared" si="188"/>
        <v>0</v>
      </c>
      <c r="U3601" s="129" t="str">
        <f>IFERROR(IF(#REF!="S",VLOOKUP('Raw Data'!A3601,References!#REF!,2,FALSE),(VLOOKUP($S3601,References!$B$3:$C$7,2,FALSE))),"")</f>
        <v/>
      </c>
      <c r="W3601" s="74" t="str">
        <f>IFERROR(VLOOKUP($O3601,'Customer List'!$A$1:$J$488,10,FALSE),"")</f>
        <v/>
      </c>
    </row>
    <row r="3602" spans="18:23">
      <c r="R3602" s="127">
        <f t="shared" si="187"/>
        <v>0</v>
      </c>
      <c r="T3602" s="128">
        <f t="shared" si="188"/>
        <v>0</v>
      </c>
      <c r="U3602" s="129" t="str">
        <f>IFERROR(IF(#REF!="S",VLOOKUP('Raw Data'!A3602,References!#REF!,2,FALSE),(VLOOKUP($S3602,References!$B$3:$C$7,2,FALSE))),"")</f>
        <v/>
      </c>
      <c r="W3602" s="74" t="str">
        <f>IFERROR(VLOOKUP($O3602,'Customer List'!$A$1:$J$488,10,FALSE),"")</f>
        <v/>
      </c>
    </row>
    <row r="3603" spans="18:23">
      <c r="R3603" s="127">
        <f t="shared" si="187"/>
        <v>0</v>
      </c>
      <c r="T3603" s="128">
        <f t="shared" si="188"/>
        <v>0</v>
      </c>
      <c r="U3603" s="129" t="str">
        <f>IFERROR(IF(#REF!="S",VLOOKUP('Raw Data'!A3603,References!#REF!,2,FALSE),(VLOOKUP($S3603,References!$B$3:$C$7,2,FALSE))),"")</f>
        <v/>
      </c>
      <c r="W3603" s="74" t="str">
        <f>IFERROR(VLOOKUP($O3603,'Customer List'!$A$1:$J$488,10,FALSE),"")</f>
        <v/>
      </c>
    </row>
    <row r="3604" spans="18:23">
      <c r="R3604" s="127">
        <f t="shared" si="187"/>
        <v>0</v>
      </c>
      <c r="T3604" s="128">
        <f t="shared" si="188"/>
        <v>0</v>
      </c>
      <c r="U3604" s="129" t="str">
        <f>IFERROR(IF(#REF!="S",VLOOKUP('Raw Data'!A3604,References!#REF!,2,FALSE),(VLOOKUP($S3604,References!$B$3:$C$7,2,FALSE))),"")</f>
        <v/>
      </c>
      <c r="W3604" s="74" t="str">
        <f>IFERROR(VLOOKUP($O3604,'Customer List'!$A$1:$J$488,10,FALSE),"")</f>
        <v/>
      </c>
    </row>
    <row r="3605" spans="18:23">
      <c r="R3605" s="127">
        <f t="shared" si="187"/>
        <v>0</v>
      </c>
      <c r="T3605" s="128">
        <f t="shared" si="188"/>
        <v>0</v>
      </c>
      <c r="U3605" s="129" t="str">
        <f>IFERROR(IF(#REF!="S",VLOOKUP('Raw Data'!A3605,References!#REF!,2,FALSE),(VLOOKUP($S3605,References!$B$3:$C$7,2,FALSE))),"")</f>
        <v/>
      </c>
      <c r="W3605" s="74" t="str">
        <f>IFERROR(VLOOKUP($O3605,'Customer List'!$A$1:$J$488,10,FALSE),"")</f>
        <v/>
      </c>
    </row>
    <row r="3606" spans="18:23">
      <c r="R3606" s="127">
        <f t="shared" si="187"/>
        <v>0</v>
      </c>
      <c r="T3606" s="128">
        <f t="shared" si="188"/>
        <v>0</v>
      </c>
      <c r="U3606" s="129" t="str">
        <f>IFERROR(IF(#REF!="S",VLOOKUP('Raw Data'!A3606,References!#REF!,2,FALSE),(VLOOKUP($S3606,References!$B$3:$C$7,2,FALSE))),"")</f>
        <v/>
      </c>
      <c r="W3606" s="74" t="str">
        <f>IFERROR(VLOOKUP($O3606,'Customer List'!$A$1:$J$488,10,FALSE),"")</f>
        <v/>
      </c>
    </row>
    <row r="3607" spans="18:23">
      <c r="R3607" s="127">
        <f t="shared" si="187"/>
        <v>0</v>
      </c>
      <c r="T3607" s="128">
        <f t="shared" si="188"/>
        <v>0</v>
      </c>
      <c r="U3607" s="129" t="str">
        <f>IFERROR(IF(#REF!="S",VLOOKUP('Raw Data'!A3607,References!#REF!,2,FALSE),(VLOOKUP($S3607,References!$B$3:$C$7,2,FALSE))),"")</f>
        <v/>
      </c>
      <c r="W3607" s="74" t="str">
        <f>IFERROR(VLOOKUP($O3607,'Customer List'!$A$1:$J$488,10,FALSE),"")</f>
        <v/>
      </c>
    </row>
    <row r="3608" spans="18:23">
      <c r="R3608" s="127">
        <f t="shared" si="187"/>
        <v>0</v>
      </c>
      <c r="T3608" s="128">
        <f t="shared" si="188"/>
        <v>0</v>
      </c>
      <c r="U3608" s="129" t="str">
        <f>IFERROR(IF(#REF!="S",VLOOKUP('Raw Data'!A3608,References!#REF!,2,FALSE),(VLOOKUP($S3608,References!$B$3:$C$7,2,FALSE))),"")</f>
        <v/>
      </c>
      <c r="W3608" s="74" t="str">
        <f>IFERROR(VLOOKUP($O3608,'Customer List'!$A$1:$J$488,10,FALSE),"")</f>
        <v/>
      </c>
    </row>
    <row r="3609" spans="18:23">
      <c r="R3609" s="127">
        <f t="shared" si="187"/>
        <v>0</v>
      </c>
      <c r="T3609" s="128">
        <f t="shared" si="188"/>
        <v>0</v>
      </c>
      <c r="U3609" s="129" t="str">
        <f>IFERROR(IF(#REF!="S",VLOOKUP('Raw Data'!A3609,References!#REF!,2,FALSE),(VLOOKUP($S3609,References!$B$3:$C$7,2,FALSE))),"")</f>
        <v/>
      </c>
      <c r="W3609" s="74" t="str">
        <f>IFERROR(VLOOKUP($O3609,'Customer List'!$A$1:$J$488,10,FALSE),"")</f>
        <v/>
      </c>
    </row>
    <row r="3610" spans="18:23">
      <c r="R3610" s="127">
        <f t="shared" si="187"/>
        <v>0</v>
      </c>
      <c r="T3610" s="128">
        <f t="shared" si="188"/>
        <v>0</v>
      </c>
      <c r="U3610" s="129" t="str">
        <f>IFERROR(IF(#REF!="S",VLOOKUP('Raw Data'!A3610,References!#REF!,2,FALSE),(VLOOKUP($S3610,References!$B$3:$C$7,2,FALSE))),"")</f>
        <v/>
      </c>
      <c r="W3610" s="74" t="str">
        <f>IFERROR(VLOOKUP($O3610,'Customer List'!$A$1:$J$488,10,FALSE),"")</f>
        <v/>
      </c>
    </row>
    <row r="3611" spans="18:23">
      <c r="R3611" s="127">
        <f t="shared" si="187"/>
        <v>0</v>
      </c>
      <c r="T3611" s="128">
        <f t="shared" si="188"/>
        <v>0</v>
      </c>
      <c r="U3611" s="129" t="str">
        <f>IFERROR(IF(#REF!="S",VLOOKUP('Raw Data'!A3611,References!#REF!,2,FALSE),(VLOOKUP($S3611,References!$B$3:$C$7,2,FALSE))),"")</f>
        <v/>
      </c>
      <c r="W3611" s="74" t="str">
        <f>IFERROR(VLOOKUP($O3611,'Customer List'!$A$1:$J$488,10,FALSE),"")</f>
        <v/>
      </c>
    </row>
    <row r="3612" spans="18:23">
      <c r="R3612" s="127">
        <f t="shared" si="187"/>
        <v>0</v>
      </c>
      <c r="T3612" s="128">
        <f t="shared" si="188"/>
        <v>0</v>
      </c>
      <c r="U3612" s="129" t="str">
        <f>IFERROR(IF(#REF!="S",VLOOKUP('Raw Data'!A3612,References!#REF!,2,FALSE),(VLOOKUP($S3612,References!$B$3:$C$7,2,FALSE))),"")</f>
        <v/>
      </c>
      <c r="W3612" s="74" t="str">
        <f>IFERROR(VLOOKUP($O3612,'Customer List'!$A$1:$J$488,10,FALSE),"")</f>
        <v/>
      </c>
    </row>
    <row r="3613" spans="18:23">
      <c r="R3613" s="127">
        <f t="shared" si="187"/>
        <v>0</v>
      </c>
      <c r="T3613" s="128">
        <f t="shared" si="188"/>
        <v>0</v>
      </c>
      <c r="U3613" s="129" t="str">
        <f>IFERROR(IF(#REF!="S",VLOOKUP('Raw Data'!A3613,References!#REF!,2,FALSE),(VLOOKUP($S3613,References!$B$3:$C$7,2,FALSE))),"")</f>
        <v/>
      </c>
      <c r="W3613" s="74" t="str">
        <f>IFERROR(VLOOKUP($O3613,'Customer List'!$A$1:$J$488,10,FALSE),"")</f>
        <v/>
      </c>
    </row>
    <row r="3614" spans="18:23">
      <c r="R3614" s="127">
        <f t="shared" si="187"/>
        <v>0</v>
      </c>
      <c r="T3614" s="128">
        <f t="shared" si="188"/>
        <v>0</v>
      </c>
      <c r="U3614" s="129" t="str">
        <f>IFERROR(IF(#REF!="S",VLOOKUP('Raw Data'!A3614,References!#REF!,2,FALSE),(VLOOKUP($S3614,References!$B$3:$C$7,2,FALSE))),"")</f>
        <v/>
      </c>
      <c r="W3614" s="74" t="str">
        <f>IFERROR(VLOOKUP($O3614,'Customer List'!$A$1:$J$488,10,FALSE),"")</f>
        <v/>
      </c>
    </row>
    <row r="3615" spans="18:23">
      <c r="R3615" s="127">
        <f t="shared" si="187"/>
        <v>0</v>
      </c>
      <c r="T3615" s="128">
        <f t="shared" si="188"/>
        <v>0</v>
      </c>
      <c r="U3615" s="129" t="str">
        <f>IFERROR(IF(#REF!="S",VLOOKUP('Raw Data'!A3615,References!#REF!,2,FALSE),(VLOOKUP($S3615,References!$B$3:$C$7,2,FALSE))),"")</f>
        <v/>
      </c>
      <c r="W3615" s="74" t="str">
        <f>IFERROR(VLOOKUP($O3615,'Customer List'!$A$1:$J$488,10,FALSE),"")</f>
        <v/>
      </c>
    </row>
    <row r="3616" spans="18:23">
      <c r="R3616" s="127">
        <f t="shared" si="187"/>
        <v>0</v>
      </c>
      <c r="T3616" s="128">
        <f t="shared" si="188"/>
        <v>0</v>
      </c>
      <c r="U3616" s="129" t="str">
        <f>IFERROR(IF(#REF!="S",VLOOKUP('Raw Data'!A3616,References!#REF!,2,FALSE),(VLOOKUP($S3616,References!$B$3:$C$7,2,FALSE))),"")</f>
        <v/>
      </c>
      <c r="W3616" s="74" t="str">
        <f>IFERROR(VLOOKUP($O3616,'Customer List'!$A$1:$J$488,10,FALSE),"")</f>
        <v/>
      </c>
    </row>
    <row r="3617" spans="18:23">
      <c r="R3617" s="127">
        <f t="shared" si="187"/>
        <v>0</v>
      </c>
      <c r="T3617" s="128">
        <f t="shared" si="188"/>
        <v>0</v>
      </c>
      <c r="U3617" s="129" t="str">
        <f>IFERROR(IF(#REF!="S",VLOOKUP('Raw Data'!A3617,References!#REF!,2,FALSE),(VLOOKUP($S3617,References!$B$3:$C$7,2,FALSE))),"")</f>
        <v/>
      </c>
      <c r="W3617" s="74" t="str">
        <f>IFERROR(VLOOKUP($O3617,'Customer List'!$A$1:$J$488,10,FALSE),"")</f>
        <v/>
      </c>
    </row>
    <row r="3618" spans="18:23">
      <c r="R3618" s="127">
        <f t="shared" ref="R3618:R3681" si="189">L3618-K3618</f>
        <v>0</v>
      </c>
      <c r="T3618" s="128">
        <f t="shared" si="188"/>
        <v>0</v>
      </c>
      <c r="U3618" s="129" t="str">
        <f>IFERROR(IF(#REF!="S",VLOOKUP('Raw Data'!A3618,References!#REF!,2,FALSE),(VLOOKUP($S3618,References!$B$3:$C$7,2,FALSE))),"")</f>
        <v/>
      </c>
      <c r="W3618" s="74" t="str">
        <f>IFERROR(VLOOKUP($O3618,'Customer List'!$A$1:$J$488,10,FALSE),"")</f>
        <v/>
      </c>
    </row>
    <row r="3619" spans="18:23">
      <c r="R3619" s="127">
        <f t="shared" si="189"/>
        <v>0</v>
      </c>
      <c r="T3619" s="128">
        <f t="shared" si="188"/>
        <v>0</v>
      </c>
      <c r="U3619" s="129" t="str">
        <f>IFERROR(IF(#REF!="S",VLOOKUP('Raw Data'!A3619,References!#REF!,2,FALSE),(VLOOKUP($S3619,References!$B$3:$C$7,2,FALSE))),"")</f>
        <v/>
      </c>
      <c r="W3619" s="74" t="str">
        <f>IFERROR(VLOOKUP($O3619,'Customer List'!$A$1:$J$488,10,FALSE),"")</f>
        <v/>
      </c>
    </row>
    <row r="3620" spans="18:23">
      <c r="R3620" s="127">
        <f t="shared" si="189"/>
        <v>0</v>
      </c>
      <c r="T3620" s="128">
        <f t="shared" si="188"/>
        <v>0</v>
      </c>
      <c r="U3620" s="129" t="str">
        <f>IFERROR(IF(#REF!="S",VLOOKUP('Raw Data'!A3620,References!#REF!,2,FALSE),(VLOOKUP($S3620,References!$B$3:$C$7,2,FALSE))),"")</f>
        <v/>
      </c>
      <c r="W3620" s="74" t="str">
        <f>IFERROR(VLOOKUP($O3620,'Customer List'!$A$1:$J$488,10,FALSE),"")</f>
        <v/>
      </c>
    </row>
    <row r="3621" spans="18:23">
      <c r="R3621" s="127">
        <f t="shared" si="189"/>
        <v>0</v>
      </c>
      <c r="T3621" s="128">
        <f t="shared" si="188"/>
        <v>0</v>
      </c>
      <c r="U3621" s="129" t="str">
        <f>IFERROR(IF(#REF!="S",VLOOKUP('Raw Data'!A3621,References!#REF!,2,FALSE),(VLOOKUP($S3621,References!$B$3:$C$7,2,FALSE))),"")</f>
        <v/>
      </c>
      <c r="W3621" s="74" t="str">
        <f>IFERROR(VLOOKUP($O3621,'Customer List'!$A$1:$J$488,10,FALSE),"")</f>
        <v/>
      </c>
    </row>
    <row r="3622" spans="18:23">
      <c r="R3622" s="127">
        <f t="shared" si="189"/>
        <v>0</v>
      </c>
      <c r="T3622" s="128">
        <f t="shared" si="188"/>
        <v>0</v>
      </c>
      <c r="U3622" s="129" t="str">
        <f>IFERROR(IF(#REF!="S",VLOOKUP('Raw Data'!A3622,References!#REF!,2,FALSE),(VLOOKUP($S3622,References!$B$3:$C$7,2,FALSE))),"")</f>
        <v/>
      </c>
      <c r="W3622" s="74" t="str">
        <f>IFERROR(VLOOKUP($O3622,'Customer List'!$A$1:$J$488,10,FALSE),"")</f>
        <v/>
      </c>
    </row>
    <row r="3623" spans="18:23">
      <c r="R3623" s="127">
        <f t="shared" si="189"/>
        <v>0</v>
      </c>
      <c r="T3623" s="128">
        <f t="shared" si="188"/>
        <v>0</v>
      </c>
      <c r="U3623" s="129" t="str">
        <f>IFERROR(IF(#REF!="S",VLOOKUP('Raw Data'!A3623,References!#REF!,2,FALSE),(VLOOKUP($S3623,References!$B$3:$C$7,2,FALSE))),"")</f>
        <v/>
      </c>
      <c r="W3623" s="74" t="str">
        <f>IFERROR(VLOOKUP($O3623,'Customer List'!$A$1:$J$488,10,FALSE),"")</f>
        <v/>
      </c>
    </row>
    <row r="3624" spans="18:23">
      <c r="R3624" s="127">
        <f t="shared" si="189"/>
        <v>0</v>
      </c>
      <c r="T3624" s="128">
        <f t="shared" si="188"/>
        <v>0</v>
      </c>
      <c r="U3624" s="129" t="str">
        <f>IFERROR(IF(#REF!="S",VLOOKUP('Raw Data'!A3624,References!#REF!,2,FALSE),(VLOOKUP($S3624,References!$B$3:$C$7,2,FALSE))),"")</f>
        <v/>
      </c>
      <c r="W3624" s="74" t="str">
        <f>IFERROR(VLOOKUP($O3624,'Customer List'!$A$1:$J$488,10,FALSE),"")</f>
        <v/>
      </c>
    </row>
    <row r="3625" spans="18:23">
      <c r="R3625" s="127">
        <f t="shared" si="189"/>
        <v>0</v>
      </c>
      <c r="T3625" s="128">
        <f t="shared" si="188"/>
        <v>0</v>
      </c>
      <c r="U3625" s="129" t="str">
        <f>IFERROR(IF(#REF!="S",VLOOKUP('Raw Data'!A3625,References!#REF!,2,FALSE),(VLOOKUP($S3625,References!$B$3:$C$7,2,FALSE))),"")</f>
        <v/>
      </c>
      <c r="W3625" s="74" t="str">
        <f>IFERROR(VLOOKUP($O3625,'Customer List'!$A$1:$J$488,10,FALSE),"")</f>
        <v/>
      </c>
    </row>
    <row r="3626" spans="18:23">
      <c r="R3626" s="127">
        <f t="shared" si="189"/>
        <v>0</v>
      </c>
      <c r="T3626" s="128">
        <f t="shared" si="188"/>
        <v>0</v>
      </c>
      <c r="U3626" s="129" t="str">
        <f>IFERROR(IF(#REF!="S",VLOOKUP('Raw Data'!A3626,References!#REF!,2,FALSE),(VLOOKUP($S3626,References!$B$3:$C$7,2,FALSE))),"")</f>
        <v/>
      </c>
      <c r="W3626" s="74" t="str">
        <f>IFERROR(VLOOKUP($O3626,'Customer List'!$A$1:$J$488,10,FALSE),"")</f>
        <v/>
      </c>
    </row>
    <row r="3627" spans="18:23">
      <c r="R3627" s="127">
        <f t="shared" si="189"/>
        <v>0</v>
      </c>
      <c r="T3627" s="128">
        <f t="shared" si="188"/>
        <v>0</v>
      </c>
      <c r="U3627" s="129" t="str">
        <f>IFERROR(IF(#REF!="S",VLOOKUP('Raw Data'!A3627,References!#REF!,2,FALSE),(VLOOKUP($S3627,References!$B$3:$C$7,2,FALSE))),"")</f>
        <v/>
      </c>
      <c r="W3627" s="74" t="str">
        <f>IFERROR(VLOOKUP($O3627,'Customer List'!$A$1:$J$488,10,FALSE),"")</f>
        <v/>
      </c>
    </row>
    <row r="3628" spans="18:23">
      <c r="R3628" s="127">
        <f t="shared" si="189"/>
        <v>0</v>
      </c>
      <c r="T3628" s="128">
        <f t="shared" si="188"/>
        <v>0</v>
      </c>
      <c r="U3628" s="129" t="str">
        <f>IFERROR(IF(#REF!="S",VLOOKUP('Raw Data'!A3628,References!#REF!,2,FALSE),(VLOOKUP($S3628,References!$B$3:$C$7,2,FALSE))),"")</f>
        <v/>
      </c>
      <c r="W3628" s="74" t="str">
        <f>IFERROR(VLOOKUP($O3628,'Customer List'!$A$1:$J$488,10,FALSE),"")</f>
        <v/>
      </c>
    </row>
    <row r="3629" spans="18:23">
      <c r="R3629" s="127">
        <f t="shared" si="189"/>
        <v>0</v>
      </c>
      <c r="T3629" s="128">
        <f t="shared" si="188"/>
        <v>0</v>
      </c>
      <c r="U3629" s="129" t="str">
        <f>IFERROR(IF(#REF!="S",VLOOKUP('Raw Data'!A3629,References!#REF!,2,FALSE),(VLOOKUP($S3629,References!$B$3:$C$7,2,FALSE))),"")</f>
        <v/>
      </c>
      <c r="W3629" s="74" t="str">
        <f>IFERROR(VLOOKUP($O3629,'Customer List'!$A$1:$J$488,10,FALSE),"")</f>
        <v/>
      </c>
    </row>
    <row r="3630" spans="18:23">
      <c r="R3630" s="127">
        <f t="shared" si="189"/>
        <v>0</v>
      </c>
      <c r="T3630" s="128">
        <f t="shared" si="188"/>
        <v>0</v>
      </c>
      <c r="U3630" s="129" t="str">
        <f>IFERROR(IF(#REF!="S",VLOOKUP('Raw Data'!A3630,References!#REF!,2,FALSE),(VLOOKUP($S3630,References!$B$3:$C$7,2,FALSE))),"")</f>
        <v/>
      </c>
      <c r="W3630" s="74" t="str">
        <f>IFERROR(VLOOKUP($O3630,'Customer List'!$A$1:$J$488,10,FALSE),"")</f>
        <v/>
      </c>
    </row>
    <row r="3631" spans="18:23">
      <c r="R3631" s="127">
        <f t="shared" si="189"/>
        <v>0</v>
      </c>
      <c r="T3631" s="128">
        <f t="shared" si="188"/>
        <v>0</v>
      </c>
      <c r="U3631" s="129" t="str">
        <f>IFERROR(IF(#REF!="S",VLOOKUP('Raw Data'!A3631,References!#REF!,2,FALSE),(VLOOKUP($S3631,References!$B$3:$C$7,2,FALSE))),"")</f>
        <v/>
      </c>
      <c r="W3631" s="74" t="str">
        <f>IFERROR(VLOOKUP($O3631,'Customer List'!$A$1:$J$488,10,FALSE),"")</f>
        <v/>
      </c>
    </row>
    <row r="3632" spans="18:23">
      <c r="R3632" s="127">
        <f t="shared" si="189"/>
        <v>0</v>
      </c>
      <c r="T3632" s="128">
        <f t="shared" si="188"/>
        <v>0</v>
      </c>
      <c r="U3632" s="129" t="str">
        <f>IFERROR(IF(#REF!="S",VLOOKUP('Raw Data'!A3632,References!#REF!,2,FALSE),(VLOOKUP($S3632,References!$B$3:$C$7,2,FALSE))),"")</f>
        <v/>
      </c>
      <c r="W3632" s="74" t="str">
        <f>IFERROR(VLOOKUP($O3632,'Customer List'!$A$1:$J$488,10,FALSE),"")</f>
        <v/>
      </c>
    </row>
    <row r="3633" spans="18:23">
      <c r="R3633" s="127">
        <f t="shared" si="189"/>
        <v>0</v>
      </c>
      <c r="T3633" s="128">
        <f t="shared" si="188"/>
        <v>0</v>
      </c>
      <c r="U3633" s="129" t="str">
        <f>IFERROR(IF(#REF!="S",VLOOKUP('Raw Data'!A3633,References!#REF!,2,FALSE),(VLOOKUP($S3633,References!$B$3:$C$7,2,FALSE))),"")</f>
        <v/>
      </c>
      <c r="W3633" s="74" t="str">
        <f>IFERROR(VLOOKUP($O3633,'Customer List'!$A$1:$J$488,10,FALSE),"")</f>
        <v/>
      </c>
    </row>
    <row r="3634" spans="18:23">
      <c r="R3634" s="127">
        <f t="shared" si="189"/>
        <v>0</v>
      </c>
      <c r="T3634" s="128">
        <f t="shared" si="188"/>
        <v>0</v>
      </c>
      <c r="U3634" s="129" t="str">
        <f>IFERROR(IF(#REF!="S",VLOOKUP('Raw Data'!A3634,References!#REF!,2,FALSE),(VLOOKUP($S3634,References!$B$3:$C$7,2,FALSE))),"")</f>
        <v/>
      </c>
      <c r="W3634" s="74" t="str">
        <f>IFERROR(VLOOKUP($O3634,'Customer List'!$A$1:$J$488,10,FALSE),"")</f>
        <v/>
      </c>
    </row>
    <row r="3635" spans="18:23">
      <c r="R3635" s="127">
        <f t="shared" si="189"/>
        <v>0</v>
      </c>
      <c r="T3635" s="128">
        <f t="shared" si="188"/>
        <v>0</v>
      </c>
      <c r="U3635" s="129" t="str">
        <f>IFERROR(IF(#REF!="S",VLOOKUP('Raw Data'!A3635,References!#REF!,2,FALSE),(VLOOKUP($S3635,References!$B$3:$C$7,2,FALSE))),"")</f>
        <v/>
      </c>
      <c r="W3635" s="74" t="str">
        <f>IFERROR(VLOOKUP($O3635,'Customer List'!$A$1:$J$488,10,FALSE),"")</f>
        <v/>
      </c>
    </row>
    <row r="3636" spans="18:23">
      <c r="R3636" s="127">
        <f t="shared" si="189"/>
        <v>0</v>
      </c>
      <c r="T3636" s="128">
        <f t="shared" si="188"/>
        <v>0</v>
      </c>
      <c r="U3636" s="129" t="str">
        <f>IFERROR(IF(#REF!="S",VLOOKUP('Raw Data'!A3636,References!#REF!,2,FALSE),(VLOOKUP($S3636,References!$B$3:$C$7,2,FALSE))),"")</f>
        <v/>
      </c>
      <c r="W3636" s="74" t="str">
        <f>IFERROR(VLOOKUP($O3636,'Customer List'!$A$1:$J$488,10,FALSE),"")</f>
        <v/>
      </c>
    </row>
    <row r="3637" spans="18:23">
      <c r="R3637" s="127">
        <f t="shared" si="189"/>
        <v>0</v>
      </c>
      <c r="T3637" s="128">
        <f t="shared" si="188"/>
        <v>0</v>
      </c>
      <c r="U3637" s="129" t="str">
        <f>IFERROR(IF(#REF!="S",VLOOKUP('Raw Data'!A3637,References!#REF!,2,FALSE),(VLOOKUP($S3637,References!$B$3:$C$7,2,FALSE))),"")</f>
        <v/>
      </c>
      <c r="W3637" s="74" t="str">
        <f>IFERROR(VLOOKUP($O3637,'Customer List'!$A$1:$J$488,10,FALSE),"")</f>
        <v/>
      </c>
    </row>
    <row r="3638" spans="18:23">
      <c r="R3638" s="127">
        <f t="shared" si="189"/>
        <v>0</v>
      </c>
      <c r="T3638" s="128">
        <f t="shared" si="188"/>
        <v>0</v>
      </c>
      <c r="U3638" s="129" t="str">
        <f>IFERROR(IF(#REF!="S",VLOOKUP('Raw Data'!A3638,References!#REF!,2,FALSE),(VLOOKUP($S3638,References!$B$3:$C$7,2,FALSE))),"")</f>
        <v/>
      </c>
      <c r="W3638" s="74" t="str">
        <f>IFERROR(VLOOKUP($O3638,'Customer List'!$A$1:$J$488,10,FALSE),"")</f>
        <v/>
      </c>
    </row>
    <row r="3639" spans="18:23">
      <c r="R3639" s="127">
        <f t="shared" si="189"/>
        <v>0</v>
      </c>
      <c r="T3639" s="128">
        <f t="shared" si="188"/>
        <v>0</v>
      </c>
      <c r="U3639" s="129" t="str">
        <f>IFERROR(IF(#REF!="S",VLOOKUP('Raw Data'!A3639,References!#REF!,2,FALSE),(VLOOKUP($S3639,References!$B$3:$C$7,2,FALSE))),"")</f>
        <v/>
      </c>
      <c r="W3639" s="74" t="str">
        <f>IFERROR(VLOOKUP($O3639,'Customer List'!$A$1:$J$488,10,FALSE),"")</f>
        <v/>
      </c>
    </row>
    <row r="3640" spans="18:23">
      <c r="R3640" s="127">
        <f t="shared" si="189"/>
        <v>0</v>
      </c>
      <c r="T3640" s="128">
        <f t="shared" si="188"/>
        <v>0</v>
      </c>
      <c r="U3640" s="129" t="str">
        <f>IFERROR(IF(#REF!="S",VLOOKUP('Raw Data'!A3640,References!#REF!,2,FALSE),(VLOOKUP($S3640,References!$B$3:$C$7,2,FALSE))),"")</f>
        <v/>
      </c>
      <c r="W3640" s="74" t="str">
        <f>IFERROR(VLOOKUP($O3640,'Customer List'!$A$1:$J$488,10,FALSE),"")</f>
        <v/>
      </c>
    </row>
    <row r="3641" spans="18:23">
      <c r="R3641" s="127">
        <f t="shared" si="189"/>
        <v>0</v>
      </c>
      <c r="T3641" s="128">
        <f t="shared" si="188"/>
        <v>0</v>
      </c>
      <c r="U3641" s="129" t="str">
        <f>IFERROR(IF(#REF!="S",VLOOKUP('Raw Data'!A3641,References!#REF!,2,FALSE),(VLOOKUP($S3641,References!$B$3:$C$7,2,FALSE))),"")</f>
        <v/>
      </c>
      <c r="W3641" s="74" t="str">
        <f>IFERROR(VLOOKUP($O3641,'Customer List'!$A$1:$J$488,10,FALSE),"")</f>
        <v/>
      </c>
    </row>
    <row r="3642" spans="18:23">
      <c r="R3642" s="127">
        <f t="shared" si="189"/>
        <v>0</v>
      </c>
      <c r="T3642" s="128">
        <f t="shared" si="188"/>
        <v>0</v>
      </c>
      <c r="U3642" s="129" t="str">
        <f>IFERROR(IF(#REF!="S",VLOOKUP('Raw Data'!A3642,References!#REF!,2,FALSE),(VLOOKUP($S3642,References!$B$3:$C$7,2,FALSE))),"")</f>
        <v/>
      </c>
      <c r="W3642" s="74" t="str">
        <f>IFERROR(VLOOKUP($O3642,'Customer List'!$A$1:$J$488,10,FALSE),"")</f>
        <v/>
      </c>
    </row>
    <row r="3643" spans="18:23">
      <c r="R3643" s="127">
        <f t="shared" si="189"/>
        <v>0</v>
      </c>
      <c r="T3643" s="128">
        <f t="shared" si="188"/>
        <v>0</v>
      </c>
      <c r="U3643" s="129" t="str">
        <f>IFERROR(IF(#REF!="S",VLOOKUP('Raw Data'!A3643,References!#REF!,2,FALSE),(VLOOKUP($S3643,References!$B$3:$C$7,2,FALSE))),"")</f>
        <v/>
      </c>
      <c r="W3643" s="74" t="str">
        <f>IFERROR(VLOOKUP($O3643,'Customer List'!$A$1:$J$488,10,FALSE),"")</f>
        <v/>
      </c>
    </row>
    <row r="3644" spans="18:23">
      <c r="R3644" s="127">
        <f t="shared" si="189"/>
        <v>0</v>
      </c>
      <c r="T3644" s="128">
        <f t="shared" si="188"/>
        <v>0</v>
      </c>
      <c r="U3644" s="129" t="str">
        <f>IFERROR(IF(#REF!="S",VLOOKUP('Raw Data'!A3644,References!#REF!,2,FALSE),(VLOOKUP($S3644,References!$B$3:$C$7,2,FALSE))),"")</f>
        <v/>
      </c>
      <c r="W3644" s="74" t="str">
        <f>IFERROR(VLOOKUP($O3644,'Customer List'!$A$1:$J$488,10,FALSE),"")</f>
        <v/>
      </c>
    </row>
    <row r="3645" spans="18:23">
      <c r="R3645" s="127">
        <f t="shared" si="189"/>
        <v>0</v>
      </c>
      <c r="T3645" s="128">
        <f t="shared" si="188"/>
        <v>0</v>
      </c>
      <c r="U3645" s="129" t="str">
        <f>IFERROR(IF(#REF!="S",VLOOKUP('Raw Data'!A3645,References!#REF!,2,FALSE),(VLOOKUP($S3645,References!$B$3:$C$7,2,FALSE))),"")</f>
        <v/>
      </c>
      <c r="W3645" s="74" t="str">
        <f>IFERROR(VLOOKUP($O3645,'Customer List'!$A$1:$J$488,10,FALSE),"")</f>
        <v/>
      </c>
    </row>
    <row r="3646" spans="18:23">
      <c r="R3646" s="127">
        <f t="shared" si="189"/>
        <v>0</v>
      </c>
      <c r="T3646" s="128">
        <f t="shared" si="188"/>
        <v>0</v>
      </c>
      <c r="U3646" s="129" t="str">
        <f>IFERROR(IF(#REF!="S",VLOOKUP('Raw Data'!A3646,References!#REF!,2,FALSE),(VLOOKUP($S3646,References!$B$3:$C$7,2,FALSE))),"")</f>
        <v/>
      </c>
      <c r="W3646" s="74" t="str">
        <f>IFERROR(VLOOKUP($O3646,'Customer List'!$A$1:$J$488,10,FALSE),"")</f>
        <v/>
      </c>
    </row>
    <row r="3647" spans="18:23">
      <c r="R3647" s="127">
        <f t="shared" si="189"/>
        <v>0</v>
      </c>
      <c r="T3647" s="128">
        <f t="shared" si="188"/>
        <v>0</v>
      </c>
      <c r="U3647" s="129" t="str">
        <f>IFERROR(IF(#REF!="S",VLOOKUP('Raw Data'!A3647,References!#REF!,2,FALSE),(VLOOKUP($S3647,References!$B$3:$C$7,2,FALSE))),"")</f>
        <v/>
      </c>
      <c r="W3647" s="74" t="str">
        <f>IFERROR(VLOOKUP($O3647,'Customer List'!$A$1:$J$488,10,FALSE),"")</f>
        <v/>
      </c>
    </row>
    <row r="3648" spans="18:23">
      <c r="R3648" s="127">
        <f t="shared" si="189"/>
        <v>0</v>
      </c>
      <c r="T3648" s="128">
        <f t="shared" si="188"/>
        <v>0</v>
      </c>
      <c r="U3648" s="129" t="str">
        <f>IFERROR(IF(#REF!="S",VLOOKUP('Raw Data'!A3648,References!#REF!,2,FALSE),(VLOOKUP($S3648,References!$B$3:$C$7,2,FALSE))),"")</f>
        <v/>
      </c>
      <c r="W3648" s="74" t="str">
        <f>IFERROR(VLOOKUP($O3648,'Customer List'!$A$1:$J$488,10,FALSE),"")</f>
        <v/>
      </c>
    </row>
    <row r="3649" spans="18:23">
      <c r="R3649" s="127">
        <f t="shared" si="189"/>
        <v>0</v>
      </c>
      <c r="T3649" s="128">
        <f t="shared" si="188"/>
        <v>0</v>
      </c>
      <c r="U3649" s="129" t="str">
        <f>IFERROR(IF(#REF!="S",VLOOKUP('Raw Data'!A3649,References!#REF!,2,FALSE),(VLOOKUP($S3649,References!$B$3:$C$7,2,FALSE))),"")</f>
        <v/>
      </c>
      <c r="W3649" s="74" t="str">
        <f>IFERROR(VLOOKUP($O3649,'Customer List'!$A$1:$J$488,10,FALSE),"")</f>
        <v/>
      </c>
    </row>
    <row r="3650" spans="18:23">
      <c r="R3650" s="127">
        <f t="shared" si="189"/>
        <v>0</v>
      </c>
      <c r="T3650" s="128">
        <f t="shared" si="188"/>
        <v>0</v>
      </c>
      <c r="U3650" s="129" t="str">
        <f>IFERROR(IF(#REF!="S",VLOOKUP('Raw Data'!A3650,References!#REF!,2,FALSE),(VLOOKUP($S3650,References!$B$3:$C$7,2,FALSE))),"")</f>
        <v/>
      </c>
      <c r="W3650" s="74" t="str">
        <f>IFERROR(VLOOKUP($O3650,'Customer List'!$A$1:$J$488,10,FALSE),"")</f>
        <v/>
      </c>
    </row>
    <row r="3651" spans="18:23">
      <c r="R3651" s="127">
        <f t="shared" si="189"/>
        <v>0</v>
      </c>
      <c r="T3651" s="128">
        <f t="shared" si="188"/>
        <v>0</v>
      </c>
      <c r="U3651" s="129" t="str">
        <f>IFERROR(IF(#REF!="S",VLOOKUP('Raw Data'!A3651,References!#REF!,2,FALSE),(VLOOKUP($S3651,References!$B$3:$C$7,2,FALSE))),"")</f>
        <v/>
      </c>
      <c r="W3651" s="74" t="str">
        <f>IFERROR(VLOOKUP($O3651,'Customer List'!$A$1:$J$488,10,FALSE),"")</f>
        <v/>
      </c>
    </row>
    <row r="3652" spans="18:23">
      <c r="R3652" s="127">
        <f t="shared" si="189"/>
        <v>0</v>
      </c>
      <c r="T3652" s="128">
        <f t="shared" si="188"/>
        <v>0</v>
      </c>
      <c r="U3652" s="129" t="str">
        <f>IFERROR(IF(#REF!="S",VLOOKUP('Raw Data'!A3652,References!#REF!,2,FALSE),(VLOOKUP($S3652,References!$B$3:$C$7,2,FALSE))),"")</f>
        <v/>
      </c>
      <c r="W3652" s="74" t="str">
        <f>IFERROR(VLOOKUP($O3652,'Customer List'!$A$1:$J$488,10,FALSE),"")</f>
        <v/>
      </c>
    </row>
    <row r="3653" spans="18:23">
      <c r="R3653" s="127">
        <f t="shared" si="189"/>
        <v>0</v>
      </c>
      <c r="T3653" s="128">
        <f t="shared" si="188"/>
        <v>0</v>
      </c>
      <c r="U3653" s="129" t="str">
        <f>IFERROR(IF(#REF!="S",VLOOKUP('Raw Data'!A3653,References!#REF!,2,FALSE),(VLOOKUP($S3653,References!$B$3:$C$7,2,FALSE))),"")</f>
        <v/>
      </c>
      <c r="W3653" s="74" t="str">
        <f>IFERROR(VLOOKUP($O3653,'Customer List'!$A$1:$J$488,10,FALSE),"")</f>
        <v/>
      </c>
    </row>
    <row r="3654" spans="18:23">
      <c r="R3654" s="127">
        <f t="shared" si="189"/>
        <v>0</v>
      </c>
      <c r="T3654" s="128">
        <f t="shared" si="188"/>
        <v>0</v>
      </c>
      <c r="U3654" s="129" t="str">
        <f>IFERROR(IF(#REF!="S",VLOOKUP('Raw Data'!A3654,References!#REF!,2,FALSE),(VLOOKUP($S3654,References!$B$3:$C$7,2,FALSE))),"")</f>
        <v/>
      </c>
      <c r="W3654" s="74" t="str">
        <f>IFERROR(VLOOKUP($O3654,'Customer List'!$A$1:$J$488,10,FALSE),"")</f>
        <v/>
      </c>
    </row>
    <row r="3655" spans="18:23">
      <c r="R3655" s="127">
        <f t="shared" si="189"/>
        <v>0</v>
      </c>
      <c r="T3655" s="128">
        <f t="shared" si="188"/>
        <v>0</v>
      </c>
      <c r="U3655" s="129" t="str">
        <f>IFERROR(IF(#REF!="S",VLOOKUP('Raw Data'!A3655,References!#REF!,2,FALSE),(VLOOKUP($S3655,References!$B$3:$C$7,2,FALSE))),"")</f>
        <v/>
      </c>
      <c r="W3655" s="74" t="str">
        <f>IFERROR(VLOOKUP($O3655,'Customer List'!$A$1:$J$488,10,FALSE),"")</f>
        <v/>
      </c>
    </row>
    <row r="3656" spans="18:23">
      <c r="R3656" s="127">
        <f t="shared" si="189"/>
        <v>0</v>
      </c>
      <c r="T3656" s="128">
        <f t="shared" si="188"/>
        <v>0</v>
      </c>
      <c r="U3656" s="129" t="str">
        <f>IFERROR(IF(#REF!="S",VLOOKUP('Raw Data'!A3656,References!#REF!,2,FALSE),(VLOOKUP($S3656,References!$B$3:$C$7,2,FALSE))),"")</f>
        <v/>
      </c>
      <c r="W3656" s="74" t="str">
        <f>IFERROR(VLOOKUP($O3656,'Customer List'!$A$1:$J$488,10,FALSE),"")</f>
        <v/>
      </c>
    </row>
    <row r="3657" spans="18:23">
      <c r="R3657" s="127">
        <f t="shared" si="189"/>
        <v>0</v>
      </c>
      <c r="T3657" s="128">
        <f t="shared" si="188"/>
        <v>0</v>
      </c>
      <c r="U3657" s="129" t="str">
        <f>IFERROR(IF(#REF!="S",VLOOKUP('Raw Data'!A3657,References!#REF!,2,FALSE),(VLOOKUP($S3657,References!$B$3:$C$7,2,FALSE))),"")</f>
        <v/>
      </c>
      <c r="W3657" s="74" t="str">
        <f>IFERROR(VLOOKUP($O3657,'Customer List'!$A$1:$J$488,10,FALSE),"")</f>
        <v/>
      </c>
    </row>
    <row r="3658" spans="18:23">
      <c r="R3658" s="127">
        <f t="shared" si="189"/>
        <v>0</v>
      </c>
      <c r="T3658" s="128">
        <f t="shared" ref="T3658:T3721" si="190">IF(S3658="50 - Cleaning Fee",1,HOUR($R3658)+MINUTE(R3658)/60)</f>
        <v>0</v>
      </c>
      <c r="U3658" s="129" t="str">
        <f>IFERROR(IF(#REF!="S",VLOOKUP('Raw Data'!A3658,References!#REF!,2,FALSE),(VLOOKUP($S3658,References!$B$3:$C$7,2,FALSE))),"")</f>
        <v/>
      </c>
      <c r="W3658" s="74" t="str">
        <f>IFERROR(VLOOKUP($O3658,'Customer List'!$A$1:$J$488,10,FALSE),"")</f>
        <v/>
      </c>
    </row>
    <row r="3659" spans="18:23">
      <c r="R3659" s="127">
        <f t="shared" si="189"/>
        <v>0</v>
      </c>
      <c r="T3659" s="128">
        <f t="shared" si="190"/>
        <v>0</v>
      </c>
      <c r="U3659" s="129" t="str">
        <f>IFERROR(IF(#REF!="S",VLOOKUP('Raw Data'!A3659,References!#REF!,2,FALSE),(VLOOKUP($S3659,References!$B$3:$C$7,2,FALSE))),"")</f>
        <v/>
      </c>
      <c r="W3659" s="74" t="str">
        <f>IFERROR(VLOOKUP($O3659,'Customer List'!$A$1:$J$488,10,FALSE),"")</f>
        <v/>
      </c>
    </row>
    <row r="3660" spans="18:23">
      <c r="R3660" s="127">
        <f t="shared" si="189"/>
        <v>0</v>
      </c>
      <c r="T3660" s="128">
        <f t="shared" si="190"/>
        <v>0</v>
      </c>
      <c r="U3660" s="129" t="str">
        <f>IFERROR(IF(#REF!="S",VLOOKUP('Raw Data'!A3660,References!#REF!,2,FALSE),(VLOOKUP($S3660,References!$B$3:$C$7,2,FALSE))),"")</f>
        <v/>
      </c>
      <c r="W3660" s="74" t="str">
        <f>IFERROR(VLOOKUP($O3660,'Customer List'!$A$1:$J$488,10,FALSE),"")</f>
        <v/>
      </c>
    </row>
    <row r="3661" spans="18:23">
      <c r="R3661" s="127">
        <f t="shared" si="189"/>
        <v>0</v>
      </c>
      <c r="T3661" s="128">
        <f t="shared" si="190"/>
        <v>0</v>
      </c>
      <c r="U3661" s="129" t="str">
        <f>IFERROR(IF(#REF!="S",VLOOKUP('Raw Data'!A3661,References!#REF!,2,FALSE),(VLOOKUP($S3661,References!$B$3:$C$7,2,FALSE))),"")</f>
        <v/>
      </c>
      <c r="W3661" s="74" t="str">
        <f>IFERROR(VLOOKUP($O3661,'Customer List'!$A$1:$J$488,10,FALSE),"")</f>
        <v/>
      </c>
    </row>
    <row r="3662" spans="18:23">
      <c r="R3662" s="127">
        <f t="shared" si="189"/>
        <v>0</v>
      </c>
      <c r="T3662" s="128">
        <f t="shared" si="190"/>
        <v>0</v>
      </c>
      <c r="U3662" s="129" t="str">
        <f>IFERROR(IF(#REF!="S",VLOOKUP('Raw Data'!A3662,References!#REF!,2,FALSE),(VLOOKUP($S3662,References!$B$3:$C$7,2,FALSE))),"")</f>
        <v/>
      </c>
      <c r="W3662" s="74" t="str">
        <f>IFERROR(VLOOKUP($O3662,'Customer List'!$A$1:$J$488,10,FALSE),"")</f>
        <v/>
      </c>
    </row>
    <row r="3663" spans="18:23">
      <c r="R3663" s="127">
        <f t="shared" si="189"/>
        <v>0</v>
      </c>
      <c r="T3663" s="128">
        <f t="shared" si="190"/>
        <v>0</v>
      </c>
      <c r="U3663" s="129" t="str">
        <f>IFERROR(IF(#REF!="S",VLOOKUP('Raw Data'!A3663,References!#REF!,2,FALSE),(VLOOKUP($S3663,References!$B$3:$C$7,2,FALSE))),"")</f>
        <v/>
      </c>
      <c r="W3663" s="74" t="str">
        <f>IFERROR(VLOOKUP($O3663,'Customer List'!$A$1:$J$488,10,FALSE),"")</f>
        <v/>
      </c>
    </row>
    <row r="3664" spans="18:23">
      <c r="R3664" s="127">
        <f t="shared" si="189"/>
        <v>0</v>
      </c>
      <c r="T3664" s="128">
        <f t="shared" si="190"/>
        <v>0</v>
      </c>
      <c r="U3664" s="129" t="str">
        <f>IFERROR(IF(#REF!="S",VLOOKUP('Raw Data'!A3664,References!#REF!,2,FALSE),(VLOOKUP($S3664,References!$B$3:$C$7,2,FALSE))),"")</f>
        <v/>
      </c>
      <c r="W3664" s="74" t="str">
        <f>IFERROR(VLOOKUP($O3664,'Customer List'!$A$1:$J$488,10,FALSE),"")</f>
        <v/>
      </c>
    </row>
    <row r="3665" spans="18:23">
      <c r="R3665" s="127">
        <f t="shared" si="189"/>
        <v>0</v>
      </c>
      <c r="T3665" s="128">
        <f t="shared" si="190"/>
        <v>0</v>
      </c>
      <c r="U3665" s="129" t="str">
        <f>IFERROR(IF(#REF!="S",VLOOKUP('Raw Data'!A3665,References!#REF!,2,FALSE),(VLOOKUP($S3665,References!$B$3:$C$7,2,FALSE))),"")</f>
        <v/>
      </c>
      <c r="W3665" s="74" t="str">
        <f>IFERROR(VLOOKUP($O3665,'Customer List'!$A$1:$J$488,10,FALSE),"")</f>
        <v/>
      </c>
    </row>
    <row r="3666" spans="18:23">
      <c r="R3666" s="127">
        <f t="shared" si="189"/>
        <v>0</v>
      </c>
      <c r="T3666" s="128">
        <f t="shared" si="190"/>
        <v>0</v>
      </c>
      <c r="U3666" s="129" t="str">
        <f>IFERROR(IF(#REF!="S",VLOOKUP('Raw Data'!A3666,References!#REF!,2,FALSE),(VLOOKUP($S3666,References!$B$3:$C$7,2,FALSE))),"")</f>
        <v/>
      </c>
      <c r="W3666" s="74" t="str">
        <f>IFERROR(VLOOKUP($O3666,'Customer List'!$A$1:$J$488,10,FALSE),"")</f>
        <v/>
      </c>
    </row>
    <row r="3667" spans="18:23">
      <c r="R3667" s="127">
        <f t="shared" si="189"/>
        <v>0</v>
      </c>
      <c r="T3667" s="128">
        <f t="shared" si="190"/>
        <v>0</v>
      </c>
      <c r="U3667" s="129" t="str">
        <f>IFERROR(IF(#REF!="S",VLOOKUP('Raw Data'!A3667,References!#REF!,2,FALSE),(VLOOKUP($S3667,References!$B$3:$C$7,2,FALSE))),"")</f>
        <v/>
      </c>
      <c r="W3667" s="74" t="str">
        <f>IFERROR(VLOOKUP($O3667,'Customer List'!$A$1:$J$488,10,FALSE),"")</f>
        <v/>
      </c>
    </row>
    <row r="3668" spans="18:23">
      <c r="R3668" s="127">
        <f t="shared" si="189"/>
        <v>0</v>
      </c>
      <c r="T3668" s="128">
        <f t="shared" si="190"/>
        <v>0</v>
      </c>
      <c r="U3668" s="129" t="str">
        <f>IFERROR(IF(#REF!="S",VLOOKUP('Raw Data'!A3668,References!#REF!,2,FALSE),(VLOOKUP($S3668,References!$B$3:$C$7,2,FALSE))),"")</f>
        <v/>
      </c>
      <c r="W3668" s="74" t="str">
        <f>IFERROR(VLOOKUP($O3668,'Customer List'!$A$1:$J$488,10,FALSE),"")</f>
        <v/>
      </c>
    </row>
    <row r="3669" spans="18:23">
      <c r="R3669" s="127">
        <f t="shared" si="189"/>
        <v>0</v>
      </c>
      <c r="T3669" s="128">
        <f t="shared" si="190"/>
        <v>0</v>
      </c>
      <c r="U3669" s="129" t="str">
        <f>IFERROR(IF(#REF!="S",VLOOKUP('Raw Data'!A3669,References!#REF!,2,FALSE),(VLOOKUP($S3669,References!$B$3:$C$7,2,FALSE))),"")</f>
        <v/>
      </c>
      <c r="W3669" s="74" t="str">
        <f>IFERROR(VLOOKUP($O3669,'Customer List'!$A$1:$J$488,10,FALSE),"")</f>
        <v/>
      </c>
    </row>
    <row r="3670" spans="18:23">
      <c r="R3670" s="127">
        <f t="shared" si="189"/>
        <v>0</v>
      </c>
      <c r="T3670" s="128">
        <f t="shared" si="190"/>
        <v>0</v>
      </c>
      <c r="U3670" s="129" t="str">
        <f>IFERROR(IF(#REF!="S",VLOOKUP('Raw Data'!A3670,References!#REF!,2,FALSE),(VLOOKUP($S3670,References!$B$3:$C$7,2,FALSE))),"")</f>
        <v/>
      </c>
      <c r="W3670" s="74" t="str">
        <f>IFERROR(VLOOKUP($O3670,'Customer List'!$A$1:$J$488,10,FALSE),"")</f>
        <v/>
      </c>
    </row>
    <row r="3671" spans="18:23">
      <c r="R3671" s="127">
        <f t="shared" si="189"/>
        <v>0</v>
      </c>
      <c r="T3671" s="128">
        <f t="shared" si="190"/>
        <v>0</v>
      </c>
      <c r="U3671" s="129" t="str">
        <f>IFERROR(IF(#REF!="S",VLOOKUP('Raw Data'!A3671,References!#REF!,2,FALSE),(VLOOKUP($S3671,References!$B$3:$C$7,2,FALSE))),"")</f>
        <v/>
      </c>
      <c r="W3671" s="74" t="str">
        <f>IFERROR(VLOOKUP($O3671,'Customer List'!$A$1:$J$488,10,FALSE),"")</f>
        <v/>
      </c>
    </row>
    <row r="3672" spans="18:23">
      <c r="R3672" s="127">
        <f t="shared" si="189"/>
        <v>0</v>
      </c>
      <c r="T3672" s="128">
        <f t="shared" si="190"/>
        <v>0</v>
      </c>
      <c r="U3672" s="129" t="str">
        <f>IFERROR(IF(#REF!="S",VLOOKUP('Raw Data'!A3672,References!#REF!,2,FALSE),(VLOOKUP($S3672,References!$B$3:$C$7,2,FALSE))),"")</f>
        <v/>
      </c>
      <c r="W3672" s="74" t="str">
        <f>IFERROR(VLOOKUP($O3672,'Customer List'!$A$1:$J$488,10,FALSE),"")</f>
        <v/>
      </c>
    </row>
    <row r="3673" spans="18:23">
      <c r="R3673" s="127">
        <f t="shared" si="189"/>
        <v>0</v>
      </c>
      <c r="T3673" s="128">
        <f t="shared" si="190"/>
        <v>0</v>
      </c>
      <c r="U3673" s="129" t="str">
        <f>IFERROR(IF(#REF!="S",VLOOKUP('Raw Data'!A3673,References!#REF!,2,FALSE),(VLOOKUP($S3673,References!$B$3:$C$7,2,FALSE))),"")</f>
        <v/>
      </c>
      <c r="W3673" s="74" t="str">
        <f>IFERROR(VLOOKUP($O3673,'Customer List'!$A$1:$J$488,10,FALSE),"")</f>
        <v/>
      </c>
    </row>
    <row r="3674" spans="18:23">
      <c r="R3674" s="127">
        <f t="shared" si="189"/>
        <v>0</v>
      </c>
      <c r="T3674" s="128">
        <f t="shared" si="190"/>
        <v>0</v>
      </c>
      <c r="U3674" s="129" t="str">
        <f>IFERROR(IF(#REF!="S",VLOOKUP('Raw Data'!A3674,References!#REF!,2,FALSE),(VLOOKUP($S3674,References!$B$3:$C$7,2,FALSE))),"")</f>
        <v/>
      </c>
      <c r="W3674" s="74" t="str">
        <f>IFERROR(VLOOKUP($O3674,'Customer List'!$A$1:$J$488,10,FALSE),"")</f>
        <v/>
      </c>
    </row>
    <row r="3675" spans="18:23">
      <c r="R3675" s="127">
        <f t="shared" si="189"/>
        <v>0</v>
      </c>
      <c r="T3675" s="128">
        <f t="shared" si="190"/>
        <v>0</v>
      </c>
      <c r="U3675" s="129" t="str">
        <f>IFERROR(IF(#REF!="S",VLOOKUP('Raw Data'!A3675,References!#REF!,2,FALSE),(VLOOKUP($S3675,References!$B$3:$C$7,2,FALSE))),"")</f>
        <v/>
      </c>
      <c r="W3675" s="74" t="str">
        <f>IFERROR(VLOOKUP($O3675,'Customer List'!$A$1:$J$488,10,FALSE),"")</f>
        <v/>
      </c>
    </row>
    <row r="3676" spans="18:23">
      <c r="R3676" s="127">
        <f t="shared" si="189"/>
        <v>0</v>
      </c>
      <c r="T3676" s="128">
        <f t="shared" si="190"/>
        <v>0</v>
      </c>
      <c r="U3676" s="129" t="str">
        <f>IFERROR(IF(#REF!="S",VLOOKUP('Raw Data'!A3676,References!#REF!,2,FALSE),(VLOOKUP($S3676,References!$B$3:$C$7,2,FALSE))),"")</f>
        <v/>
      </c>
      <c r="W3676" s="74" t="str">
        <f>IFERROR(VLOOKUP($O3676,'Customer List'!$A$1:$J$488,10,FALSE),"")</f>
        <v/>
      </c>
    </row>
    <row r="3677" spans="18:23">
      <c r="R3677" s="127">
        <f t="shared" si="189"/>
        <v>0</v>
      </c>
      <c r="T3677" s="128">
        <f t="shared" si="190"/>
        <v>0</v>
      </c>
      <c r="U3677" s="129" t="str">
        <f>IFERROR(IF(#REF!="S",VLOOKUP('Raw Data'!A3677,References!#REF!,2,FALSE),(VLOOKUP($S3677,References!$B$3:$C$7,2,FALSE))),"")</f>
        <v/>
      </c>
      <c r="W3677" s="74" t="str">
        <f>IFERROR(VLOOKUP($O3677,'Customer List'!$A$1:$J$488,10,FALSE),"")</f>
        <v/>
      </c>
    </row>
    <row r="3678" spans="18:23">
      <c r="R3678" s="127">
        <f t="shared" si="189"/>
        <v>0</v>
      </c>
      <c r="T3678" s="128">
        <f t="shared" si="190"/>
        <v>0</v>
      </c>
      <c r="U3678" s="129" t="str">
        <f>IFERROR(IF(#REF!="S",VLOOKUP('Raw Data'!A3678,References!#REF!,2,FALSE),(VLOOKUP($S3678,References!$B$3:$C$7,2,FALSE))),"")</f>
        <v/>
      </c>
      <c r="W3678" s="74" t="str">
        <f>IFERROR(VLOOKUP($O3678,'Customer List'!$A$1:$J$488,10,FALSE),"")</f>
        <v/>
      </c>
    </row>
    <row r="3679" spans="18:23">
      <c r="R3679" s="127">
        <f t="shared" si="189"/>
        <v>0</v>
      </c>
      <c r="T3679" s="128">
        <f t="shared" si="190"/>
        <v>0</v>
      </c>
      <c r="U3679" s="129" t="str">
        <f>IFERROR(IF(#REF!="S",VLOOKUP('Raw Data'!A3679,References!#REF!,2,FALSE),(VLOOKUP($S3679,References!$B$3:$C$7,2,FALSE))),"")</f>
        <v/>
      </c>
      <c r="W3679" s="74" t="str">
        <f>IFERROR(VLOOKUP($O3679,'Customer List'!$A$1:$J$488,10,FALSE),"")</f>
        <v/>
      </c>
    </row>
    <row r="3680" spans="18:23">
      <c r="R3680" s="127">
        <f t="shared" si="189"/>
        <v>0</v>
      </c>
      <c r="T3680" s="128">
        <f t="shared" si="190"/>
        <v>0</v>
      </c>
      <c r="U3680" s="129" t="str">
        <f>IFERROR(IF(#REF!="S",VLOOKUP('Raw Data'!A3680,References!#REF!,2,FALSE),(VLOOKUP($S3680,References!$B$3:$C$7,2,FALSE))),"")</f>
        <v/>
      </c>
      <c r="W3680" s="74" t="str">
        <f>IFERROR(VLOOKUP($O3680,'Customer List'!$A$1:$J$488,10,FALSE),"")</f>
        <v/>
      </c>
    </row>
    <row r="3681" spans="18:23">
      <c r="R3681" s="127">
        <f t="shared" si="189"/>
        <v>0</v>
      </c>
      <c r="T3681" s="128">
        <f t="shared" si="190"/>
        <v>0</v>
      </c>
      <c r="U3681" s="129" t="str">
        <f>IFERROR(IF(#REF!="S",VLOOKUP('Raw Data'!A3681,References!#REF!,2,FALSE),(VLOOKUP($S3681,References!$B$3:$C$7,2,FALSE))),"")</f>
        <v/>
      </c>
      <c r="W3681" s="74" t="str">
        <f>IFERROR(VLOOKUP($O3681,'Customer List'!$A$1:$J$488,10,FALSE),"")</f>
        <v/>
      </c>
    </row>
    <row r="3682" spans="18:23">
      <c r="R3682" s="127">
        <f t="shared" ref="R3682:R3745" si="191">L3682-K3682</f>
        <v>0</v>
      </c>
      <c r="T3682" s="128">
        <f t="shared" si="190"/>
        <v>0</v>
      </c>
      <c r="U3682" s="129" t="str">
        <f>IFERROR(IF(#REF!="S",VLOOKUP('Raw Data'!A3682,References!#REF!,2,FALSE),(VLOOKUP($S3682,References!$B$3:$C$7,2,FALSE))),"")</f>
        <v/>
      </c>
      <c r="W3682" s="74" t="str">
        <f>IFERROR(VLOOKUP($O3682,'Customer List'!$A$1:$J$488,10,FALSE),"")</f>
        <v/>
      </c>
    </row>
    <row r="3683" spans="18:23">
      <c r="R3683" s="127">
        <f t="shared" si="191"/>
        <v>0</v>
      </c>
      <c r="T3683" s="128">
        <f t="shared" si="190"/>
        <v>0</v>
      </c>
      <c r="U3683" s="129" t="str">
        <f>IFERROR(IF(#REF!="S",VLOOKUP('Raw Data'!A3683,References!#REF!,2,FALSE),(VLOOKUP($S3683,References!$B$3:$C$7,2,FALSE))),"")</f>
        <v/>
      </c>
      <c r="W3683" s="74" t="str">
        <f>IFERROR(VLOOKUP($O3683,'Customer List'!$A$1:$J$488,10,FALSE),"")</f>
        <v/>
      </c>
    </row>
    <row r="3684" spans="18:23">
      <c r="R3684" s="127">
        <f t="shared" si="191"/>
        <v>0</v>
      </c>
      <c r="T3684" s="128">
        <f t="shared" si="190"/>
        <v>0</v>
      </c>
      <c r="U3684" s="129" t="str">
        <f>IFERROR(IF(#REF!="S",VLOOKUP('Raw Data'!A3684,References!#REF!,2,FALSE),(VLOOKUP($S3684,References!$B$3:$C$7,2,FALSE))),"")</f>
        <v/>
      </c>
      <c r="W3684" s="74" t="str">
        <f>IFERROR(VLOOKUP($O3684,'Customer List'!$A$1:$J$488,10,FALSE),"")</f>
        <v/>
      </c>
    </row>
    <row r="3685" spans="18:23">
      <c r="R3685" s="127">
        <f t="shared" si="191"/>
        <v>0</v>
      </c>
      <c r="T3685" s="128">
        <f t="shared" si="190"/>
        <v>0</v>
      </c>
      <c r="U3685" s="129" t="str">
        <f>IFERROR(IF(#REF!="S",VLOOKUP('Raw Data'!A3685,References!#REF!,2,FALSE),(VLOOKUP($S3685,References!$B$3:$C$7,2,FALSE))),"")</f>
        <v/>
      </c>
      <c r="W3685" s="74" t="str">
        <f>IFERROR(VLOOKUP($O3685,'Customer List'!$A$1:$J$488,10,FALSE),"")</f>
        <v/>
      </c>
    </row>
    <row r="3686" spans="18:23">
      <c r="R3686" s="127">
        <f t="shared" si="191"/>
        <v>0</v>
      </c>
      <c r="T3686" s="128">
        <f t="shared" si="190"/>
        <v>0</v>
      </c>
      <c r="U3686" s="129" t="str">
        <f>IFERROR(IF(#REF!="S",VLOOKUP('Raw Data'!A3686,References!#REF!,2,FALSE),(VLOOKUP($S3686,References!$B$3:$C$7,2,FALSE))),"")</f>
        <v/>
      </c>
      <c r="W3686" s="74" t="str">
        <f>IFERROR(VLOOKUP($O3686,'Customer List'!$A$1:$J$488,10,FALSE),"")</f>
        <v/>
      </c>
    </row>
    <row r="3687" spans="18:23">
      <c r="R3687" s="127">
        <f t="shared" si="191"/>
        <v>0</v>
      </c>
      <c r="T3687" s="128">
        <f t="shared" si="190"/>
        <v>0</v>
      </c>
      <c r="U3687" s="129" t="str">
        <f>IFERROR(IF(#REF!="S",VLOOKUP('Raw Data'!A3687,References!#REF!,2,FALSE),(VLOOKUP($S3687,References!$B$3:$C$7,2,FALSE))),"")</f>
        <v/>
      </c>
      <c r="W3687" s="74" t="str">
        <f>IFERROR(VLOOKUP($O3687,'Customer List'!$A$1:$J$488,10,FALSE),"")</f>
        <v/>
      </c>
    </row>
    <row r="3688" spans="18:23">
      <c r="R3688" s="127">
        <f t="shared" si="191"/>
        <v>0</v>
      </c>
      <c r="T3688" s="128">
        <f t="shared" si="190"/>
        <v>0</v>
      </c>
      <c r="U3688" s="129" t="str">
        <f>IFERROR(IF(#REF!="S",VLOOKUP('Raw Data'!A3688,References!#REF!,2,FALSE),(VLOOKUP($S3688,References!$B$3:$C$7,2,FALSE))),"")</f>
        <v/>
      </c>
      <c r="W3688" s="74" t="str">
        <f>IFERROR(VLOOKUP($O3688,'Customer List'!$A$1:$J$488,10,FALSE),"")</f>
        <v/>
      </c>
    </row>
    <row r="3689" spans="18:23">
      <c r="R3689" s="127">
        <f t="shared" si="191"/>
        <v>0</v>
      </c>
      <c r="T3689" s="128">
        <f t="shared" si="190"/>
        <v>0</v>
      </c>
      <c r="U3689" s="129" t="str">
        <f>IFERROR(IF(#REF!="S",VLOOKUP('Raw Data'!A3689,References!#REF!,2,FALSE),(VLOOKUP($S3689,References!$B$3:$C$7,2,FALSE))),"")</f>
        <v/>
      </c>
      <c r="W3689" s="74" t="str">
        <f>IFERROR(VLOOKUP($O3689,'Customer List'!$A$1:$J$488,10,FALSE),"")</f>
        <v/>
      </c>
    </row>
    <row r="3690" spans="18:23">
      <c r="R3690" s="127">
        <f t="shared" si="191"/>
        <v>0</v>
      </c>
      <c r="T3690" s="128">
        <f t="shared" si="190"/>
        <v>0</v>
      </c>
      <c r="U3690" s="129" t="str">
        <f>IFERROR(IF(#REF!="S",VLOOKUP('Raw Data'!A3690,References!#REF!,2,FALSE),(VLOOKUP($S3690,References!$B$3:$C$7,2,FALSE))),"")</f>
        <v/>
      </c>
      <c r="W3690" s="74" t="str">
        <f>IFERROR(VLOOKUP($O3690,'Customer List'!$A$1:$J$488,10,FALSE),"")</f>
        <v/>
      </c>
    </row>
    <row r="3691" spans="18:23">
      <c r="R3691" s="127">
        <f t="shared" si="191"/>
        <v>0</v>
      </c>
      <c r="T3691" s="128">
        <f t="shared" si="190"/>
        <v>0</v>
      </c>
      <c r="U3691" s="129" t="str">
        <f>IFERROR(IF(#REF!="S",VLOOKUP('Raw Data'!A3691,References!#REF!,2,FALSE),(VLOOKUP($S3691,References!$B$3:$C$7,2,FALSE))),"")</f>
        <v/>
      </c>
      <c r="W3691" s="74" t="str">
        <f>IFERROR(VLOOKUP($O3691,'Customer List'!$A$1:$J$488,10,FALSE),"")</f>
        <v/>
      </c>
    </row>
    <row r="3692" spans="18:23">
      <c r="R3692" s="127">
        <f t="shared" si="191"/>
        <v>0</v>
      </c>
      <c r="T3692" s="128">
        <f t="shared" si="190"/>
        <v>0</v>
      </c>
      <c r="U3692" s="129" t="str">
        <f>IFERROR(IF(#REF!="S",VLOOKUP('Raw Data'!A3692,References!#REF!,2,FALSE),(VLOOKUP($S3692,References!$B$3:$C$7,2,FALSE))),"")</f>
        <v/>
      </c>
      <c r="W3692" s="74" t="str">
        <f>IFERROR(VLOOKUP($O3692,'Customer List'!$A$1:$J$488,10,FALSE),"")</f>
        <v/>
      </c>
    </row>
    <row r="3693" spans="18:23">
      <c r="R3693" s="127">
        <f t="shared" si="191"/>
        <v>0</v>
      </c>
      <c r="T3693" s="128">
        <f t="shared" si="190"/>
        <v>0</v>
      </c>
      <c r="U3693" s="129" t="str">
        <f>IFERROR(IF(#REF!="S",VLOOKUP('Raw Data'!A3693,References!#REF!,2,FALSE),(VLOOKUP($S3693,References!$B$3:$C$7,2,FALSE))),"")</f>
        <v/>
      </c>
      <c r="W3693" s="74" t="str">
        <f>IFERROR(VLOOKUP($O3693,'Customer List'!$A$1:$J$488,10,FALSE),"")</f>
        <v/>
      </c>
    </row>
    <row r="3694" spans="18:23">
      <c r="R3694" s="127">
        <f t="shared" si="191"/>
        <v>0</v>
      </c>
      <c r="T3694" s="128">
        <f t="shared" si="190"/>
        <v>0</v>
      </c>
      <c r="U3694" s="129" t="str">
        <f>IFERROR(IF(#REF!="S",VLOOKUP('Raw Data'!A3694,References!#REF!,2,FALSE),(VLOOKUP($S3694,References!$B$3:$C$7,2,FALSE))),"")</f>
        <v/>
      </c>
      <c r="W3694" s="74" t="str">
        <f>IFERROR(VLOOKUP($O3694,'Customer List'!$A$1:$J$488,10,FALSE),"")</f>
        <v/>
      </c>
    </row>
    <row r="3695" spans="18:23">
      <c r="R3695" s="127">
        <f t="shared" si="191"/>
        <v>0</v>
      </c>
      <c r="T3695" s="128">
        <f t="shared" si="190"/>
        <v>0</v>
      </c>
      <c r="U3695" s="129" t="str">
        <f>IFERROR(IF(#REF!="S",VLOOKUP('Raw Data'!A3695,References!#REF!,2,FALSE),(VLOOKUP($S3695,References!$B$3:$C$7,2,FALSE))),"")</f>
        <v/>
      </c>
      <c r="W3695" s="74" t="str">
        <f>IFERROR(VLOOKUP($O3695,'Customer List'!$A$1:$J$488,10,FALSE),"")</f>
        <v/>
      </c>
    </row>
    <row r="3696" spans="18:23">
      <c r="R3696" s="127">
        <f t="shared" si="191"/>
        <v>0</v>
      </c>
      <c r="T3696" s="128">
        <f t="shared" si="190"/>
        <v>0</v>
      </c>
      <c r="U3696" s="129" t="str">
        <f>IFERROR(IF(#REF!="S",VLOOKUP('Raw Data'!A3696,References!#REF!,2,FALSE),(VLOOKUP($S3696,References!$B$3:$C$7,2,FALSE))),"")</f>
        <v/>
      </c>
      <c r="W3696" s="74" t="str">
        <f>IFERROR(VLOOKUP($O3696,'Customer List'!$A$1:$J$488,10,FALSE),"")</f>
        <v/>
      </c>
    </row>
    <row r="3697" spans="18:23">
      <c r="R3697" s="127">
        <f t="shared" si="191"/>
        <v>0</v>
      </c>
      <c r="T3697" s="128">
        <f t="shared" si="190"/>
        <v>0</v>
      </c>
      <c r="U3697" s="129" t="str">
        <f>IFERROR(IF(#REF!="S",VLOOKUP('Raw Data'!A3697,References!#REF!,2,FALSE),(VLOOKUP($S3697,References!$B$3:$C$7,2,FALSE))),"")</f>
        <v/>
      </c>
      <c r="W3697" s="74" t="str">
        <f>IFERROR(VLOOKUP($O3697,'Customer List'!$A$1:$J$488,10,FALSE),"")</f>
        <v/>
      </c>
    </row>
    <row r="3698" spans="18:23">
      <c r="R3698" s="127">
        <f t="shared" si="191"/>
        <v>0</v>
      </c>
      <c r="T3698" s="128">
        <f t="shared" si="190"/>
        <v>0</v>
      </c>
      <c r="U3698" s="129" t="str">
        <f>IFERROR(IF(#REF!="S",VLOOKUP('Raw Data'!A3698,References!#REF!,2,FALSE),(VLOOKUP($S3698,References!$B$3:$C$7,2,FALSE))),"")</f>
        <v/>
      </c>
      <c r="W3698" s="74" t="str">
        <f>IFERROR(VLOOKUP($O3698,'Customer List'!$A$1:$J$488,10,FALSE),"")</f>
        <v/>
      </c>
    </row>
    <row r="3699" spans="18:23">
      <c r="R3699" s="127">
        <f t="shared" si="191"/>
        <v>0</v>
      </c>
      <c r="T3699" s="128">
        <f t="shared" si="190"/>
        <v>0</v>
      </c>
      <c r="U3699" s="129" t="str">
        <f>IFERROR(IF(#REF!="S",VLOOKUP('Raw Data'!A3699,References!#REF!,2,FALSE),(VLOOKUP($S3699,References!$B$3:$C$7,2,FALSE))),"")</f>
        <v/>
      </c>
      <c r="W3699" s="74" t="str">
        <f>IFERROR(VLOOKUP($O3699,'Customer List'!$A$1:$J$488,10,FALSE),"")</f>
        <v/>
      </c>
    </row>
    <row r="3700" spans="18:23">
      <c r="R3700" s="127">
        <f t="shared" si="191"/>
        <v>0</v>
      </c>
      <c r="T3700" s="128">
        <f t="shared" si="190"/>
        <v>0</v>
      </c>
      <c r="U3700" s="129" t="str">
        <f>IFERROR(IF(#REF!="S",VLOOKUP('Raw Data'!A3700,References!#REF!,2,FALSE),(VLOOKUP($S3700,References!$B$3:$C$7,2,FALSE))),"")</f>
        <v/>
      </c>
      <c r="W3700" s="74" t="str">
        <f>IFERROR(VLOOKUP($O3700,'Customer List'!$A$1:$J$488,10,FALSE),"")</f>
        <v/>
      </c>
    </row>
    <row r="3701" spans="18:23">
      <c r="R3701" s="127">
        <f t="shared" si="191"/>
        <v>0</v>
      </c>
      <c r="T3701" s="128">
        <f t="shared" si="190"/>
        <v>0</v>
      </c>
      <c r="U3701" s="129" t="str">
        <f>IFERROR(IF(#REF!="S",VLOOKUP('Raw Data'!A3701,References!#REF!,2,FALSE),(VLOOKUP($S3701,References!$B$3:$C$7,2,FALSE))),"")</f>
        <v/>
      </c>
      <c r="W3701" s="74" t="str">
        <f>IFERROR(VLOOKUP($O3701,'Customer List'!$A$1:$J$488,10,FALSE),"")</f>
        <v/>
      </c>
    </row>
    <row r="3702" spans="18:23">
      <c r="R3702" s="127">
        <f t="shared" si="191"/>
        <v>0</v>
      </c>
      <c r="T3702" s="128">
        <f t="shared" si="190"/>
        <v>0</v>
      </c>
      <c r="U3702" s="129" t="str">
        <f>IFERROR(IF(#REF!="S",VLOOKUP('Raw Data'!A3702,References!#REF!,2,FALSE),(VLOOKUP($S3702,References!$B$3:$C$7,2,FALSE))),"")</f>
        <v/>
      </c>
      <c r="W3702" s="74" t="str">
        <f>IFERROR(VLOOKUP($O3702,'Customer List'!$A$1:$J$488,10,FALSE),"")</f>
        <v/>
      </c>
    </row>
    <row r="3703" spans="18:23">
      <c r="R3703" s="127">
        <f t="shared" si="191"/>
        <v>0</v>
      </c>
      <c r="T3703" s="128">
        <f t="shared" si="190"/>
        <v>0</v>
      </c>
      <c r="U3703" s="129" t="str">
        <f>IFERROR(IF(#REF!="S",VLOOKUP('Raw Data'!A3703,References!#REF!,2,FALSE),(VLOOKUP($S3703,References!$B$3:$C$7,2,FALSE))),"")</f>
        <v/>
      </c>
      <c r="W3703" s="74" t="str">
        <f>IFERROR(VLOOKUP($O3703,'Customer List'!$A$1:$J$488,10,FALSE),"")</f>
        <v/>
      </c>
    </row>
    <row r="3704" spans="18:23">
      <c r="R3704" s="127">
        <f t="shared" si="191"/>
        <v>0</v>
      </c>
      <c r="T3704" s="128">
        <f t="shared" si="190"/>
        <v>0</v>
      </c>
      <c r="U3704" s="129" t="str">
        <f>IFERROR(IF(#REF!="S",VLOOKUP('Raw Data'!A3704,References!#REF!,2,FALSE),(VLOOKUP($S3704,References!$B$3:$C$7,2,FALSE))),"")</f>
        <v/>
      </c>
      <c r="W3704" s="74" t="str">
        <f>IFERROR(VLOOKUP($O3704,'Customer List'!$A$1:$J$488,10,FALSE),"")</f>
        <v/>
      </c>
    </row>
    <row r="3705" spans="18:23">
      <c r="R3705" s="127">
        <f t="shared" si="191"/>
        <v>0</v>
      </c>
      <c r="T3705" s="128">
        <f t="shared" si="190"/>
        <v>0</v>
      </c>
      <c r="U3705" s="129" t="str">
        <f>IFERROR(IF(#REF!="S",VLOOKUP('Raw Data'!A3705,References!#REF!,2,FALSE),(VLOOKUP($S3705,References!$B$3:$C$7,2,FALSE))),"")</f>
        <v/>
      </c>
      <c r="W3705" s="74" t="str">
        <f>IFERROR(VLOOKUP($O3705,'Customer List'!$A$1:$J$488,10,FALSE),"")</f>
        <v/>
      </c>
    </row>
    <row r="3706" spans="18:23">
      <c r="R3706" s="127">
        <f t="shared" si="191"/>
        <v>0</v>
      </c>
      <c r="T3706" s="128">
        <f t="shared" si="190"/>
        <v>0</v>
      </c>
      <c r="U3706" s="129" t="str">
        <f>IFERROR(IF(#REF!="S",VLOOKUP('Raw Data'!A3706,References!#REF!,2,FALSE),(VLOOKUP($S3706,References!$B$3:$C$7,2,FALSE))),"")</f>
        <v/>
      </c>
      <c r="W3706" s="74" t="str">
        <f>IFERROR(VLOOKUP($O3706,'Customer List'!$A$1:$J$488,10,FALSE),"")</f>
        <v/>
      </c>
    </row>
    <row r="3707" spans="18:23">
      <c r="R3707" s="127">
        <f t="shared" si="191"/>
        <v>0</v>
      </c>
      <c r="T3707" s="128">
        <f t="shared" si="190"/>
        <v>0</v>
      </c>
      <c r="U3707" s="129" t="str">
        <f>IFERROR(IF(#REF!="S",VLOOKUP('Raw Data'!A3707,References!#REF!,2,FALSE),(VLOOKUP($S3707,References!$B$3:$C$7,2,FALSE))),"")</f>
        <v/>
      </c>
      <c r="W3707" s="74" t="str">
        <f>IFERROR(VLOOKUP($O3707,'Customer List'!$A$1:$J$488,10,FALSE),"")</f>
        <v/>
      </c>
    </row>
    <row r="3708" spans="18:23">
      <c r="R3708" s="127">
        <f t="shared" si="191"/>
        <v>0</v>
      </c>
      <c r="T3708" s="128">
        <f t="shared" si="190"/>
        <v>0</v>
      </c>
      <c r="U3708" s="129" t="str">
        <f>IFERROR(IF(#REF!="S",VLOOKUP('Raw Data'!A3708,References!#REF!,2,FALSE),(VLOOKUP($S3708,References!$B$3:$C$7,2,FALSE))),"")</f>
        <v/>
      </c>
      <c r="W3708" s="74" t="str">
        <f>IFERROR(VLOOKUP($O3708,'Customer List'!$A$1:$J$488,10,FALSE),"")</f>
        <v/>
      </c>
    </row>
    <row r="3709" spans="18:23">
      <c r="R3709" s="127">
        <f t="shared" si="191"/>
        <v>0</v>
      </c>
      <c r="T3709" s="128">
        <f t="shared" si="190"/>
        <v>0</v>
      </c>
      <c r="U3709" s="129" t="str">
        <f>IFERROR(IF(#REF!="S",VLOOKUP('Raw Data'!A3709,References!#REF!,2,FALSE),(VLOOKUP($S3709,References!$B$3:$C$7,2,FALSE))),"")</f>
        <v/>
      </c>
      <c r="W3709" s="74" t="str">
        <f>IFERROR(VLOOKUP($O3709,'Customer List'!$A$1:$J$488,10,FALSE),"")</f>
        <v/>
      </c>
    </row>
    <row r="3710" spans="18:23">
      <c r="R3710" s="127">
        <f t="shared" si="191"/>
        <v>0</v>
      </c>
      <c r="T3710" s="128">
        <f t="shared" si="190"/>
        <v>0</v>
      </c>
      <c r="U3710" s="129" t="str">
        <f>IFERROR(IF(#REF!="S",VLOOKUP('Raw Data'!A3710,References!#REF!,2,FALSE),(VLOOKUP($S3710,References!$B$3:$C$7,2,FALSE))),"")</f>
        <v/>
      </c>
      <c r="W3710" s="74" t="str">
        <f>IFERROR(VLOOKUP($O3710,'Customer List'!$A$1:$J$488,10,FALSE),"")</f>
        <v/>
      </c>
    </row>
    <row r="3711" spans="18:23">
      <c r="R3711" s="127">
        <f t="shared" si="191"/>
        <v>0</v>
      </c>
      <c r="T3711" s="128">
        <f t="shared" si="190"/>
        <v>0</v>
      </c>
      <c r="U3711" s="129" t="str">
        <f>IFERROR(IF(#REF!="S",VLOOKUP('Raw Data'!A3711,References!#REF!,2,FALSE),(VLOOKUP($S3711,References!$B$3:$C$7,2,FALSE))),"")</f>
        <v/>
      </c>
      <c r="W3711" s="74" t="str">
        <f>IFERROR(VLOOKUP($O3711,'Customer List'!$A$1:$J$488,10,FALSE),"")</f>
        <v/>
      </c>
    </row>
    <row r="3712" spans="18:23">
      <c r="R3712" s="127">
        <f t="shared" si="191"/>
        <v>0</v>
      </c>
      <c r="T3712" s="128">
        <f t="shared" si="190"/>
        <v>0</v>
      </c>
      <c r="U3712" s="129" t="str">
        <f>IFERROR(IF(#REF!="S",VLOOKUP('Raw Data'!A3712,References!#REF!,2,FALSE),(VLOOKUP($S3712,References!$B$3:$C$7,2,FALSE))),"")</f>
        <v/>
      </c>
      <c r="W3712" s="74" t="str">
        <f>IFERROR(VLOOKUP($O3712,'Customer List'!$A$1:$J$488,10,FALSE),"")</f>
        <v/>
      </c>
    </row>
    <row r="3713" spans="18:23">
      <c r="R3713" s="127">
        <f t="shared" si="191"/>
        <v>0</v>
      </c>
      <c r="T3713" s="128">
        <f t="shared" si="190"/>
        <v>0</v>
      </c>
      <c r="U3713" s="129" t="str">
        <f>IFERROR(IF(#REF!="S",VLOOKUP('Raw Data'!A3713,References!#REF!,2,FALSE),(VLOOKUP($S3713,References!$B$3:$C$7,2,FALSE))),"")</f>
        <v/>
      </c>
      <c r="W3713" s="74" t="str">
        <f>IFERROR(VLOOKUP($O3713,'Customer List'!$A$1:$J$488,10,FALSE),"")</f>
        <v/>
      </c>
    </row>
    <row r="3714" spans="18:23">
      <c r="R3714" s="127">
        <f t="shared" si="191"/>
        <v>0</v>
      </c>
      <c r="T3714" s="128">
        <f t="shared" si="190"/>
        <v>0</v>
      </c>
      <c r="U3714" s="129" t="str">
        <f>IFERROR(IF(#REF!="S",VLOOKUP('Raw Data'!A3714,References!#REF!,2,FALSE),(VLOOKUP($S3714,References!$B$3:$C$7,2,FALSE))),"")</f>
        <v/>
      </c>
      <c r="W3714" s="74" t="str">
        <f>IFERROR(VLOOKUP($O3714,'Customer List'!$A$1:$J$488,10,FALSE),"")</f>
        <v/>
      </c>
    </row>
    <row r="3715" spans="18:23">
      <c r="R3715" s="127">
        <f t="shared" si="191"/>
        <v>0</v>
      </c>
      <c r="T3715" s="128">
        <f t="shared" si="190"/>
        <v>0</v>
      </c>
      <c r="U3715" s="129" t="str">
        <f>IFERROR(IF(#REF!="S",VLOOKUP('Raw Data'!A3715,References!#REF!,2,FALSE),(VLOOKUP($S3715,References!$B$3:$C$7,2,FALSE))),"")</f>
        <v/>
      </c>
      <c r="W3715" s="74" t="str">
        <f>IFERROR(VLOOKUP($O3715,'Customer List'!$A$1:$J$488,10,FALSE),"")</f>
        <v/>
      </c>
    </row>
    <row r="3716" spans="18:23">
      <c r="R3716" s="127">
        <f t="shared" si="191"/>
        <v>0</v>
      </c>
      <c r="T3716" s="128">
        <f t="shared" si="190"/>
        <v>0</v>
      </c>
      <c r="U3716" s="129" t="str">
        <f>IFERROR(IF(#REF!="S",VLOOKUP('Raw Data'!A3716,References!#REF!,2,FALSE),(VLOOKUP($S3716,References!$B$3:$C$7,2,FALSE))),"")</f>
        <v/>
      </c>
      <c r="W3716" s="74" t="str">
        <f>IFERROR(VLOOKUP($O3716,'Customer List'!$A$1:$J$488,10,FALSE),"")</f>
        <v/>
      </c>
    </row>
    <row r="3717" spans="18:23">
      <c r="R3717" s="127">
        <f t="shared" si="191"/>
        <v>0</v>
      </c>
      <c r="T3717" s="128">
        <f t="shared" si="190"/>
        <v>0</v>
      </c>
      <c r="U3717" s="129" t="str">
        <f>IFERROR(IF(#REF!="S",VLOOKUP('Raw Data'!A3717,References!#REF!,2,FALSE),(VLOOKUP($S3717,References!$B$3:$C$7,2,FALSE))),"")</f>
        <v/>
      </c>
      <c r="W3717" s="74" t="str">
        <f>IFERROR(VLOOKUP($O3717,'Customer List'!$A$1:$J$488,10,FALSE),"")</f>
        <v/>
      </c>
    </row>
    <row r="3718" spans="18:23">
      <c r="R3718" s="127">
        <f t="shared" si="191"/>
        <v>0</v>
      </c>
      <c r="T3718" s="128">
        <f t="shared" si="190"/>
        <v>0</v>
      </c>
      <c r="U3718" s="129" t="str">
        <f>IFERROR(IF(#REF!="S",VLOOKUP('Raw Data'!A3718,References!#REF!,2,FALSE),(VLOOKUP($S3718,References!$B$3:$C$7,2,FALSE))),"")</f>
        <v/>
      </c>
      <c r="W3718" s="74" t="str">
        <f>IFERROR(VLOOKUP($O3718,'Customer List'!$A$1:$J$488,10,FALSE),"")</f>
        <v/>
      </c>
    </row>
    <row r="3719" spans="18:23">
      <c r="R3719" s="127">
        <f t="shared" si="191"/>
        <v>0</v>
      </c>
      <c r="T3719" s="128">
        <f t="shared" si="190"/>
        <v>0</v>
      </c>
      <c r="U3719" s="129" t="str">
        <f>IFERROR(IF(#REF!="S",VLOOKUP('Raw Data'!A3719,References!#REF!,2,FALSE),(VLOOKUP($S3719,References!$B$3:$C$7,2,FALSE))),"")</f>
        <v/>
      </c>
      <c r="W3719" s="74" t="str">
        <f>IFERROR(VLOOKUP($O3719,'Customer List'!$A$1:$J$488,10,FALSE),"")</f>
        <v/>
      </c>
    </row>
    <row r="3720" spans="18:23">
      <c r="R3720" s="127">
        <f t="shared" si="191"/>
        <v>0</v>
      </c>
      <c r="T3720" s="128">
        <f t="shared" si="190"/>
        <v>0</v>
      </c>
      <c r="U3720" s="129" t="str">
        <f>IFERROR(IF(#REF!="S",VLOOKUP('Raw Data'!A3720,References!#REF!,2,FALSE),(VLOOKUP($S3720,References!$B$3:$C$7,2,FALSE))),"")</f>
        <v/>
      </c>
      <c r="W3720" s="74" t="str">
        <f>IFERROR(VLOOKUP($O3720,'Customer List'!$A$1:$J$488,10,FALSE),"")</f>
        <v/>
      </c>
    </row>
    <row r="3721" spans="18:23">
      <c r="R3721" s="127">
        <f t="shared" si="191"/>
        <v>0</v>
      </c>
      <c r="T3721" s="128">
        <f t="shared" si="190"/>
        <v>0</v>
      </c>
      <c r="U3721" s="129" t="str">
        <f>IFERROR(IF(#REF!="S",VLOOKUP('Raw Data'!A3721,References!#REF!,2,FALSE),(VLOOKUP($S3721,References!$B$3:$C$7,2,FALSE))),"")</f>
        <v/>
      </c>
      <c r="W3721" s="74" t="str">
        <f>IFERROR(VLOOKUP($O3721,'Customer List'!$A$1:$J$488,10,FALSE),"")</f>
        <v/>
      </c>
    </row>
    <row r="3722" spans="18:23">
      <c r="R3722" s="127">
        <f t="shared" si="191"/>
        <v>0</v>
      </c>
      <c r="T3722" s="128">
        <f t="shared" ref="T3722:T3785" si="192">IF(S3722="50 - Cleaning Fee",1,HOUR($R3722)+MINUTE(R3722)/60)</f>
        <v>0</v>
      </c>
      <c r="U3722" s="129" t="str">
        <f>IFERROR(IF(#REF!="S",VLOOKUP('Raw Data'!A3722,References!#REF!,2,FALSE),(VLOOKUP($S3722,References!$B$3:$C$7,2,FALSE))),"")</f>
        <v/>
      </c>
      <c r="W3722" s="74" t="str">
        <f>IFERROR(VLOOKUP($O3722,'Customer List'!$A$1:$J$488,10,FALSE),"")</f>
        <v/>
      </c>
    </row>
    <row r="3723" spans="18:23">
      <c r="R3723" s="127">
        <f t="shared" si="191"/>
        <v>0</v>
      </c>
      <c r="T3723" s="128">
        <f t="shared" si="192"/>
        <v>0</v>
      </c>
      <c r="U3723" s="129" t="str">
        <f>IFERROR(IF(#REF!="S",VLOOKUP('Raw Data'!A3723,References!#REF!,2,FALSE),(VLOOKUP($S3723,References!$B$3:$C$7,2,FALSE))),"")</f>
        <v/>
      </c>
      <c r="W3723" s="74" t="str">
        <f>IFERROR(VLOOKUP($O3723,'Customer List'!$A$1:$J$488,10,FALSE),"")</f>
        <v/>
      </c>
    </row>
    <row r="3724" spans="18:23">
      <c r="R3724" s="127">
        <f t="shared" si="191"/>
        <v>0</v>
      </c>
      <c r="T3724" s="128">
        <f t="shared" si="192"/>
        <v>0</v>
      </c>
      <c r="U3724" s="129" t="str">
        <f>IFERROR(IF(#REF!="S",VLOOKUP('Raw Data'!A3724,References!#REF!,2,FALSE),(VLOOKUP($S3724,References!$B$3:$C$7,2,FALSE))),"")</f>
        <v/>
      </c>
      <c r="W3724" s="74" t="str">
        <f>IFERROR(VLOOKUP($O3724,'Customer List'!$A$1:$J$488,10,FALSE),"")</f>
        <v/>
      </c>
    </row>
    <row r="3725" spans="18:23">
      <c r="R3725" s="127">
        <f t="shared" si="191"/>
        <v>0</v>
      </c>
      <c r="T3725" s="128">
        <f t="shared" si="192"/>
        <v>0</v>
      </c>
      <c r="U3725" s="129" t="str">
        <f>IFERROR(IF(#REF!="S",VLOOKUP('Raw Data'!A3725,References!#REF!,2,FALSE),(VLOOKUP($S3725,References!$B$3:$C$7,2,FALSE))),"")</f>
        <v/>
      </c>
      <c r="W3725" s="74" t="str">
        <f>IFERROR(VLOOKUP($O3725,'Customer List'!$A$1:$J$488,10,FALSE),"")</f>
        <v/>
      </c>
    </row>
    <row r="3726" spans="18:23">
      <c r="R3726" s="127">
        <f t="shared" si="191"/>
        <v>0</v>
      </c>
      <c r="T3726" s="128">
        <f t="shared" si="192"/>
        <v>0</v>
      </c>
      <c r="U3726" s="129" t="str">
        <f>IFERROR(IF(#REF!="S",VLOOKUP('Raw Data'!A3726,References!#REF!,2,FALSE),(VLOOKUP($S3726,References!$B$3:$C$7,2,FALSE))),"")</f>
        <v/>
      </c>
      <c r="W3726" s="74" t="str">
        <f>IFERROR(VLOOKUP($O3726,'Customer List'!$A$1:$J$488,10,FALSE),"")</f>
        <v/>
      </c>
    </row>
    <row r="3727" spans="18:23">
      <c r="R3727" s="127">
        <f t="shared" si="191"/>
        <v>0</v>
      </c>
      <c r="T3727" s="128">
        <f t="shared" si="192"/>
        <v>0</v>
      </c>
      <c r="U3727" s="129" t="str">
        <f>IFERROR(IF(#REF!="S",VLOOKUP('Raw Data'!A3727,References!#REF!,2,FALSE),(VLOOKUP($S3727,References!$B$3:$C$7,2,FALSE))),"")</f>
        <v/>
      </c>
      <c r="W3727" s="74" t="str">
        <f>IFERROR(VLOOKUP($O3727,'Customer List'!$A$1:$J$488,10,FALSE),"")</f>
        <v/>
      </c>
    </row>
    <row r="3728" spans="18:23">
      <c r="R3728" s="127">
        <f t="shared" si="191"/>
        <v>0</v>
      </c>
      <c r="T3728" s="128">
        <f t="shared" si="192"/>
        <v>0</v>
      </c>
      <c r="U3728" s="129" t="str">
        <f>IFERROR(IF(#REF!="S",VLOOKUP('Raw Data'!A3728,References!#REF!,2,FALSE),(VLOOKUP($S3728,References!$B$3:$C$7,2,FALSE))),"")</f>
        <v/>
      </c>
      <c r="W3728" s="74" t="str">
        <f>IFERROR(VLOOKUP($O3728,'Customer List'!$A$1:$J$488,10,FALSE),"")</f>
        <v/>
      </c>
    </row>
    <row r="3729" spans="18:23">
      <c r="R3729" s="127">
        <f t="shared" si="191"/>
        <v>0</v>
      </c>
      <c r="T3729" s="128">
        <f t="shared" si="192"/>
        <v>0</v>
      </c>
      <c r="U3729" s="129" t="str">
        <f>IFERROR(IF(#REF!="S",VLOOKUP('Raw Data'!A3729,References!#REF!,2,FALSE),(VLOOKUP($S3729,References!$B$3:$C$7,2,FALSE))),"")</f>
        <v/>
      </c>
      <c r="W3729" s="74" t="str">
        <f>IFERROR(VLOOKUP($O3729,'Customer List'!$A$1:$J$488,10,FALSE),"")</f>
        <v/>
      </c>
    </row>
    <row r="3730" spans="18:23">
      <c r="R3730" s="127">
        <f t="shared" si="191"/>
        <v>0</v>
      </c>
      <c r="T3730" s="128">
        <f t="shared" si="192"/>
        <v>0</v>
      </c>
      <c r="U3730" s="129" t="str">
        <f>IFERROR(IF(#REF!="S",VLOOKUP('Raw Data'!A3730,References!#REF!,2,FALSE),(VLOOKUP($S3730,References!$B$3:$C$7,2,FALSE))),"")</f>
        <v/>
      </c>
      <c r="W3730" s="74" t="str">
        <f>IFERROR(VLOOKUP($O3730,'Customer List'!$A$1:$J$488,10,FALSE),"")</f>
        <v/>
      </c>
    </row>
    <row r="3731" spans="18:23">
      <c r="R3731" s="127">
        <f t="shared" si="191"/>
        <v>0</v>
      </c>
      <c r="T3731" s="128">
        <f t="shared" si="192"/>
        <v>0</v>
      </c>
      <c r="U3731" s="129" t="str">
        <f>IFERROR(IF(#REF!="S",VLOOKUP('Raw Data'!A3731,References!#REF!,2,FALSE),(VLOOKUP($S3731,References!$B$3:$C$7,2,FALSE))),"")</f>
        <v/>
      </c>
      <c r="W3731" s="74" t="str">
        <f>IFERROR(VLOOKUP($O3731,'Customer List'!$A$1:$J$488,10,FALSE),"")</f>
        <v/>
      </c>
    </row>
    <row r="3732" spans="18:23">
      <c r="R3732" s="127">
        <f t="shared" si="191"/>
        <v>0</v>
      </c>
      <c r="T3732" s="128">
        <f t="shared" si="192"/>
        <v>0</v>
      </c>
      <c r="U3732" s="129" t="str">
        <f>IFERROR(IF(#REF!="S",VLOOKUP('Raw Data'!A3732,References!#REF!,2,FALSE),(VLOOKUP($S3732,References!$B$3:$C$7,2,FALSE))),"")</f>
        <v/>
      </c>
      <c r="W3732" s="74" t="str">
        <f>IFERROR(VLOOKUP($O3732,'Customer List'!$A$1:$J$488,10,FALSE),"")</f>
        <v/>
      </c>
    </row>
    <row r="3733" spans="18:23">
      <c r="R3733" s="127">
        <f t="shared" si="191"/>
        <v>0</v>
      </c>
      <c r="T3733" s="128">
        <f t="shared" si="192"/>
        <v>0</v>
      </c>
      <c r="U3733" s="129" t="str">
        <f>IFERROR(IF(#REF!="S",VLOOKUP('Raw Data'!A3733,References!#REF!,2,FALSE),(VLOOKUP($S3733,References!$B$3:$C$7,2,FALSE))),"")</f>
        <v/>
      </c>
      <c r="W3733" s="74" t="str">
        <f>IFERROR(VLOOKUP($O3733,'Customer List'!$A$1:$J$488,10,FALSE),"")</f>
        <v/>
      </c>
    </row>
    <row r="3734" spans="18:23">
      <c r="R3734" s="127">
        <f t="shared" si="191"/>
        <v>0</v>
      </c>
      <c r="T3734" s="128">
        <f t="shared" si="192"/>
        <v>0</v>
      </c>
      <c r="U3734" s="129" t="str">
        <f>IFERROR(IF(#REF!="S",VLOOKUP('Raw Data'!A3734,References!#REF!,2,FALSE),(VLOOKUP($S3734,References!$B$3:$C$7,2,FALSE))),"")</f>
        <v/>
      </c>
      <c r="W3734" s="74" t="str">
        <f>IFERROR(VLOOKUP($O3734,'Customer List'!$A$1:$J$488,10,FALSE),"")</f>
        <v/>
      </c>
    </row>
    <row r="3735" spans="18:23">
      <c r="R3735" s="127">
        <f t="shared" si="191"/>
        <v>0</v>
      </c>
      <c r="T3735" s="128">
        <f t="shared" si="192"/>
        <v>0</v>
      </c>
      <c r="U3735" s="129" t="str">
        <f>IFERROR(IF(#REF!="S",VLOOKUP('Raw Data'!A3735,References!#REF!,2,FALSE),(VLOOKUP($S3735,References!$B$3:$C$7,2,FALSE))),"")</f>
        <v/>
      </c>
      <c r="W3735" s="74" t="str">
        <f>IFERROR(VLOOKUP($O3735,'Customer List'!$A$1:$J$488,10,FALSE),"")</f>
        <v/>
      </c>
    </row>
    <row r="3736" spans="18:23">
      <c r="R3736" s="127">
        <f t="shared" si="191"/>
        <v>0</v>
      </c>
      <c r="T3736" s="128">
        <f t="shared" si="192"/>
        <v>0</v>
      </c>
      <c r="U3736" s="129" t="str">
        <f>IFERROR(IF(#REF!="S",VLOOKUP('Raw Data'!A3736,References!#REF!,2,FALSE),(VLOOKUP($S3736,References!$B$3:$C$7,2,FALSE))),"")</f>
        <v/>
      </c>
      <c r="W3736" s="74" t="str">
        <f>IFERROR(VLOOKUP($O3736,'Customer List'!$A$1:$J$488,10,FALSE),"")</f>
        <v/>
      </c>
    </row>
    <row r="3737" spans="18:23">
      <c r="R3737" s="127">
        <f t="shared" si="191"/>
        <v>0</v>
      </c>
      <c r="T3737" s="128">
        <f t="shared" si="192"/>
        <v>0</v>
      </c>
      <c r="U3737" s="129" t="str">
        <f>IFERROR(IF(#REF!="S",VLOOKUP('Raw Data'!A3737,References!#REF!,2,FALSE),(VLOOKUP($S3737,References!$B$3:$C$7,2,FALSE))),"")</f>
        <v/>
      </c>
      <c r="W3737" s="74" t="str">
        <f>IFERROR(VLOOKUP($O3737,'Customer List'!$A$1:$J$488,10,FALSE),"")</f>
        <v/>
      </c>
    </row>
    <row r="3738" spans="18:23">
      <c r="R3738" s="127">
        <f t="shared" si="191"/>
        <v>0</v>
      </c>
      <c r="T3738" s="128">
        <f t="shared" si="192"/>
        <v>0</v>
      </c>
      <c r="U3738" s="129" t="str">
        <f>IFERROR(IF(#REF!="S",VLOOKUP('Raw Data'!A3738,References!#REF!,2,FALSE),(VLOOKUP($S3738,References!$B$3:$C$7,2,FALSE))),"")</f>
        <v/>
      </c>
      <c r="W3738" s="74" t="str">
        <f>IFERROR(VLOOKUP($O3738,'Customer List'!$A$1:$J$488,10,FALSE),"")</f>
        <v/>
      </c>
    </row>
    <row r="3739" spans="18:23">
      <c r="R3739" s="127">
        <f t="shared" si="191"/>
        <v>0</v>
      </c>
      <c r="T3739" s="128">
        <f t="shared" si="192"/>
        <v>0</v>
      </c>
      <c r="U3739" s="129" t="str">
        <f>IFERROR(IF(#REF!="S",VLOOKUP('Raw Data'!A3739,References!#REF!,2,FALSE),(VLOOKUP($S3739,References!$B$3:$C$7,2,FALSE))),"")</f>
        <v/>
      </c>
      <c r="W3739" s="74" t="str">
        <f>IFERROR(VLOOKUP($O3739,'Customer List'!$A$1:$J$488,10,FALSE),"")</f>
        <v/>
      </c>
    </row>
    <row r="3740" spans="18:23">
      <c r="R3740" s="127">
        <f t="shared" si="191"/>
        <v>0</v>
      </c>
      <c r="T3740" s="128">
        <f t="shared" si="192"/>
        <v>0</v>
      </c>
      <c r="U3740" s="129" t="str">
        <f>IFERROR(IF(#REF!="S",VLOOKUP('Raw Data'!A3740,References!#REF!,2,FALSE),(VLOOKUP($S3740,References!$B$3:$C$7,2,FALSE))),"")</f>
        <v/>
      </c>
      <c r="W3740" s="74" t="str">
        <f>IFERROR(VLOOKUP($O3740,'Customer List'!$A$1:$J$488,10,FALSE),"")</f>
        <v/>
      </c>
    </row>
    <row r="3741" spans="18:23">
      <c r="R3741" s="127">
        <f t="shared" si="191"/>
        <v>0</v>
      </c>
      <c r="T3741" s="128">
        <f t="shared" si="192"/>
        <v>0</v>
      </c>
      <c r="U3741" s="129" t="str">
        <f>IFERROR(IF(#REF!="S",VLOOKUP('Raw Data'!A3741,References!#REF!,2,FALSE),(VLOOKUP($S3741,References!$B$3:$C$7,2,FALSE))),"")</f>
        <v/>
      </c>
      <c r="W3741" s="74" t="str">
        <f>IFERROR(VLOOKUP($O3741,'Customer List'!$A$1:$J$488,10,FALSE),"")</f>
        <v/>
      </c>
    </row>
    <row r="3742" spans="18:23">
      <c r="R3742" s="127">
        <f t="shared" si="191"/>
        <v>0</v>
      </c>
      <c r="T3742" s="128">
        <f t="shared" si="192"/>
        <v>0</v>
      </c>
      <c r="U3742" s="129" t="str">
        <f>IFERROR(IF(#REF!="S",VLOOKUP('Raw Data'!A3742,References!#REF!,2,FALSE),(VLOOKUP($S3742,References!$B$3:$C$7,2,FALSE))),"")</f>
        <v/>
      </c>
      <c r="W3742" s="74" t="str">
        <f>IFERROR(VLOOKUP($O3742,'Customer List'!$A$1:$J$488,10,FALSE),"")</f>
        <v/>
      </c>
    </row>
    <row r="3743" spans="18:23">
      <c r="R3743" s="127">
        <f t="shared" si="191"/>
        <v>0</v>
      </c>
      <c r="T3743" s="128">
        <f t="shared" si="192"/>
        <v>0</v>
      </c>
      <c r="U3743" s="129" t="str">
        <f>IFERROR(IF(#REF!="S",VLOOKUP('Raw Data'!A3743,References!#REF!,2,FALSE),(VLOOKUP($S3743,References!$B$3:$C$7,2,FALSE))),"")</f>
        <v/>
      </c>
      <c r="W3743" s="74" t="str">
        <f>IFERROR(VLOOKUP($O3743,'Customer List'!$A$1:$J$488,10,FALSE),"")</f>
        <v/>
      </c>
    </row>
    <row r="3744" spans="18:23">
      <c r="R3744" s="127">
        <f t="shared" si="191"/>
        <v>0</v>
      </c>
      <c r="T3744" s="128">
        <f t="shared" si="192"/>
        <v>0</v>
      </c>
      <c r="U3744" s="129" t="str">
        <f>IFERROR(IF(#REF!="S",VLOOKUP('Raw Data'!A3744,References!#REF!,2,FALSE),(VLOOKUP($S3744,References!$B$3:$C$7,2,FALSE))),"")</f>
        <v/>
      </c>
      <c r="W3744" s="74" t="str">
        <f>IFERROR(VLOOKUP($O3744,'Customer List'!$A$1:$J$488,10,FALSE),"")</f>
        <v/>
      </c>
    </row>
    <row r="3745" spans="18:23">
      <c r="R3745" s="127">
        <f t="shared" si="191"/>
        <v>0</v>
      </c>
      <c r="T3745" s="128">
        <f t="shared" si="192"/>
        <v>0</v>
      </c>
      <c r="U3745" s="129" t="str">
        <f>IFERROR(IF(#REF!="S",VLOOKUP('Raw Data'!A3745,References!#REF!,2,FALSE),(VLOOKUP($S3745,References!$B$3:$C$7,2,FALSE))),"")</f>
        <v/>
      </c>
      <c r="W3745" s="74" t="str">
        <f>IFERROR(VLOOKUP($O3745,'Customer List'!$A$1:$J$488,10,FALSE),"")</f>
        <v/>
      </c>
    </row>
    <row r="3746" spans="18:23">
      <c r="R3746" s="127">
        <f t="shared" ref="R3746:R3809" si="193">L3746-K3746</f>
        <v>0</v>
      </c>
      <c r="T3746" s="128">
        <f t="shared" si="192"/>
        <v>0</v>
      </c>
      <c r="U3746" s="129" t="str">
        <f>IFERROR(IF(#REF!="S",VLOOKUP('Raw Data'!A3746,References!#REF!,2,FALSE),(VLOOKUP($S3746,References!$B$3:$C$7,2,FALSE))),"")</f>
        <v/>
      </c>
      <c r="W3746" s="74" t="str">
        <f>IFERROR(VLOOKUP($O3746,'Customer List'!$A$1:$J$488,10,FALSE),"")</f>
        <v/>
      </c>
    </row>
    <row r="3747" spans="18:23">
      <c r="R3747" s="127">
        <f t="shared" si="193"/>
        <v>0</v>
      </c>
      <c r="T3747" s="128">
        <f t="shared" si="192"/>
        <v>0</v>
      </c>
      <c r="U3747" s="129" t="str">
        <f>IFERROR(IF(#REF!="S",VLOOKUP('Raw Data'!A3747,References!#REF!,2,FALSE),(VLOOKUP($S3747,References!$B$3:$C$7,2,FALSE))),"")</f>
        <v/>
      </c>
      <c r="W3747" s="74" t="str">
        <f>IFERROR(VLOOKUP($O3747,'Customer List'!$A$1:$J$488,10,FALSE),"")</f>
        <v/>
      </c>
    </row>
    <row r="3748" spans="18:23">
      <c r="R3748" s="127">
        <f t="shared" si="193"/>
        <v>0</v>
      </c>
      <c r="T3748" s="128">
        <f t="shared" si="192"/>
        <v>0</v>
      </c>
      <c r="U3748" s="129" t="str">
        <f>IFERROR(IF(#REF!="S",VLOOKUP('Raw Data'!A3748,References!#REF!,2,FALSE),(VLOOKUP($S3748,References!$B$3:$C$7,2,FALSE))),"")</f>
        <v/>
      </c>
      <c r="W3748" s="74" t="str">
        <f>IFERROR(VLOOKUP($O3748,'Customer List'!$A$1:$J$488,10,FALSE),"")</f>
        <v/>
      </c>
    </row>
    <row r="3749" spans="18:23">
      <c r="R3749" s="127">
        <f t="shared" si="193"/>
        <v>0</v>
      </c>
      <c r="T3749" s="128">
        <f t="shared" si="192"/>
        <v>0</v>
      </c>
      <c r="U3749" s="129" t="str">
        <f>IFERROR(IF(#REF!="S",VLOOKUP('Raw Data'!A3749,References!#REF!,2,FALSE),(VLOOKUP($S3749,References!$B$3:$C$7,2,FALSE))),"")</f>
        <v/>
      </c>
      <c r="W3749" s="74" t="str">
        <f>IFERROR(VLOOKUP($O3749,'Customer List'!$A$1:$J$488,10,FALSE),"")</f>
        <v/>
      </c>
    </row>
    <row r="3750" spans="18:23">
      <c r="R3750" s="127">
        <f t="shared" si="193"/>
        <v>0</v>
      </c>
      <c r="T3750" s="128">
        <f t="shared" si="192"/>
        <v>0</v>
      </c>
      <c r="U3750" s="129" t="str">
        <f>IFERROR(IF(#REF!="S",VLOOKUP('Raw Data'!A3750,References!#REF!,2,FALSE),(VLOOKUP($S3750,References!$B$3:$C$7,2,FALSE))),"")</f>
        <v/>
      </c>
      <c r="W3750" s="74" t="str">
        <f>IFERROR(VLOOKUP($O3750,'Customer List'!$A$1:$J$488,10,FALSE),"")</f>
        <v/>
      </c>
    </row>
    <row r="3751" spans="18:23">
      <c r="R3751" s="127">
        <f t="shared" si="193"/>
        <v>0</v>
      </c>
      <c r="T3751" s="128">
        <f t="shared" si="192"/>
        <v>0</v>
      </c>
      <c r="U3751" s="129" t="str">
        <f>IFERROR(IF(#REF!="S",VLOOKUP('Raw Data'!A3751,References!#REF!,2,FALSE),(VLOOKUP($S3751,References!$B$3:$C$7,2,FALSE))),"")</f>
        <v/>
      </c>
      <c r="W3751" s="74" t="str">
        <f>IFERROR(VLOOKUP($O3751,'Customer List'!$A$1:$J$488,10,FALSE),"")</f>
        <v/>
      </c>
    </row>
    <row r="3752" spans="18:23">
      <c r="R3752" s="127">
        <f t="shared" si="193"/>
        <v>0</v>
      </c>
      <c r="T3752" s="128">
        <f t="shared" si="192"/>
        <v>0</v>
      </c>
      <c r="U3752" s="129" t="str">
        <f>IFERROR(IF(#REF!="S",VLOOKUP('Raw Data'!A3752,References!#REF!,2,FALSE),(VLOOKUP($S3752,References!$B$3:$C$7,2,FALSE))),"")</f>
        <v/>
      </c>
      <c r="W3752" s="74" t="str">
        <f>IFERROR(VLOOKUP($O3752,'Customer List'!$A$1:$J$488,10,FALSE),"")</f>
        <v/>
      </c>
    </row>
    <row r="3753" spans="18:23">
      <c r="R3753" s="127">
        <f t="shared" si="193"/>
        <v>0</v>
      </c>
      <c r="T3753" s="128">
        <f t="shared" si="192"/>
        <v>0</v>
      </c>
      <c r="U3753" s="129" t="str">
        <f>IFERROR(IF(#REF!="S",VLOOKUP('Raw Data'!A3753,References!#REF!,2,FALSE),(VLOOKUP($S3753,References!$B$3:$C$7,2,FALSE))),"")</f>
        <v/>
      </c>
      <c r="W3753" s="74" t="str">
        <f>IFERROR(VLOOKUP($O3753,'Customer List'!$A$1:$J$488,10,FALSE),"")</f>
        <v/>
      </c>
    </row>
    <row r="3754" spans="18:23">
      <c r="R3754" s="127">
        <f t="shared" si="193"/>
        <v>0</v>
      </c>
      <c r="T3754" s="128">
        <f t="shared" si="192"/>
        <v>0</v>
      </c>
      <c r="U3754" s="129" t="str">
        <f>IFERROR(IF(#REF!="S",VLOOKUP('Raw Data'!A3754,References!#REF!,2,FALSE),(VLOOKUP($S3754,References!$B$3:$C$7,2,FALSE))),"")</f>
        <v/>
      </c>
      <c r="W3754" s="74" t="str">
        <f>IFERROR(VLOOKUP($O3754,'Customer List'!$A$1:$J$488,10,FALSE),"")</f>
        <v/>
      </c>
    </row>
    <row r="3755" spans="18:23">
      <c r="R3755" s="127">
        <f t="shared" si="193"/>
        <v>0</v>
      </c>
      <c r="T3755" s="128">
        <f t="shared" si="192"/>
        <v>0</v>
      </c>
      <c r="U3755" s="129" t="str">
        <f>IFERROR(IF(#REF!="S",VLOOKUP('Raw Data'!A3755,References!#REF!,2,FALSE),(VLOOKUP($S3755,References!$B$3:$C$7,2,FALSE))),"")</f>
        <v/>
      </c>
      <c r="W3755" s="74" t="str">
        <f>IFERROR(VLOOKUP($O3755,'Customer List'!$A$1:$J$488,10,FALSE),"")</f>
        <v/>
      </c>
    </row>
    <row r="3756" spans="18:23">
      <c r="R3756" s="127">
        <f t="shared" si="193"/>
        <v>0</v>
      </c>
      <c r="T3756" s="128">
        <f t="shared" si="192"/>
        <v>0</v>
      </c>
      <c r="U3756" s="129" t="str">
        <f>IFERROR(IF(#REF!="S",VLOOKUP('Raw Data'!A3756,References!#REF!,2,FALSE),(VLOOKUP($S3756,References!$B$3:$C$7,2,FALSE))),"")</f>
        <v/>
      </c>
      <c r="W3756" s="74" t="str">
        <f>IFERROR(VLOOKUP($O3756,'Customer List'!$A$1:$J$488,10,FALSE),"")</f>
        <v/>
      </c>
    </row>
    <row r="3757" spans="18:23">
      <c r="R3757" s="127">
        <f t="shared" si="193"/>
        <v>0</v>
      </c>
      <c r="T3757" s="128">
        <f t="shared" si="192"/>
        <v>0</v>
      </c>
      <c r="U3757" s="129" t="str">
        <f>IFERROR(IF(#REF!="S",VLOOKUP('Raw Data'!A3757,References!#REF!,2,FALSE),(VLOOKUP($S3757,References!$B$3:$C$7,2,FALSE))),"")</f>
        <v/>
      </c>
      <c r="W3757" s="74" t="str">
        <f>IFERROR(VLOOKUP($O3757,'Customer List'!$A$1:$J$488,10,FALSE),"")</f>
        <v/>
      </c>
    </row>
    <row r="3758" spans="18:23">
      <c r="R3758" s="127">
        <f t="shared" si="193"/>
        <v>0</v>
      </c>
      <c r="T3758" s="128">
        <f t="shared" si="192"/>
        <v>0</v>
      </c>
      <c r="U3758" s="129" t="str">
        <f>IFERROR(IF(#REF!="S",VLOOKUP('Raw Data'!A3758,References!#REF!,2,FALSE),(VLOOKUP($S3758,References!$B$3:$C$7,2,FALSE))),"")</f>
        <v/>
      </c>
      <c r="W3758" s="74" t="str">
        <f>IFERROR(VLOOKUP($O3758,'Customer List'!$A$1:$J$488,10,FALSE),"")</f>
        <v/>
      </c>
    </row>
    <row r="3759" spans="18:23">
      <c r="R3759" s="127">
        <f t="shared" si="193"/>
        <v>0</v>
      </c>
      <c r="T3759" s="128">
        <f t="shared" si="192"/>
        <v>0</v>
      </c>
      <c r="U3759" s="129" t="str">
        <f>IFERROR(IF(#REF!="S",VLOOKUP('Raw Data'!A3759,References!#REF!,2,FALSE),(VLOOKUP($S3759,References!$B$3:$C$7,2,FALSE))),"")</f>
        <v/>
      </c>
      <c r="W3759" s="74" t="str">
        <f>IFERROR(VLOOKUP($O3759,'Customer List'!$A$1:$J$488,10,FALSE),"")</f>
        <v/>
      </c>
    </row>
    <row r="3760" spans="18:23">
      <c r="R3760" s="127">
        <f t="shared" si="193"/>
        <v>0</v>
      </c>
      <c r="T3760" s="128">
        <f t="shared" si="192"/>
        <v>0</v>
      </c>
      <c r="U3760" s="129" t="str">
        <f>IFERROR(IF(#REF!="S",VLOOKUP('Raw Data'!A3760,References!#REF!,2,FALSE),(VLOOKUP($S3760,References!$B$3:$C$7,2,FALSE))),"")</f>
        <v/>
      </c>
      <c r="W3760" s="74" t="str">
        <f>IFERROR(VLOOKUP($O3760,'Customer List'!$A$1:$J$488,10,FALSE),"")</f>
        <v/>
      </c>
    </row>
    <row r="3761" spans="18:23">
      <c r="R3761" s="127">
        <f t="shared" si="193"/>
        <v>0</v>
      </c>
      <c r="T3761" s="128">
        <f t="shared" si="192"/>
        <v>0</v>
      </c>
      <c r="U3761" s="129" t="str">
        <f>IFERROR(IF(#REF!="S",VLOOKUP('Raw Data'!A3761,References!#REF!,2,FALSE),(VLOOKUP($S3761,References!$B$3:$C$7,2,FALSE))),"")</f>
        <v/>
      </c>
      <c r="W3761" s="74" t="str">
        <f>IFERROR(VLOOKUP($O3761,'Customer List'!$A$1:$J$488,10,FALSE),"")</f>
        <v/>
      </c>
    </row>
    <row r="3762" spans="18:23">
      <c r="R3762" s="127">
        <f t="shared" si="193"/>
        <v>0</v>
      </c>
      <c r="T3762" s="128">
        <f t="shared" si="192"/>
        <v>0</v>
      </c>
      <c r="U3762" s="129" t="str">
        <f>IFERROR(IF(#REF!="S",VLOOKUP('Raw Data'!A3762,References!#REF!,2,FALSE),(VLOOKUP($S3762,References!$B$3:$C$7,2,FALSE))),"")</f>
        <v/>
      </c>
      <c r="W3762" s="74" t="str">
        <f>IFERROR(VLOOKUP($O3762,'Customer List'!$A$1:$J$488,10,FALSE),"")</f>
        <v/>
      </c>
    </row>
    <row r="3763" spans="18:23">
      <c r="R3763" s="127">
        <f t="shared" si="193"/>
        <v>0</v>
      </c>
      <c r="T3763" s="128">
        <f t="shared" si="192"/>
        <v>0</v>
      </c>
      <c r="U3763" s="129" t="str">
        <f>IFERROR(IF(#REF!="S",VLOOKUP('Raw Data'!A3763,References!#REF!,2,FALSE),(VLOOKUP($S3763,References!$B$3:$C$7,2,FALSE))),"")</f>
        <v/>
      </c>
      <c r="W3763" s="74" t="str">
        <f>IFERROR(VLOOKUP($O3763,'Customer List'!$A$1:$J$488,10,FALSE),"")</f>
        <v/>
      </c>
    </row>
    <row r="3764" spans="18:23">
      <c r="R3764" s="127">
        <f t="shared" si="193"/>
        <v>0</v>
      </c>
      <c r="T3764" s="128">
        <f t="shared" si="192"/>
        <v>0</v>
      </c>
      <c r="U3764" s="129" t="str">
        <f>IFERROR(IF(#REF!="S",VLOOKUP('Raw Data'!A3764,References!#REF!,2,FALSE),(VLOOKUP($S3764,References!$B$3:$C$7,2,FALSE))),"")</f>
        <v/>
      </c>
      <c r="W3764" s="74" t="str">
        <f>IFERROR(VLOOKUP($O3764,'Customer List'!$A$1:$J$488,10,FALSE),"")</f>
        <v/>
      </c>
    </row>
    <row r="3765" spans="18:23">
      <c r="R3765" s="127">
        <f t="shared" si="193"/>
        <v>0</v>
      </c>
      <c r="T3765" s="128">
        <f t="shared" si="192"/>
        <v>0</v>
      </c>
      <c r="U3765" s="129" t="str">
        <f>IFERROR(IF(#REF!="S",VLOOKUP('Raw Data'!A3765,References!#REF!,2,FALSE),(VLOOKUP($S3765,References!$B$3:$C$7,2,FALSE))),"")</f>
        <v/>
      </c>
      <c r="W3765" s="74" t="str">
        <f>IFERROR(VLOOKUP($O3765,'Customer List'!$A$1:$J$488,10,FALSE),"")</f>
        <v/>
      </c>
    </row>
    <row r="3766" spans="18:23">
      <c r="R3766" s="127">
        <f t="shared" si="193"/>
        <v>0</v>
      </c>
      <c r="T3766" s="128">
        <f t="shared" si="192"/>
        <v>0</v>
      </c>
      <c r="U3766" s="129" t="str">
        <f>IFERROR(IF(#REF!="S",VLOOKUP('Raw Data'!A3766,References!#REF!,2,FALSE),(VLOOKUP($S3766,References!$B$3:$C$7,2,FALSE))),"")</f>
        <v/>
      </c>
      <c r="W3766" s="74" t="str">
        <f>IFERROR(VLOOKUP($O3766,'Customer List'!$A$1:$J$488,10,FALSE),"")</f>
        <v/>
      </c>
    </row>
    <row r="3767" spans="18:23">
      <c r="R3767" s="127">
        <f t="shared" si="193"/>
        <v>0</v>
      </c>
      <c r="T3767" s="128">
        <f t="shared" si="192"/>
        <v>0</v>
      </c>
      <c r="U3767" s="129" t="str">
        <f>IFERROR(IF(#REF!="S",VLOOKUP('Raw Data'!A3767,References!#REF!,2,FALSE),(VLOOKUP($S3767,References!$B$3:$C$7,2,FALSE))),"")</f>
        <v/>
      </c>
      <c r="W3767" s="74" t="str">
        <f>IFERROR(VLOOKUP($O3767,'Customer List'!$A$1:$J$488,10,FALSE),"")</f>
        <v/>
      </c>
    </row>
    <row r="3768" spans="18:23">
      <c r="R3768" s="127">
        <f t="shared" si="193"/>
        <v>0</v>
      </c>
      <c r="T3768" s="128">
        <f t="shared" si="192"/>
        <v>0</v>
      </c>
      <c r="U3768" s="129" t="str">
        <f>IFERROR(IF(#REF!="S",VLOOKUP('Raw Data'!A3768,References!#REF!,2,FALSE),(VLOOKUP($S3768,References!$B$3:$C$7,2,FALSE))),"")</f>
        <v/>
      </c>
      <c r="W3768" s="74" t="str">
        <f>IFERROR(VLOOKUP($O3768,'Customer List'!$A$1:$J$488,10,FALSE),"")</f>
        <v/>
      </c>
    </row>
    <row r="3769" spans="18:23">
      <c r="R3769" s="127">
        <f t="shared" si="193"/>
        <v>0</v>
      </c>
      <c r="T3769" s="128">
        <f t="shared" si="192"/>
        <v>0</v>
      </c>
      <c r="U3769" s="129" t="str">
        <f>IFERROR(IF(#REF!="S",VLOOKUP('Raw Data'!A3769,References!#REF!,2,FALSE),(VLOOKUP($S3769,References!$B$3:$C$7,2,FALSE))),"")</f>
        <v/>
      </c>
      <c r="W3769" s="74" t="str">
        <f>IFERROR(VLOOKUP($O3769,'Customer List'!$A$1:$J$488,10,FALSE),"")</f>
        <v/>
      </c>
    </row>
    <row r="3770" spans="18:23">
      <c r="R3770" s="127">
        <f t="shared" si="193"/>
        <v>0</v>
      </c>
      <c r="T3770" s="128">
        <f t="shared" si="192"/>
        <v>0</v>
      </c>
      <c r="U3770" s="129" t="str">
        <f>IFERROR(IF(#REF!="S",VLOOKUP('Raw Data'!A3770,References!#REF!,2,FALSE),(VLOOKUP($S3770,References!$B$3:$C$7,2,FALSE))),"")</f>
        <v/>
      </c>
      <c r="W3770" s="74" t="str">
        <f>IFERROR(VLOOKUP($O3770,'Customer List'!$A$1:$J$488,10,FALSE),"")</f>
        <v/>
      </c>
    </row>
    <row r="3771" spans="18:23">
      <c r="R3771" s="127">
        <f t="shared" si="193"/>
        <v>0</v>
      </c>
      <c r="T3771" s="128">
        <f t="shared" si="192"/>
        <v>0</v>
      </c>
      <c r="U3771" s="129" t="str">
        <f>IFERROR(IF(#REF!="S",VLOOKUP('Raw Data'!A3771,References!#REF!,2,FALSE),(VLOOKUP($S3771,References!$B$3:$C$7,2,FALSE))),"")</f>
        <v/>
      </c>
      <c r="W3771" s="74" t="str">
        <f>IFERROR(VLOOKUP($O3771,'Customer List'!$A$1:$J$488,10,FALSE),"")</f>
        <v/>
      </c>
    </row>
    <row r="3772" spans="18:23">
      <c r="R3772" s="127">
        <f t="shared" si="193"/>
        <v>0</v>
      </c>
      <c r="T3772" s="128">
        <f t="shared" si="192"/>
        <v>0</v>
      </c>
      <c r="U3772" s="129" t="str">
        <f>IFERROR(IF(#REF!="S",VLOOKUP('Raw Data'!A3772,References!#REF!,2,FALSE),(VLOOKUP($S3772,References!$B$3:$C$7,2,FALSE))),"")</f>
        <v/>
      </c>
      <c r="W3772" s="74" t="str">
        <f>IFERROR(VLOOKUP($O3772,'Customer List'!$A$1:$J$488,10,FALSE),"")</f>
        <v/>
      </c>
    </row>
    <row r="3773" spans="18:23">
      <c r="R3773" s="127">
        <f t="shared" si="193"/>
        <v>0</v>
      </c>
      <c r="T3773" s="128">
        <f t="shared" si="192"/>
        <v>0</v>
      </c>
      <c r="U3773" s="129" t="str">
        <f>IFERROR(IF(#REF!="S",VLOOKUP('Raw Data'!A3773,References!#REF!,2,FALSE),(VLOOKUP($S3773,References!$B$3:$C$7,2,FALSE))),"")</f>
        <v/>
      </c>
      <c r="W3773" s="74" t="str">
        <f>IFERROR(VLOOKUP($O3773,'Customer List'!$A$1:$J$488,10,FALSE),"")</f>
        <v/>
      </c>
    </row>
    <row r="3774" spans="18:23">
      <c r="R3774" s="127">
        <f t="shared" si="193"/>
        <v>0</v>
      </c>
      <c r="T3774" s="128">
        <f t="shared" si="192"/>
        <v>0</v>
      </c>
      <c r="U3774" s="129" t="str">
        <f>IFERROR(IF(#REF!="S",VLOOKUP('Raw Data'!A3774,References!#REF!,2,FALSE),(VLOOKUP($S3774,References!$B$3:$C$7,2,FALSE))),"")</f>
        <v/>
      </c>
      <c r="W3774" s="74" t="str">
        <f>IFERROR(VLOOKUP($O3774,'Customer List'!$A$1:$J$488,10,FALSE),"")</f>
        <v/>
      </c>
    </row>
    <row r="3775" spans="18:23">
      <c r="R3775" s="127">
        <f t="shared" si="193"/>
        <v>0</v>
      </c>
      <c r="T3775" s="128">
        <f t="shared" si="192"/>
        <v>0</v>
      </c>
      <c r="U3775" s="129" t="str">
        <f>IFERROR(IF(#REF!="S",VLOOKUP('Raw Data'!A3775,References!#REF!,2,FALSE),(VLOOKUP($S3775,References!$B$3:$C$7,2,FALSE))),"")</f>
        <v/>
      </c>
      <c r="W3775" s="74" t="str">
        <f>IFERROR(VLOOKUP($O3775,'Customer List'!$A$1:$J$488,10,FALSE),"")</f>
        <v/>
      </c>
    </row>
    <row r="3776" spans="18:23">
      <c r="R3776" s="127">
        <f t="shared" si="193"/>
        <v>0</v>
      </c>
      <c r="T3776" s="128">
        <f t="shared" si="192"/>
        <v>0</v>
      </c>
      <c r="U3776" s="129" t="str">
        <f>IFERROR(IF(#REF!="S",VLOOKUP('Raw Data'!A3776,References!#REF!,2,FALSE),(VLOOKUP($S3776,References!$B$3:$C$7,2,FALSE))),"")</f>
        <v/>
      </c>
      <c r="W3776" s="74" t="str">
        <f>IFERROR(VLOOKUP($O3776,'Customer List'!$A$1:$J$488,10,FALSE),"")</f>
        <v/>
      </c>
    </row>
    <row r="3777" spans="18:23">
      <c r="R3777" s="127">
        <f t="shared" si="193"/>
        <v>0</v>
      </c>
      <c r="T3777" s="128">
        <f t="shared" si="192"/>
        <v>0</v>
      </c>
      <c r="U3777" s="129" t="str">
        <f>IFERROR(IF(#REF!="S",VLOOKUP('Raw Data'!A3777,References!#REF!,2,FALSE),(VLOOKUP($S3777,References!$B$3:$C$7,2,FALSE))),"")</f>
        <v/>
      </c>
      <c r="W3777" s="74" t="str">
        <f>IFERROR(VLOOKUP($O3777,'Customer List'!$A$1:$J$488,10,FALSE),"")</f>
        <v/>
      </c>
    </row>
    <row r="3778" spans="18:23">
      <c r="R3778" s="127">
        <f t="shared" si="193"/>
        <v>0</v>
      </c>
      <c r="T3778" s="128">
        <f t="shared" si="192"/>
        <v>0</v>
      </c>
      <c r="U3778" s="129" t="str">
        <f>IFERROR(IF(#REF!="S",VLOOKUP('Raw Data'!A3778,References!#REF!,2,FALSE),(VLOOKUP($S3778,References!$B$3:$C$7,2,FALSE))),"")</f>
        <v/>
      </c>
      <c r="W3778" s="74" t="str">
        <f>IFERROR(VLOOKUP($O3778,'Customer List'!$A$1:$J$488,10,FALSE),"")</f>
        <v/>
      </c>
    </row>
    <row r="3779" spans="18:23">
      <c r="R3779" s="127">
        <f t="shared" si="193"/>
        <v>0</v>
      </c>
      <c r="T3779" s="128">
        <f t="shared" si="192"/>
        <v>0</v>
      </c>
      <c r="U3779" s="129" t="str">
        <f>IFERROR(IF(#REF!="S",VLOOKUP('Raw Data'!A3779,References!#REF!,2,FALSE),(VLOOKUP($S3779,References!$B$3:$C$7,2,FALSE))),"")</f>
        <v/>
      </c>
      <c r="W3779" s="74" t="str">
        <f>IFERROR(VLOOKUP($O3779,'Customer List'!$A$1:$J$488,10,FALSE),"")</f>
        <v/>
      </c>
    </row>
    <row r="3780" spans="18:23">
      <c r="R3780" s="127">
        <f t="shared" si="193"/>
        <v>0</v>
      </c>
      <c r="T3780" s="128">
        <f t="shared" si="192"/>
        <v>0</v>
      </c>
      <c r="U3780" s="129" t="str">
        <f>IFERROR(IF(#REF!="S",VLOOKUP('Raw Data'!A3780,References!#REF!,2,FALSE),(VLOOKUP($S3780,References!$B$3:$C$7,2,FALSE))),"")</f>
        <v/>
      </c>
      <c r="W3780" s="74" t="str">
        <f>IFERROR(VLOOKUP($O3780,'Customer List'!$A$1:$J$488,10,FALSE),"")</f>
        <v/>
      </c>
    </row>
    <row r="3781" spans="18:23">
      <c r="R3781" s="127">
        <f t="shared" si="193"/>
        <v>0</v>
      </c>
      <c r="T3781" s="128">
        <f t="shared" si="192"/>
        <v>0</v>
      </c>
      <c r="U3781" s="129" t="str">
        <f>IFERROR(IF(#REF!="S",VLOOKUP('Raw Data'!A3781,References!#REF!,2,FALSE),(VLOOKUP($S3781,References!$B$3:$C$7,2,FALSE))),"")</f>
        <v/>
      </c>
      <c r="W3781" s="74" t="str">
        <f>IFERROR(VLOOKUP($O3781,'Customer List'!$A$1:$J$488,10,FALSE),"")</f>
        <v/>
      </c>
    </row>
    <row r="3782" spans="18:23">
      <c r="R3782" s="127">
        <f t="shared" si="193"/>
        <v>0</v>
      </c>
      <c r="T3782" s="128">
        <f t="shared" si="192"/>
        <v>0</v>
      </c>
      <c r="U3782" s="129" t="str">
        <f>IFERROR(IF(#REF!="S",VLOOKUP('Raw Data'!A3782,References!#REF!,2,FALSE),(VLOOKUP($S3782,References!$B$3:$C$7,2,FALSE))),"")</f>
        <v/>
      </c>
      <c r="W3782" s="74" t="str">
        <f>IFERROR(VLOOKUP($O3782,'Customer List'!$A$1:$J$488,10,FALSE),"")</f>
        <v/>
      </c>
    </row>
    <row r="3783" spans="18:23">
      <c r="R3783" s="127">
        <f t="shared" si="193"/>
        <v>0</v>
      </c>
      <c r="T3783" s="128">
        <f t="shared" si="192"/>
        <v>0</v>
      </c>
      <c r="U3783" s="129" t="str">
        <f>IFERROR(IF(#REF!="S",VLOOKUP('Raw Data'!A3783,References!#REF!,2,FALSE),(VLOOKUP($S3783,References!$B$3:$C$7,2,FALSE))),"")</f>
        <v/>
      </c>
      <c r="W3783" s="74" t="str">
        <f>IFERROR(VLOOKUP($O3783,'Customer List'!$A$1:$J$488,10,FALSE),"")</f>
        <v/>
      </c>
    </row>
    <row r="3784" spans="18:23">
      <c r="R3784" s="127">
        <f t="shared" si="193"/>
        <v>0</v>
      </c>
      <c r="T3784" s="128">
        <f t="shared" si="192"/>
        <v>0</v>
      </c>
      <c r="U3784" s="129" t="str">
        <f>IFERROR(IF(#REF!="S",VLOOKUP('Raw Data'!A3784,References!#REF!,2,FALSE),(VLOOKUP($S3784,References!$B$3:$C$7,2,FALSE))),"")</f>
        <v/>
      </c>
      <c r="W3784" s="74" t="str">
        <f>IFERROR(VLOOKUP($O3784,'Customer List'!$A$1:$J$488,10,FALSE),"")</f>
        <v/>
      </c>
    </row>
    <row r="3785" spans="18:23">
      <c r="R3785" s="127">
        <f t="shared" si="193"/>
        <v>0</v>
      </c>
      <c r="T3785" s="128">
        <f t="shared" si="192"/>
        <v>0</v>
      </c>
      <c r="U3785" s="129" t="str">
        <f>IFERROR(IF(#REF!="S",VLOOKUP('Raw Data'!A3785,References!#REF!,2,FALSE),(VLOOKUP($S3785,References!$B$3:$C$7,2,FALSE))),"")</f>
        <v/>
      </c>
      <c r="W3785" s="74" t="str">
        <f>IFERROR(VLOOKUP($O3785,'Customer List'!$A$1:$J$488,10,FALSE),"")</f>
        <v/>
      </c>
    </row>
    <row r="3786" spans="18:23">
      <c r="R3786" s="127">
        <f t="shared" si="193"/>
        <v>0</v>
      </c>
      <c r="T3786" s="128">
        <f t="shared" ref="T3786:T3849" si="194">IF(S3786="50 - Cleaning Fee",1,HOUR($R3786)+MINUTE(R3786)/60)</f>
        <v>0</v>
      </c>
      <c r="U3786" s="129" t="str">
        <f>IFERROR(IF(#REF!="S",VLOOKUP('Raw Data'!A3786,References!#REF!,2,FALSE),(VLOOKUP($S3786,References!$B$3:$C$7,2,FALSE))),"")</f>
        <v/>
      </c>
      <c r="W3786" s="74" t="str">
        <f>IFERROR(VLOOKUP($O3786,'Customer List'!$A$1:$J$488,10,FALSE),"")</f>
        <v/>
      </c>
    </row>
    <row r="3787" spans="18:23">
      <c r="R3787" s="127">
        <f t="shared" si="193"/>
        <v>0</v>
      </c>
      <c r="T3787" s="128">
        <f t="shared" si="194"/>
        <v>0</v>
      </c>
      <c r="U3787" s="129" t="str">
        <f>IFERROR(IF(#REF!="S",VLOOKUP('Raw Data'!A3787,References!#REF!,2,FALSE),(VLOOKUP($S3787,References!$B$3:$C$7,2,FALSE))),"")</f>
        <v/>
      </c>
      <c r="W3787" s="74" t="str">
        <f>IFERROR(VLOOKUP($O3787,'Customer List'!$A$1:$J$488,10,FALSE),"")</f>
        <v/>
      </c>
    </row>
    <row r="3788" spans="18:23">
      <c r="R3788" s="127">
        <f t="shared" si="193"/>
        <v>0</v>
      </c>
      <c r="T3788" s="128">
        <f t="shared" si="194"/>
        <v>0</v>
      </c>
      <c r="U3788" s="129" t="str">
        <f>IFERROR(IF(#REF!="S",VLOOKUP('Raw Data'!A3788,References!#REF!,2,FALSE),(VLOOKUP($S3788,References!$B$3:$C$7,2,FALSE))),"")</f>
        <v/>
      </c>
      <c r="W3788" s="74" t="str">
        <f>IFERROR(VLOOKUP($O3788,'Customer List'!$A$1:$J$488,10,FALSE),"")</f>
        <v/>
      </c>
    </row>
    <row r="3789" spans="18:23">
      <c r="R3789" s="127">
        <f t="shared" si="193"/>
        <v>0</v>
      </c>
      <c r="T3789" s="128">
        <f t="shared" si="194"/>
        <v>0</v>
      </c>
      <c r="U3789" s="129" t="str">
        <f>IFERROR(IF(#REF!="S",VLOOKUP('Raw Data'!A3789,References!#REF!,2,FALSE),(VLOOKUP($S3789,References!$B$3:$C$7,2,FALSE))),"")</f>
        <v/>
      </c>
      <c r="W3789" s="74" t="str">
        <f>IFERROR(VLOOKUP($O3789,'Customer List'!$A$1:$J$488,10,FALSE),"")</f>
        <v/>
      </c>
    </row>
    <row r="3790" spans="18:23">
      <c r="R3790" s="127">
        <f t="shared" si="193"/>
        <v>0</v>
      </c>
      <c r="T3790" s="128">
        <f t="shared" si="194"/>
        <v>0</v>
      </c>
      <c r="U3790" s="129" t="str">
        <f>IFERROR(IF(#REF!="S",VLOOKUP('Raw Data'!A3790,References!#REF!,2,FALSE),(VLOOKUP($S3790,References!$B$3:$C$7,2,FALSE))),"")</f>
        <v/>
      </c>
      <c r="W3790" s="74" t="str">
        <f>IFERROR(VLOOKUP($O3790,'Customer List'!$A$1:$J$488,10,FALSE),"")</f>
        <v/>
      </c>
    </row>
    <row r="3791" spans="18:23">
      <c r="R3791" s="127">
        <f t="shared" si="193"/>
        <v>0</v>
      </c>
      <c r="T3791" s="128">
        <f t="shared" si="194"/>
        <v>0</v>
      </c>
      <c r="U3791" s="129" t="str">
        <f>IFERROR(IF(#REF!="S",VLOOKUP('Raw Data'!A3791,References!#REF!,2,FALSE),(VLOOKUP($S3791,References!$B$3:$C$7,2,FALSE))),"")</f>
        <v/>
      </c>
      <c r="W3791" s="74" t="str">
        <f>IFERROR(VLOOKUP($O3791,'Customer List'!$A$1:$J$488,10,FALSE),"")</f>
        <v/>
      </c>
    </row>
    <row r="3792" spans="18:23">
      <c r="R3792" s="127">
        <f t="shared" si="193"/>
        <v>0</v>
      </c>
      <c r="T3792" s="128">
        <f t="shared" si="194"/>
        <v>0</v>
      </c>
      <c r="U3792" s="129" t="str">
        <f>IFERROR(IF(#REF!="S",VLOOKUP('Raw Data'!A3792,References!#REF!,2,FALSE),(VLOOKUP($S3792,References!$B$3:$C$7,2,FALSE))),"")</f>
        <v/>
      </c>
      <c r="W3792" s="74" t="str">
        <f>IFERROR(VLOOKUP($O3792,'Customer List'!$A$1:$J$488,10,FALSE),"")</f>
        <v/>
      </c>
    </row>
    <row r="3793" spans="18:23">
      <c r="R3793" s="127">
        <f t="shared" si="193"/>
        <v>0</v>
      </c>
      <c r="T3793" s="128">
        <f t="shared" si="194"/>
        <v>0</v>
      </c>
      <c r="U3793" s="129" t="str">
        <f>IFERROR(IF(#REF!="S",VLOOKUP('Raw Data'!A3793,References!#REF!,2,FALSE),(VLOOKUP($S3793,References!$B$3:$C$7,2,FALSE))),"")</f>
        <v/>
      </c>
      <c r="W3793" s="74" t="str">
        <f>IFERROR(VLOOKUP($O3793,'Customer List'!$A$1:$J$488,10,FALSE),"")</f>
        <v/>
      </c>
    </row>
    <row r="3794" spans="18:23">
      <c r="R3794" s="127">
        <f t="shared" si="193"/>
        <v>0</v>
      </c>
      <c r="T3794" s="128">
        <f t="shared" si="194"/>
        <v>0</v>
      </c>
      <c r="U3794" s="129" t="str">
        <f>IFERROR(IF(#REF!="S",VLOOKUP('Raw Data'!A3794,References!#REF!,2,FALSE),(VLOOKUP($S3794,References!$B$3:$C$7,2,FALSE))),"")</f>
        <v/>
      </c>
      <c r="W3794" s="74" t="str">
        <f>IFERROR(VLOOKUP($O3794,'Customer List'!$A$1:$J$488,10,FALSE),"")</f>
        <v/>
      </c>
    </row>
    <row r="3795" spans="18:23">
      <c r="R3795" s="127">
        <f t="shared" si="193"/>
        <v>0</v>
      </c>
      <c r="T3795" s="128">
        <f t="shared" si="194"/>
        <v>0</v>
      </c>
      <c r="U3795" s="129" t="str">
        <f>IFERROR(IF(#REF!="S",VLOOKUP('Raw Data'!A3795,References!#REF!,2,FALSE),(VLOOKUP($S3795,References!$B$3:$C$7,2,FALSE))),"")</f>
        <v/>
      </c>
      <c r="W3795" s="74" t="str">
        <f>IFERROR(VLOOKUP($O3795,'Customer List'!$A$1:$J$488,10,FALSE),"")</f>
        <v/>
      </c>
    </row>
    <row r="3796" spans="18:23">
      <c r="R3796" s="127">
        <f t="shared" si="193"/>
        <v>0</v>
      </c>
      <c r="T3796" s="128">
        <f t="shared" si="194"/>
        <v>0</v>
      </c>
      <c r="U3796" s="129" t="str">
        <f>IFERROR(IF(#REF!="S",VLOOKUP('Raw Data'!A3796,References!#REF!,2,FALSE),(VLOOKUP($S3796,References!$B$3:$C$7,2,FALSE))),"")</f>
        <v/>
      </c>
      <c r="W3796" s="74" t="str">
        <f>IFERROR(VLOOKUP($O3796,'Customer List'!$A$1:$J$488,10,FALSE),"")</f>
        <v/>
      </c>
    </row>
    <row r="3797" spans="18:23">
      <c r="R3797" s="127">
        <f t="shared" si="193"/>
        <v>0</v>
      </c>
      <c r="T3797" s="128">
        <f t="shared" si="194"/>
        <v>0</v>
      </c>
      <c r="U3797" s="129" t="str">
        <f>IFERROR(IF(#REF!="S",VLOOKUP('Raw Data'!A3797,References!#REF!,2,FALSE),(VLOOKUP($S3797,References!$B$3:$C$7,2,FALSE))),"")</f>
        <v/>
      </c>
      <c r="W3797" s="74" t="str">
        <f>IFERROR(VLOOKUP($O3797,'Customer List'!$A$1:$J$488,10,FALSE),"")</f>
        <v/>
      </c>
    </row>
    <row r="3798" spans="18:23">
      <c r="R3798" s="127">
        <f t="shared" si="193"/>
        <v>0</v>
      </c>
      <c r="T3798" s="128">
        <f t="shared" si="194"/>
        <v>0</v>
      </c>
      <c r="U3798" s="129" t="str">
        <f>IFERROR(IF(#REF!="S",VLOOKUP('Raw Data'!A3798,References!#REF!,2,FALSE),(VLOOKUP($S3798,References!$B$3:$C$7,2,FALSE))),"")</f>
        <v/>
      </c>
      <c r="W3798" s="74" t="str">
        <f>IFERROR(VLOOKUP($O3798,'Customer List'!$A$1:$J$488,10,FALSE),"")</f>
        <v/>
      </c>
    </row>
    <row r="3799" spans="18:23">
      <c r="R3799" s="127">
        <f t="shared" si="193"/>
        <v>0</v>
      </c>
      <c r="T3799" s="128">
        <f t="shared" si="194"/>
        <v>0</v>
      </c>
      <c r="U3799" s="129" t="str">
        <f>IFERROR(IF(#REF!="S",VLOOKUP('Raw Data'!A3799,References!#REF!,2,FALSE),(VLOOKUP($S3799,References!$B$3:$C$7,2,FALSE))),"")</f>
        <v/>
      </c>
      <c r="W3799" s="74" t="str">
        <f>IFERROR(VLOOKUP($O3799,'Customer List'!$A$1:$J$488,10,FALSE),"")</f>
        <v/>
      </c>
    </row>
    <row r="3800" spans="18:23">
      <c r="R3800" s="127">
        <f t="shared" si="193"/>
        <v>0</v>
      </c>
      <c r="T3800" s="128">
        <f t="shared" si="194"/>
        <v>0</v>
      </c>
      <c r="U3800" s="129" t="str">
        <f>IFERROR(IF(#REF!="S",VLOOKUP('Raw Data'!A3800,References!#REF!,2,FALSE),(VLOOKUP($S3800,References!$B$3:$C$7,2,FALSE))),"")</f>
        <v/>
      </c>
      <c r="W3800" s="74" t="str">
        <f>IFERROR(VLOOKUP($O3800,'Customer List'!$A$1:$J$488,10,FALSE),"")</f>
        <v/>
      </c>
    </row>
    <row r="3801" spans="18:23">
      <c r="R3801" s="127">
        <f t="shared" si="193"/>
        <v>0</v>
      </c>
      <c r="T3801" s="128">
        <f t="shared" si="194"/>
        <v>0</v>
      </c>
      <c r="U3801" s="129" t="str">
        <f>IFERROR(IF(#REF!="S",VLOOKUP('Raw Data'!A3801,References!#REF!,2,FALSE),(VLOOKUP($S3801,References!$B$3:$C$7,2,FALSE))),"")</f>
        <v/>
      </c>
      <c r="W3801" s="74" t="str">
        <f>IFERROR(VLOOKUP($O3801,'Customer List'!$A$1:$J$488,10,FALSE),"")</f>
        <v/>
      </c>
    </row>
    <row r="3802" spans="18:23">
      <c r="R3802" s="127">
        <f t="shared" si="193"/>
        <v>0</v>
      </c>
      <c r="T3802" s="128">
        <f t="shared" si="194"/>
        <v>0</v>
      </c>
      <c r="U3802" s="129" t="str">
        <f>IFERROR(IF(#REF!="S",VLOOKUP('Raw Data'!A3802,References!#REF!,2,FALSE),(VLOOKUP($S3802,References!$B$3:$C$7,2,FALSE))),"")</f>
        <v/>
      </c>
      <c r="W3802" s="74" t="str">
        <f>IFERROR(VLOOKUP($O3802,'Customer List'!$A$1:$J$488,10,FALSE),"")</f>
        <v/>
      </c>
    </row>
    <row r="3803" spans="18:23">
      <c r="R3803" s="127">
        <f t="shared" si="193"/>
        <v>0</v>
      </c>
      <c r="T3803" s="128">
        <f t="shared" si="194"/>
        <v>0</v>
      </c>
      <c r="U3803" s="129" t="str">
        <f>IFERROR(IF(#REF!="S",VLOOKUP('Raw Data'!A3803,References!#REF!,2,FALSE),(VLOOKUP($S3803,References!$B$3:$C$7,2,FALSE))),"")</f>
        <v/>
      </c>
      <c r="W3803" s="74" t="str">
        <f>IFERROR(VLOOKUP($O3803,'Customer List'!$A$1:$J$488,10,FALSE),"")</f>
        <v/>
      </c>
    </row>
    <row r="3804" spans="18:23">
      <c r="R3804" s="127">
        <f t="shared" si="193"/>
        <v>0</v>
      </c>
      <c r="T3804" s="128">
        <f t="shared" si="194"/>
        <v>0</v>
      </c>
      <c r="U3804" s="129" t="str">
        <f>IFERROR(IF(#REF!="S",VLOOKUP('Raw Data'!A3804,References!#REF!,2,FALSE),(VLOOKUP($S3804,References!$B$3:$C$7,2,FALSE))),"")</f>
        <v/>
      </c>
      <c r="W3804" s="74" t="str">
        <f>IFERROR(VLOOKUP($O3804,'Customer List'!$A$1:$J$488,10,FALSE),"")</f>
        <v/>
      </c>
    </row>
    <row r="3805" spans="18:23">
      <c r="R3805" s="127">
        <f t="shared" si="193"/>
        <v>0</v>
      </c>
      <c r="T3805" s="128">
        <f t="shared" si="194"/>
        <v>0</v>
      </c>
      <c r="U3805" s="129" t="str">
        <f>IFERROR(IF(#REF!="S",VLOOKUP('Raw Data'!A3805,References!#REF!,2,FALSE),(VLOOKUP($S3805,References!$B$3:$C$7,2,FALSE))),"")</f>
        <v/>
      </c>
      <c r="W3805" s="74" t="str">
        <f>IFERROR(VLOOKUP($O3805,'Customer List'!$A$1:$J$488,10,FALSE),"")</f>
        <v/>
      </c>
    </row>
    <row r="3806" spans="18:23">
      <c r="R3806" s="127">
        <f t="shared" si="193"/>
        <v>0</v>
      </c>
      <c r="T3806" s="128">
        <f t="shared" si="194"/>
        <v>0</v>
      </c>
      <c r="U3806" s="129" t="str">
        <f>IFERROR(IF(#REF!="S",VLOOKUP('Raw Data'!A3806,References!#REF!,2,FALSE),(VLOOKUP($S3806,References!$B$3:$C$7,2,FALSE))),"")</f>
        <v/>
      </c>
      <c r="W3806" s="74" t="str">
        <f>IFERROR(VLOOKUP($O3806,'Customer List'!$A$1:$J$488,10,FALSE),"")</f>
        <v/>
      </c>
    </row>
    <row r="3807" spans="18:23">
      <c r="R3807" s="127">
        <f t="shared" si="193"/>
        <v>0</v>
      </c>
      <c r="T3807" s="128">
        <f t="shared" si="194"/>
        <v>0</v>
      </c>
      <c r="U3807" s="129" t="str">
        <f>IFERROR(IF(#REF!="S",VLOOKUP('Raw Data'!A3807,References!#REF!,2,FALSE),(VLOOKUP($S3807,References!$B$3:$C$7,2,FALSE))),"")</f>
        <v/>
      </c>
      <c r="W3807" s="74" t="str">
        <f>IFERROR(VLOOKUP($O3807,'Customer List'!$A$1:$J$488,10,FALSE),"")</f>
        <v/>
      </c>
    </row>
    <row r="3808" spans="18:23">
      <c r="R3808" s="127">
        <f t="shared" si="193"/>
        <v>0</v>
      </c>
      <c r="T3808" s="128">
        <f t="shared" si="194"/>
        <v>0</v>
      </c>
      <c r="U3808" s="129" t="str">
        <f>IFERROR(IF(#REF!="S",VLOOKUP('Raw Data'!A3808,References!#REF!,2,FALSE),(VLOOKUP($S3808,References!$B$3:$C$7,2,FALSE))),"")</f>
        <v/>
      </c>
      <c r="W3808" s="74" t="str">
        <f>IFERROR(VLOOKUP($O3808,'Customer List'!$A$1:$J$488,10,FALSE),"")</f>
        <v/>
      </c>
    </row>
    <row r="3809" spans="18:23">
      <c r="R3809" s="127">
        <f t="shared" si="193"/>
        <v>0</v>
      </c>
      <c r="T3809" s="128">
        <f t="shared" si="194"/>
        <v>0</v>
      </c>
      <c r="U3809" s="129" t="str">
        <f>IFERROR(IF(#REF!="S",VLOOKUP('Raw Data'!A3809,References!#REF!,2,FALSE),(VLOOKUP($S3809,References!$B$3:$C$7,2,FALSE))),"")</f>
        <v/>
      </c>
      <c r="W3809" s="74" t="str">
        <f>IFERROR(VLOOKUP($O3809,'Customer List'!$A$1:$J$488,10,FALSE),"")</f>
        <v/>
      </c>
    </row>
    <row r="3810" spans="18:23">
      <c r="R3810" s="127">
        <f t="shared" ref="R3810:R3873" si="195">L3810-K3810</f>
        <v>0</v>
      </c>
      <c r="T3810" s="128">
        <f t="shared" si="194"/>
        <v>0</v>
      </c>
      <c r="U3810" s="129" t="str">
        <f>IFERROR(IF(#REF!="S",VLOOKUP('Raw Data'!A3810,References!#REF!,2,FALSE),(VLOOKUP($S3810,References!$B$3:$C$7,2,FALSE))),"")</f>
        <v/>
      </c>
      <c r="W3810" s="74" t="str">
        <f>IFERROR(VLOOKUP($O3810,'Customer List'!$A$1:$J$488,10,FALSE),"")</f>
        <v/>
      </c>
    </row>
    <row r="3811" spans="18:23">
      <c r="R3811" s="127">
        <f t="shared" si="195"/>
        <v>0</v>
      </c>
      <c r="T3811" s="128">
        <f t="shared" si="194"/>
        <v>0</v>
      </c>
      <c r="U3811" s="129" t="str">
        <f>IFERROR(IF(#REF!="S",VLOOKUP('Raw Data'!A3811,References!#REF!,2,FALSE),(VLOOKUP($S3811,References!$B$3:$C$7,2,FALSE))),"")</f>
        <v/>
      </c>
      <c r="W3811" s="74" t="str">
        <f>IFERROR(VLOOKUP($O3811,'Customer List'!$A$1:$J$488,10,FALSE),"")</f>
        <v/>
      </c>
    </row>
    <row r="3812" spans="18:23">
      <c r="R3812" s="127">
        <f t="shared" si="195"/>
        <v>0</v>
      </c>
      <c r="T3812" s="128">
        <f t="shared" si="194"/>
        <v>0</v>
      </c>
      <c r="U3812" s="129" t="str">
        <f>IFERROR(IF(#REF!="S",VLOOKUP('Raw Data'!A3812,References!#REF!,2,FALSE),(VLOOKUP($S3812,References!$B$3:$C$7,2,FALSE))),"")</f>
        <v/>
      </c>
      <c r="W3812" s="74" t="str">
        <f>IFERROR(VLOOKUP($O3812,'Customer List'!$A$1:$J$488,10,FALSE),"")</f>
        <v/>
      </c>
    </row>
    <row r="3813" spans="18:23">
      <c r="R3813" s="127">
        <f t="shared" si="195"/>
        <v>0</v>
      </c>
      <c r="T3813" s="128">
        <f t="shared" si="194"/>
        <v>0</v>
      </c>
      <c r="U3813" s="129" t="str">
        <f>IFERROR(IF(#REF!="S",VLOOKUP('Raw Data'!A3813,References!#REF!,2,FALSE),(VLOOKUP($S3813,References!$B$3:$C$7,2,FALSE))),"")</f>
        <v/>
      </c>
      <c r="W3813" s="74" t="str">
        <f>IFERROR(VLOOKUP($O3813,'Customer List'!$A$1:$J$488,10,FALSE),"")</f>
        <v/>
      </c>
    </row>
    <row r="3814" spans="18:23">
      <c r="R3814" s="127">
        <f t="shared" si="195"/>
        <v>0</v>
      </c>
      <c r="T3814" s="128">
        <f t="shared" si="194"/>
        <v>0</v>
      </c>
      <c r="U3814" s="129" t="str">
        <f>IFERROR(IF(#REF!="S",VLOOKUP('Raw Data'!A3814,References!#REF!,2,FALSE),(VLOOKUP($S3814,References!$B$3:$C$7,2,FALSE))),"")</f>
        <v/>
      </c>
      <c r="W3814" s="74" t="str">
        <f>IFERROR(VLOOKUP($O3814,'Customer List'!$A$1:$J$488,10,FALSE),"")</f>
        <v/>
      </c>
    </row>
    <row r="3815" spans="18:23">
      <c r="R3815" s="127">
        <f t="shared" si="195"/>
        <v>0</v>
      </c>
      <c r="T3815" s="128">
        <f t="shared" si="194"/>
        <v>0</v>
      </c>
      <c r="U3815" s="129" t="str">
        <f>IFERROR(IF(#REF!="S",VLOOKUP('Raw Data'!A3815,References!#REF!,2,FALSE),(VLOOKUP($S3815,References!$B$3:$C$7,2,FALSE))),"")</f>
        <v/>
      </c>
      <c r="W3815" s="74" t="str">
        <f>IFERROR(VLOOKUP($O3815,'Customer List'!$A$1:$J$488,10,FALSE),"")</f>
        <v/>
      </c>
    </row>
    <row r="3816" spans="18:23">
      <c r="R3816" s="127">
        <f t="shared" si="195"/>
        <v>0</v>
      </c>
      <c r="T3816" s="128">
        <f t="shared" si="194"/>
        <v>0</v>
      </c>
      <c r="U3816" s="129" t="str">
        <f>IFERROR(IF(#REF!="S",VLOOKUP('Raw Data'!A3816,References!#REF!,2,FALSE),(VLOOKUP($S3816,References!$B$3:$C$7,2,FALSE))),"")</f>
        <v/>
      </c>
      <c r="W3816" s="74" t="str">
        <f>IFERROR(VLOOKUP($O3816,'Customer List'!$A$1:$J$488,10,FALSE),"")</f>
        <v/>
      </c>
    </row>
    <row r="3817" spans="18:23">
      <c r="R3817" s="127">
        <f t="shared" si="195"/>
        <v>0</v>
      </c>
      <c r="T3817" s="128">
        <f t="shared" si="194"/>
        <v>0</v>
      </c>
      <c r="U3817" s="129" t="str">
        <f>IFERROR(IF(#REF!="S",VLOOKUP('Raw Data'!A3817,References!#REF!,2,FALSE),(VLOOKUP($S3817,References!$B$3:$C$7,2,FALSE))),"")</f>
        <v/>
      </c>
      <c r="W3817" s="74" t="str">
        <f>IFERROR(VLOOKUP($O3817,'Customer List'!$A$1:$J$488,10,FALSE),"")</f>
        <v/>
      </c>
    </row>
    <row r="3818" spans="18:23">
      <c r="R3818" s="127">
        <f t="shared" si="195"/>
        <v>0</v>
      </c>
      <c r="T3818" s="128">
        <f t="shared" si="194"/>
        <v>0</v>
      </c>
      <c r="U3818" s="129" t="str">
        <f>IFERROR(IF(#REF!="S",VLOOKUP('Raw Data'!A3818,References!#REF!,2,FALSE),(VLOOKUP($S3818,References!$B$3:$C$7,2,FALSE))),"")</f>
        <v/>
      </c>
      <c r="W3818" s="74" t="str">
        <f>IFERROR(VLOOKUP($O3818,'Customer List'!$A$1:$J$488,10,FALSE),"")</f>
        <v/>
      </c>
    </row>
    <row r="3819" spans="18:23">
      <c r="R3819" s="127">
        <f t="shared" si="195"/>
        <v>0</v>
      </c>
      <c r="T3819" s="128">
        <f t="shared" si="194"/>
        <v>0</v>
      </c>
      <c r="U3819" s="129" t="str">
        <f>IFERROR(IF(#REF!="S",VLOOKUP('Raw Data'!A3819,References!#REF!,2,FALSE),(VLOOKUP($S3819,References!$B$3:$C$7,2,FALSE))),"")</f>
        <v/>
      </c>
      <c r="W3819" s="74" t="str">
        <f>IFERROR(VLOOKUP($O3819,'Customer List'!$A$1:$J$488,10,FALSE),"")</f>
        <v/>
      </c>
    </row>
    <row r="3820" spans="18:23">
      <c r="R3820" s="127">
        <f t="shared" si="195"/>
        <v>0</v>
      </c>
      <c r="T3820" s="128">
        <f t="shared" si="194"/>
        <v>0</v>
      </c>
      <c r="U3820" s="129" t="str">
        <f>IFERROR(IF(#REF!="S",VLOOKUP('Raw Data'!A3820,References!#REF!,2,FALSE),(VLOOKUP($S3820,References!$B$3:$C$7,2,FALSE))),"")</f>
        <v/>
      </c>
      <c r="W3820" s="74" t="str">
        <f>IFERROR(VLOOKUP($O3820,'Customer List'!$A$1:$J$488,10,FALSE),"")</f>
        <v/>
      </c>
    </row>
    <row r="3821" spans="18:23">
      <c r="R3821" s="127">
        <f t="shared" si="195"/>
        <v>0</v>
      </c>
      <c r="T3821" s="128">
        <f t="shared" si="194"/>
        <v>0</v>
      </c>
      <c r="U3821" s="129" t="str">
        <f>IFERROR(IF(#REF!="S",VLOOKUP('Raw Data'!A3821,References!#REF!,2,FALSE),(VLOOKUP($S3821,References!$B$3:$C$7,2,FALSE))),"")</f>
        <v/>
      </c>
      <c r="W3821" s="74" t="str">
        <f>IFERROR(VLOOKUP($O3821,'Customer List'!$A$1:$J$488,10,FALSE),"")</f>
        <v/>
      </c>
    </row>
    <row r="3822" spans="18:23">
      <c r="R3822" s="127">
        <f t="shared" si="195"/>
        <v>0</v>
      </c>
      <c r="T3822" s="128">
        <f t="shared" si="194"/>
        <v>0</v>
      </c>
      <c r="U3822" s="129" t="str">
        <f>IFERROR(IF(#REF!="S",VLOOKUP('Raw Data'!A3822,References!#REF!,2,FALSE),(VLOOKUP($S3822,References!$B$3:$C$7,2,FALSE))),"")</f>
        <v/>
      </c>
      <c r="W3822" s="74" t="str">
        <f>IFERROR(VLOOKUP($O3822,'Customer List'!$A$1:$J$488,10,FALSE),"")</f>
        <v/>
      </c>
    </row>
    <row r="3823" spans="18:23">
      <c r="R3823" s="127">
        <f t="shared" si="195"/>
        <v>0</v>
      </c>
      <c r="T3823" s="128">
        <f t="shared" si="194"/>
        <v>0</v>
      </c>
      <c r="U3823" s="129" t="str">
        <f>IFERROR(IF(#REF!="S",VLOOKUP('Raw Data'!A3823,References!#REF!,2,FALSE),(VLOOKUP($S3823,References!$B$3:$C$7,2,FALSE))),"")</f>
        <v/>
      </c>
      <c r="W3823" s="74" t="str">
        <f>IFERROR(VLOOKUP($O3823,'Customer List'!$A$1:$J$488,10,FALSE),"")</f>
        <v/>
      </c>
    </row>
    <row r="3824" spans="18:23">
      <c r="R3824" s="127">
        <f t="shared" si="195"/>
        <v>0</v>
      </c>
      <c r="T3824" s="128">
        <f t="shared" si="194"/>
        <v>0</v>
      </c>
      <c r="U3824" s="129" t="str">
        <f>IFERROR(IF(#REF!="S",VLOOKUP('Raw Data'!A3824,References!#REF!,2,FALSE),(VLOOKUP($S3824,References!$B$3:$C$7,2,FALSE))),"")</f>
        <v/>
      </c>
      <c r="W3824" s="74" t="str">
        <f>IFERROR(VLOOKUP($O3824,'Customer List'!$A$1:$J$488,10,FALSE),"")</f>
        <v/>
      </c>
    </row>
    <row r="3825" spans="18:23">
      <c r="R3825" s="127">
        <f t="shared" si="195"/>
        <v>0</v>
      </c>
      <c r="T3825" s="128">
        <f t="shared" si="194"/>
        <v>0</v>
      </c>
      <c r="U3825" s="129" t="str">
        <f>IFERROR(IF(#REF!="S",VLOOKUP('Raw Data'!A3825,References!#REF!,2,FALSE),(VLOOKUP($S3825,References!$B$3:$C$7,2,FALSE))),"")</f>
        <v/>
      </c>
      <c r="W3825" s="74" t="str">
        <f>IFERROR(VLOOKUP($O3825,'Customer List'!$A$1:$J$488,10,FALSE),"")</f>
        <v/>
      </c>
    </row>
    <row r="3826" spans="18:23">
      <c r="R3826" s="127">
        <f t="shared" si="195"/>
        <v>0</v>
      </c>
      <c r="T3826" s="128">
        <f t="shared" si="194"/>
        <v>0</v>
      </c>
      <c r="U3826" s="129" t="str">
        <f>IFERROR(IF(#REF!="S",VLOOKUP('Raw Data'!A3826,References!#REF!,2,FALSE),(VLOOKUP($S3826,References!$B$3:$C$7,2,FALSE))),"")</f>
        <v/>
      </c>
      <c r="W3826" s="74" t="str">
        <f>IFERROR(VLOOKUP($O3826,'Customer List'!$A$1:$J$488,10,FALSE),"")</f>
        <v/>
      </c>
    </row>
    <row r="3827" spans="18:23">
      <c r="R3827" s="127">
        <f t="shared" si="195"/>
        <v>0</v>
      </c>
      <c r="T3827" s="128">
        <f t="shared" si="194"/>
        <v>0</v>
      </c>
      <c r="U3827" s="129" t="str">
        <f>IFERROR(IF(#REF!="S",VLOOKUP('Raw Data'!A3827,References!#REF!,2,FALSE),(VLOOKUP($S3827,References!$B$3:$C$7,2,FALSE))),"")</f>
        <v/>
      </c>
      <c r="W3827" s="74" t="str">
        <f>IFERROR(VLOOKUP($O3827,'Customer List'!$A$1:$J$488,10,FALSE),"")</f>
        <v/>
      </c>
    </row>
    <row r="3828" spans="18:23">
      <c r="R3828" s="127">
        <f t="shared" si="195"/>
        <v>0</v>
      </c>
      <c r="T3828" s="128">
        <f t="shared" si="194"/>
        <v>0</v>
      </c>
      <c r="U3828" s="129" t="str">
        <f>IFERROR(IF(#REF!="S",VLOOKUP('Raw Data'!A3828,References!#REF!,2,FALSE),(VLOOKUP($S3828,References!$B$3:$C$7,2,FALSE))),"")</f>
        <v/>
      </c>
      <c r="W3828" s="74" t="str">
        <f>IFERROR(VLOOKUP($O3828,'Customer List'!$A$1:$J$488,10,FALSE),"")</f>
        <v/>
      </c>
    </row>
    <row r="3829" spans="18:23">
      <c r="R3829" s="127">
        <f t="shared" si="195"/>
        <v>0</v>
      </c>
      <c r="T3829" s="128">
        <f t="shared" si="194"/>
        <v>0</v>
      </c>
      <c r="U3829" s="129" t="str">
        <f>IFERROR(IF(#REF!="S",VLOOKUP('Raw Data'!A3829,References!#REF!,2,FALSE),(VLOOKUP($S3829,References!$B$3:$C$7,2,FALSE))),"")</f>
        <v/>
      </c>
      <c r="W3829" s="74" t="str">
        <f>IFERROR(VLOOKUP($O3829,'Customer List'!$A$1:$J$488,10,FALSE),"")</f>
        <v/>
      </c>
    </row>
    <row r="3830" spans="18:23">
      <c r="R3830" s="127">
        <f t="shared" si="195"/>
        <v>0</v>
      </c>
      <c r="T3830" s="128">
        <f t="shared" si="194"/>
        <v>0</v>
      </c>
      <c r="U3830" s="129" t="str">
        <f>IFERROR(IF(#REF!="S",VLOOKUP('Raw Data'!A3830,References!#REF!,2,FALSE),(VLOOKUP($S3830,References!$B$3:$C$7,2,FALSE))),"")</f>
        <v/>
      </c>
      <c r="W3830" s="74" t="str">
        <f>IFERROR(VLOOKUP($O3830,'Customer List'!$A$1:$J$488,10,FALSE),"")</f>
        <v/>
      </c>
    </row>
    <row r="3831" spans="18:23">
      <c r="R3831" s="127">
        <f t="shared" si="195"/>
        <v>0</v>
      </c>
      <c r="T3831" s="128">
        <f t="shared" si="194"/>
        <v>0</v>
      </c>
      <c r="U3831" s="129" t="str">
        <f>IFERROR(IF(#REF!="S",VLOOKUP('Raw Data'!A3831,References!#REF!,2,FALSE),(VLOOKUP($S3831,References!$B$3:$C$7,2,FALSE))),"")</f>
        <v/>
      </c>
      <c r="W3831" s="74" t="str">
        <f>IFERROR(VLOOKUP($O3831,'Customer List'!$A$1:$J$488,10,FALSE),"")</f>
        <v/>
      </c>
    </row>
    <row r="3832" spans="18:23">
      <c r="R3832" s="127">
        <f t="shared" si="195"/>
        <v>0</v>
      </c>
      <c r="T3832" s="128">
        <f t="shared" si="194"/>
        <v>0</v>
      </c>
      <c r="U3832" s="129" t="str">
        <f>IFERROR(IF(#REF!="S",VLOOKUP('Raw Data'!A3832,References!#REF!,2,FALSE),(VLOOKUP($S3832,References!$B$3:$C$7,2,FALSE))),"")</f>
        <v/>
      </c>
      <c r="W3832" s="74" t="str">
        <f>IFERROR(VLOOKUP($O3832,'Customer List'!$A$1:$J$488,10,FALSE),"")</f>
        <v/>
      </c>
    </row>
    <row r="3833" spans="18:23">
      <c r="R3833" s="127">
        <f t="shared" si="195"/>
        <v>0</v>
      </c>
      <c r="T3833" s="128">
        <f t="shared" si="194"/>
        <v>0</v>
      </c>
      <c r="U3833" s="129" t="str">
        <f>IFERROR(IF(#REF!="S",VLOOKUP('Raw Data'!A3833,References!#REF!,2,FALSE),(VLOOKUP($S3833,References!$B$3:$C$7,2,FALSE))),"")</f>
        <v/>
      </c>
      <c r="W3833" s="74" t="str">
        <f>IFERROR(VLOOKUP($O3833,'Customer List'!$A$1:$J$488,10,FALSE),"")</f>
        <v/>
      </c>
    </row>
    <row r="3834" spans="18:23">
      <c r="R3834" s="127">
        <f t="shared" si="195"/>
        <v>0</v>
      </c>
      <c r="T3834" s="128">
        <f t="shared" si="194"/>
        <v>0</v>
      </c>
      <c r="U3834" s="129" t="str">
        <f>IFERROR(IF(#REF!="S",VLOOKUP('Raw Data'!A3834,References!#REF!,2,FALSE),(VLOOKUP($S3834,References!$B$3:$C$7,2,FALSE))),"")</f>
        <v/>
      </c>
      <c r="W3834" s="74" t="str">
        <f>IFERROR(VLOOKUP($O3834,'Customer List'!$A$1:$J$488,10,FALSE),"")</f>
        <v/>
      </c>
    </row>
    <row r="3835" spans="18:23">
      <c r="R3835" s="127">
        <f t="shared" si="195"/>
        <v>0</v>
      </c>
      <c r="T3835" s="128">
        <f t="shared" si="194"/>
        <v>0</v>
      </c>
      <c r="U3835" s="129" t="str">
        <f>IFERROR(IF(#REF!="S",VLOOKUP('Raw Data'!A3835,References!#REF!,2,FALSE),(VLOOKUP($S3835,References!$B$3:$C$7,2,FALSE))),"")</f>
        <v/>
      </c>
      <c r="W3835" s="74" t="str">
        <f>IFERROR(VLOOKUP($O3835,'Customer List'!$A$1:$J$488,10,FALSE),"")</f>
        <v/>
      </c>
    </row>
    <row r="3836" spans="18:23">
      <c r="R3836" s="127">
        <f t="shared" si="195"/>
        <v>0</v>
      </c>
      <c r="T3836" s="128">
        <f t="shared" si="194"/>
        <v>0</v>
      </c>
      <c r="U3836" s="129" t="str">
        <f>IFERROR(IF(#REF!="S",VLOOKUP('Raw Data'!A3836,References!#REF!,2,FALSE),(VLOOKUP($S3836,References!$B$3:$C$7,2,FALSE))),"")</f>
        <v/>
      </c>
      <c r="W3836" s="74" t="str">
        <f>IFERROR(VLOOKUP($O3836,'Customer List'!$A$1:$J$488,10,FALSE),"")</f>
        <v/>
      </c>
    </row>
    <row r="3837" spans="18:23">
      <c r="R3837" s="127">
        <f t="shared" si="195"/>
        <v>0</v>
      </c>
      <c r="T3837" s="128">
        <f t="shared" si="194"/>
        <v>0</v>
      </c>
      <c r="U3837" s="129" t="str">
        <f>IFERROR(IF(#REF!="S",VLOOKUP('Raw Data'!A3837,References!#REF!,2,FALSE),(VLOOKUP($S3837,References!$B$3:$C$7,2,FALSE))),"")</f>
        <v/>
      </c>
      <c r="W3837" s="74" t="str">
        <f>IFERROR(VLOOKUP($O3837,'Customer List'!$A$1:$J$488,10,FALSE),"")</f>
        <v/>
      </c>
    </row>
    <row r="3838" spans="18:23">
      <c r="R3838" s="127">
        <f t="shared" si="195"/>
        <v>0</v>
      </c>
      <c r="T3838" s="128">
        <f t="shared" si="194"/>
        <v>0</v>
      </c>
      <c r="U3838" s="129" t="str">
        <f>IFERROR(IF(#REF!="S",VLOOKUP('Raw Data'!A3838,References!#REF!,2,FALSE),(VLOOKUP($S3838,References!$B$3:$C$7,2,FALSE))),"")</f>
        <v/>
      </c>
      <c r="W3838" s="74" t="str">
        <f>IFERROR(VLOOKUP($O3838,'Customer List'!$A$1:$J$488,10,FALSE),"")</f>
        <v/>
      </c>
    </row>
    <row r="3839" spans="18:23">
      <c r="R3839" s="127">
        <f t="shared" si="195"/>
        <v>0</v>
      </c>
      <c r="T3839" s="128">
        <f t="shared" si="194"/>
        <v>0</v>
      </c>
      <c r="U3839" s="129" t="str">
        <f>IFERROR(IF(#REF!="S",VLOOKUP('Raw Data'!A3839,References!#REF!,2,FALSE),(VLOOKUP($S3839,References!$B$3:$C$7,2,FALSE))),"")</f>
        <v/>
      </c>
      <c r="W3839" s="74" t="str">
        <f>IFERROR(VLOOKUP($O3839,'Customer List'!$A$1:$J$488,10,FALSE),"")</f>
        <v/>
      </c>
    </row>
    <row r="3840" spans="18:23">
      <c r="R3840" s="127">
        <f t="shared" si="195"/>
        <v>0</v>
      </c>
      <c r="T3840" s="128">
        <f t="shared" si="194"/>
        <v>0</v>
      </c>
      <c r="U3840" s="129" t="str">
        <f>IFERROR(IF(#REF!="S",VLOOKUP('Raw Data'!A3840,References!#REF!,2,FALSE),(VLOOKUP($S3840,References!$B$3:$C$7,2,FALSE))),"")</f>
        <v/>
      </c>
      <c r="W3840" s="74" t="str">
        <f>IFERROR(VLOOKUP($O3840,'Customer List'!$A$1:$J$488,10,FALSE),"")</f>
        <v/>
      </c>
    </row>
    <row r="3841" spans="18:23">
      <c r="R3841" s="127">
        <f t="shared" si="195"/>
        <v>0</v>
      </c>
      <c r="T3841" s="128">
        <f t="shared" si="194"/>
        <v>0</v>
      </c>
      <c r="U3841" s="129" t="str">
        <f>IFERROR(IF(#REF!="S",VLOOKUP('Raw Data'!A3841,References!#REF!,2,FALSE),(VLOOKUP($S3841,References!$B$3:$C$7,2,FALSE))),"")</f>
        <v/>
      </c>
      <c r="W3841" s="74" t="str">
        <f>IFERROR(VLOOKUP($O3841,'Customer List'!$A$1:$J$488,10,FALSE),"")</f>
        <v/>
      </c>
    </row>
    <row r="3842" spans="18:23">
      <c r="R3842" s="127">
        <f t="shared" si="195"/>
        <v>0</v>
      </c>
      <c r="T3842" s="128">
        <f t="shared" si="194"/>
        <v>0</v>
      </c>
      <c r="U3842" s="129" t="str">
        <f>IFERROR(IF(#REF!="S",VLOOKUP('Raw Data'!A3842,References!#REF!,2,FALSE),(VLOOKUP($S3842,References!$B$3:$C$7,2,FALSE))),"")</f>
        <v/>
      </c>
      <c r="W3842" s="74" t="str">
        <f>IFERROR(VLOOKUP($O3842,'Customer List'!$A$1:$J$488,10,FALSE),"")</f>
        <v/>
      </c>
    </row>
    <row r="3843" spans="18:23">
      <c r="R3843" s="127">
        <f t="shared" si="195"/>
        <v>0</v>
      </c>
      <c r="T3843" s="128">
        <f t="shared" si="194"/>
        <v>0</v>
      </c>
      <c r="U3843" s="129" t="str">
        <f>IFERROR(IF(#REF!="S",VLOOKUP('Raw Data'!A3843,References!#REF!,2,FALSE),(VLOOKUP($S3843,References!$B$3:$C$7,2,FALSE))),"")</f>
        <v/>
      </c>
      <c r="W3843" s="74" t="str">
        <f>IFERROR(VLOOKUP($O3843,'Customer List'!$A$1:$J$488,10,FALSE),"")</f>
        <v/>
      </c>
    </row>
    <row r="3844" spans="18:23">
      <c r="R3844" s="127">
        <f t="shared" si="195"/>
        <v>0</v>
      </c>
      <c r="T3844" s="128">
        <f t="shared" si="194"/>
        <v>0</v>
      </c>
      <c r="U3844" s="129" t="str">
        <f>IFERROR(IF(#REF!="S",VLOOKUP('Raw Data'!A3844,References!#REF!,2,FALSE),(VLOOKUP($S3844,References!$B$3:$C$7,2,FALSE))),"")</f>
        <v/>
      </c>
      <c r="W3844" s="74" t="str">
        <f>IFERROR(VLOOKUP($O3844,'Customer List'!$A$1:$J$488,10,FALSE),"")</f>
        <v/>
      </c>
    </row>
    <row r="3845" spans="18:23">
      <c r="R3845" s="127">
        <f t="shared" si="195"/>
        <v>0</v>
      </c>
      <c r="T3845" s="128">
        <f t="shared" si="194"/>
        <v>0</v>
      </c>
      <c r="U3845" s="129" t="str">
        <f>IFERROR(IF(#REF!="S",VLOOKUP('Raw Data'!A3845,References!#REF!,2,FALSE),(VLOOKUP($S3845,References!$B$3:$C$7,2,FALSE))),"")</f>
        <v/>
      </c>
      <c r="W3845" s="74" t="str">
        <f>IFERROR(VLOOKUP($O3845,'Customer List'!$A$1:$J$488,10,FALSE),"")</f>
        <v/>
      </c>
    </row>
    <row r="3846" spans="18:23">
      <c r="R3846" s="127">
        <f t="shared" si="195"/>
        <v>0</v>
      </c>
      <c r="T3846" s="128">
        <f t="shared" si="194"/>
        <v>0</v>
      </c>
      <c r="U3846" s="129" t="str">
        <f>IFERROR(IF(#REF!="S",VLOOKUP('Raw Data'!A3846,References!#REF!,2,FALSE),(VLOOKUP($S3846,References!$B$3:$C$7,2,FALSE))),"")</f>
        <v/>
      </c>
      <c r="W3846" s="74" t="str">
        <f>IFERROR(VLOOKUP($O3846,'Customer List'!$A$1:$J$488,10,FALSE),"")</f>
        <v/>
      </c>
    </row>
    <row r="3847" spans="18:23">
      <c r="R3847" s="127">
        <f t="shared" si="195"/>
        <v>0</v>
      </c>
      <c r="T3847" s="128">
        <f t="shared" si="194"/>
        <v>0</v>
      </c>
      <c r="U3847" s="129" t="str">
        <f>IFERROR(IF(#REF!="S",VLOOKUP('Raw Data'!A3847,References!#REF!,2,FALSE),(VLOOKUP($S3847,References!$B$3:$C$7,2,FALSE))),"")</f>
        <v/>
      </c>
      <c r="W3847" s="74" t="str">
        <f>IFERROR(VLOOKUP($O3847,'Customer List'!$A$1:$J$488,10,FALSE),"")</f>
        <v/>
      </c>
    </row>
    <row r="3848" spans="18:23">
      <c r="R3848" s="127">
        <f t="shared" si="195"/>
        <v>0</v>
      </c>
      <c r="T3848" s="128">
        <f t="shared" si="194"/>
        <v>0</v>
      </c>
      <c r="U3848" s="129" t="str">
        <f>IFERROR(IF(#REF!="S",VLOOKUP('Raw Data'!A3848,References!#REF!,2,FALSE),(VLOOKUP($S3848,References!$B$3:$C$7,2,FALSE))),"")</f>
        <v/>
      </c>
      <c r="W3848" s="74" t="str">
        <f>IFERROR(VLOOKUP($O3848,'Customer List'!$A$1:$J$488,10,FALSE),"")</f>
        <v/>
      </c>
    </row>
    <row r="3849" spans="18:23">
      <c r="R3849" s="127">
        <f t="shared" si="195"/>
        <v>0</v>
      </c>
      <c r="T3849" s="128">
        <f t="shared" si="194"/>
        <v>0</v>
      </c>
      <c r="U3849" s="129" t="str">
        <f>IFERROR(IF(#REF!="S",VLOOKUP('Raw Data'!A3849,References!#REF!,2,FALSE),(VLOOKUP($S3849,References!$B$3:$C$7,2,FALSE))),"")</f>
        <v/>
      </c>
      <c r="W3849" s="74" t="str">
        <f>IFERROR(VLOOKUP($O3849,'Customer List'!$A$1:$J$488,10,FALSE),"")</f>
        <v/>
      </c>
    </row>
    <row r="3850" spans="18:23">
      <c r="R3850" s="127">
        <f t="shared" si="195"/>
        <v>0</v>
      </c>
      <c r="T3850" s="128">
        <f t="shared" ref="T3850:T3913" si="196">IF(S3850="50 - Cleaning Fee",1,HOUR($R3850)+MINUTE(R3850)/60)</f>
        <v>0</v>
      </c>
      <c r="U3850" s="129" t="str">
        <f>IFERROR(IF(#REF!="S",VLOOKUP('Raw Data'!A3850,References!#REF!,2,FALSE),(VLOOKUP($S3850,References!$B$3:$C$7,2,FALSE))),"")</f>
        <v/>
      </c>
      <c r="W3850" s="74" t="str">
        <f>IFERROR(VLOOKUP($O3850,'Customer List'!$A$1:$J$488,10,FALSE),"")</f>
        <v/>
      </c>
    </row>
    <row r="3851" spans="18:23">
      <c r="R3851" s="127">
        <f t="shared" si="195"/>
        <v>0</v>
      </c>
      <c r="T3851" s="128">
        <f t="shared" si="196"/>
        <v>0</v>
      </c>
      <c r="U3851" s="129" t="str">
        <f>IFERROR(IF(#REF!="S",VLOOKUP('Raw Data'!A3851,References!#REF!,2,FALSE),(VLOOKUP($S3851,References!$B$3:$C$7,2,FALSE))),"")</f>
        <v/>
      </c>
      <c r="W3851" s="74" t="str">
        <f>IFERROR(VLOOKUP($O3851,'Customer List'!$A$1:$J$488,10,FALSE),"")</f>
        <v/>
      </c>
    </row>
    <row r="3852" spans="18:23">
      <c r="R3852" s="127">
        <f t="shared" si="195"/>
        <v>0</v>
      </c>
      <c r="T3852" s="128">
        <f t="shared" si="196"/>
        <v>0</v>
      </c>
      <c r="U3852" s="129" t="str">
        <f>IFERROR(IF(#REF!="S",VLOOKUP('Raw Data'!A3852,References!#REF!,2,FALSE),(VLOOKUP($S3852,References!$B$3:$C$7,2,FALSE))),"")</f>
        <v/>
      </c>
      <c r="W3852" s="74" t="str">
        <f>IFERROR(VLOOKUP($O3852,'Customer List'!$A$1:$J$488,10,FALSE),"")</f>
        <v/>
      </c>
    </row>
    <row r="3853" spans="18:23">
      <c r="R3853" s="127">
        <f t="shared" si="195"/>
        <v>0</v>
      </c>
      <c r="T3853" s="128">
        <f t="shared" si="196"/>
        <v>0</v>
      </c>
      <c r="U3853" s="129" t="str">
        <f>IFERROR(IF(#REF!="S",VLOOKUP('Raw Data'!A3853,References!#REF!,2,FALSE),(VLOOKUP($S3853,References!$B$3:$C$7,2,FALSE))),"")</f>
        <v/>
      </c>
      <c r="W3853" s="74" t="str">
        <f>IFERROR(VLOOKUP($O3853,'Customer List'!$A$1:$J$488,10,FALSE),"")</f>
        <v/>
      </c>
    </row>
    <row r="3854" spans="18:23">
      <c r="R3854" s="127">
        <f t="shared" si="195"/>
        <v>0</v>
      </c>
      <c r="T3854" s="128">
        <f t="shared" si="196"/>
        <v>0</v>
      </c>
      <c r="U3854" s="129" t="str">
        <f>IFERROR(IF(#REF!="S",VLOOKUP('Raw Data'!A3854,References!#REF!,2,FALSE),(VLOOKUP($S3854,References!$B$3:$C$7,2,FALSE))),"")</f>
        <v/>
      </c>
      <c r="W3854" s="74" t="str">
        <f>IFERROR(VLOOKUP($O3854,'Customer List'!$A$1:$J$488,10,FALSE),"")</f>
        <v/>
      </c>
    </row>
    <row r="3855" spans="18:23">
      <c r="R3855" s="127">
        <f t="shared" si="195"/>
        <v>0</v>
      </c>
      <c r="T3855" s="128">
        <f t="shared" si="196"/>
        <v>0</v>
      </c>
      <c r="U3855" s="129" t="str">
        <f>IFERROR(IF(#REF!="S",VLOOKUP('Raw Data'!A3855,References!#REF!,2,FALSE),(VLOOKUP($S3855,References!$B$3:$C$7,2,FALSE))),"")</f>
        <v/>
      </c>
      <c r="W3855" s="74" t="str">
        <f>IFERROR(VLOOKUP($O3855,'Customer List'!$A$1:$J$488,10,FALSE),"")</f>
        <v/>
      </c>
    </row>
    <row r="3856" spans="18:23">
      <c r="R3856" s="127">
        <f t="shared" si="195"/>
        <v>0</v>
      </c>
      <c r="T3856" s="128">
        <f t="shared" si="196"/>
        <v>0</v>
      </c>
      <c r="U3856" s="129" t="str">
        <f>IFERROR(IF(#REF!="S",VLOOKUP('Raw Data'!A3856,References!#REF!,2,FALSE),(VLOOKUP($S3856,References!$B$3:$C$7,2,FALSE))),"")</f>
        <v/>
      </c>
      <c r="W3856" s="74" t="str">
        <f>IFERROR(VLOOKUP($O3856,'Customer List'!$A$1:$J$488,10,FALSE),"")</f>
        <v/>
      </c>
    </row>
    <row r="3857" spans="18:23">
      <c r="R3857" s="127">
        <f t="shared" si="195"/>
        <v>0</v>
      </c>
      <c r="T3857" s="128">
        <f t="shared" si="196"/>
        <v>0</v>
      </c>
      <c r="U3857" s="129" t="str">
        <f>IFERROR(IF(#REF!="S",VLOOKUP('Raw Data'!A3857,References!#REF!,2,FALSE),(VLOOKUP($S3857,References!$B$3:$C$7,2,FALSE))),"")</f>
        <v/>
      </c>
      <c r="W3857" s="74" t="str">
        <f>IFERROR(VLOOKUP($O3857,'Customer List'!$A$1:$J$488,10,FALSE),"")</f>
        <v/>
      </c>
    </row>
    <row r="3858" spans="18:23">
      <c r="R3858" s="127">
        <f t="shared" si="195"/>
        <v>0</v>
      </c>
      <c r="T3858" s="128">
        <f t="shared" si="196"/>
        <v>0</v>
      </c>
      <c r="U3858" s="129" t="str">
        <f>IFERROR(IF(#REF!="S",VLOOKUP('Raw Data'!A3858,References!#REF!,2,FALSE),(VLOOKUP($S3858,References!$B$3:$C$7,2,FALSE))),"")</f>
        <v/>
      </c>
      <c r="W3858" s="74" t="str">
        <f>IFERROR(VLOOKUP($O3858,'Customer List'!$A$1:$J$488,10,FALSE),"")</f>
        <v/>
      </c>
    </row>
    <row r="3859" spans="18:23">
      <c r="R3859" s="127">
        <f t="shared" si="195"/>
        <v>0</v>
      </c>
      <c r="T3859" s="128">
        <f t="shared" si="196"/>
        <v>0</v>
      </c>
      <c r="U3859" s="129" t="str">
        <f>IFERROR(IF(#REF!="S",VLOOKUP('Raw Data'!A3859,References!#REF!,2,FALSE),(VLOOKUP($S3859,References!$B$3:$C$7,2,FALSE))),"")</f>
        <v/>
      </c>
      <c r="W3859" s="74" t="str">
        <f>IFERROR(VLOOKUP($O3859,'Customer List'!$A$1:$J$488,10,FALSE),"")</f>
        <v/>
      </c>
    </row>
    <row r="3860" spans="18:23">
      <c r="R3860" s="127">
        <f t="shared" si="195"/>
        <v>0</v>
      </c>
      <c r="T3860" s="128">
        <f t="shared" si="196"/>
        <v>0</v>
      </c>
      <c r="U3860" s="129" t="str">
        <f>IFERROR(IF(#REF!="S",VLOOKUP('Raw Data'!A3860,References!#REF!,2,FALSE),(VLOOKUP($S3860,References!$B$3:$C$7,2,FALSE))),"")</f>
        <v/>
      </c>
      <c r="W3860" s="74" t="str">
        <f>IFERROR(VLOOKUP($O3860,'Customer List'!$A$1:$J$488,10,FALSE),"")</f>
        <v/>
      </c>
    </row>
    <row r="3861" spans="18:23">
      <c r="R3861" s="127">
        <f t="shared" si="195"/>
        <v>0</v>
      </c>
      <c r="T3861" s="128">
        <f t="shared" si="196"/>
        <v>0</v>
      </c>
      <c r="U3861" s="129" t="str">
        <f>IFERROR(IF(#REF!="S",VLOOKUP('Raw Data'!A3861,References!#REF!,2,FALSE),(VLOOKUP($S3861,References!$B$3:$C$7,2,FALSE))),"")</f>
        <v/>
      </c>
      <c r="W3861" s="74" t="str">
        <f>IFERROR(VLOOKUP($O3861,'Customer List'!$A$1:$J$488,10,FALSE),"")</f>
        <v/>
      </c>
    </row>
    <row r="3862" spans="18:23">
      <c r="R3862" s="127">
        <f t="shared" si="195"/>
        <v>0</v>
      </c>
      <c r="T3862" s="128">
        <f t="shared" si="196"/>
        <v>0</v>
      </c>
      <c r="U3862" s="129" t="str">
        <f>IFERROR(IF(#REF!="S",VLOOKUP('Raw Data'!A3862,References!#REF!,2,FALSE),(VLOOKUP($S3862,References!$B$3:$C$7,2,FALSE))),"")</f>
        <v/>
      </c>
      <c r="W3862" s="74" t="str">
        <f>IFERROR(VLOOKUP($O3862,'Customer List'!$A$1:$J$488,10,FALSE),"")</f>
        <v/>
      </c>
    </row>
    <row r="3863" spans="18:23">
      <c r="R3863" s="127">
        <f t="shared" si="195"/>
        <v>0</v>
      </c>
      <c r="T3863" s="128">
        <f t="shared" si="196"/>
        <v>0</v>
      </c>
      <c r="U3863" s="129" t="str">
        <f>IFERROR(IF(#REF!="S",VLOOKUP('Raw Data'!A3863,References!#REF!,2,FALSE),(VLOOKUP($S3863,References!$B$3:$C$7,2,FALSE))),"")</f>
        <v/>
      </c>
      <c r="W3863" s="74" t="str">
        <f>IFERROR(VLOOKUP($O3863,'Customer List'!$A$1:$J$488,10,FALSE),"")</f>
        <v/>
      </c>
    </row>
    <row r="3864" spans="18:23">
      <c r="R3864" s="127">
        <f t="shared" si="195"/>
        <v>0</v>
      </c>
      <c r="T3864" s="128">
        <f t="shared" si="196"/>
        <v>0</v>
      </c>
      <c r="U3864" s="129" t="str">
        <f>IFERROR(IF(#REF!="S",VLOOKUP('Raw Data'!A3864,References!#REF!,2,FALSE),(VLOOKUP($S3864,References!$B$3:$C$7,2,FALSE))),"")</f>
        <v/>
      </c>
      <c r="W3864" s="74" t="str">
        <f>IFERROR(VLOOKUP($O3864,'Customer List'!$A$1:$J$488,10,FALSE),"")</f>
        <v/>
      </c>
    </row>
    <row r="3865" spans="18:23">
      <c r="R3865" s="127">
        <f t="shared" si="195"/>
        <v>0</v>
      </c>
      <c r="T3865" s="128">
        <f t="shared" si="196"/>
        <v>0</v>
      </c>
      <c r="U3865" s="129" t="str">
        <f>IFERROR(IF(#REF!="S",VLOOKUP('Raw Data'!A3865,References!#REF!,2,FALSE),(VLOOKUP($S3865,References!$B$3:$C$7,2,FALSE))),"")</f>
        <v/>
      </c>
      <c r="W3865" s="74" t="str">
        <f>IFERROR(VLOOKUP($O3865,'Customer List'!$A$1:$J$488,10,FALSE),"")</f>
        <v/>
      </c>
    </row>
    <row r="3866" spans="18:23">
      <c r="R3866" s="127">
        <f t="shared" si="195"/>
        <v>0</v>
      </c>
      <c r="T3866" s="128">
        <f t="shared" si="196"/>
        <v>0</v>
      </c>
      <c r="U3866" s="129" t="str">
        <f>IFERROR(IF(#REF!="S",VLOOKUP('Raw Data'!A3866,References!#REF!,2,FALSE),(VLOOKUP($S3866,References!$B$3:$C$7,2,FALSE))),"")</f>
        <v/>
      </c>
      <c r="W3866" s="74" t="str">
        <f>IFERROR(VLOOKUP($O3866,'Customer List'!$A$1:$J$488,10,FALSE),"")</f>
        <v/>
      </c>
    </row>
    <row r="3867" spans="18:23">
      <c r="R3867" s="127">
        <f t="shared" si="195"/>
        <v>0</v>
      </c>
      <c r="T3867" s="128">
        <f t="shared" si="196"/>
        <v>0</v>
      </c>
      <c r="U3867" s="129" t="str">
        <f>IFERROR(IF(#REF!="S",VLOOKUP('Raw Data'!A3867,References!#REF!,2,FALSE),(VLOOKUP($S3867,References!$B$3:$C$7,2,FALSE))),"")</f>
        <v/>
      </c>
      <c r="W3867" s="74" t="str">
        <f>IFERROR(VLOOKUP($O3867,'Customer List'!$A$1:$J$488,10,FALSE),"")</f>
        <v/>
      </c>
    </row>
    <row r="3868" spans="18:23">
      <c r="R3868" s="127">
        <f t="shared" si="195"/>
        <v>0</v>
      </c>
      <c r="T3868" s="128">
        <f t="shared" si="196"/>
        <v>0</v>
      </c>
      <c r="U3868" s="129" t="str">
        <f>IFERROR(IF(#REF!="S",VLOOKUP('Raw Data'!A3868,References!#REF!,2,FALSE),(VLOOKUP($S3868,References!$B$3:$C$7,2,FALSE))),"")</f>
        <v/>
      </c>
      <c r="W3868" s="74" t="str">
        <f>IFERROR(VLOOKUP($O3868,'Customer List'!$A$1:$J$488,10,FALSE),"")</f>
        <v/>
      </c>
    </row>
    <row r="3869" spans="18:23">
      <c r="R3869" s="127">
        <f t="shared" si="195"/>
        <v>0</v>
      </c>
      <c r="T3869" s="128">
        <f t="shared" si="196"/>
        <v>0</v>
      </c>
      <c r="U3869" s="129" t="str">
        <f>IFERROR(IF(#REF!="S",VLOOKUP('Raw Data'!A3869,References!#REF!,2,FALSE),(VLOOKUP($S3869,References!$B$3:$C$7,2,FALSE))),"")</f>
        <v/>
      </c>
      <c r="W3869" s="74" t="str">
        <f>IFERROR(VLOOKUP($O3869,'Customer List'!$A$1:$J$488,10,FALSE),"")</f>
        <v/>
      </c>
    </row>
    <row r="3870" spans="18:23">
      <c r="R3870" s="127">
        <f t="shared" si="195"/>
        <v>0</v>
      </c>
      <c r="T3870" s="128">
        <f t="shared" si="196"/>
        <v>0</v>
      </c>
      <c r="U3870" s="129" t="str">
        <f>IFERROR(IF(#REF!="S",VLOOKUP('Raw Data'!A3870,References!#REF!,2,FALSE),(VLOOKUP($S3870,References!$B$3:$C$7,2,FALSE))),"")</f>
        <v/>
      </c>
      <c r="W3870" s="74" t="str">
        <f>IFERROR(VLOOKUP($O3870,'Customer List'!$A$1:$J$488,10,FALSE),"")</f>
        <v/>
      </c>
    </row>
    <row r="3871" spans="18:23">
      <c r="R3871" s="127">
        <f t="shared" si="195"/>
        <v>0</v>
      </c>
      <c r="T3871" s="128">
        <f t="shared" si="196"/>
        <v>0</v>
      </c>
      <c r="U3871" s="129" t="str">
        <f>IFERROR(IF(#REF!="S",VLOOKUP('Raw Data'!A3871,References!#REF!,2,FALSE),(VLOOKUP($S3871,References!$B$3:$C$7,2,FALSE))),"")</f>
        <v/>
      </c>
      <c r="W3871" s="74" t="str">
        <f>IFERROR(VLOOKUP($O3871,'Customer List'!$A$1:$J$488,10,FALSE),"")</f>
        <v/>
      </c>
    </row>
    <row r="3872" spans="18:23">
      <c r="R3872" s="127">
        <f t="shared" si="195"/>
        <v>0</v>
      </c>
      <c r="T3872" s="128">
        <f t="shared" si="196"/>
        <v>0</v>
      </c>
      <c r="U3872" s="129" t="str">
        <f>IFERROR(IF(#REF!="S",VLOOKUP('Raw Data'!A3872,References!#REF!,2,FALSE),(VLOOKUP($S3872,References!$B$3:$C$7,2,FALSE))),"")</f>
        <v/>
      </c>
      <c r="W3872" s="74" t="str">
        <f>IFERROR(VLOOKUP($O3872,'Customer List'!$A$1:$J$488,10,FALSE),"")</f>
        <v/>
      </c>
    </row>
    <row r="3873" spans="18:23">
      <c r="R3873" s="127">
        <f t="shared" si="195"/>
        <v>0</v>
      </c>
      <c r="T3873" s="128">
        <f t="shared" si="196"/>
        <v>0</v>
      </c>
      <c r="U3873" s="129" t="str">
        <f>IFERROR(IF(#REF!="S",VLOOKUP('Raw Data'!A3873,References!#REF!,2,FALSE),(VLOOKUP($S3873,References!$B$3:$C$7,2,FALSE))),"")</f>
        <v/>
      </c>
      <c r="W3873" s="74" t="str">
        <f>IFERROR(VLOOKUP($O3873,'Customer List'!$A$1:$J$488,10,FALSE),"")</f>
        <v/>
      </c>
    </row>
    <row r="3874" spans="18:23">
      <c r="R3874" s="127">
        <f t="shared" ref="R3874:R3937" si="197">L3874-K3874</f>
        <v>0</v>
      </c>
      <c r="T3874" s="128">
        <f t="shared" si="196"/>
        <v>0</v>
      </c>
      <c r="U3874" s="129" t="str">
        <f>IFERROR(IF(#REF!="S",VLOOKUP('Raw Data'!A3874,References!#REF!,2,FALSE),(VLOOKUP($S3874,References!$B$3:$C$7,2,FALSE))),"")</f>
        <v/>
      </c>
      <c r="W3874" s="74" t="str">
        <f>IFERROR(VLOOKUP($O3874,'Customer List'!$A$1:$J$488,10,FALSE),"")</f>
        <v/>
      </c>
    </row>
    <row r="3875" spans="18:23">
      <c r="R3875" s="127">
        <f t="shared" si="197"/>
        <v>0</v>
      </c>
      <c r="T3875" s="128">
        <f t="shared" si="196"/>
        <v>0</v>
      </c>
      <c r="U3875" s="129" t="str">
        <f>IFERROR(IF(#REF!="S",VLOOKUP('Raw Data'!A3875,References!#REF!,2,FALSE),(VLOOKUP($S3875,References!$B$3:$C$7,2,FALSE))),"")</f>
        <v/>
      </c>
      <c r="W3875" s="74" t="str">
        <f>IFERROR(VLOOKUP($O3875,'Customer List'!$A$1:$J$488,10,FALSE),"")</f>
        <v/>
      </c>
    </row>
    <row r="3876" spans="18:23">
      <c r="R3876" s="127">
        <f t="shared" si="197"/>
        <v>0</v>
      </c>
      <c r="T3876" s="128">
        <f t="shared" si="196"/>
        <v>0</v>
      </c>
      <c r="U3876" s="129" t="str">
        <f>IFERROR(IF(#REF!="S",VLOOKUP('Raw Data'!A3876,References!#REF!,2,FALSE),(VLOOKUP($S3876,References!$B$3:$C$7,2,FALSE))),"")</f>
        <v/>
      </c>
      <c r="W3876" s="74" t="str">
        <f>IFERROR(VLOOKUP($O3876,'Customer List'!$A$1:$J$488,10,FALSE),"")</f>
        <v/>
      </c>
    </row>
    <row r="3877" spans="18:23">
      <c r="R3877" s="127">
        <f t="shared" si="197"/>
        <v>0</v>
      </c>
      <c r="T3877" s="128">
        <f t="shared" si="196"/>
        <v>0</v>
      </c>
      <c r="U3877" s="129" t="str">
        <f>IFERROR(IF(#REF!="S",VLOOKUP('Raw Data'!A3877,References!#REF!,2,FALSE),(VLOOKUP($S3877,References!$B$3:$C$7,2,FALSE))),"")</f>
        <v/>
      </c>
      <c r="W3877" s="74" t="str">
        <f>IFERROR(VLOOKUP($O3877,'Customer List'!$A$1:$J$488,10,FALSE),"")</f>
        <v/>
      </c>
    </row>
    <row r="3878" spans="18:23">
      <c r="R3878" s="127">
        <f t="shared" si="197"/>
        <v>0</v>
      </c>
      <c r="T3878" s="128">
        <f t="shared" si="196"/>
        <v>0</v>
      </c>
      <c r="U3878" s="129" t="str">
        <f>IFERROR(IF(#REF!="S",VLOOKUP('Raw Data'!A3878,References!#REF!,2,FALSE),(VLOOKUP($S3878,References!$B$3:$C$7,2,FALSE))),"")</f>
        <v/>
      </c>
      <c r="W3878" s="74" t="str">
        <f>IFERROR(VLOOKUP($O3878,'Customer List'!$A$1:$J$488,10,FALSE),"")</f>
        <v/>
      </c>
    </row>
    <row r="3879" spans="18:23">
      <c r="R3879" s="127">
        <f t="shared" si="197"/>
        <v>0</v>
      </c>
      <c r="T3879" s="128">
        <f t="shared" si="196"/>
        <v>0</v>
      </c>
      <c r="U3879" s="129" t="str">
        <f>IFERROR(IF(#REF!="S",VLOOKUP('Raw Data'!A3879,References!#REF!,2,FALSE),(VLOOKUP($S3879,References!$B$3:$C$7,2,FALSE))),"")</f>
        <v/>
      </c>
      <c r="W3879" s="74" t="str">
        <f>IFERROR(VLOOKUP($O3879,'Customer List'!$A$1:$J$488,10,FALSE),"")</f>
        <v/>
      </c>
    </row>
    <row r="3880" spans="18:23">
      <c r="R3880" s="127">
        <f t="shared" si="197"/>
        <v>0</v>
      </c>
      <c r="T3880" s="128">
        <f t="shared" si="196"/>
        <v>0</v>
      </c>
      <c r="U3880" s="129" t="str">
        <f>IFERROR(IF(#REF!="S",VLOOKUP('Raw Data'!A3880,References!#REF!,2,FALSE),(VLOOKUP($S3880,References!$B$3:$C$7,2,FALSE))),"")</f>
        <v/>
      </c>
      <c r="W3880" s="74" t="str">
        <f>IFERROR(VLOOKUP($O3880,'Customer List'!$A$1:$J$488,10,FALSE),"")</f>
        <v/>
      </c>
    </row>
    <row r="3881" spans="18:23">
      <c r="R3881" s="127">
        <f t="shared" si="197"/>
        <v>0</v>
      </c>
      <c r="T3881" s="128">
        <f t="shared" si="196"/>
        <v>0</v>
      </c>
      <c r="U3881" s="129" t="str">
        <f>IFERROR(IF(#REF!="S",VLOOKUP('Raw Data'!A3881,References!#REF!,2,FALSE),(VLOOKUP($S3881,References!$B$3:$C$7,2,FALSE))),"")</f>
        <v/>
      </c>
      <c r="W3881" s="74" t="str">
        <f>IFERROR(VLOOKUP($O3881,'Customer List'!$A$1:$J$488,10,FALSE),"")</f>
        <v/>
      </c>
    </row>
    <row r="3882" spans="18:23">
      <c r="R3882" s="127">
        <f t="shared" si="197"/>
        <v>0</v>
      </c>
      <c r="T3882" s="128">
        <f t="shared" si="196"/>
        <v>0</v>
      </c>
      <c r="U3882" s="129" t="str">
        <f>IFERROR(IF(#REF!="S",VLOOKUP('Raw Data'!A3882,References!#REF!,2,FALSE),(VLOOKUP($S3882,References!$B$3:$C$7,2,FALSE))),"")</f>
        <v/>
      </c>
      <c r="W3882" s="74" t="str">
        <f>IFERROR(VLOOKUP($O3882,'Customer List'!$A$1:$J$488,10,FALSE),"")</f>
        <v/>
      </c>
    </row>
    <row r="3883" spans="18:23">
      <c r="R3883" s="127">
        <f t="shared" si="197"/>
        <v>0</v>
      </c>
      <c r="T3883" s="128">
        <f t="shared" si="196"/>
        <v>0</v>
      </c>
      <c r="U3883" s="129" t="str">
        <f>IFERROR(IF(#REF!="S",VLOOKUP('Raw Data'!A3883,References!#REF!,2,FALSE),(VLOOKUP($S3883,References!$B$3:$C$7,2,FALSE))),"")</f>
        <v/>
      </c>
      <c r="W3883" s="74" t="str">
        <f>IFERROR(VLOOKUP($O3883,'Customer List'!$A$1:$J$488,10,FALSE),"")</f>
        <v/>
      </c>
    </row>
    <row r="3884" spans="18:23">
      <c r="R3884" s="127">
        <f t="shared" si="197"/>
        <v>0</v>
      </c>
      <c r="T3884" s="128">
        <f t="shared" si="196"/>
        <v>0</v>
      </c>
      <c r="U3884" s="129" t="str">
        <f>IFERROR(IF(#REF!="S",VLOOKUP('Raw Data'!A3884,References!#REF!,2,FALSE),(VLOOKUP($S3884,References!$B$3:$C$7,2,FALSE))),"")</f>
        <v/>
      </c>
      <c r="W3884" s="74" t="str">
        <f>IFERROR(VLOOKUP($O3884,'Customer List'!$A$1:$J$488,10,FALSE),"")</f>
        <v/>
      </c>
    </row>
    <row r="3885" spans="18:23">
      <c r="R3885" s="127">
        <f t="shared" si="197"/>
        <v>0</v>
      </c>
      <c r="T3885" s="128">
        <f t="shared" si="196"/>
        <v>0</v>
      </c>
      <c r="U3885" s="129" t="str">
        <f>IFERROR(IF(#REF!="S",VLOOKUP('Raw Data'!A3885,References!#REF!,2,FALSE),(VLOOKUP($S3885,References!$B$3:$C$7,2,FALSE))),"")</f>
        <v/>
      </c>
      <c r="W3885" s="74" t="str">
        <f>IFERROR(VLOOKUP($O3885,'Customer List'!$A$1:$J$488,10,FALSE),"")</f>
        <v/>
      </c>
    </row>
    <row r="3886" spans="18:23">
      <c r="R3886" s="127">
        <f t="shared" si="197"/>
        <v>0</v>
      </c>
      <c r="T3886" s="128">
        <f t="shared" si="196"/>
        <v>0</v>
      </c>
      <c r="U3886" s="129" t="str">
        <f>IFERROR(IF(#REF!="S",VLOOKUP('Raw Data'!A3886,References!#REF!,2,FALSE),(VLOOKUP($S3886,References!$B$3:$C$7,2,FALSE))),"")</f>
        <v/>
      </c>
      <c r="W3886" s="74" t="str">
        <f>IFERROR(VLOOKUP($O3886,'Customer List'!$A$1:$J$488,10,FALSE),"")</f>
        <v/>
      </c>
    </row>
    <row r="3887" spans="18:23">
      <c r="R3887" s="127">
        <f t="shared" si="197"/>
        <v>0</v>
      </c>
      <c r="T3887" s="128">
        <f t="shared" si="196"/>
        <v>0</v>
      </c>
      <c r="U3887" s="129" t="str">
        <f>IFERROR(IF(#REF!="S",VLOOKUP('Raw Data'!A3887,References!#REF!,2,FALSE),(VLOOKUP($S3887,References!$B$3:$C$7,2,FALSE))),"")</f>
        <v/>
      </c>
      <c r="W3887" s="74" t="str">
        <f>IFERROR(VLOOKUP($O3887,'Customer List'!$A$1:$J$488,10,FALSE),"")</f>
        <v/>
      </c>
    </row>
    <row r="3888" spans="18:23">
      <c r="R3888" s="127">
        <f t="shared" si="197"/>
        <v>0</v>
      </c>
      <c r="T3888" s="128">
        <f t="shared" si="196"/>
        <v>0</v>
      </c>
      <c r="U3888" s="129" t="str">
        <f>IFERROR(IF(#REF!="S",VLOOKUP('Raw Data'!A3888,References!#REF!,2,FALSE),(VLOOKUP($S3888,References!$B$3:$C$7,2,FALSE))),"")</f>
        <v/>
      </c>
      <c r="W3888" s="74" t="str">
        <f>IFERROR(VLOOKUP($O3888,'Customer List'!$A$1:$J$488,10,FALSE),"")</f>
        <v/>
      </c>
    </row>
    <row r="3889" spans="18:23">
      <c r="R3889" s="127">
        <f t="shared" si="197"/>
        <v>0</v>
      </c>
      <c r="T3889" s="128">
        <f t="shared" si="196"/>
        <v>0</v>
      </c>
      <c r="U3889" s="129" t="str">
        <f>IFERROR(IF(#REF!="S",VLOOKUP('Raw Data'!A3889,References!#REF!,2,FALSE),(VLOOKUP($S3889,References!$B$3:$C$7,2,FALSE))),"")</f>
        <v/>
      </c>
      <c r="W3889" s="74" t="str">
        <f>IFERROR(VLOOKUP($O3889,'Customer List'!$A$1:$J$488,10,FALSE),"")</f>
        <v/>
      </c>
    </row>
    <row r="3890" spans="18:23">
      <c r="R3890" s="127">
        <f t="shared" si="197"/>
        <v>0</v>
      </c>
      <c r="T3890" s="128">
        <f t="shared" si="196"/>
        <v>0</v>
      </c>
      <c r="U3890" s="129" t="str">
        <f>IFERROR(IF(#REF!="S",VLOOKUP('Raw Data'!A3890,References!#REF!,2,FALSE),(VLOOKUP($S3890,References!$B$3:$C$7,2,FALSE))),"")</f>
        <v/>
      </c>
      <c r="W3890" s="74" t="str">
        <f>IFERROR(VLOOKUP($O3890,'Customer List'!$A$1:$J$488,10,FALSE),"")</f>
        <v/>
      </c>
    </row>
    <row r="3891" spans="18:23">
      <c r="R3891" s="127">
        <f t="shared" si="197"/>
        <v>0</v>
      </c>
      <c r="T3891" s="128">
        <f t="shared" si="196"/>
        <v>0</v>
      </c>
      <c r="U3891" s="129" t="str">
        <f>IFERROR(IF(#REF!="S",VLOOKUP('Raw Data'!A3891,References!#REF!,2,FALSE),(VLOOKUP($S3891,References!$B$3:$C$7,2,FALSE))),"")</f>
        <v/>
      </c>
      <c r="W3891" s="74" t="str">
        <f>IFERROR(VLOOKUP($O3891,'Customer List'!$A$1:$J$488,10,FALSE),"")</f>
        <v/>
      </c>
    </row>
    <row r="3892" spans="18:23">
      <c r="R3892" s="127">
        <f t="shared" si="197"/>
        <v>0</v>
      </c>
      <c r="T3892" s="128">
        <f t="shared" si="196"/>
        <v>0</v>
      </c>
      <c r="U3892" s="129" t="str">
        <f>IFERROR(IF(#REF!="S",VLOOKUP('Raw Data'!A3892,References!#REF!,2,FALSE),(VLOOKUP($S3892,References!$B$3:$C$7,2,FALSE))),"")</f>
        <v/>
      </c>
      <c r="W3892" s="74" t="str">
        <f>IFERROR(VLOOKUP($O3892,'Customer List'!$A$1:$J$488,10,FALSE),"")</f>
        <v/>
      </c>
    </row>
    <row r="3893" spans="18:23">
      <c r="R3893" s="127">
        <f t="shared" si="197"/>
        <v>0</v>
      </c>
      <c r="T3893" s="128">
        <f t="shared" si="196"/>
        <v>0</v>
      </c>
      <c r="U3893" s="129" t="str">
        <f>IFERROR(IF(#REF!="S",VLOOKUP('Raw Data'!A3893,References!#REF!,2,FALSE),(VLOOKUP($S3893,References!$B$3:$C$7,2,FALSE))),"")</f>
        <v/>
      </c>
      <c r="W3893" s="74" t="str">
        <f>IFERROR(VLOOKUP($O3893,'Customer List'!$A$1:$J$488,10,FALSE),"")</f>
        <v/>
      </c>
    </row>
    <row r="3894" spans="18:23">
      <c r="R3894" s="127">
        <f t="shared" si="197"/>
        <v>0</v>
      </c>
      <c r="T3894" s="128">
        <f t="shared" si="196"/>
        <v>0</v>
      </c>
      <c r="U3894" s="129" t="str">
        <f>IFERROR(IF(#REF!="S",VLOOKUP('Raw Data'!A3894,References!#REF!,2,FALSE),(VLOOKUP($S3894,References!$B$3:$C$7,2,FALSE))),"")</f>
        <v/>
      </c>
      <c r="W3894" s="74" t="str">
        <f>IFERROR(VLOOKUP($O3894,'Customer List'!$A$1:$J$488,10,FALSE),"")</f>
        <v/>
      </c>
    </row>
    <row r="3895" spans="18:23">
      <c r="R3895" s="127">
        <f t="shared" si="197"/>
        <v>0</v>
      </c>
      <c r="T3895" s="128">
        <f t="shared" si="196"/>
        <v>0</v>
      </c>
      <c r="U3895" s="129" t="str">
        <f>IFERROR(IF(#REF!="S",VLOOKUP('Raw Data'!A3895,References!#REF!,2,FALSE),(VLOOKUP($S3895,References!$B$3:$C$7,2,FALSE))),"")</f>
        <v/>
      </c>
      <c r="W3895" s="74" t="str">
        <f>IFERROR(VLOOKUP($O3895,'Customer List'!$A$1:$J$488,10,FALSE),"")</f>
        <v/>
      </c>
    </row>
    <row r="3896" spans="18:23">
      <c r="R3896" s="127">
        <f t="shared" si="197"/>
        <v>0</v>
      </c>
      <c r="T3896" s="128">
        <f t="shared" si="196"/>
        <v>0</v>
      </c>
      <c r="U3896" s="129" t="str">
        <f>IFERROR(IF(#REF!="S",VLOOKUP('Raw Data'!A3896,References!#REF!,2,FALSE),(VLOOKUP($S3896,References!$B$3:$C$7,2,FALSE))),"")</f>
        <v/>
      </c>
      <c r="W3896" s="74" t="str">
        <f>IFERROR(VLOOKUP($O3896,'Customer List'!$A$1:$J$488,10,FALSE),"")</f>
        <v/>
      </c>
    </row>
    <row r="3897" spans="18:23">
      <c r="R3897" s="127">
        <f t="shared" si="197"/>
        <v>0</v>
      </c>
      <c r="T3897" s="128">
        <f t="shared" si="196"/>
        <v>0</v>
      </c>
      <c r="U3897" s="129" t="str">
        <f>IFERROR(IF(#REF!="S",VLOOKUP('Raw Data'!A3897,References!#REF!,2,FALSE),(VLOOKUP($S3897,References!$B$3:$C$7,2,FALSE))),"")</f>
        <v/>
      </c>
      <c r="W3897" s="74" t="str">
        <f>IFERROR(VLOOKUP($O3897,'Customer List'!$A$1:$J$488,10,FALSE),"")</f>
        <v/>
      </c>
    </row>
    <row r="3898" spans="18:23">
      <c r="R3898" s="127">
        <f t="shared" si="197"/>
        <v>0</v>
      </c>
      <c r="T3898" s="128">
        <f t="shared" si="196"/>
        <v>0</v>
      </c>
      <c r="U3898" s="129" t="str">
        <f>IFERROR(IF(#REF!="S",VLOOKUP('Raw Data'!A3898,References!#REF!,2,FALSE),(VLOOKUP($S3898,References!$B$3:$C$7,2,FALSE))),"")</f>
        <v/>
      </c>
      <c r="W3898" s="74" t="str">
        <f>IFERROR(VLOOKUP($O3898,'Customer List'!$A$1:$J$488,10,FALSE),"")</f>
        <v/>
      </c>
    </row>
    <row r="3899" spans="18:23">
      <c r="R3899" s="127">
        <f t="shared" si="197"/>
        <v>0</v>
      </c>
      <c r="T3899" s="128">
        <f t="shared" si="196"/>
        <v>0</v>
      </c>
      <c r="U3899" s="129" t="str">
        <f>IFERROR(IF(#REF!="S",VLOOKUP('Raw Data'!A3899,References!#REF!,2,FALSE),(VLOOKUP($S3899,References!$B$3:$C$7,2,FALSE))),"")</f>
        <v/>
      </c>
      <c r="W3899" s="74" t="str">
        <f>IFERROR(VLOOKUP($O3899,'Customer List'!$A$1:$J$488,10,FALSE),"")</f>
        <v/>
      </c>
    </row>
    <row r="3900" spans="18:23">
      <c r="R3900" s="127">
        <f t="shared" si="197"/>
        <v>0</v>
      </c>
      <c r="T3900" s="128">
        <f t="shared" si="196"/>
        <v>0</v>
      </c>
      <c r="U3900" s="129" t="str">
        <f>IFERROR(IF(#REF!="S",VLOOKUP('Raw Data'!A3900,References!#REF!,2,FALSE),(VLOOKUP($S3900,References!$B$3:$C$7,2,FALSE))),"")</f>
        <v/>
      </c>
      <c r="W3900" s="74" t="str">
        <f>IFERROR(VLOOKUP($O3900,'Customer List'!$A$1:$J$488,10,FALSE),"")</f>
        <v/>
      </c>
    </row>
    <row r="3901" spans="18:23">
      <c r="R3901" s="127">
        <f t="shared" si="197"/>
        <v>0</v>
      </c>
      <c r="T3901" s="128">
        <f t="shared" si="196"/>
        <v>0</v>
      </c>
      <c r="U3901" s="129" t="str">
        <f>IFERROR(IF(#REF!="S",VLOOKUP('Raw Data'!A3901,References!#REF!,2,FALSE),(VLOOKUP($S3901,References!$B$3:$C$7,2,FALSE))),"")</f>
        <v/>
      </c>
      <c r="W3901" s="74" t="str">
        <f>IFERROR(VLOOKUP($O3901,'Customer List'!$A$1:$J$488,10,FALSE),"")</f>
        <v/>
      </c>
    </row>
    <row r="3902" spans="18:23">
      <c r="R3902" s="127">
        <f t="shared" si="197"/>
        <v>0</v>
      </c>
      <c r="T3902" s="128">
        <f t="shared" si="196"/>
        <v>0</v>
      </c>
      <c r="U3902" s="129" t="str">
        <f>IFERROR(IF(#REF!="S",VLOOKUP('Raw Data'!A3902,References!#REF!,2,FALSE),(VLOOKUP($S3902,References!$B$3:$C$7,2,FALSE))),"")</f>
        <v/>
      </c>
      <c r="W3902" s="74" t="str">
        <f>IFERROR(VLOOKUP($O3902,'Customer List'!$A$1:$J$488,10,FALSE),"")</f>
        <v/>
      </c>
    </row>
    <row r="3903" spans="18:23">
      <c r="R3903" s="127">
        <f t="shared" si="197"/>
        <v>0</v>
      </c>
      <c r="T3903" s="128">
        <f t="shared" si="196"/>
        <v>0</v>
      </c>
      <c r="U3903" s="129" t="str">
        <f>IFERROR(IF(#REF!="S",VLOOKUP('Raw Data'!A3903,References!#REF!,2,FALSE),(VLOOKUP($S3903,References!$B$3:$C$7,2,FALSE))),"")</f>
        <v/>
      </c>
      <c r="W3903" s="74" t="str">
        <f>IFERROR(VLOOKUP($O3903,'Customer List'!$A$1:$J$488,10,FALSE),"")</f>
        <v/>
      </c>
    </row>
    <row r="3904" spans="18:23">
      <c r="R3904" s="127">
        <f t="shared" si="197"/>
        <v>0</v>
      </c>
      <c r="T3904" s="128">
        <f t="shared" si="196"/>
        <v>0</v>
      </c>
      <c r="U3904" s="129" t="str">
        <f>IFERROR(IF(#REF!="S",VLOOKUP('Raw Data'!A3904,References!#REF!,2,FALSE),(VLOOKUP($S3904,References!$B$3:$C$7,2,FALSE))),"")</f>
        <v/>
      </c>
      <c r="W3904" s="74" t="str">
        <f>IFERROR(VLOOKUP($O3904,'Customer List'!$A$1:$J$488,10,FALSE),"")</f>
        <v/>
      </c>
    </row>
    <row r="3905" spans="18:23">
      <c r="R3905" s="127">
        <f t="shared" si="197"/>
        <v>0</v>
      </c>
      <c r="T3905" s="128">
        <f t="shared" si="196"/>
        <v>0</v>
      </c>
      <c r="U3905" s="129" t="str">
        <f>IFERROR(IF(#REF!="S",VLOOKUP('Raw Data'!A3905,References!#REF!,2,FALSE),(VLOOKUP($S3905,References!$B$3:$C$7,2,FALSE))),"")</f>
        <v/>
      </c>
      <c r="W3905" s="74" t="str">
        <f>IFERROR(VLOOKUP($O3905,'Customer List'!$A$1:$J$488,10,FALSE),"")</f>
        <v/>
      </c>
    </row>
    <row r="3906" spans="18:23">
      <c r="R3906" s="127">
        <f t="shared" si="197"/>
        <v>0</v>
      </c>
      <c r="T3906" s="128">
        <f t="shared" si="196"/>
        <v>0</v>
      </c>
      <c r="U3906" s="129" t="str">
        <f>IFERROR(IF(#REF!="S",VLOOKUP('Raw Data'!A3906,References!#REF!,2,FALSE),(VLOOKUP($S3906,References!$B$3:$C$7,2,FALSE))),"")</f>
        <v/>
      </c>
      <c r="W3906" s="74" t="str">
        <f>IFERROR(VLOOKUP($O3906,'Customer List'!$A$1:$J$488,10,FALSE),"")</f>
        <v/>
      </c>
    </row>
    <row r="3907" spans="18:23">
      <c r="R3907" s="127">
        <f t="shared" si="197"/>
        <v>0</v>
      </c>
      <c r="T3907" s="128">
        <f t="shared" si="196"/>
        <v>0</v>
      </c>
      <c r="U3907" s="129" t="str">
        <f>IFERROR(IF(#REF!="S",VLOOKUP('Raw Data'!A3907,References!#REF!,2,FALSE),(VLOOKUP($S3907,References!$B$3:$C$7,2,FALSE))),"")</f>
        <v/>
      </c>
      <c r="W3907" s="74" t="str">
        <f>IFERROR(VLOOKUP($O3907,'Customer List'!$A$1:$J$488,10,FALSE),"")</f>
        <v/>
      </c>
    </row>
    <row r="3908" spans="18:23">
      <c r="R3908" s="127">
        <f t="shared" si="197"/>
        <v>0</v>
      </c>
      <c r="T3908" s="128">
        <f t="shared" si="196"/>
        <v>0</v>
      </c>
      <c r="U3908" s="129" t="str">
        <f>IFERROR(IF(#REF!="S",VLOOKUP('Raw Data'!A3908,References!#REF!,2,FALSE),(VLOOKUP($S3908,References!$B$3:$C$7,2,FALSE))),"")</f>
        <v/>
      </c>
      <c r="W3908" s="74" t="str">
        <f>IFERROR(VLOOKUP($O3908,'Customer List'!$A$1:$J$488,10,FALSE),"")</f>
        <v/>
      </c>
    </row>
    <row r="3909" spans="18:23">
      <c r="R3909" s="127">
        <f t="shared" si="197"/>
        <v>0</v>
      </c>
      <c r="T3909" s="128">
        <f t="shared" si="196"/>
        <v>0</v>
      </c>
      <c r="U3909" s="129" t="str">
        <f>IFERROR(IF(#REF!="S",VLOOKUP('Raw Data'!A3909,References!#REF!,2,FALSE),(VLOOKUP($S3909,References!$B$3:$C$7,2,FALSE))),"")</f>
        <v/>
      </c>
      <c r="W3909" s="74" t="str">
        <f>IFERROR(VLOOKUP($O3909,'Customer List'!$A$1:$J$488,10,FALSE),"")</f>
        <v/>
      </c>
    </row>
    <row r="3910" spans="18:23">
      <c r="R3910" s="127">
        <f t="shared" si="197"/>
        <v>0</v>
      </c>
      <c r="T3910" s="128">
        <f t="shared" si="196"/>
        <v>0</v>
      </c>
      <c r="U3910" s="129" t="str">
        <f>IFERROR(IF(#REF!="S",VLOOKUP('Raw Data'!A3910,References!#REF!,2,FALSE),(VLOOKUP($S3910,References!$B$3:$C$7,2,FALSE))),"")</f>
        <v/>
      </c>
      <c r="W3910" s="74" t="str">
        <f>IFERROR(VLOOKUP($O3910,'Customer List'!$A$1:$J$488,10,FALSE),"")</f>
        <v/>
      </c>
    </row>
    <row r="3911" spans="18:23">
      <c r="R3911" s="127">
        <f t="shared" si="197"/>
        <v>0</v>
      </c>
      <c r="T3911" s="128">
        <f t="shared" si="196"/>
        <v>0</v>
      </c>
      <c r="U3911" s="129" t="str">
        <f>IFERROR(IF(#REF!="S",VLOOKUP('Raw Data'!A3911,References!#REF!,2,FALSE),(VLOOKUP($S3911,References!$B$3:$C$7,2,FALSE))),"")</f>
        <v/>
      </c>
      <c r="W3911" s="74" t="str">
        <f>IFERROR(VLOOKUP($O3911,'Customer List'!$A$1:$J$488,10,FALSE),"")</f>
        <v/>
      </c>
    </row>
    <row r="3912" spans="18:23">
      <c r="R3912" s="127">
        <f t="shared" si="197"/>
        <v>0</v>
      </c>
      <c r="T3912" s="128">
        <f t="shared" si="196"/>
        <v>0</v>
      </c>
      <c r="U3912" s="129" t="str">
        <f>IFERROR(IF(#REF!="S",VLOOKUP('Raw Data'!A3912,References!#REF!,2,FALSE),(VLOOKUP($S3912,References!$B$3:$C$7,2,FALSE))),"")</f>
        <v/>
      </c>
      <c r="W3912" s="74" t="str">
        <f>IFERROR(VLOOKUP($O3912,'Customer List'!$A$1:$J$488,10,FALSE),"")</f>
        <v/>
      </c>
    </row>
    <row r="3913" spans="18:23">
      <c r="R3913" s="127">
        <f t="shared" si="197"/>
        <v>0</v>
      </c>
      <c r="T3913" s="128">
        <f t="shared" si="196"/>
        <v>0</v>
      </c>
      <c r="U3913" s="129" t="str">
        <f>IFERROR(IF(#REF!="S",VLOOKUP('Raw Data'!A3913,References!#REF!,2,FALSE),(VLOOKUP($S3913,References!$B$3:$C$7,2,FALSE))),"")</f>
        <v/>
      </c>
      <c r="W3913" s="74" t="str">
        <f>IFERROR(VLOOKUP($O3913,'Customer List'!$A$1:$J$488,10,FALSE),"")</f>
        <v/>
      </c>
    </row>
    <row r="3914" spans="18:23">
      <c r="R3914" s="127">
        <f t="shared" si="197"/>
        <v>0</v>
      </c>
      <c r="T3914" s="128">
        <f t="shared" ref="T3914:T3977" si="198">IF(S3914="50 - Cleaning Fee",1,HOUR($R3914)+MINUTE(R3914)/60)</f>
        <v>0</v>
      </c>
      <c r="U3914" s="129" t="str">
        <f>IFERROR(IF(#REF!="S",VLOOKUP('Raw Data'!A3914,References!#REF!,2,FALSE),(VLOOKUP($S3914,References!$B$3:$C$7,2,FALSE))),"")</f>
        <v/>
      </c>
      <c r="W3914" s="74" t="str">
        <f>IFERROR(VLOOKUP($O3914,'Customer List'!$A$1:$J$488,10,FALSE),"")</f>
        <v/>
      </c>
    </row>
    <row r="3915" spans="18:23">
      <c r="R3915" s="127">
        <f t="shared" si="197"/>
        <v>0</v>
      </c>
      <c r="T3915" s="128">
        <f t="shared" si="198"/>
        <v>0</v>
      </c>
      <c r="U3915" s="129" t="str">
        <f>IFERROR(IF(#REF!="S",VLOOKUP('Raw Data'!A3915,References!#REF!,2,FALSE),(VLOOKUP($S3915,References!$B$3:$C$7,2,FALSE))),"")</f>
        <v/>
      </c>
      <c r="W3915" s="74" t="str">
        <f>IFERROR(VLOOKUP($O3915,'Customer List'!$A$1:$J$488,10,FALSE),"")</f>
        <v/>
      </c>
    </row>
    <row r="3916" spans="18:23">
      <c r="R3916" s="127">
        <f t="shared" si="197"/>
        <v>0</v>
      </c>
      <c r="T3916" s="128">
        <f t="shared" si="198"/>
        <v>0</v>
      </c>
      <c r="U3916" s="129" t="str">
        <f>IFERROR(IF(#REF!="S",VLOOKUP('Raw Data'!A3916,References!#REF!,2,FALSE),(VLOOKUP($S3916,References!$B$3:$C$7,2,FALSE))),"")</f>
        <v/>
      </c>
      <c r="W3916" s="74" t="str">
        <f>IFERROR(VLOOKUP($O3916,'Customer List'!$A$1:$J$488,10,FALSE),"")</f>
        <v/>
      </c>
    </row>
    <row r="3917" spans="18:23">
      <c r="R3917" s="127">
        <f t="shared" si="197"/>
        <v>0</v>
      </c>
      <c r="T3917" s="128">
        <f t="shared" si="198"/>
        <v>0</v>
      </c>
      <c r="U3917" s="129" t="str">
        <f>IFERROR(IF(#REF!="S",VLOOKUP('Raw Data'!A3917,References!#REF!,2,FALSE),(VLOOKUP($S3917,References!$B$3:$C$7,2,FALSE))),"")</f>
        <v/>
      </c>
      <c r="W3917" s="74" t="str">
        <f>IFERROR(VLOOKUP($O3917,'Customer List'!$A$1:$J$488,10,FALSE),"")</f>
        <v/>
      </c>
    </row>
    <row r="3918" spans="18:23">
      <c r="R3918" s="127">
        <f t="shared" si="197"/>
        <v>0</v>
      </c>
      <c r="T3918" s="128">
        <f t="shared" si="198"/>
        <v>0</v>
      </c>
      <c r="U3918" s="129" t="str">
        <f>IFERROR(IF(#REF!="S",VLOOKUP('Raw Data'!A3918,References!#REF!,2,FALSE),(VLOOKUP($S3918,References!$B$3:$C$7,2,FALSE))),"")</f>
        <v/>
      </c>
      <c r="W3918" s="74" t="str">
        <f>IFERROR(VLOOKUP($O3918,'Customer List'!$A$1:$J$488,10,FALSE),"")</f>
        <v/>
      </c>
    </row>
    <row r="3919" spans="18:23">
      <c r="R3919" s="127">
        <f t="shared" si="197"/>
        <v>0</v>
      </c>
      <c r="T3919" s="128">
        <f t="shared" si="198"/>
        <v>0</v>
      </c>
      <c r="U3919" s="129" t="str">
        <f>IFERROR(IF(#REF!="S",VLOOKUP('Raw Data'!A3919,References!#REF!,2,FALSE),(VLOOKUP($S3919,References!$B$3:$C$7,2,FALSE))),"")</f>
        <v/>
      </c>
      <c r="W3919" s="74" t="str">
        <f>IFERROR(VLOOKUP($O3919,'Customer List'!$A$1:$J$488,10,FALSE),"")</f>
        <v/>
      </c>
    </row>
    <row r="3920" spans="18:23">
      <c r="R3920" s="127">
        <f t="shared" si="197"/>
        <v>0</v>
      </c>
      <c r="T3920" s="128">
        <f t="shared" si="198"/>
        <v>0</v>
      </c>
      <c r="U3920" s="129" t="str">
        <f>IFERROR(IF(#REF!="S",VLOOKUP('Raw Data'!A3920,References!#REF!,2,FALSE),(VLOOKUP($S3920,References!$B$3:$C$7,2,FALSE))),"")</f>
        <v/>
      </c>
      <c r="W3920" s="74" t="str">
        <f>IFERROR(VLOOKUP($O3920,'Customer List'!$A$1:$J$488,10,FALSE),"")</f>
        <v/>
      </c>
    </row>
    <row r="3921" spans="18:23">
      <c r="R3921" s="127">
        <f t="shared" si="197"/>
        <v>0</v>
      </c>
      <c r="T3921" s="128">
        <f t="shared" si="198"/>
        <v>0</v>
      </c>
      <c r="U3921" s="129" t="str">
        <f>IFERROR(IF(#REF!="S",VLOOKUP('Raw Data'!A3921,References!#REF!,2,FALSE),(VLOOKUP($S3921,References!$B$3:$C$7,2,FALSE))),"")</f>
        <v/>
      </c>
      <c r="W3921" s="74" t="str">
        <f>IFERROR(VLOOKUP($O3921,'Customer List'!$A$1:$J$488,10,FALSE),"")</f>
        <v/>
      </c>
    </row>
    <row r="3922" spans="18:23">
      <c r="R3922" s="127">
        <f t="shared" si="197"/>
        <v>0</v>
      </c>
      <c r="T3922" s="128">
        <f t="shared" si="198"/>
        <v>0</v>
      </c>
      <c r="U3922" s="129" t="str">
        <f>IFERROR(IF(#REF!="S",VLOOKUP('Raw Data'!A3922,References!#REF!,2,FALSE),(VLOOKUP($S3922,References!$B$3:$C$7,2,FALSE))),"")</f>
        <v/>
      </c>
      <c r="W3922" s="74" t="str">
        <f>IFERROR(VLOOKUP($O3922,'Customer List'!$A$1:$J$488,10,FALSE),"")</f>
        <v/>
      </c>
    </row>
    <row r="3923" spans="18:23">
      <c r="R3923" s="127">
        <f t="shared" si="197"/>
        <v>0</v>
      </c>
      <c r="T3923" s="128">
        <f t="shared" si="198"/>
        <v>0</v>
      </c>
      <c r="U3923" s="129" t="str">
        <f>IFERROR(IF(#REF!="S",VLOOKUP('Raw Data'!A3923,References!#REF!,2,FALSE),(VLOOKUP($S3923,References!$B$3:$C$7,2,FALSE))),"")</f>
        <v/>
      </c>
      <c r="W3923" s="74" t="str">
        <f>IFERROR(VLOOKUP($O3923,'Customer List'!$A$1:$J$488,10,FALSE),"")</f>
        <v/>
      </c>
    </row>
    <row r="3924" spans="18:23">
      <c r="R3924" s="127">
        <f t="shared" si="197"/>
        <v>0</v>
      </c>
      <c r="T3924" s="128">
        <f t="shared" si="198"/>
        <v>0</v>
      </c>
      <c r="U3924" s="129" t="str">
        <f>IFERROR(IF(#REF!="S",VLOOKUP('Raw Data'!A3924,References!#REF!,2,FALSE),(VLOOKUP($S3924,References!$B$3:$C$7,2,FALSE))),"")</f>
        <v/>
      </c>
      <c r="W3924" s="74" t="str">
        <f>IFERROR(VLOOKUP($O3924,'Customer List'!$A$1:$J$488,10,FALSE),"")</f>
        <v/>
      </c>
    </row>
    <row r="3925" spans="18:23">
      <c r="R3925" s="127">
        <f t="shared" si="197"/>
        <v>0</v>
      </c>
      <c r="T3925" s="128">
        <f t="shared" si="198"/>
        <v>0</v>
      </c>
      <c r="U3925" s="129" t="str">
        <f>IFERROR(IF(#REF!="S",VLOOKUP('Raw Data'!A3925,References!#REF!,2,FALSE),(VLOOKUP($S3925,References!$B$3:$C$7,2,FALSE))),"")</f>
        <v/>
      </c>
      <c r="W3925" s="74" t="str">
        <f>IFERROR(VLOOKUP($O3925,'Customer List'!$A$1:$J$488,10,FALSE),"")</f>
        <v/>
      </c>
    </row>
    <row r="3926" spans="18:23">
      <c r="R3926" s="127">
        <f t="shared" si="197"/>
        <v>0</v>
      </c>
      <c r="T3926" s="128">
        <f t="shared" si="198"/>
        <v>0</v>
      </c>
      <c r="U3926" s="129" t="str">
        <f>IFERROR(IF(#REF!="S",VLOOKUP('Raw Data'!A3926,References!#REF!,2,FALSE),(VLOOKUP($S3926,References!$B$3:$C$7,2,FALSE))),"")</f>
        <v/>
      </c>
      <c r="W3926" s="74" t="str">
        <f>IFERROR(VLOOKUP($O3926,'Customer List'!$A$1:$J$488,10,FALSE),"")</f>
        <v/>
      </c>
    </row>
    <row r="3927" spans="18:23">
      <c r="R3927" s="127">
        <f t="shared" si="197"/>
        <v>0</v>
      </c>
      <c r="T3927" s="128">
        <f t="shared" si="198"/>
        <v>0</v>
      </c>
      <c r="U3927" s="129" t="str">
        <f>IFERROR(IF(#REF!="S",VLOOKUP('Raw Data'!A3927,References!#REF!,2,FALSE),(VLOOKUP($S3927,References!$B$3:$C$7,2,FALSE))),"")</f>
        <v/>
      </c>
      <c r="W3927" s="74" t="str">
        <f>IFERROR(VLOOKUP($O3927,'Customer List'!$A$1:$J$488,10,FALSE),"")</f>
        <v/>
      </c>
    </row>
    <row r="3928" spans="18:23">
      <c r="R3928" s="127">
        <f t="shared" si="197"/>
        <v>0</v>
      </c>
      <c r="T3928" s="128">
        <f t="shared" si="198"/>
        <v>0</v>
      </c>
      <c r="U3928" s="129" t="str">
        <f>IFERROR(IF(#REF!="S",VLOOKUP('Raw Data'!A3928,References!#REF!,2,FALSE),(VLOOKUP($S3928,References!$B$3:$C$7,2,FALSE))),"")</f>
        <v/>
      </c>
      <c r="W3928" s="74" t="str">
        <f>IFERROR(VLOOKUP($O3928,'Customer List'!$A$1:$J$488,10,FALSE),"")</f>
        <v/>
      </c>
    </row>
    <row r="3929" spans="18:23">
      <c r="R3929" s="127">
        <f t="shared" si="197"/>
        <v>0</v>
      </c>
      <c r="T3929" s="128">
        <f t="shared" si="198"/>
        <v>0</v>
      </c>
      <c r="U3929" s="129" t="str">
        <f>IFERROR(IF(#REF!="S",VLOOKUP('Raw Data'!A3929,References!#REF!,2,FALSE),(VLOOKUP($S3929,References!$B$3:$C$7,2,FALSE))),"")</f>
        <v/>
      </c>
      <c r="W3929" s="74" t="str">
        <f>IFERROR(VLOOKUP($O3929,'Customer List'!$A$1:$J$488,10,FALSE),"")</f>
        <v/>
      </c>
    </row>
    <row r="3930" spans="18:23">
      <c r="R3930" s="127">
        <f t="shared" si="197"/>
        <v>0</v>
      </c>
      <c r="T3930" s="128">
        <f t="shared" si="198"/>
        <v>0</v>
      </c>
      <c r="U3930" s="129" t="str">
        <f>IFERROR(IF(#REF!="S",VLOOKUP('Raw Data'!A3930,References!#REF!,2,FALSE),(VLOOKUP($S3930,References!$B$3:$C$7,2,FALSE))),"")</f>
        <v/>
      </c>
      <c r="W3930" s="74" t="str">
        <f>IFERROR(VLOOKUP($O3930,'Customer List'!$A$1:$J$488,10,FALSE),"")</f>
        <v/>
      </c>
    </row>
    <row r="3931" spans="18:23">
      <c r="R3931" s="127">
        <f t="shared" si="197"/>
        <v>0</v>
      </c>
      <c r="T3931" s="128">
        <f t="shared" si="198"/>
        <v>0</v>
      </c>
      <c r="U3931" s="129" t="str">
        <f>IFERROR(IF(#REF!="S",VLOOKUP('Raw Data'!A3931,References!#REF!,2,FALSE),(VLOOKUP($S3931,References!$B$3:$C$7,2,FALSE))),"")</f>
        <v/>
      </c>
      <c r="W3931" s="74" t="str">
        <f>IFERROR(VLOOKUP($O3931,'Customer List'!$A$1:$J$488,10,FALSE),"")</f>
        <v/>
      </c>
    </row>
    <row r="3932" spans="18:23">
      <c r="R3932" s="127">
        <f t="shared" si="197"/>
        <v>0</v>
      </c>
      <c r="T3932" s="128">
        <f t="shared" si="198"/>
        <v>0</v>
      </c>
      <c r="U3932" s="129" t="str">
        <f>IFERROR(IF(#REF!="S",VLOOKUP('Raw Data'!A3932,References!#REF!,2,FALSE),(VLOOKUP($S3932,References!$B$3:$C$7,2,FALSE))),"")</f>
        <v/>
      </c>
      <c r="W3932" s="74" t="str">
        <f>IFERROR(VLOOKUP($O3932,'Customer List'!$A$1:$J$488,10,FALSE),"")</f>
        <v/>
      </c>
    </row>
    <row r="3933" spans="18:23">
      <c r="R3933" s="127">
        <f t="shared" si="197"/>
        <v>0</v>
      </c>
      <c r="T3933" s="128">
        <f t="shared" si="198"/>
        <v>0</v>
      </c>
      <c r="U3933" s="129" t="str">
        <f>IFERROR(IF(#REF!="S",VLOOKUP('Raw Data'!A3933,References!#REF!,2,FALSE),(VLOOKUP($S3933,References!$B$3:$C$7,2,FALSE))),"")</f>
        <v/>
      </c>
      <c r="W3933" s="74" t="str">
        <f>IFERROR(VLOOKUP($O3933,'Customer List'!$A$1:$J$488,10,FALSE),"")</f>
        <v/>
      </c>
    </row>
    <row r="3934" spans="18:23">
      <c r="R3934" s="127">
        <f t="shared" si="197"/>
        <v>0</v>
      </c>
      <c r="T3934" s="128">
        <f t="shared" si="198"/>
        <v>0</v>
      </c>
      <c r="U3934" s="129" t="str">
        <f>IFERROR(IF(#REF!="S",VLOOKUP('Raw Data'!A3934,References!#REF!,2,FALSE),(VLOOKUP($S3934,References!$B$3:$C$7,2,FALSE))),"")</f>
        <v/>
      </c>
      <c r="W3934" s="74" t="str">
        <f>IFERROR(VLOOKUP($O3934,'Customer List'!$A$1:$J$488,10,FALSE),"")</f>
        <v/>
      </c>
    </row>
    <row r="3935" spans="18:23">
      <c r="R3935" s="127">
        <f t="shared" si="197"/>
        <v>0</v>
      </c>
      <c r="T3935" s="128">
        <f t="shared" si="198"/>
        <v>0</v>
      </c>
      <c r="U3935" s="129" t="str">
        <f>IFERROR(IF(#REF!="S",VLOOKUP('Raw Data'!A3935,References!#REF!,2,FALSE),(VLOOKUP($S3935,References!$B$3:$C$7,2,FALSE))),"")</f>
        <v/>
      </c>
      <c r="W3935" s="74" t="str">
        <f>IFERROR(VLOOKUP($O3935,'Customer List'!$A$1:$J$488,10,FALSE),"")</f>
        <v/>
      </c>
    </row>
    <row r="3936" spans="18:23">
      <c r="R3936" s="127">
        <f t="shared" si="197"/>
        <v>0</v>
      </c>
      <c r="T3936" s="128">
        <f t="shared" si="198"/>
        <v>0</v>
      </c>
      <c r="U3936" s="129" t="str">
        <f>IFERROR(IF(#REF!="S",VLOOKUP('Raw Data'!A3936,References!#REF!,2,FALSE),(VLOOKUP($S3936,References!$B$3:$C$7,2,FALSE))),"")</f>
        <v/>
      </c>
      <c r="W3936" s="74" t="str">
        <f>IFERROR(VLOOKUP($O3936,'Customer List'!$A$1:$J$488,10,FALSE),"")</f>
        <v/>
      </c>
    </row>
    <row r="3937" spans="18:23">
      <c r="R3937" s="127">
        <f t="shared" si="197"/>
        <v>0</v>
      </c>
      <c r="T3937" s="128">
        <f t="shared" si="198"/>
        <v>0</v>
      </c>
      <c r="U3937" s="129" t="str">
        <f>IFERROR(IF(#REF!="S",VLOOKUP('Raw Data'!A3937,References!#REF!,2,FALSE),(VLOOKUP($S3937,References!$B$3:$C$7,2,FALSE))),"")</f>
        <v/>
      </c>
      <c r="W3937" s="74" t="str">
        <f>IFERROR(VLOOKUP($O3937,'Customer List'!$A$1:$J$488,10,FALSE),"")</f>
        <v/>
      </c>
    </row>
    <row r="3938" spans="18:23">
      <c r="R3938" s="127">
        <f t="shared" ref="R3938:R4001" si="199">L3938-K3938</f>
        <v>0</v>
      </c>
      <c r="T3938" s="128">
        <f t="shared" si="198"/>
        <v>0</v>
      </c>
      <c r="U3938" s="129" t="str">
        <f>IFERROR(IF(#REF!="S",VLOOKUP('Raw Data'!A3938,References!#REF!,2,FALSE),(VLOOKUP($S3938,References!$B$3:$C$7,2,FALSE))),"")</f>
        <v/>
      </c>
      <c r="W3938" s="74" t="str">
        <f>IFERROR(VLOOKUP($O3938,'Customer List'!$A$1:$J$488,10,FALSE),"")</f>
        <v/>
      </c>
    </row>
    <row r="3939" spans="18:23">
      <c r="R3939" s="127">
        <f t="shared" si="199"/>
        <v>0</v>
      </c>
      <c r="T3939" s="128">
        <f t="shared" si="198"/>
        <v>0</v>
      </c>
      <c r="U3939" s="129" t="str">
        <f>IFERROR(IF(#REF!="S",VLOOKUP('Raw Data'!A3939,References!#REF!,2,FALSE),(VLOOKUP($S3939,References!$B$3:$C$7,2,FALSE))),"")</f>
        <v/>
      </c>
      <c r="W3939" s="74" t="str">
        <f>IFERROR(VLOOKUP($O3939,'Customer List'!$A$1:$J$488,10,FALSE),"")</f>
        <v/>
      </c>
    </row>
    <row r="3940" spans="18:23">
      <c r="R3940" s="127">
        <f t="shared" si="199"/>
        <v>0</v>
      </c>
      <c r="T3940" s="128">
        <f t="shared" si="198"/>
        <v>0</v>
      </c>
      <c r="U3940" s="129" t="str">
        <f>IFERROR(IF(#REF!="S",VLOOKUP('Raw Data'!A3940,References!#REF!,2,FALSE),(VLOOKUP($S3940,References!$B$3:$C$7,2,FALSE))),"")</f>
        <v/>
      </c>
      <c r="W3940" s="74" t="str">
        <f>IFERROR(VLOOKUP($O3940,'Customer List'!$A$1:$J$488,10,FALSE),"")</f>
        <v/>
      </c>
    </row>
    <row r="3941" spans="18:23">
      <c r="R3941" s="127">
        <f t="shared" si="199"/>
        <v>0</v>
      </c>
      <c r="T3941" s="128">
        <f t="shared" si="198"/>
        <v>0</v>
      </c>
      <c r="U3941" s="129" t="str">
        <f>IFERROR(IF(#REF!="S",VLOOKUP('Raw Data'!A3941,References!#REF!,2,FALSE),(VLOOKUP($S3941,References!$B$3:$C$7,2,FALSE))),"")</f>
        <v/>
      </c>
      <c r="W3941" s="74" t="str">
        <f>IFERROR(VLOOKUP($O3941,'Customer List'!$A$1:$J$488,10,FALSE),"")</f>
        <v/>
      </c>
    </row>
    <row r="3942" spans="18:23">
      <c r="R3942" s="127">
        <f t="shared" si="199"/>
        <v>0</v>
      </c>
      <c r="T3942" s="128">
        <f t="shared" si="198"/>
        <v>0</v>
      </c>
      <c r="U3942" s="129" t="str">
        <f>IFERROR(IF(#REF!="S",VLOOKUP('Raw Data'!A3942,References!#REF!,2,FALSE),(VLOOKUP($S3942,References!$B$3:$C$7,2,FALSE))),"")</f>
        <v/>
      </c>
      <c r="W3942" s="74" t="str">
        <f>IFERROR(VLOOKUP($O3942,'Customer List'!$A$1:$J$488,10,FALSE),"")</f>
        <v/>
      </c>
    </row>
    <row r="3943" spans="18:23">
      <c r="R3943" s="127">
        <f t="shared" si="199"/>
        <v>0</v>
      </c>
      <c r="T3943" s="128">
        <f t="shared" si="198"/>
        <v>0</v>
      </c>
      <c r="U3943" s="129" t="str">
        <f>IFERROR(IF(#REF!="S",VLOOKUP('Raw Data'!A3943,References!#REF!,2,FALSE),(VLOOKUP($S3943,References!$B$3:$C$7,2,FALSE))),"")</f>
        <v/>
      </c>
      <c r="W3943" s="74" t="str">
        <f>IFERROR(VLOOKUP($O3943,'Customer List'!$A$1:$J$488,10,FALSE),"")</f>
        <v/>
      </c>
    </row>
    <row r="3944" spans="18:23">
      <c r="R3944" s="127">
        <f t="shared" si="199"/>
        <v>0</v>
      </c>
      <c r="T3944" s="128">
        <f t="shared" si="198"/>
        <v>0</v>
      </c>
      <c r="U3944" s="129" t="str">
        <f>IFERROR(IF(#REF!="S",VLOOKUP('Raw Data'!A3944,References!#REF!,2,FALSE),(VLOOKUP($S3944,References!$B$3:$C$7,2,FALSE))),"")</f>
        <v/>
      </c>
      <c r="W3944" s="74" t="str">
        <f>IFERROR(VLOOKUP($O3944,'Customer List'!$A$1:$J$488,10,FALSE),"")</f>
        <v/>
      </c>
    </row>
    <row r="3945" spans="18:23">
      <c r="R3945" s="127">
        <f t="shared" si="199"/>
        <v>0</v>
      </c>
      <c r="T3945" s="128">
        <f t="shared" si="198"/>
        <v>0</v>
      </c>
      <c r="U3945" s="129" t="str">
        <f>IFERROR(IF(#REF!="S",VLOOKUP('Raw Data'!A3945,References!#REF!,2,FALSE),(VLOOKUP($S3945,References!$B$3:$C$7,2,FALSE))),"")</f>
        <v/>
      </c>
      <c r="W3945" s="74" t="str">
        <f>IFERROR(VLOOKUP($O3945,'Customer List'!$A$1:$J$488,10,FALSE),"")</f>
        <v/>
      </c>
    </row>
    <row r="3946" spans="18:23">
      <c r="R3946" s="127">
        <f t="shared" si="199"/>
        <v>0</v>
      </c>
      <c r="T3946" s="128">
        <f t="shared" si="198"/>
        <v>0</v>
      </c>
      <c r="U3946" s="129" t="str">
        <f>IFERROR(IF(#REF!="S",VLOOKUP('Raw Data'!A3946,References!#REF!,2,FALSE),(VLOOKUP($S3946,References!$B$3:$C$7,2,FALSE))),"")</f>
        <v/>
      </c>
      <c r="W3946" s="74" t="str">
        <f>IFERROR(VLOOKUP($O3946,'Customer List'!$A$1:$J$488,10,FALSE),"")</f>
        <v/>
      </c>
    </row>
    <row r="3947" spans="18:23">
      <c r="R3947" s="127">
        <f t="shared" si="199"/>
        <v>0</v>
      </c>
      <c r="T3947" s="128">
        <f t="shared" si="198"/>
        <v>0</v>
      </c>
      <c r="U3947" s="129" t="str">
        <f>IFERROR(IF(#REF!="S",VLOOKUP('Raw Data'!A3947,References!#REF!,2,FALSE),(VLOOKUP($S3947,References!$B$3:$C$7,2,FALSE))),"")</f>
        <v/>
      </c>
      <c r="W3947" s="74" t="str">
        <f>IFERROR(VLOOKUP($O3947,'Customer List'!$A$1:$J$488,10,FALSE),"")</f>
        <v/>
      </c>
    </row>
    <row r="3948" spans="18:23">
      <c r="R3948" s="127">
        <f t="shared" si="199"/>
        <v>0</v>
      </c>
      <c r="T3948" s="128">
        <f t="shared" si="198"/>
        <v>0</v>
      </c>
      <c r="U3948" s="129" t="str">
        <f>IFERROR(IF(#REF!="S",VLOOKUP('Raw Data'!A3948,References!#REF!,2,FALSE),(VLOOKUP($S3948,References!$B$3:$C$7,2,FALSE))),"")</f>
        <v/>
      </c>
      <c r="W3948" s="74" t="str">
        <f>IFERROR(VLOOKUP($O3948,'Customer List'!$A$1:$J$488,10,FALSE),"")</f>
        <v/>
      </c>
    </row>
    <row r="3949" spans="18:23">
      <c r="R3949" s="127">
        <f t="shared" si="199"/>
        <v>0</v>
      </c>
      <c r="T3949" s="128">
        <f t="shared" si="198"/>
        <v>0</v>
      </c>
      <c r="U3949" s="129" t="str">
        <f>IFERROR(IF(#REF!="S",VLOOKUP('Raw Data'!A3949,References!#REF!,2,FALSE),(VLOOKUP($S3949,References!$B$3:$C$7,2,FALSE))),"")</f>
        <v/>
      </c>
      <c r="W3949" s="74" t="str">
        <f>IFERROR(VLOOKUP($O3949,'Customer List'!$A$1:$J$488,10,FALSE),"")</f>
        <v/>
      </c>
    </row>
    <row r="3950" spans="18:23">
      <c r="R3950" s="127">
        <f t="shared" si="199"/>
        <v>0</v>
      </c>
      <c r="T3950" s="128">
        <f t="shared" si="198"/>
        <v>0</v>
      </c>
      <c r="U3950" s="129" t="str">
        <f>IFERROR(IF(#REF!="S",VLOOKUP('Raw Data'!A3950,References!#REF!,2,FALSE),(VLOOKUP($S3950,References!$B$3:$C$7,2,FALSE))),"")</f>
        <v/>
      </c>
      <c r="W3950" s="74" t="str">
        <f>IFERROR(VLOOKUP($O3950,'Customer List'!$A$1:$J$488,10,FALSE),"")</f>
        <v/>
      </c>
    </row>
    <row r="3951" spans="18:23">
      <c r="R3951" s="127">
        <f t="shared" si="199"/>
        <v>0</v>
      </c>
      <c r="T3951" s="128">
        <f t="shared" si="198"/>
        <v>0</v>
      </c>
      <c r="U3951" s="129" t="str">
        <f>IFERROR(IF(#REF!="S",VLOOKUP('Raw Data'!A3951,References!#REF!,2,FALSE),(VLOOKUP($S3951,References!$B$3:$C$7,2,FALSE))),"")</f>
        <v/>
      </c>
      <c r="W3951" s="74" t="str">
        <f>IFERROR(VLOOKUP($O3951,'Customer List'!$A$1:$J$488,10,FALSE),"")</f>
        <v/>
      </c>
    </row>
    <row r="3952" spans="18:23">
      <c r="R3952" s="127">
        <f t="shared" si="199"/>
        <v>0</v>
      </c>
      <c r="T3952" s="128">
        <f t="shared" si="198"/>
        <v>0</v>
      </c>
      <c r="U3952" s="129" t="str">
        <f>IFERROR(IF(#REF!="S",VLOOKUP('Raw Data'!A3952,References!#REF!,2,FALSE),(VLOOKUP($S3952,References!$B$3:$C$7,2,FALSE))),"")</f>
        <v/>
      </c>
      <c r="W3952" s="74" t="str">
        <f>IFERROR(VLOOKUP($O3952,'Customer List'!$A$1:$J$488,10,FALSE),"")</f>
        <v/>
      </c>
    </row>
    <row r="3953" spans="18:23">
      <c r="R3953" s="127">
        <f t="shared" si="199"/>
        <v>0</v>
      </c>
      <c r="T3953" s="128">
        <f t="shared" si="198"/>
        <v>0</v>
      </c>
      <c r="U3953" s="129" t="str">
        <f>IFERROR(IF(#REF!="S",VLOOKUP('Raw Data'!A3953,References!#REF!,2,FALSE),(VLOOKUP($S3953,References!$B$3:$C$7,2,FALSE))),"")</f>
        <v/>
      </c>
      <c r="W3953" s="74" t="str">
        <f>IFERROR(VLOOKUP($O3953,'Customer List'!$A$1:$J$488,10,FALSE),"")</f>
        <v/>
      </c>
    </row>
    <row r="3954" spans="18:23">
      <c r="R3954" s="127">
        <f t="shared" si="199"/>
        <v>0</v>
      </c>
      <c r="T3954" s="128">
        <f t="shared" si="198"/>
        <v>0</v>
      </c>
      <c r="U3954" s="129" t="str">
        <f>IFERROR(IF(#REF!="S",VLOOKUP('Raw Data'!A3954,References!#REF!,2,FALSE),(VLOOKUP($S3954,References!$B$3:$C$7,2,FALSE))),"")</f>
        <v/>
      </c>
      <c r="W3954" s="74" t="str">
        <f>IFERROR(VLOOKUP($O3954,'Customer List'!$A$1:$J$488,10,FALSE),"")</f>
        <v/>
      </c>
    </row>
    <row r="3955" spans="18:23">
      <c r="R3955" s="127">
        <f t="shared" si="199"/>
        <v>0</v>
      </c>
      <c r="T3955" s="128">
        <f t="shared" si="198"/>
        <v>0</v>
      </c>
      <c r="U3955" s="129" t="str">
        <f>IFERROR(IF(#REF!="S",VLOOKUP('Raw Data'!A3955,References!#REF!,2,FALSE),(VLOOKUP($S3955,References!$B$3:$C$7,2,FALSE))),"")</f>
        <v/>
      </c>
      <c r="W3955" s="74" t="str">
        <f>IFERROR(VLOOKUP($O3955,'Customer List'!$A$1:$J$488,10,FALSE),"")</f>
        <v/>
      </c>
    </row>
    <row r="3956" spans="18:23">
      <c r="R3956" s="127">
        <f t="shared" si="199"/>
        <v>0</v>
      </c>
      <c r="T3956" s="128">
        <f t="shared" si="198"/>
        <v>0</v>
      </c>
      <c r="U3956" s="129" t="str">
        <f>IFERROR(IF(#REF!="S",VLOOKUP('Raw Data'!A3956,References!#REF!,2,FALSE),(VLOOKUP($S3956,References!$B$3:$C$7,2,FALSE))),"")</f>
        <v/>
      </c>
      <c r="W3956" s="74" t="str">
        <f>IFERROR(VLOOKUP($O3956,'Customer List'!$A$1:$J$488,10,FALSE),"")</f>
        <v/>
      </c>
    </row>
    <row r="3957" spans="18:23">
      <c r="R3957" s="127">
        <f t="shared" si="199"/>
        <v>0</v>
      </c>
      <c r="T3957" s="128">
        <f t="shared" si="198"/>
        <v>0</v>
      </c>
      <c r="U3957" s="129" t="str">
        <f>IFERROR(IF(#REF!="S",VLOOKUP('Raw Data'!A3957,References!#REF!,2,FALSE),(VLOOKUP($S3957,References!$B$3:$C$7,2,FALSE))),"")</f>
        <v/>
      </c>
      <c r="W3957" s="74" t="str">
        <f>IFERROR(VLOOKUP($O3957,'Customer List'!$A$1:$J$488,10,FALSE),"")</f>
        <v/>
      </c>
    </row>
    <row r="3958" spans="18:23">
      <c r="R3958" s="127">
        <f t="shared" si="199"/>
        <v>0</v>
      </c>
      <c r="T3958" s="128">
        <f t="shared" si="198"/>
        <v>0</v>
      </c>
      <c r="U3958" s="129" t="str">
        <f>IFERROR(IF(#REF!="S",VLOOKUP('Raw Data'!A3958,References!#REF!,2,FALSE),(VLOOKUP($S3958,References!$B$3:$C$7,2,FALSE))),"")</f>
        <v/>
      </c>
      <c r="W3958" s="74" t="str">
        <f>IFERROR(VLOOKUP($O3958,'Customer List'!$A$1:$J$488,10,FALSE),"")</f>
        <v/>
      </c>
    </row>
    <row r="3959" spans="18:23">
      <c r="R3959" s="127">
        <f t="shared" si="199"/>
        <v>0</v>
      </c>
      <c r="T3959" s="128">
        <f t="shared" si="198"/>
        <v>0</v>
      </c>
      <c r="U3959" s="129" t="str">
        <f>IFERROR(IF(#REF!="S",VLOOKUP('Raw Data'!A3959,References!#REF!,2,FALSE),(VLOOKUP($S3959,References!$B$3:$C$7,2,FALSE))),"")</f>
        <v/>
      </c>
      <c r="W3959" s="74" t="str">
        <f>IFERROR(VLOOKUP($O3959,'Customer List'!$A$1:$J$488,10,FALSE),"")</f>
        <v/>
      </c>
    </row>
    <row r="3960" spans="18:23">
      <c r="R3960" s="127">
        <f t="shared" si="199"/>
        <v>0</v>
      </c>
      <c r="T3960" s="128">
        <f t="shared" si="198"/>
        <v>0</v>
      </c>
      <c r="U3960" s="129" t="str">
        <f>IFERROR(IF(#REF!="S",VLOOKUP('Raw Data'!A3960,References!#REF!,2,FALSE),(VLOOKUP($S3960,References!$B$3:$C$7,2,FALSE))),"")</f>
        <v/>
      </c>
      <c r="W3960" s="74" t="str">
        <f>IFERROR(VLOOKUP($O3960,'Customer List'!$A$1:$J$488,10,FALSE),"")</f>
        <v/>
      </c>
    </row>
    <row r="3961" spans="18:23">
      <c r="R3961" s="127">
        <f t="shared" si="199"/>
        <v>0</v>
      </c>
      <c r="T3961" s="128">
        <f t="shared" si="198"/>
        <v>0</v>
      </c>
      <c r="U3961" s="129" t="str">
        <f>IFERROR(IF(#REF!="S",VLOOKUP('Raw Data'!A3961,References!#REF!,2,FALSE),(VLOOKUP($S3961,References!$B$3:$C$7,2,FALSE))),"")</f>
        <v/>
      </c>
      <c r="W3961" s="74" t="str">
        <f>IFERROR(VLOOKUP($O3961,'Customer List'!$A$1:$J$488,10,FALSE),"")</f>
        <v/>
      </c>
    </row>
    <row r="3962" spans="18:23">
      <c r="R3962" s="127">
        <f t="shared" si="199"/>
        <v>0</v>
      </c>
      <c r="T3962" s="128">
        <f t="shared" si="198"/>
        <v>0</v>
      </c>
      <c r="U3962" s="129" t="str">
        <f>IFERROR(IF(#REF!="S",VLOOKUP('Raw Data'!A3962,References!#REF!,2,FALSE),(VLOOKUP($S3962,References!$B$3:$C$7,2,FALSE))),"")</f>
        <v/>
      </c>
      <c r="W3962" s="74" t="str">
        <f>IFERROR(VLOOKUP($O3962,'Customer List'!$A$1:$J$488,10,FALSE),"")</f>
        <v/>
      </c>
    </row>
    <row r="3963" spans="18:23">
      <c r="R3963" s="127">
        <f t="shared" si="199"/>
        <v>0</v>
      </c>
      <c r="T3963" s="128">
        <f t="shared" si="198"/>
        <v>0</v>
      </c>
      <c r="U3963" s="129" t="str">
        <f>IFERROR(IF(#REF!="S",VLOOKUP('Raw Data'!A3963,References!#REF!,2,FALSE),(VLOOKUP($S3963,References!$B$3:$C$7,2,FALSE))),"")</f>
        <v/>
      </c>
      <c r="W3963" s="74" t="str">
        <f>IFERROR(VLOOKUP($O3963,'Customer List'!$A$1:$J$488,10,FALSE),"")</f>
        <v/>
      </c>
    </row>
    <row r="3964" spans="18:23">
      <c r="R3964" s="127">
        <f t="shared" si="199"/>
        <v>0</v>
      </c>
      <c r="T3964" s="128">
        <f t="shared" si="198"/>
        <v>0</v>
      </c>
      <c r="U3964" s="129" t="str">
        <f>IFERROR(IF(#REF!="S",VLOOKUP('Raw Data'!A3964,References!#REF!,2,FALSE),(VLOOKUP($S3964,References!$B$3:$C$7,2,FALSE))),"")</f>
        <v/>
      </c>
      <c r="W3964" s="74" t="str">
        <f>IFERROR(VLOOKUP($O3964,'Customer List'!$A$1:$J$488,10,FALSE),"")</f>
        <v/>
      </c>
    </row>
    <row r="3965" spans="18:23">
      <c r="R3965" s="127">
        <f t="shared" si="199"/>
        <v>0</v>
      </c>
      <c r="T3965" s="128">
        <f t="shared" si="198"/>
        <v>0</v>
      </c>
      <c r="U3965" s="129" t="str">
        <f>IFERROR(IF(#REF!="S",VLOOKUP('Raw Data'!A3965,References!#REF!,2,FALSE),(VLOOKUP($S3965,References!$B$3:$C$7,2,FALSE))),"")</f>
        <v/>
      </c>
      <c r="W3965" s="74" t="str">
        <f>IFERROR(VLOOKUP($O3965,'Customer List'!$A$1:$J$488,10,FALSE),"")</f>
        <v/>
      </c>
    </row>
    <row r="3966" spans="18:23">
      <c r="R3966" s="127">
        <f t="shared" si="199"/>
        <v>0</v>
      </c>
      <c r="T3966" s="128">
        <f t="shared" si="198"/>
        <v>0</v>
      </c>
      <c r="U3966" s="129" t="str">
        <f>IFERROR(IF(#REF!="S",VLOOKUP('Raw Data'!A3966,References!#REF!,2,FALSE),(VLOOKUP($S3966,References!$B$3:$C$7,2,FALSE))),"")</f>
        <v/>
      </c>
      <c r="W3966" s="74" t="str">
        <f>IFERROR(VLOOKUP($O3966,'Customer List'!$A$1:$J$488,10,FALSE),"")</f>
        <v/>
      </c>
    </row>
    <row r="3967" spans="18:23">
      <c r="R3967" s="127">
        <f t="shared" si="199"/>
        <v>0</v>
      </c>
      <c r="T3967" s="128">
        <f t="shared" si="198"/>
        <v>0</v>
      </c>
      <c r="U3967" s="129" t="str">
        <f>IFERROR(IF(#REF!="S",VLOOKUP('Raw Data'!A3967,References!#REF!,2,FALSE),(VLOOKUP($S3967,References!$B$3:$C$7,2,FALSE))),"")</f>
        <v/>
      </c>
      <c r="W3967" s="74" t="str">
        <f>IFERROR(VLOOKUP($O3967,'Customer List'!$A$1:$J$488,10,FALSE),"")</f>
        <v/>
      </c>
    </row>
    <row r="3968" spans="18:23">
      <c r="R3968" s="127">
        <f t="shared" si="199"/>
        <v>0</v>
      </c>
      <c r="T3968" s="128">
        <f t="shared" si="198"/>
        <v>0</v>
      </c>
      <c r="U3968" s="129" t="str">
        <f>IFERROR(IF(#REF!="S",VLOOKUP('Raw Data'!A3968,References!#REF!,2,FALSE),(VLOOKUP($S3968,References!$B$3:$C$7,2,FALSE))),"")</f>
        <v/>
      </c>
      <c r="W3968" s="74" t="str">
        <f>IFERROR(VLOOKUP($O3968,'Customer List'!$A$1:$J$488,10,FALSE),"")</f>
        <v/>
      </c>
    </row>
    <row r="3969" spans="18:23">
      <c r="R3969" s="127">
        <f t="shared" si="199"/>
        <v>0</v>
      </c>
      <c r="T3969" s="128">
        <f t="shared" si="198"/>
        <v>0</v>
      </c>
      <c r="U3969" s="129" t="str">
        <f>IFERROR(IF(#REF!="S",VLOOKUP('Raw Data'!A3969,References!#REF!,2,FALSE),(VLOOKUP($S3969,References!$B$3:$C$7,2,FALSE))),"")</f>
        <v/>
      </c>
      <c r="W3969" s="74" t="str">
        <f>IFERROR(VLOOKUP($O3969,'Customer List'!$A$1:$J$488,10,FALSE),"")</f>
        <v/>
      </c>
    </row>
    <row r="3970" spans="18:23">
      <c r="R3970" s="127">
        <f t="shared" si="199"/>
        <v>0</v>
      </c>
      <c r="T3970" s="128">
        <f t="shared" si="198"/>
        <v>0</v>
      </c>
      <c r="U3970" s="129" t="str">
        <f>IFERROR(IF(#REF!="S",VLOOKUP('Raw Data'!A3970,References!#REF!,2,FALSE),(VLOOKUP($S3970,References!$B$3:$C$7,2,FALSE))),"")</f>
        <v/>
      </c>
      <c r="W3970" s="74" t="str">
        <f>IFERROR(VLOOKUP($O3970,'Customer List'!$A$1:$J$488,10,FALSE),"")</f>
        <v/>
      </c>
    </row>
    <row r="3971" spans="18:23">
      <c r="R3971" s="127">
        <f t="shared" si="199"/>
        <v>0</v>
      </c>
      <c r="T3971" s="128">
        <f t="shared" si="198"/>
        <v>0</v>
      </c>
      <c r="U3971" s="129" t="str">
        <f>IFERROR(IF(#REF!="S",VLOOKUP('Raw Data'!A3971,References!#REF!,2,FALSE),(VLOOKUP($S3971,References!$B$3:$C$7,2,FALSE))),"")</f>
        <v/>
      </c>
      <c r="W3971" s="74" t="str">
        <f>IFERROR(VLOOKUP($O3971,'Customer List'!$A$1:$J$488,10,FALSE),"")</f>
        <v/>
      </c>
    </row>
    <row r="3972" spans="18:23">
      <c r="R3972" s="127">
        <f t="shared" si="199"/>
        <v>0</v>
      </c>
      <c r="T3972" s="128">
        <f t="shared" si="198"/>
        <v>0</v>
      </c>
      <c r="U3972" s="129" t="str">
        <f>IFERROR(IF(#REF!="S",VLOOKUP('Raw Data'!A3972,References!#REF!,2,FALSE),(VLOOKUP($S3972,References!$B$3:$C$7,2,FALSE))),"")</f>
        <v/>
      </c>
      <c r="W3972" s="74" t="str">
        <f>IFERROR(VLOOKUP($O3972,'Customer List'!$A$1:$J$488,10,FALSE),"")</f>
        <v/>
      </c>
    </row>
    <row r="3973" spans="18:23">
      <c r="R3973" s="127">
        <f t="shared" si="199"/>
        <v>0</v>
      </c>
      <c r="T3973" s="128">
        <f t="shared" si="198"/>
        <v>0</v>
      </c>
      <c r="U3973" s="129" t="str">
        <f>IFERROR(IF(#REF!="S",VLOOKUP('Raw Data'!A3973,References!#REF!,2,FALSE),(VLOOKUP($S3973,References!$B$3:$C$7,2,FALSE))),"")</f>
        <v/>
      </c>
      <c r="W3973" s="74" t="str">
        <f>IFERROR(VLOOKUP($O3973,'Customer List'!$A$1:$J$488,10,FALSE),"")</f>
        <v/>
      </c>
    </row>
    <row r="3974" spans="18:23">
      <c r="R3974" s="127">
        <f t="shared" si="199"/>
        <v>0</v>
      </c>
      <c r="T3974" s="128">
        <f t="shared" si="198"/>
        <v>0</v>
      </c>
      <c r="U3974" s="129" t="str">
        <f>IFERROR(IF(#REF!="S",VLOOKUP('Raw Data'!A3974,References!#REF!,2,FALSE),(VLOOKUP($S3974,References!$B$3:$C$7,2,FALSE))),"")</f>
        <v/>
      </c>
      <c r="W3974" s="74" t="str">
        <f>IFERROR(VLOOKUP($O3974,'Customer List'!$A$1:$J$488,10,FALSE),"")</f>
        <v/>
      </c>
    </row>
    <row r="3975" spans="18:23">
      <c r="R3975" s="127">
        <f t="shared" si="199"/>
        <v>0</v>
      </c>
      <c r="T3975" s="128">
        <f t="shared" si="198"/>
        <v>0</v>
      </c>
      <c r="U3975" s="129" t="str">
        <f>IFERROR(IF(#REF!="S",VLOOKUP('Raw Data'!A3975,References!#REF!,2,FALSE),(VLOOKUP($S3975,References!$B$3:$C$7,2,FALSE))),"")</f>
        <v/>
      </c>
      <c r="W3975" s="74" t="str">
        <f>IFERROR(VLOOKUP($O3975,'Customer List'!$A$1:$J$488,10,FALSE),"")</f>
        <v/>
      </c>
    </row>
    <row r="3976" spans="18:23">
      <c r="R3976" s="127">
        <f t="shared" si="199"/>
        <v>0</v>
      </c>
      <c r="T3976" s="128">
        <f t="shared" si="198"/>
        <v>0</v>
      </c>
      <c r="U3976" s="129" t="str">
        <f>IFERROR(IF(#REF!="S",VLOOKUP('Raw Data'!A3976,References!#REF!,2,FALSE),(VLOOKUP($S3976,References!$B$3:$C$7,2,FALSE))),"")</f>
        <v/>
      </c>
      <c r="W3976" s="74" t="str">
        <f>IFERROR(VLOOKUP($O3976,'Customer List'!$A$1:$J$488,10,FALSE),"")</f>
        <v/>
      </c>
    </row>
    <row r="3977" spans="18:23">
      <c r="R3977" s="127">
        <f t="shared" si="199"/>
        <v>0</v>
      </c>
      <c r="T3977" s="128">
        <f t="shared" si="198"/>
        <v>0</v>
      </c>
      <c r="U3977" s="129" t="str">
        <f>IFERROR(IF(#REF!="S",VLOOKUP('Raw Data'!A3977,References!#REF!,2,FALSE),(VLOOKUP($S3977,References!$B$3:$C$7,2,FALSE))),"")</f>
        <v/>
      </c>
      <c r="W3977" s="74" t="str">
        <f>IFERROR(VLOOKUP($O3977,'Customer List'!$A$1:$J$488,10,FALSE),"")</f>
        <v/>
      </c>
    </row>
    <row r="3978" spans="18:23">
      <c r="R3978" s="127">
        <f t="shared" si="199"/>
        <v>0</v>
      </c>
      <c r="T3978" s="128">
        <f t="shared" ref="T3978:T4041" si="200">IF(S3978="50 - Cleaning Fee",1,HOUR($R3978)+MINUTE(R3978)/60)</f>
        <v>0</v>
      </c>
      <c r="U3978" s="129" t="str">
        <f>IFERROR(IF(#REF!="S",VLOOKUP('Raw Data'!A3978,References!#REF!,2,FALSE),(VLOOKUP($S3978,References!$B$3:$C$7,2,FALSE))),"")</f>
        <v/>
      </c>
      <c r="W3978" s="74" t="str">
        <f>IFERROR(VLOOKUP($O3978,'Customer List'!$A$1:$J$488,10,FALSE),"")</f>
        <v/>
      </c>
    </row>
    <row r="3979" spans="18:23">
      <c r="R3979" s="127">
        <f t="shared" si="199"/>
        <v>0</v>
      </c>
      <c r="T3979" s="128">
        <f t="shared" si="200"/>
        <v>0</v>
      </c>
      <c r="U3979" s="129" t="str">
        <f>IFERROR(IF(#REF!="S",VLOOKUP('Raw Data'!A3979,References!#REF!,2,FALSE),(VLOOKUP($S3979,References!$B$3:$C$7,2,FALSE))),"")</f>
        <v/>
      </c>
      <c r="W3979" s="74" t="str">
        <f>IFERROR(VLOOKUP($O3979,'Customer List'!$A$1:$J$488,10,FALSE),"")</f>
        <v/>
      </c>
    </row>
    <row r="3980" spans="18:23">
      <c r="R3980" s="127">
        <f t="shared" si="199"/>
        <v>0</v>
      </c>
      <c r="T3980" s="128">
        <f t="shared" si="200"/>
        <v>0</v>
      </c>
      <c r="U3980" s="129" t="str">
        <f>IFERROR(IF(#REF!="S",VLOOKUP('Raw Data'!A3980,References!#REF!,2,FALSE),(VLOOKUP($S3980,References!$B$3:$C$7,2,FALSE))),"")</f>
        <v/>
      </c>
      <c r="W3980" s="74" t="str">
        <f>IFERROR(VLOOKUP($O3980,'Customer List'!$A$1:$J$488,10,FALSE),"")</f>
        <v/>
      </c>
    </row>
    <row r="3981" spans="18:23">
      <c r="R3981" s="127">
        <f t="shared" si="199"/>
        <v>0</v>
      </c>
      <c r="T3981" s="128">
        <f t="shared" si="200"/>
        <v>0</v>
      </c>
      <c r="U3981" s="129" t="str">
        <f>IFERROR(IF(#REF!="S",VLOOKUP('Raw Data'!A3981,References!#REF!,2,FALSE),(VLOOKUP($S3981,References!$B$3:$C$7,2,FALSE))),"")</f>
        <v/>
      </c>
      <c r="W3981" s="74" t="str">
        <f>IFERROR(VLOOKUP($O3981,'Customer List'!$A$1:$J$488,10,FALSE),"")</f>
        <v/>
      </c>
    </row>
    <row r="3982" spans="18:23">
      <c r="R3982" s="127">
        <f t="shared" si="199"/>
        <v>0</v>
      </c>
      <c r="T3982" s="128">
        <f t="shared" si="200"/>
        <v>0</v>
      </c>
      <c r="U3982" s="129" t="str">
        <f>IFERROR(IF(#REF!="S",VLOOKUP('Raw Data'!A3982,References!#REF!,2,FALSE),(VLOOKUP($S3982,References!$B$3:$C$7,2,FALSE))),"")</f>
        <v/>
      </c>
      <c r="W3982" s="74" t="str">
        <f>IFERROR(VLOOKUP($O3982,'Customer List'!$A$1:$J$488,10,FALSE),"")</f>
        <v/>
      </c>
    </row>
    <row r="3983" spans="18:23">
      <c r="R3983" s="127">
        <f t="shared" si="199"/>
        <v>0</v>
      </c>
      <c r="T3983" s="128">
        <f t="shared" si="200"/>
        <v>0</v>
      </c>
      <c r="U3983" s="129" t="str">
        <f>IFERROR(IF(#REF!="S",VLOOKUP('Raw Data'!A3983,References!#REF!,2,FALSE),(VLOOKUP($S3983,References!$B$3:$C$7,2,FALSE))),"")</f>
        <v/>
      </c>
      <c r="W3983" s="74" t="str">
        <f>IFERROR(VLOOKUP($O3983,'Customer List'!$A$1:$J$488,10,FALSE),"")</f>
        <v/>
      </c>
    </row>
    <row r="3984" spans="18:23">
      <c r="R3984" s="127">
        <f t="shared" si="199"/>
        <v>0</v>
      </c>
      <c r="T3984" s="128">
        <f t="shared" si="200"/>
        <v>0</v>
      </c>
      <c r="U3984" s="129" t="str">
        <f>IFERROR(IF(#REF!="S",VLOOKUP('Raw Data'!A3984,References!#REF!,2,FALSE),(VLOOKUP($S3984,References!$B$3:$C$7,2,FALSE))),"")</f>
        <v/>
      </c>
      <c r="W3984" s="74" t="str">
        <f>IFERROR(VLOOKUP($O3984,'Customer List'!$A$1:$J$488,10,FALSE),"")</f>
        <v/>
      </c>
    </row>
    <row r="3985" spans="18:23">
      <c r="R3985" s="127">
        <f t="shared" si="199"/>
        <v>0</v>
      </c>
      <c r="T3985" s="128">
        <f t="shared" si="200"/>
        <v>0</v>
      </c>
      <c r="U3985" s="129" t="str">
        <f>IFERROR(IF(#REF!="S",VLOOKUP('Raw Data'!A3985,References!#REF!,2,FALSE),(VLOOKUP($S3985,References!$B$3:$C$7,2,FALSE))),"")</f>
        <v/>
      </c>
      <c r="W3985" s="74" t="str">
        <f>IFERROR(VLOOKUP($O3985,'Customer List'!$A$1:$J$488,10,FALSE),"")</f>
        <v/>
      </c>
    </row>
    <row r="3986" spans="18:23">
      <c r="R3986" s="127">
        <f t="shared" si="199"/>
        <v>0</v>
      </c>
      <c r="T3986" s="128">
        <f t="shared" si="200"/>
        <v>0</v>
      </c>
      <c r="U3986" s="129" t="str">
        <f>IFERROR(IF(#REF!="S",VLOOKUP('Raw Data'!A3986,References!#REF!,2,FALSE),(VLOOKUP($S3986,References!$B$3:$C$7,2,FALSE))),"")</f>
        <v/>
      </c>
      <c r="W3986" s="74" t="str">
        <f>IFERROR(VLOOKUP($O3986,'Customer List'!$A$1:$J$488,10,FALSE),"")</f>
        <v/>
      </c>
    </row>
    <row r="3987" spans="18:23">
      <c r="R3987" s="127">
        <f t="shared" si="199"/>
        <v>0</v>
      </c>
      <c r="T3987" s="128">
        <f t="shared" si="200"/>
        <v>0</v>
      </c>
      <c r="U3987" s="129" t="str">
        <f>IFERROR(IF(#REF!="S",VLOOKUP('Raw Data'!A3987,References!#REF!,2,FALSE),(VLOOKUP($S3987,References!$B$3:$C$7,2,FALSE))),"")</f>
        <v/>
      </c>
      <c r="W3987" s="74" t="str">
        <f>IFERROR(VLOOKUP($O3987,'Customer List'!$A$1:$J$488,10,FALSE),"")</f>
        <v/>
      </c>
    </row>
    <row r="3988" spans="18:23">
      <c r="R3988" s="127">
        <f t="shared" si="199"/>
        <v>0</v>
      </c>
      <c r="T3988" s="128">
        <f t="shared" si="200"/>
        <v>0</v>
      </c>
      <c r="U3988" s="129" t="str">
        <f>IFERROR(IF(#REF!="S",VLOOKUP('Raw Data'!A3988,References!#REF!,2,FALSE),(VLOOKUP($S3988,References!$B$3:$C$7,2,FALSE))),"")</f>
        <v/>
      </c>
      <c r="W3988" s="74" t="str">
        <f>IFERROR(VLOOKUP($O3988,'Customer List'!$A$1:$J$488,10,FALSE),"")</f>
        <v/>
      </c>
    </row>
    <row r="3989" spans="18:23">
      <c r="R3989" s="127">
        <f t="shared" si="199"/>
        <v>0</v>
      </c>
      <c r="T3989" s="128">
        <f t="shared" si="200"/>
        <v>0</v>
      </c>
      <c r="U3989" s="129" t="str">
        <f>IFERROR(IF(#REF!="S",VLOOKUP('Raw Data'!A3989,References!#REF!,2,FALSE),(VLOOKUP($S3989,References!$B$3:$C$7,2,FALSE))),"")</f>
        <v/>
      </c>
      <c r="W3989" s="74" t="str">
        <f>IFERROR(VLOOKUP($O3989,'Customer List'!$A$1:$J$488,10,FALSE),"")</f>
        <v/>
      </c>
    </row>
    <row r="3990" spans="18:23">
      <c r="R3990" s="127">
        <f t="shared" si="199"/>
        <v>0</v>
      </c>
      <c r="T3990" s="128">
        <f t="shared" si="200"/>
        <v>0</v>
      </c>
      <c r="U3990" s="129" t="str">
        <f>IFERROR(IF(#REF!="S",VLOOKUP('Raw Data'!A3990,References!#REF!,2,FALSE),(VLOOKUP($S3990,References!$B$3:$C$7,2,FALSE))),"")</f>
        <v/>
      </c>
      <c r="W3990" s="74" t="str">
        <f>IFERROR(VLOOKUP($O3990,'Customer List'!$A$1:$J$488,10,FALSE),"")</f>
        <v/>
      </c>
    </row>
    <row r="3991" spans="18:23">
      <c r="R3991" s="127">
        <f t="shared" si="199"/>
        <v>0</v>
      </c>
      <c r="T3991" s="128">
        <f t="shared" si="200"/>
        <v>0</v>
      </c>
      <c r="U3991" s="129" t="str">
        <f>IFERROR(IF(#REF!="S",VLOOKUP('Raw Data'!A3991,References!#REF!,2,FALSE),(VLOOKUP($S3991,References!$B$3:$C$7,2,FALSE))),"")</f>
        <v/>
      </c>
      <c r="W3991" s="74" t="str">
        <f>IFERROR(VLOOKUP($O3991,'Customer List'!$A$1:$J$488,10,FALSE),"")</f>
        <v/>
      </c>
    </row>
    <row r="3992" spans="18:23">
      <c r="R3992" s="127">
        <f t="shared" si="199"/>
        <v>0</v>
      </c>
      <c r="T3992" s="128">
        <f t="shared" si="200"/>
        <v>0</v>
      </c>
      <c r="U3992" s="129" t="str">
        <f>IFERROR(IF(#REF!="S",VLOOKUP('Raw Data'!A3992,References!#REF!,2,FALSE),(VLOOKUP($S3992,References!$B$3:$C$7,2,FALSE))),"")</f>
        <v/>
      </c>
      <c r="W3992" s="74" t="str">
        <f>IFERROR(VLOOKUP($O3992,'Customer List'!$A$1:$J$488,10,FALSE),"")</f>
        <v/>
      </c>
    </row>
    <row r="3993" spans="18:23">
      <c r="R3993" s="127">
        <f t="shared" si="199"/>
        <v>0</v>
      </c>
      <c r="T3993" s="128">
        <f t="shared" si="200"/>
        <v>0</v>
      </c>
      <c r="U3993" s="129" t="str">
        <f>IFERROR(IF(#REF!="S",VLOOKUP('Raw Data'!A3993,References!#REF!,2,FALSE),(VLOOKUP($S3993,References!$B$3:$C$7,2,FALSE))),"")</f>
        <v/>
      </c>
      <c r="W3993" s="74" t="str">
        <f>IFERROR(VLOOKUP($O3993,'Customer List'!$A$1:$J$488,10,FALSE),"")</f>
        <v/>
      </c>
    </row>
    <row r="3994" spans="18:23">
      <c r="R3994" s="127">
        <f t="shared" si="199"/>
        <v>0</v>
      </c>
      <c r="T3994" s="128">
        <f t="shared" si="200"/>
        <v>0</v>
      </c>
      <c r="U3994" s="129" t="str">
        <f>IFERROR(IF(#REF!="S",VLOOKUP('Raw Data'!A3994,References!#REF!,2,FALSE),(VLOOKUP($S3994,References!$B$3:$C$7,2,FALSE))),"")</f>
        <v/>
      </c>
      <c r="W3994" s="74" t="str">
        <f>IFERROR(VLOOKUP($O3994,'Customer List'!$A$1:$J$488,10,FALSE),"")</f>
        <v/>
      </c>
    </row>
    <row r="3995" spans="18:23">
      <c r="R3995" s="127">
        <f t="shared" si="199"/>
        <v>0</v>
      </c>
      <c r="T3995" s="128">
        <f t="shared" si="200"/>
        <v>0</v>
      </c>
      <c r="U3995" s="129" t="str">
        <f>IFERROR(IF(#REF!="S",VLOOKUP('Raw Data'!A3995,References!#REF!,2,FALSE),(VLOOKUP($S3995,References!$B$3:$C$7,2,FALSE))),"")</f>
        <v/>
      </c>
      <c r="W3995" s="74" t="str">
        <f>IFERROR(VLOOKUP($O3995,'Customer List'!$A$1:$J$488,10,FALSE),"")</f>
        <v/>
      </c>
    </row>
    <row r="3996" spans="18:23">
      <c r="R3996" s="127">
        <f t="shared" si="199"/>
        <v>0</v>
      </c>
      <c r="T3996" s="128">
        <f t="shared" si="200"/>
        <v>0</v>
      </c>
      <c r="U3996" s="129" t="str">
        <f>IFERROR(IF(#REF!="S",VLOOKUP('Raw Data'!A3996,References!#REF!,2,FALSE),(VLOOKUP($S3996,References!$B$3:$C$7,2,FALSE))),"")</f>
        <v/>
      </c>
      <c r="W3996" s="74" t="str">
        <f>IFERROR(VLOOKUP($O3996,'Customer List'!$A$1:$J$488,10,FALSE),"")</f>
        <v/>
      </c>
    </row>
    <row r="3997" spans="18:23">
      <c r="R3997" s="127">
        <f t="shared" si="199"/>
        <v>0</v>
      </c>
      <c r="T3997" s="128">
        <f t="shared" si="200"/>
        <v>0</v>
      </c>
      <c r="U3997" s="129" t="str">
        <f>IFERROR(IF(#REF!="S",VLOOKUP('Raw Data'!A3997,References!#REF!,2,FALSE),(VLOOKUP($S3997,References!$B$3:$C$7,2,FALSE))),"")</f>
        <v/>
      </c>
      <c r="W3997" s="74" t="str">
        <f>IFERROR(VLOOKUP($O3997,'Customer List'!$A$1:$J$488,10,FALSE),"")</f>
        <v/>
      </c>
    </row>
    <row r="3998" spans="18:23">
      <c r="R3998" s="127">
        <f t="shared" si="199"/>
        <v>0</v>
      </c>
      <c r="T3998" s="128">
        <f t="shared" si="200"/>
        <v>0</v>
      </c>
      <c r="U3998" s="129" t="str">
        <f>IFERROR(IF(#REF!="S",VLOOKUP('Raw Data'!A3998,References!#REF!,2,FALSE),(VLOOKUP($S3998,References!$B$3:$C$7,2,FALSE))),"")</f>
        <v/>
      </c>
      <c r="W3998" s="74" t="str">
        <f>IFERROR(VLOOKUP($O3998,'Customer List'!$A$1:$J$488,10,FALSE),"")</f>
        <v/>
      </c>
    </row>
    <row r="3999" spans="18:23">
      <c r="R3999" s="127">
        <f t="shared" si="199"/>
        <v>0</v>
      </c>
      <c r="T3999" s="128">
        <f t="shared" si="200"/>
        <v>0</v>
      </c>
      <c r="U3999" s="129" t="str">
        <f>IFERROR(IF(#REF!="S",VLOOKUP('Raw Data'!A3999,References!#REF!,2,FALSE),(VLOOKUP($S3999,References!$B$3:$C$7,2,FALSE))),"")</f>
        <v/>
      </c>
      <c r="W3999" s="74" t="str">
        <f>IFERROR(VLOOKUP($O3999,'Customer List'!$A$1:$J$488,10,FALSE),"")</f>
        <v/>
      </c>
    </row>
    <row r="4000" spans="18:23">
      <c r="R4000" s="127">
        <f t="shared" si="199"/>
        <v>0</v>
      </c>
      <c r="T4000" s="128">
        <f t="shared" si="200"/>
        <v>0</v>
      </c>
      <c r="U4000" s="129" t="str">
        <f>IFERROR(IF(#REF!="S",VLOOKUP('Raw Data'!A4000,References!#REF!,2,FALSE),(VLOOKUP($S4000,References!$B$3:$C$7,2,FALSE))),"")</f>
        <v/>
      </c>
      <c r="W4000" s="74" t="str">
        <f>IFERROR(VLOOKUP($O4000,'Customer List'!$A$1:$J$488,10,FALSE),"")</f>
        <v/>
      </c>
    </row>
    <row r="4001" spans="18:23">
      <c r="R4001" s="127">
        <f t="shared" si="199"/>
        <v>0</v>
      </c>
      <c r="T4001" s="128">
        <f t="shared" si="200"/>
        <v>0</v>
      </c>
      <c r="U4001" s="129" t="str">
        <f>IFERROR(IF(#REF!="S",VLOOKUP('Raw Data'!A4001,References!#REF!,2,FALSE),(VLOOKUP($S4001,References!$B$3:$C$7,2,FALSE))),"")</f>
        <v/>
      </c>
      <c r="W4001" s="74" t="str">
        <f>IFERROR(VLOOKUP($O4001,'Customer List'!$A$1:$J$488,10,FALSE),"")</f>
        <v/>
      </c>
    </row>
    <row r="4002" spans="18:23">
      <c r="R4002" s="127">
        <f t="shared" ref="R4002:R4065" si="201">L4002-K4002</f>
        <v>0</v>
      </c>
      <c r="T4002" s="128">
        <f t="shared" si="200"/>
        <v>0</v>
      </c>
      <c r="U4002" s="129" t="str">
        <f>IFERROR(IF(#REF!="S",VLOOKUP('Raw Data'!A4002,References!#REF!,2,FALSE),(VLOOKUP($S4002,References!$B$3:$C$7,2,FALSE))),"")</f>
        <v/>
      </c>
      <c r="W4002" s="74" t="str">
        <f>IFERROR(VLOOKUP($O4002,'Customer List'!$A$1:$J$488,10,FALSE),"")</f>
        <v/>
      </c>
    </row>
    <row r="4003" spans="18:23">
      <c r="R4003" s="127">
        <f t="shared" si="201"/>
        <v>0</v>
      </c>
      <c r="T4003" s="128">
        <f t="shared" si="200"/>
        <v>0</v>
      </c>
      <c r="U4003" s="129" t="str">
        <f>IFERROR(IF(#REF!="S",VLOOKUP('Raw Data'!A4003,References!#REF!,2,FALSE),(VLOOKUP($S4003,References!$B$3:$C$7,2,FALSE))),"")</f>
        <v/>
      </c>
      <c r="W4003" s="74" t="str">
        <f>IFERROR(VLOOKUP($O4003,'Customer List'!$A$1:$J$488,10,FALSE),"")</f>
        <v/>
      </c>
    </row>
    <row r="4004" spans="18:23">
      <c r="R4004" s="127">
        <f t="shared" si="201"/>
        <v>0</v>
      </c>
      <c r="T4004" s="128">
        <f t="shared" si="200"/>
        <v>0</v>
      </c>
      <c r="U4004" s="129" t="str">
        <f>IFERROR(IF(#REF!="S",VLOOKUP('Raw Data'!A4004,References!#REF!,2,FALSE),(VLOOKUP($S4004,References!$B$3:$C$7,2,FALSE))),"")</f>
        <v/>
      </c>
      <c r="W4004" s="74" t="str">
        <f>IFERROR(VLOOKUP($O4004,'Customer List'!$A$1:$J$488,10,FALSE),"")</f>
        <v/>
      </c>
    </row>
    <row r="4005" spans="18:23">
      <c r="R4005" s="127">
        <f t="shared" si="201"/>
        <v>0</v>
      </c>
      <c r="T4005" s="128">
        <f t="shared" si="200"/>
        <v>0</v>
      </c>
      <c r="U4005" s="129" t="str">
        <f>IFERROR(IF(#REF!="S",VLOOKUP('Raw Data'!A4005,References!#REF!,2,FALSE),(VLOOKUP($S4005,References!$B$3:$C$7,2,FALSE))),"")</f>
        <v/>
      </c>
      <c r="W4005" s="74" t="str">
        <f>IFERROR(VLOOKUP($O4005,'Customer List'!$A$1:$J$488,10,FALSE),"")</f>
        <v/>
      </c>
    </row>
    <row r="4006" spans="18:23">
      <c r="R4006" s="127">
        <f t="shared" si="201"/>
        <v>0</v>
      </c>
      <c r="T4006" s="128">
        <f t="shared" si="200"/>
        <v>0</v>
      </c>
      <c r="U4006" s="129" t="str">
        <f>IFERROR(IF(#REF!="S",VLOOKUP('Raw Data'!A4006,References!#REF!,2,FALSE),(VLOOKUP($S4006,References!$B$3:$C$7,2,FALSE))),"")</f>
        <v/>
      </c>
      <c r="W4006" s="74" t="str">
        <f>IFERROR(VLOOKUP($O4006,'Customer List'!$A$1:$J$488,10,FALSE),"")</f>
        <v/>
      </c>
    </row>
    <row r="4007" spans="18:23">
      <c r="R4007" s="127">
        <f t="shared" si="201"/>
        <v>0</v>
      </c>
      <c r="T4007" s="128">
        <f t="shared" si="200"/>
        <v>0</v>
      </c>
      <c r="U4007" s="129" t="str">
        <f>IFERROR(IF(#REF!="S",VLOOKUP('Raw Data'!A4007,References!#REF!,2,FALSE),(VLOOKUP($S4007,References!$B$3:$C$7,2,FALSE))),"")</f>
        <v/>
      </c>
      <c r="W4007" s="74" t="str">
        <f>IFERROR(VLOOKUP($O4007,'Customer List'!$A$1:$J$488,10,FALSE),"")</f>
        <v/>
      </c>
    </row>
    <row r="4008" spans="18:23">
      <c r="R4008" s="127">
        <f t="shared" si="201"/>
        <v>0</v>
      </c>
      <c r="T4008" s="128">
        <f t="shared" si="200"/>
        <v>0</v>
      </c>
      <c r="U4008" s="129" t="str">
        <f>IFERROR(IF(#REF!="S",VLOOKUP('Raw Data'!A4008,References!#REF!,2,FALSE),(VLOOKUP($S4008,References!$B$3:$C$7,2,FALSE))),"")</f>
        <v/>
      </c>
      <c r="W4008" s="74" t="str">
        <f>IFERROR(VLOOKUP($O4008,'Customer List'!$A$1:$J$488,10,FALSE),"")</f>
        <v/>
      </c>
    </row>
    <row r="4009" spans="18:23">
      <c r="R4009" s="127">
        <f t="shared" si="201"/>
        <v>0</v>
      </c>
      <c r="T4009" s="128">
        <f t="shared" si="200"/>
        <v>0</v>
      </c>
      <c r="U4009" s="129" t="str">
        <f>IFERROR(IF(#REF!="S",VLOOKUP('Raw Data'!A4009,References!#REF!,2,FALSE),(VLOOKUP($S4009,References!$B$3:$C$7,2,FALSE))),"")</f>
        <v/>
      </c>
      <c r="W4009" s="74" t="str">
        <f>IFERROR(VLOOKUP($O4009,'Customer List'!$A$1:$J$488,10,FALSE),"")</f>
        <v/>
      </c>
    </row>
    <row r="4010" spans="18:23">
      <c r="R4010" s="127">
        <f t="shared" si="201"/>
        <v>0</v>
      </c>
      <c r="T4010" s="128">
        <f t="shared" si="200"/>
        <v>0</v>
      </c>
      <c r="U4010" s="129" t="str">
        <f>IFERROR(IF(#REF!="S",VLOOKUP('Raw Data'!A4010,References!#REF!,2,FALSE),(VLOOKUP($S4010,References!$B$3:$C$7,2,FALSE))),"")</f>
        <v/>
      </c>
      <c r="W4010" s="74" t="str">
        <f>IFERROR(VLOOKUP($O4010,'Customer List'!$A$1:$J$488,10,FALSE),"")</f>
        <v/>
      </c>
    </row>
    <row r="4011" spans="18:23">
      <c r="R4011" s="127">
        <f t="shared" si="201"/>
        <v>0</v>
      </c>
      <c r="T4011" s="128">
        <f t="shared" si="200"/>
        <v>0</v>
      </c>
      <c r="U4011" s="129" t="str">
        <f>IFERROR(IF(#REF!="S",VLOOKUP('Raw Data'!A4011,References!#REF!,2,FALSE),(VLOOKUP($S4011,References!$B$3:$C$7,2,FALSE))),"")</f>
        <v/>
      </c>
      <c r="W4011" s="74" t="str">
        <f>IFERROR(VLOOKUP($O4011,'Customer List'!$A$1:$J$488,10,FALSE),"")</f>
        <v/>
      </c>
    </row>
    <row r="4012" spans="18:23">
      <c r="R4012" s="127">
        <f t="shared" si="201"/>
        <v>0</v>
      </c>
      <c r="T4012" s="128">
        <f t="shared" si="200"/>
        <v>0</v>
      </c>
      <c r="U4012" s="129" t="str">
        <f>IFERROR(IF(#REF!="S",VLOOKUP('Raw Data'!A4012,References!#REF!,2,FALSE),(VLOOKUP($S4012,References!$B$3:$C$7,2,FALSE))),"")</f>
        <v/>
      </c>
      <c r="W4012" s="74" t="str">
        <f>IFERROR(VLOOKUP($O4012,'Customer List'!$A$1:$J$488,10,FALSE),"")</f>
        <v/>
      </c>
    </row>
    <row r="4013" spans="18:23">
      <c r="R4013" s="127">
        <f t="shared" si="201"/>
        <v>0</v>
      </c>
      <c r="T4013" s="128">
        <f t="shared" si="200"/>
        <v>0</v>
      </c>
      <c r="U4013" s="129" t="str">
        <f>IFERROR(IF(#REF!="S",VLOOKUP('Raw Data'!A4013,References!#REF!,2,FALSE),(VLOOKUP($S4013,References!$B$3:$C$7,2,FALSE))),"")</f>
        <v/>
      </c>
      <c r="W4013" s="74" t="str">
        <f>IFERROR(VLOOKUP($O4013,'Customer List'!$A$1:$J$488,10,FALSE),"")</f>
        <v/>
      </c>
    </row>
    <row r="4014" spans="18:23">
      <c r="R4014" s="127">
        <f t="shared" si="201"/>
        <v>0</v>
      </c>
      <c r="T4014" s="128">
        <f t="shared" si="200"/>
        <v>0</v>
      </c>
      <c r="U4014" s="129" t="str">
        <f>IFERROR(IF(#REF!="S",VLOOKUP('Raw Data'!A4014,References!#REF!,2,FALSE),(VLOOKUP($S4014,References!$B$3:$C$7,2,FALSE))),"")</f>
        <v/>
      </c>
      <c r="W4014" s="74" t="str">
        <f>IFERROR(VLOOKUP($O4014,'Customer List'!$A$1:$J$488,10,FALSE),"")</f>
        <v/>
      </c>
    </row>
    <row r="4015" spans="18:23">
      <c r="R4015" s="127">
        <f t="shared" si="201"/>
        <v>0</v>
      </c>
      <c r="T4015" s="128">
        <f t="shared" si="200"/>
        <v>0</v>
      </c>
      <c r="U4015" s="129" t="str">
        <f>IFERROR(IF(#REF!="S",VLOOKUP('Raw Data'!A4015,References!#REF!,2,FALSE),(VLOOKUP($S4015,References!$B$3:$C$7,2,FALSE))),"")</f>
        <v/>
      </c>
      <c r="W4015" s="74" t="str">
        <f>IFERROR(VLOOKUP($O4015,'Customer List'!$A$1:$J$488,10,FALSE),"")</f>
        <v/>
      </c>
    </row>
    <row r="4016" spans="18:23">
      <c r="R4016" s="127">
        <f t="shared" si="201"/>
        <v>0</v>
      </c>
      <c r="T4016" s="128">
        <f t="shared" si="200"/>
        <v>0</v>
      </c>
      <c r="U4016" s="129" t="str">
        <f>IFERROR(IF(#REF!="S",VLOOKUP('Raw Data'!A4016,References!#REF!,2,FALSE),(VLOOKUP($S4016,References!$B$3:$C$7,2,FALSE))),"")</f>
        <v/>
      </c>
      <c r="W4016" s="74" t="str">
        <f>IFERROR(VLOOKUP($O4016,'Customer List'!$A$1:$J$488,10,FALSE),"")</f>
        <v/>
      </c>
    </row>
    <row r="4017" spans="18:23">
      <c r="R4017" s="127">
        <f t="shared" si="201"/>
        <v>0</v>
      </c>
      <c r="T4017" s="128">
        <f t="shared" si="200"/>
        <v>0</v>
      </c>
      <c r="U4017" s="129" t="str">
        <f>IFERROR(IF(#REF!="S",VLOOKUP('Raw Data'!A4017,References!#REF!,2,FALSE),(VLOOKUP($S4017,References!$B$3:$C$7,2,FALSE))),"")</f>
        <v/>
      </c>
      <c r="W4017" s="74" t="str">
        <f>IFERROR(VLOOKUP($O4017,'Customer List'!$A$1:$J$488,10,FALSE),"")</f>
        <v/>
      </c>
    </row>
    <row r="4018" spans="18:23">
      <c r="R4018" s="127">
        <f t="shared" si="201"/>
        <v>0</v>
      </c>
      <c r="T4018" s="128">
        <f t="shared" si="200"/>
        <v>0</v>
      </c>
      <c r="U4018" s="129" t="str">
        <f>IFERROR(IF(#REF!="S",VLOOKUP('Raw Data'!A4018,References!#REF!,2,FALSE),(VLOOKUP($S4018,References!$B$3:$C$7,2,FALSE))),"")</f>
        <v/>
      </c>
      <c r="W4018" s="74" t="str">
        <f>IFERROR(VLOOKUP($O4018,'Customer List'!$A$1:$J$488,10,FALSE),"")</f>
        <v/>
      </c>
    </row>
    <row r="4019" spans="18:23">
      <c r="R4019" s="127">
        <f t="shared" si="201"/>
        <v>0</v>
      </c>
      <c r="T4019" s="128">
        <f t="shared" si="200"/>
        <v>0</v>
      </c>
      <c r="U4019" s="129" t="str">
        <f>IFERROR(IF(#REF!="S",VLOOKUP('Raw Data'!A4019,References!#REF!,2,FALSE),(VLOOKUP($S4019,References!$B$3:$C$7,2,FALSE))),"")</f>
        <v/>
      </c>
      <c r="W4019" s="74" t="str">
        <f>IFERROR(VLOOKUP($O4019,'Customer List'!$A$1:$J$488,10,FALSE),"")</f>
        <v/>
      </c>
    </row>
    <row r="4020" spans="18:23">
      <c r="R4020" s="127">
        <f t="shared" si="201"/>
        <v>0</v>
      </c>
      <c r="T4020" s="128">
        <f t="shared" si="200"/>
        <v>0</v>
      </c>
      <c r="U4020" s="129" t="str">
        <f>IFERROR(IF(#REF!="S",VLOOKUP('Raw Data'!A4020,References!#REF!,2,FALSE),(VLOOKUP($S4020,References!$B$3:$C$7,2,FALSE))),"")</f>
        <v/>
      </c>
      <c r="W4020" s="74" t="str">
        <f>IFERROR(VLOOKUP($O4020,'Customer List'!$A$1:$J$488,10,FALSE),"")</f>
        <v/>
      </c>
    </row>
    <row r="4021" spans="18:23">
      <c r="R4021" s="127">
        <f t="shared" si="201"/>
        <v>0</v>
      </c>
      <c r="T4021" s="128">
        <f t="shared" si="200"/>
        <v>0</v>
      </c>
      <c r="U4021" s="129" t="str">
        <f>IFERROR(IF(#REF!="S",VLOOKUP('Raw Data'!A4021,References!#REF!,2,FALSE),(VLOOKUP($S4021,References!$B$3:$C$7,2,FALSE))),"")</f>
        <v/>
      </c>
      <c r="W4021" s="74" t="str">
        <f>IFERROR(VLOOKUP($O4021,'Customer List'!$A$1:$J$488,10,FALSE),"")</f>
        <v/>
      </c>
    </row>
    <row r="4022" spans="18:23">
      <c r="R4022" s="127">
        <f t="shared" si="201"/>
        <v>0</v>
      </c>
      <c r="T4022" s="128">
        <f t="shared" si="200"/>
        <v>0</v>
      </c>
      <c r="U4022" s="129" t="str">
        <f>IFERROR(IF(#REF!="S",VLOOKUP('Raw Data'!A4022,References!#REF!,2,FALSE),(VLOOKUP($S4022,References!$B$3:$C$7,2,FALSE))),"")</f>
        <v/>
      </c>
      <c r="W4022" s="74" t="str">
        <f>IFERROR(VLOOKUP($O4022,'Customer List'!$A$1:$J$488,10,FALSE),"")</f>
        <v/>
      </c>
    </row>
    <row r="4023" spans="18:23">
      <c r="R4023" s="127">
        <f t="shared" si="201"/>
        <v>0</v>
      </c>
      <c r="T4023" s="128">
        <f t="shared" si="200"/>
        <v>0</v>
      </c>
      <c r="U4023" s="129" t="str">
        <f>IFERROR(IF(#REF!="S",VLOOKUP('Raw Data'!A4023,References!#REF!,2,FALSE),(VLOOKUP($S4023,References!$B$3:$C$7,2,FALSE))),"")</f>
        <v/>
      </c>
      <c r="W4023" s="74" t="str">
        <f>IFERROR(VLOOKUP($O4023,'Customer List'!$A$1:$J$488,10,FALSE),"")</f>
        <v/>
      </c>
    </row>
    <row r="4024" spans="18:23">
      <c r="R4024" s="127">
        <f t="shared" si="201"/>
        <v>0</v>
      </c>
      <c r="T4024" s="128">
        <f t="shared" si="200"/>
        <v>0</v>
      </c>
      <c r="U4024" s="129" t="str">
        <f>IFERROR(IF(#REF!="S",VLOOKUP('Raw Data'!A4024,References!#REF!,2,FALSE),(VLOOKUP($S4024,References!$B$3:$C$7,2,FALSE))),"")</f>
        <v/>
      </c>
      <c r="W4024" s="74" t="str">
        <f>IFERROR(VLOOKUP($O4024,'Customer List'!$A$1:$J$488,10,FALSE),"")</f>
        <v/>
      </c>
    </row>
    <row r="4025" spans="18:23">
      <c r="R4025" s="127">
        <f t="shared" si="201"/>
        <v>0</v>
      </c>
      <c r="T4025" s="128">
        <f t="shared" si="200"/>
        <v>0</v>
      </c>
      <c r="U4025" s="129" t="str">
        <f>IFERROR(IF(#REF!="S",VLOOKUP('Raw Data'!A4025,References!#REF!,2,FALSE),(VLOOKUP($S4025,References!$B$3:$C$7,2,FALSE))),"")</f>
        <v/>
      </c>
      <c r="W4025" s="74" t="str">
        <f>IFERROR(VLOOKUP($O4025,'Customer List'!$A$1:$J$488,10,FALSE),"")</f>
        <v/>
      </c>
    </row>
    <row r="4026" spans="18:23">
      <c r="R4026" s="127">
        <f t="shared" si="201"/>
        <v>0</v>
      </c>
      <c r="T4026" s="128">
        <f t="shared" si="200"/>
        <v>0</v>
      </c>
      <c r="U4026" s="129" t="str">
        <f>IFERROR(IF(#REF!="S",VLOOKUP('Raw Data'!A4026,References!#REF!,2,FALSE),(VLOOKUP($S4026,References!$B$3:$C$7,2,FALSE))),"")</f>
        <v/>
      </c>
      <c r="W4026" s="74" t="str">
        <f>IFERROR(VLOOKUP($O4026,'Customer List'!$A$1:$J$488,10,FALSE),"")</f>
        <v/>
      </c>
    </row>
    <row r="4027" spans="18:23">
      <c r="R4027" s="127">
        <f t="shared" si="201"/>
        <v>0</v>
      </c>
      <c r="T4027" s="128">
        <f t="shared" si="200"/>
        <v>0</v>
      </c>
      <c r="U4027" s="129" t="str">
        <f>IFERROR(IF(#REF!="S",VLOOKUP('Raw Data'!A4027,References!#REF!,2,FALSE),(VLOOKUP($S4027,References!$B$3:$C$7,2,FALSE))),"")</f>
        <v/>
      </c>
      <c r="W4027" s="74" t="str">
        <f>IFERROR(VLOOKUP($O4027,'Customer List'!$A$1:$J$488,10,FALSE),"")</f>
        <v/>
      </c>
    </row>
    <row r="4028" spans="18:23">
      <c r="R4028" s="127">
        <f t="shared" si="201"/>
        <v>0</v>
      </c>
      <c r="T4028" s="128">
        <f t="shared" si="200"/>
        <v>0</v>
      </c>
      <c r="U4028" s="129" t="str">
        <f>IFERROR(IF(#REF!="S",VLOOKUP('Raw Data'!A4028,References!#REF!,2,FALSE),(VLOOKUP($S4028,References!$B$3:$C$7,2,FALSE))),"")</f>
        <v/>
      </c>
      <c r="W4028" s="74" t="str">
        <f>IFERROR(VLOOKUP($O4028,'Customer List'!$A$1:$J$488,10,FALSE),"")</f>
        <v/>
      </c>
    </row>
    <row r="4029" spans="18:23">
      <c r="R4029" s="127">
        <f t="shared" si="201"/>
        <v>0</v>
      </c>
      <c r="T4029" s="128">
        <f t="shared" si="200"/>
        <v>0</v>
      </c>
      <c r="U4029" s="129" t="str">
        <f>IFERROR(IF(#REF!="S",VLOOKUP('Raw Data'!A4029,References!#REF!,2,FALSE),(VLOOKUP($S4029,References!$B$3:$C$7,2,FALSE))),"")</f>
        <v/>
      </c>
      <c r="W4029" s="74" t="str">
        <f>IFERROR(VLOOKUP($O4029,'Customer List'!$A$1:$J$488,10,FALSE),"")</f>
        <v/>
      </c>
    </row>
    <row r="4030" spans="18:23">
      <c r="R4030" s="127">
        <f t="shared" si="201"/>
        <v>0</v>
      </c>
      <c r="T4030" s="128">
        <f t="shared" si="200"/>
        <v>0</v>
      </c>
      <c r="U4030" s="129" t="str">
        <f>IFERROR(IF(#REF!="S",VLOOKUP('Raw Data'!A4030,References!#REF!,2,FALSE),(VLOOKUP($S4030,References!$B$3:$C$7,2,FALSE))),"")</f>
        <v/>
      </c>
      <c r="W4030" s="74" t="str">
        <f>IFERROR(VLOOKUP($O4030,'Customer List'!$A$1:$J$488,10,FALSE),"")</f>
        <v/>
      </c>
    </row>
    <row r="4031" spans="18:23">
      <c r="R4031" s="127">
        <f t="shared" si="201"/>
        <v>0</v>
      </c>
      <c r="T4031" s="128">
        <f t="shared" si="200"/>
        <v>0</v>
      </c>
      <c r="U4031" s="129" t="str">
        <f>IFERROR(IF(#REF!="S",VLOOKUP('Raw Data'!A4031,References!#REF!,2,FALSE),(VLOOKUP($S4031,References!$B$3:$C$7,2,FALSE))),"")</f>
        <v/>
      </c>
      <c r="W4031" s="74" t="str">
        <f>IFERROR(VLOOKUP($O4031,'Customer List'!$A$1:$J$488,10,FALSE),"")</f>
        <v/>
      </c>
    </row>
    <row r="4032" spans="18:23">
      <c r="R4032" s="127">
        <f t="shared" si="201"/>
        <v>0</v>
      </c>
      <c r="T4032" s="128">
        <f t="shared" si="200"/>
        <v>0</v>
      </c>
      <c r="U4032" s="129" t="str">
        <f>IFERROR(IF(#REF!="S",VLOOKUP('Raw Data'!A4032,References!#REF!,2,FALSE),(VLOOKUP($S4032,References!$B$3:$C$7,2,FALSE))),"")</f>
        <v/>
      </c>
      <c r="W4032" s="74" t="str">
        <f>IFERROR(VLOOKUP($O4032,'Customer List'!$A$1:$J$488,10,FALSE),"")</f>
        <v/>
      </c>
    </row>
    <row r="4033" spans="18:23">
      <c r="R4033" s="127">
        <f t="shared" si="201"/>
        <v>0</v>
      </c>
      <c r="T4033" s="128">
        <f t="shared" si="200"/>
        <v>0</v>
      </c>
      <c r="U4033" s="129" t="str">
        <f>IFERROR(IF(#REF!="S",VLOOKUP('Raw Data'!A4033,References!#REF!,2,FALSE),(VLOOKUP($S4033,References!$B$3:$C$7,2,FALSE))),"")</f>
        <v/>
      </c>
      <c r="W4033" s="74" t="str">
        <f>IFERROR(VLOOKUP($O4033,'Customer List'!$A$1:$J$488,10,FALSE),"")</f>
        <v/>
      </c>
    </row>
    <row r="4034" spans="18:23">
      <c r="R4034" s="127">
        <f t="shared" si="201"/>
        <v>0</v>
      </c>
      <c r="T4034" s="128">
        <f t="shared" si="200"/>
        <v>0</v>
      </c>
      <c r="U4034" s="129" t="str">
        <f>IFERROR(IF(#REF!="S",VLOOKUP('Raw Data'!A4034,References!#REF!,2,FALSE),(VLOOKUP($S4034,References!$B$3:$C$7,2,FALSE))),"")</f>
        <v/>
      </c>
      <c r="W4034" s="74" t="str">
        <f>IFERROR(VLOOKUP($O4034,'Customer List'!$A$1:$J$488,10,FALSE),"")</f>
        <v/>
      </c>
    </row>
    <row r="4035" spans="18:23">
      <c r="R4035" s="127">
        <f t="shared" si="201"/>
        <v>0</v>
      </c>
      <c r="T4035" s="128">
        <f t="shared" si="200"/>
        <v>0</v>
      </c>
      <c r="U4035" s="129" t="str">
        <f>IFERROR(IF(#REF!="S",VLOOKUP('Raw Data'!A4035,References!#REF!,2,FALSE),(VLOOKUP($S4035,References!$B$3:$C$7,2,FALSE))),"")</f>
        <v/>
      </c>
      <c r="W4035" s="74" t="str">
        <f>IFERROR(VLOOKUP($O4035,'Customer List'!$A$1:$J$488,10,FALSE),"")</f>
        <v/>
      </c>
    </row>
    <row r="4036" spans="18:23">
      <c r="R4036" s="127">
        <f t="shared" si="201"/>
        <v>0</v>
      </c>
      <c r="T4036" s="128">
        <f t="shared" si="200"/>
        <v>0</v>
      </c>
      <c r="U4036" s="129" t="str">
        <f>IFERROR(IF(#REF!="S",VLOOKUP('Raw Data'!A4036,References!#REF!,2,FALSE),(VLOOKUP($S4036,References!$B$3:$C$7,2,FALSE))),"")</f>
        <v/>
      </c>
      <c r="W4036" s="74" t="str">
        <f>IFERROR(VLOOKUP($O4036,'Customer List'!$A$1:$J$488,10,FALSE),"")</f>
        <v/>
      </c>
    </row>
    <row r="4037" spans="18:23">
      <c r="R4037" s="127">
        <f t="shared" si="201"/>
        <v>0</v>
      </c>
      <c r="T4037" s="128">
        <f t="shared" si="200"/>
        <v>0</v>
      </c>
      <c r="U4037" s="129" t="str">
        <f>IFERROR(IF(#REF!="S",VLOOKUP('Raw Data'!A4037,References!#REF!,2,FALSE),(VLOOKUP($S4037,References!$B$3:$C$7,2,FALSE))),"")</f>
        <v/>
      </c>
      <c r="W4037" s="74" t="str">
        <f>IFERROR(VLOOKUP($O4037,'Customer List'!$A$1:$J$488,10,FALSE),"")</f>
        <v/>
      </c>
    </row>
    <row r="4038" spans="18:23">
      <c r="R4038" s="127">
        <f t="shared" si="201"/>
        <v>0</v>
      </c>
      <c r="T4038" s="128">
        <f t="shared" si="200"/>
        <v>0</v>
      </c>
      <c r="U4038" s="129" t="str">
        <f>IFERROR(IF(#REF!="S",VLOOKUP('Raw Data'!A4038,References!#REF!,2,FALSE),(VLOOKUP($S4038,References!$B$3:$C$7,2,FALSE))),"")</f>
        <v/>
      </c>
      <c r="W4038" s="74" t="str">
        <f>IFERROR(VLOOKUP($O4038,'Customer List'!$A$1:$J$488,10,FALSE),"")</f>
        <v/>
      </c>
    </row>
    <row r="4039" spans="18:23">
      <c r="R4039" s="127">
        <f t="shared" si="201"/>
        <v>0</v>
      </c>
      <c r="T4039" s="128">
        <f t="shared" si="200"/>
        <v>0</v>
      </c>
      <c r="U4039" s="129" t="str">
        <f>IFERROR(IF(#REF!="S",VLOOKUP('Raw Data'!A4039,References!#REF!,2,FALSE),(VLOOKUP($S4039,References!$B$3:$C$7,2,FALSE))),"")</f>
        <v/>
      </c>
      <c r="W4039" s="74" t="str">
        <f>IFERROR(VLOOKUP($O4039,'Customer List'!$A$1:$J$488,10,FALSE),"")</f>
        <v/>
      </c>
    </row>
    <row r="4040" spans="18:23">
      <c r="R4040" s="127">
        <f t="shared" si="201"/>
        <v>0</v>
      </c>
      <c r="T4040" s="128">
        <f t="shared" si="200"/>
        <v>0</v>
      </c>
      <c r="U4040" s="129" t="str">
        <f>IFERROR(IF(#REF!="S",VLOOKUP('Raw Data'!A4040,References!#REF!,2,FALSE),(VLOOKUP($S4040,References!$B$3:$C$7,2,FALSE))),"")</f>
        <v/>
      </c>
      <c r="W4040" s="74" t="str">
        <f>IFERROR(VLOOKUP($O4040,'Customer List'!$A$1:$J$488,10,FALSE),"")</f>
        <v/>
      </c>
    </row>
    <row r="4041" spans="18:23">
      <c r="R4041" s="127">
        <f t="shared" si="201"/>
        <v>0</v>
      </c>
      <c r="T4041" s="128">
        <f t="shared" si="200"/>
        <v>0</v>
      </c>
      <c r="U4041" s="129" t="str">
        <f>IFERROR(IF(#REF!="S",VLOOKUP('Raw Data'!A4041,References!#REF!,2,FALSE),(VLOOKUP($S4041,References!$B$3:$C$7,2,FALSE))),"")</f>
        <v/>
      </c>
      <c r="W4041" s="74" t="str">
        <f>IFERROR(VLOOKUP($O4041,'Customer List'!$A$1:$J$488,10,FALSE),"")</f>
        <v/>
      </c>
    </row>
    <row r="4042" spans="18:23">
      <c r="R4042" s="127">
        <f t="shared" si="201"/>
        <v>0</v>
      </c>
      <c r="T4042" s="128">
        <f t="shared" ref="T4042:T4105" si="202">IF(S4042="50 - Cleaning Fee",1,HOUR($R4042)+MINUTE(R4042)/60)</f>
        <v>0</v>
      </c>
      <c r="U4042" s="129" t="str">
        <f>IFERROR(IF(#REF!="S",VLOOKUP('Raw Data'!A4042,References!#REF!,2,FALSE),(VLOOKUP($S4042,References!$B$3:$C$7,2,FALSE))),"")</f>
        <v/>
      </c>
      <c r="W4042" s="74" t="str">
        <f>IFERROR(VLOOKUP($O4042,'Customer List'!$A$1:$J$488,10,FALSE),"")</f>
        <v/>
      </c>
    </row>
    <row r="4043" spans="18:23">
      <c r="R4043" s="127">
        <f t="shared" si="201"/>
        <v>0</v>
      </c>
      <c r="T4043" s="128">
        <f t="shared" si="202"/>
        <v>0</v>
      </c>
      <c r="U4043" s="129" t="str">
        <f>IFERROR(IF(#REF!="S",VLOOKUP('Raw Data'!A4043,References!#REF!,2,FALSE),(VLOOKUP($S4043,References!$B$3:$C$7,2,FALSE))),"")</f>
        <v/>
      </c>
      <c r="W4043" s="74" t="str">
        <f>IFERROR(VLOOKUP($O4043,'Customer List'!$A$1:$J$488,10,FALSE),"")</f>
        <v/>
      </c>
    </row>
    <row r="4044" spans="18:23">
      <c r="R4044" s="127">
        <f t="shared" si="201"/>
        <v>0</v>
      </c>
      <c r="T4044" s="128">
        <f t="shared" si="202"/>
        <v>0</v>
      </c>
      <c r="U4044" s="129" t="str">
        <f>IFERROR(IF(#REF!="S",VLOOKUP('Raw Data'!A4044,References!#REF!,2,FALSE),(VLOOKUP($S4044,References!$B$3:$C$7,2,FALSE))),"")</f>
        <v/>
      </c>
      <c r="W4044" s="74" t="str">
        <f>IFERROR(VLOOKUP($O4044,'Customer List'!$A$1:$J$488,10,FALSE),"")</f>
        <v/>
      </c>
    </row>
    <row r="4045" spans="18:23">
      <c r="R4045" s="127">
        <f t="shared" si="201"/>
        <v>0</v>
      </c>
      <c r="T4045" s="128">
        <f t="shared" si="202"/>
        <v>0</v>
      </c>
      <c r="U4045" s="129" t="str">
        <f>IFERROR(IF(#REF!="S",VLOOKUP('Raw Data'!A4045,References!#REF!,2,FALSE),(VLOOKUP($S4045,References!$B$3:$C$7,2,FALSE))),"")</f>
        <v/>
      </c>
      <c r="W4045" s="74" t="str">
        <f>IFERROR(VLOOKUP($O4045,'Customer List'!$A$1:$J$488,10,FALSE),"")</f>
        <v/>
      </c>
    </row>
    <row r="4046" spans="18:23">
      <c r="R4046" s="127">
        <f t="shared" si="201"/>
        <v>0</v>
      </c>
      <c r="T4046" s="128">
        <f t="shared" si="202"/>
        <v>0</v>
      </c>
      <c r="U4046" s="129" t="str">
        <f>IFERROR(IF(#REF!="S",VLOOKUP('Raw Data'!A4046,References!#REF!,2,FALSE),(VLOOKUP($S4046,References!$B$3:$C$7,2,FALSE))),"")</f>
        <v/>
      </c>
      <c r="W4046" s="74" t="str">
        <f>IFERROR(VLOOKUP($O4046,'Customer List'!$A$1:$J$488,10,FALSE),"")</f>
        <v/>
      </c>
    </row>
    <row r="4047" spans="18:23">
      <c r="R4047" s="127">
        <f t="shared" si="201"/>
        <v>0</v>
      </c>
      <c r="T4047" s="128">
        <f t="shared" si="202"/>
        <v>0</v>
      </c>
      <c r="U4047" s="129" t="str">
        <f>IFERROR(IF(#REF!="S",VLOOKUP('Raw Data'!A4047,References!#REF!,2,FALSE),(VLOOKUP($S4047,References!$B$3:$C$7,2,FALSE))),"")</f>
        <v/>
      </c>
      <c r="W4047" s="74" t="str">
        <f>IFERROR(VLOOKUP($O4047,'Customer List'!$A$1:$J$488,10,FALSE),"")</f>
        <v/>
      </c>
    </row>
    <row r="4048" spans="18:23">
      <c r="R4048" s="127">
        <f t="shared" si="201"/>
        <v>0</v>
      </c>
      <c r="T4048" s="128">
        <f t="shared" si="202"/>
        <v>0</v>
      </c>
      <c r="U4048" s="129" t="str">
        <f>IFERROR(IF(#REF!="S",VLOOKUP('Raw Data'!A4048,References!#REF!,2,FALSE),(VLOOKUP($S4048,References!$B$3:$C$7,2,FALSE))),"")</f>
        <v/>
      </c>
      <c r="W4048" s="74" t="str">
        <f>IFERROR(VLOOKUP($O4048,'Customer List'!$A$1:$J$488,10,FALSE),"")</f>
        <v/>
      </c>
    </row>
    <row r="4049" spans="18:23">
      <c r="R4049" s="127">
        <f t="shared" si="201"/>
        <v>0</v>
      </c>
      <c r="T4049" s="128">
        <f t="shared" si="202"/>
        <v>0</v>
      </c>
      <c r="U4049" s="129" t="str">
        <f>IFERROR(IF(#REF!="S",VLOOKUP('Raw Data'!A4049,References!#REF!,2,FALSE),(VLOOKUP($S4049,References!$B$3:$C$7,2,FALSE))),"")</f>
        <v/>
      </c>
      <c r="W4049" s="74" t="str">
        <f>IFERROR(VLOOKUP($O4049,'Customer List'!$A$1:$J$488,10,FALSE),"")</f>
        <v/>
      </c>
    </row>
    <row r="4050" spans="18:23">
      <c r="R4050" s="127">
        <f t="shared" si="201"/>
        <v>0</v>
      </c>
      <c r="T4050" s="128">
        <f t="shared" si="202"/>
        <v>0</v>
      </c>
      <c r="U4050" s="129" t="str">
        <f>IFERROR(IF(#REF!="S",VLOOKUP('Raw Data'!A4050,References!#REF!,2,FALSE),(VLOOKUP($S4050,References!$B$3:$C$7,2,FALSE))),"")</f>
        <v/>
      </c>
      <c r="W4050" s="74" t="str">
        <f>IFERROR(VLOOKUP($O4050,'Customer List'!$A$1:$J$488,10,FALSE),"")</f>
        <v/>
      </c>
    </row>
    <row r="4051" spans="18:23">
      <c r="R4051" s="127">
        <f t="shared" si="201"/>
        <v>0</v>
      </c>
      <c r="T4051" s="128">
        <f t="shared" si="202"/>
        <v>0</v>
      </c>
      <c r="U4051" s="129" t="str">
        <f>IFERROR(IF(#REF!="S",VLOOKUP('Raw Data'!A4051,References!#REF!,2,FALSE),(VLOOKUP($S4051,References!$B$3:$C$7,2,FALSE))),"")</f>
        <v/>
      </c>
      <c r="W4051" s="74" t="str">
        <f>IFERROR(VLOOKUP($O4051,'Customer List'!$A$1:$J$488,10,FALSE),"")</f>
        <v/>
      </c>
    </row>
    <row r="4052" spans="18:23">
      <c r="R4052" s="127">
        <f t="shared" si="201"/>
        <v>0</v>
      </c>
      <c r="T4052" s="128">
        <f t="shared" si="202"/>
        <v>0</v>
      </c>
      <c r="U4052" s="129" t="str">
        <f>IFERROR(IF(#REF!="S",VLOOKUP('Raw Data'!A4052,References!#REF!,2,FALSE),(VLOOKUP($S4052,References!$B$3:$C$7,2,FALSE))),"")</f>
        <v/>
      </c>
      <c r="W4052" s="74" t="str">
        <f>IFERROR(VLOOKUP($O4052,'Customer List'!$A$1:$J$488,10,FALSE),"")</f>
        <v/>
      </c>
    </row>
    <row r="4053" spans="18:23">
      <c r="R4053" s="127">
        <f t="shared" si="201"/>
        <v>0</v>
      </c>
      <c r="T4053" s="128">
        <f t="shared" si="202"/>
        <v>0</v>
      </c>
      <c r="U4053" s="129" t="str">
        <f>IFERROR(IF(#REF!="S",VLOOKUP('Raw Data'!A4053,References!#REF!,2,FALSE),(VLOOKUP($S4053,References!$B$3:$C$7,2,FALSE))),"")</f>
        <v/>
      </c>
      <c r="W4053" s="74" t="str">
        <f>IFERROR(VLOOKUP($O4053,'Customer List'!$A$1:$J$488,10,FALSE),"")</f>
        <v/>
      </c>
    </row>
    <row r="4054" spans="18:23">
      <c r="R4054" s="127">
        <f t="shared" si="201"/>
        <v>0</v>
      </c>
      <c r="T4054" s="128">
        <f t="shared" si="202"/>
        <v>0</v>
      </c>
      <c r="U4054" s="129" t="str">
        <f>IFERROR(IF(#REF!="S",VLOOKUP('Raw Data'!A4054,References!#REF!,2,FALSE),(VLOOKUP($S4054,References!$B$3:$C$7,2,FALSE))),"")</f>
        <v/>
      </c>
      <c r="W4054" s="74" t="str">
        <f>IFERROR(VLOOKUP($O4054,'Customer List'!$A$1:$J$488,10,FALSE),"")</f>
        <v/>
      </c>
    </row>
    <row r="4055" spans="18:23">
      <c r="R4055" s="127">
        <f t="shared" si="201"/>
        <v>0</v>
      </c>
      <c r="T4055" s="128">
        <f t="shared" si="202"/>
        <v>0</v>
      </c>
      <c r="U4055" s="129" t="str">
        <f>IFERROR(IF(#REF!="S",VLOOKUP('Raw Data'!A4055,References!#REF!,2,FALSE),(VLOOKUP($S4055,References!$B$3:$C$7,2,FALSE))),"")</f>
        <v/>
      </c>
      <c r="W4055" s="74" t="str">
        <f>IFERROR(VLOOKUP($O4055,'Customer List'!$A$1:$J$488,10,FALSE),"")</f>
        <v/>
      </c>
    </row>
    <row r="4056" spans="18:23">
      <c r="R4056" s="127">
        <f t="shared" si="201"/>
        <v>0</v>
      </c>
      <c r="T4056" s="128">
        <f t="shared" si="202"/>
        <v>0</v>
      </c>
      <c r="U4056" s="129" t="str">
        <f>IFERROR(IF(#REF!="S",VLOOKUP('Raw Data'!A4056,References!#REF!,2,FALSE),(VLOOKUP($S4056,References!$B$3:$C$7,2,FALSE))),"")</f>
        <v/>
      </c>
      <c r="W4056" s="74" t="str">
        <f>IFERROR(VLOOKUP($O4056,'Customer List'!$A$1:$J$488,10,FALSE),"")</f>
        <v/>
      </c>
    </row>
    <row r="4057" spans="18:23">
      <c r="R4057" s="127">
        <f t="shared" si="201"/>
        <v>0</v>
      </c>
      <c r="T4057" s="128">
        <f t="shared" si="202"/>
        <v>0</v>
      </c>
      <c r="U4057" s="129" t="str">
        <f>IFERROR(IF(#REF!="S",VLOOKUP('Raw Data'!A4057,References!#REF!,2,FALSE),(VLOOKUP($S4057,References!$B$3:$C$7,2,FALSE))),"")</f>
        <v/>
      </c>
      <c r="W4057" s="74" t="str">
        <f>IFERROR(VLOOKUP($O4057,'Customer List'!$A$1:$J$488,10,FALSE),"")</f>
        <v/>
      </c>
    </row>
    <row r="4058" spans="18:23">
      <c r="R4058" s="127">
        <f t="shared" si="201"/>
        <v>0</v>
      </c>
      <c r="T4058" s="128">
        <f t="shared" si="202"/>
        <v>0</v>
      </c>
      <c r="U4058" s="129" t="str">
        <f>IFERROR(IF(#REF!="S",VLOOKUP('Raw Data'!A4058,References!#REF!,2,FALSE),(VLOOKUP($S4058,References!$B$3:$C$7,2,FALSE))),"")</f>
        <v/>
      </c>
      <c r="W4058" s="74" t="str">
        <f>IFERROR(VLOOKUP($O4058,'Customer List'!$A$1:$J$488,10,FALSE),"")</f>
        <v/>
      </c>
    </row>
    <row r="4059" spans="18:23">
      <c r="R4059" s="127">
        <f t="shared" si="201"/>
        <v>0</v>
      </c>
      <c r="T4059" s="128">
        <f t="shared" si="202"/>
        <v>0</v>
      </c>
      <c r="U4059" s="129" t="str">
        <f>IFERROR(IF(#REF!="S",VLOOKUP('Raw Data'!A4059,References!#REF!,2,FALSE),(VLOOKUP($S4059,References!$B$3:$C$7,2,FALSE))),"")</f>
        <v/>
      </c>
      <c r="W4059" s="74" t="str">
        <f>IFERROR(VLOOKUP($O4059,'Customer List'!$A$1:$J$488,10,FALSE),"")</f>
        <v/>
      </c>
    </row>
    <row r="4060" spans="18:23">
      <c r="R4060" s="127">
        <f t="shared" si="201"/>
        <v>0</v>
      </c>
      <c r="T4060" s="128">
        <f t="shared" si="202"/>
        <v>0</v>
      </c>
      <c r="U4060" s="129" t="str">
        <f>IFERROR(IF(#REF!="S",VLOOKUP('Raw Data'!A4060,References!#REF!,2,FALSE),(VLOOKUP($S4060,References!$B$3:$C$7,2,FALSE))),"")</f>
        <v/>
      </c>
      <c r="W4060" s="74" t="str">
        <f>IFERROR(VLOOKUP($O4060,'Customer List'!$A$1:$J$488,10,FALSE),"")</f>
        <v/>
      </c>
    </row>
    <row r="4061" spans="18:23">
      <c r="R4061" s="127">
        <f t="shared" si="201"/>
        <v>0</v>
      </c>
      <c r="T4061" s="128">
        <f t="shared" si="202"/>
        <v>0</v>
      </c>
      <c r="U4061" s="129" t="str">
        <f>IFERROR(IF(#REF!="S",VLOOKUP('Raw Data'!A4061,References!#REF!,2,FALSE),(VLOOKUP($S4061,References!$B$3:$C$7,2,FALSE))),"")</f>
        <v/>
      </c>
      <c r="W4061" s="74" t="str">
        <f>IFERROR(VLOOKUP($O4061,'Customer List'!$A$1:$J$488,10,FALSE),"")</f>
        <v/>
      </c>
    </row>
    <row r="4062" spans="18:23">
      <c r="R4062" s="127">
        <f t="shared" si="201"/>
        <v>0</v>
      </c>
      <c r="T4062" s="128">
        <f t="shared" si="202"/>
        <v>0</v>
      </c>
      <c r="U4062" s="129" t="str">
        <f>IFERROR(IF(#REF!="S",VLOOKUP('Raw Data'!A4062,References!#REF!,2,FALSE),(VLOOKUP($S4062,References!$B$3:$C$7,2,FALSE))),"")</f>
        <v/>
      </c>
      <c r="W4062" s="74" t="str">
        <f>IFERROR(VLOOKUP($O4062,'Customer List'!$A$1:$J$488,10,FALSE),"")</f>
        <v/>
      </c>
    </row>
    <row r="4063" spans="18:23">
      <c r="R4063" s="127">
        <f t="shared" si="201"/>
        <v>0</v>
      </c>
      <c r="T4063" s="128">
        <f t="shared" si="202"/>
        <v>0</v>
      </c>
      <c r="U4063" s="129" t="str">
        <f>IFERROR(IF(#REF!="S",VLOOKUP('Raw Data'!A4063,References!#REF!,2,FALSE),(VLOOKUP($S4063,References!$B$3:$C$7,2,FALSE))),"")</f>
        <v/>
      </c>
      <c r="W4063" s="74" t="str">
        <f>IFERROR(VLOOKUP($O4063,'Customer List'!$A$1:$J$488,10,FALSE),"")</f>
        <v/>
      </c>
    </row>
    <row r="4064" spans="18:23">
      <c r="R4064" s="127">
        <f t="shared" si="201"/>
        <v>0</v>
      </c>
      <c r="T4064" s="128">
        <f t="shared" si="202"/>
        <v>0</v>
      </c>
      <c r="U4064" s="129" t="str">
        <f>IFERROR(IF(#REF!="S",VLOOKUP('Raw Data'!A4064,References!#REF!,2,FALSE),(VLOOKUP($S4064,References!$B$3:$C$7,2,FALSE))),"")</f>
        <v/>
      </c>
      <c r="W4064" s="74" t="str">
        <f>IFERROR(VLOOKUP($O4064,'Customer List'!$A$1:$J$488,10,FALSE),"")</f>
        <v/>
      </c>
    </row>
    <row r="4065" spans="18:23">
      <c r="R4065" s="127">
        <f t="shared" si="201"/>
        <v>0</v>
      </c>
      <c r="T4065" s="128">
        <f t="shared" si="202"/>
        <v>0</v>
      </c>
      <c r="U4065" s="129" t="str">
        <f>IFERROR(IF(#REF!="S",VLOOKUP('Raw Data'!A4065,References!#REF!,2,FALSE),(VLOOKUP($S4065,References!$B$3:$C$7,2,FALSE))),"")</f>
        <v/>
      </c>
      <c r="W4065" s="74" t="str">
        <f>IFERROR(VLOOKUP($O4065,'Customer List'!$A$1:$J$488,10,FALSE),"")</f>
        <v/>
      </c>
    </row>
    <row r="4066" spans="18:23">
      <c r="R4066" s="127">
        <f t="shared" ref="R4066:R4129" si="203">L4066-K4066</f>
        <v>0</v>
      </c>
      <c r="T4066" s="128">
        <f t="shared" si="202"/>
        <v>0</v>
      </c>
      <c r="U4066" s="129" t="str">
        <f>IFERROR(IF(#REF!="S",VLOOKUP('Raw Data'!A4066,References!#REF!,2,FALSE),(VLOOKUP($S4066,References!$B$3:$C$7,2,FALSE))),"")</f>
        <v/>
      </c>
      <c r="W4066" s="74" t="str">
        <f>IFERROR(VLOOKUP($O4066,'Customer List'!$A$1:$J$488,10,FALSE),"")</f>
        <v/>
      </c>
    </row>
    <row r="4067" spans="18:23">
      <c r="R4067" s="127">
        <f t="shared" si="203"/>
        <v>0</v>
      </c>
      <c r="T4067" s="128">
        <f t="shared" si="202"/>
        <v>0</v>
      </c>
      <c r="U4067" s="129" t="str">
        <f>IFERROR(IF(#REF!="S",VLOOKUP('Raw Data'!A4067,References!#REF!,2,FALSE),(VLOOKUP($S4067,References!$B$3:$C$7,2,FALSE))),"")</f>
        <v/>
      </c>
      <c r="W4067" s="74" t="str">
        <f>IFERROR(VLOOKUP($O4067,'Customer List'!$A$1:$J$488,10,FALSE),"")</f>
        <v/>
      </c>
    </row>
    <row r="4068" spans="18:23">
      <c r="R4068" s="127">
        <f t="shared" si="203"/>
        <v>0</v>
      </c>
      <c r="T4068" s="128">
        <f t="shared" si="202"/>
        <v>0</v>
      </c>
      <c r="U4068" s="129" t="str">
        <f>IFERROR(IF(#REF!="S",VLOOKUP('Raw Data'!A4068,References!#REF!,2,FALSE),(VLOOKUP($S4068,References!$B$3:$C$7,2,FALSE))),"")</f>
        <v/>
      </c>
      <c r="W4068" s="74" t="str">
        <f>IFERROR(VLOOKUP($O4068,'Customer List'!$A$1:$J$488,10,FALSE),"")</f>
        <v/>
      </c>
    </row>
    <row r="4069" spans="18:23">
      <c r="R4069" s="127">
        <f t="shared" si="203"/>
        <v>0</v>
      </c>
      <c r="T4069" s="128">
        <f t="shared" si="202"/>
        <v>0</v>
      </c>
      <c r="U4069" s="129" t="str">
        <f>IFERROR(IF(#REF!="S",VLOOKUP('Raw Data'!A4069,References!#REF!,2,FALSE),(VLOOKUP($S4069,References!$B$3:$C$7,2,FALSE))),"")</f>
        <v/>
      </c>
      <c r="W4069" s="74" t="str">
        <f>IFERROR(VLOOKUP($O4069,'Customer List'!$A$1:$J$488,10,FALSE),"")</f>
        <v/>
      </c>
    </row>
    <row r="4070" spans="18:23">
      <c r="R4070" s="127">
        <f t="shared" si="203"/>
        <v>0</v>
      </c>
      <c r="T4070" s="128">
        <f t="shared" si="202"/>
        <v>0</v>
      </c>
      <c r="U4070" s="129" t="str">
        <f>IFERROR(IF(#REF!="S",VLOOKUP('Raw Data'!A4070,References!#REF!,2,FALSE),(VLOOKUP($S4070,References!$B$3:$C$7,2,FALSE))),"")</f>
        <v/>
      </c>
      <c r="W4070" s="74" t="str">
        <f>IFERROR(VLOOKUP($O4070,'Customer List'!$A$1:$J$488,10,FALSE),"")</f>
        <v/>
      </c>
    </row>
    <row r="4071" spans="18:23">
      <c r="R4071" s="127">
        <f t="shared" si="203"/>
        <v>0</v>
      </c>
      <c r="T4071" s="128">
        <f t="shared" si="202"/>
        <v>0</v>
      </c>
      <c r="U4071" s="129" t="str">
        <f>IFERROR(IF(#REF!="S",VLOOKUP('Raw Data'!A4071,References!#REF!,2,FALSE),(VLOOKUP($S4071,References!$B$3:$C$7,2,FALSE))),"")</f>
        <v/>
      </c>
      <c r="W4071" s="74" t="str">
        <f>IFERROR(VLOOKUP($O4071,'Customer List'!$A$1:$J$488,10,FALSE),"")</f>
        <v/>
      </c>
    </row>
    <row r="4072" spans="18:23">
      <c r="R4072" s="127">
        <f t="shared" si="203"/>
        <v>0</v>
      </c>
      <c r="T4072" s="128">
        <f t="shared" si="202"/>
        <v>0</v>
      </c>
      <c r="U4072" s="129" t="str">
        <f>IFERROR(IF(#REF!="S",VLOOKUP('Raw Data'!A4072,References!#REF!,2,FALSE),(VLOOKUP($S4072,References!$B$3:$C$7,2,FALSE))),"")</f>
        <v/>
      </c>
      <c r="W4072" s="74" t="str">
        <f>IFERROR(VLOOKUP($O4072,'Customer List'!$A$1:$J$488,10,FALSE),"")</f>
        <v/>
      </c>
    </row>
    <row r="4073" spans="18:23">
      <c r="R4073" s="127">
        <f t="shared" si="203"/>
        <v>0</v>
      </c>
      <c r="T4073" s="128">
        <f t="shared" si="202"/>
        <v>0</v>
      </c>
      <c r="U4073" s="129" t="str">
        <f>IFERROR(IF(#REF!="S",VLOOKUP('Raw Data'!A4073,References!#REF!,2,FALSE),(VLOOKUP($S4073,References!$B$3:$C$7,2,FALSE))),"")</f>
        <v/>
      </c>
      <c r="W4073" s="74" t="str">
        <f>IFERROR(VLOOKUP($O4073,'Customer List'!$A$1:$J$488,10,FALSE),"")</f>
        <v/>
      </c>
    </row>
    <row r="4074" spans="18:23">
      <c r="R4074" s="127">
        <f t="shared" si="203"/>
        <v>0</v>
      </c>
      <c r="T4074" s="128">
        <f t="shared" si="202"/>
        <v>0</v>
      </c>
      <c r="U4074" s="129" t="str">
        <f>IFERROR(IF(#REF!="S",VLOOKUP('Raw Data'!A4074,References!#REF!,2,FALSE),(VLOOKUP($S4074,References!$B$3:$C$7,2,FALSE))),"")</f>
        <v/>
      </c>
      <c r="W4074" s="74" t="str">
        <f>IFERROR(VLOOKUP($O4074,'Customer List'!$A$1:$J$488,10,FALSE),"")</f>
        <v/>
      </c>
    </row>
    <row r="4075" spans="18:23">
      <c r="R4075" s="127">
        <f t="shared" si="203"/>
        <v>0</v>
      </c>
      <c r="T4075" s="128">
        <f t="shared" si="202"/>
        <v>0</v>
      </c>
      <c r="U4075" s="129" t="str">
        <f>IFERROR(IF(#REF!="S",VLOOKUP('Raw Data'!A4075,References!#REF!,2,FALSE),(VLOOKUP($S4075,References!$B$3:$C$7,2,FALSE))),"")</f>
        <v/>
      </c>
      <c r="W4075" s="74" t="str">
        <f>IFERROR(VLOOKUP($O4075,'Customer List'!$A$1:$J$488,10,FALSE),"")</f>
        <v/>
      </c>
    </row>
    <row r="4076" spans="18:23">
      <c r="R4076" s="127">
        <f t="shared" si="203"/>
        <v>0</v>
      </c>
      <c r="T4076" s="128">
        <f t="shared" si="202"/>
        <v>0</v>
      </c>
      <c r="U4076" s="129" t="str">
        <f>IFERROR(IF(#REF!="S",VLOOKUP('Raw Data'!A4076,References!#REF!,2,FALSE),(VLOOKUP($S4076,References!$B$3:$C$7,2,FALSE))),"")</f>
        <v/>
      </c>
      <c r="W4076" s="74" t="str">
        <f>IFERROR(VLOOKUP($O4076,'Customer List'!$A$1:$J$488,10,FALSE),"")</f>
        <v/>
      </c>
    </row>
    <row r="4077" spans="18:23">
      <c r="R4077" s="127">
        <f t="shared" si="203"/>
        <v>0</v>
      </c>
      <c r="T4077" s="128">
        <f t="shared" si="202"/>
        <v>0</v>
      </c>
      <c r="U4077" s="129" t="str">
        <f>IFERROR(IF(#REF!="S",VLOOKUP('Raw Data'!A4077,References!#REF!,2,FALSE),(VLOOKUP($S4077,References!$B$3:$C$7,2,FALSE))),"")</f>
        <v/>
      </c>
      <c r="W4077" s="74" t="str">
        <f>IFERROR(VLOOKUP($O4077,'Customer List'!$A$1:$J$488,10,FALSE),"")</f>
        <v/>
      </c>
    </row>
    <row r="4078" spans="18:23">
      <c r="R4078" s="127">
        <f t="shared" si="203"/>
        <v>0</v>
      </c>
      <c r="T4078" s="128">
        <f t="shared" si="202"/>
        <v>0</v>
      </c>
      <c r="U4078" s="129" t="str">
        <f>IFERROR(IF(#REF!="S",VLOOKUP('Raw Data'!A4078,References!#REF!,2,FALSE),(VLOOKUP($S4078,References!$B$3:$C$7,2,FALSE))),"")</f>
        <v/>
      </c>
      <c r="W4078" s="74" t="str">
        <f>IFERROR(VLOOKUP($O4078,'Customer List'!$A$1:$J$488,10,FALSE),"")</f>
        <v/>
      </c>
    </row>
    <row r="4079" spans="18:23">
      <c r="R4079" s="127">
        <f t="shared" si="203"/>
        <v>0</v>
      </c>
      <c r="T4079" s="128">
        <f t="shared" si="202"/>
        <v>0</v>
      </c>
      <c r="U4079" s="129" t="str">
        <f>IFERROR(IF(#REF!="S",VLOOKUP('Raw Data'!A4079,References!#REF!,2,FALSE),(VLOOKUP($S4079,References!$B$3:$C$7,2,FALSE))),"")</f>
        <v/>
      </c>
      <c r="W4079" s="74" t="str">
        <f>IFERROR(VLOOKUP($O4079,'Customer List'!$A$1:$J$488,10,FALSE),"")</f>
        <v/>
      </c>
    </row>
    <row r="4080" spans="18:23">
      <c r="R4080" s="127">
        <f t="shared" si="203"/>
        <v>0</v>
      </c>
      <c r="T4080" s="128">
        <f t="shared" si="202"/>
        <v>0</v>
      </c>
      <c r="U4080" s="129" t="str">
        <f>IFERROR(IF(#REF!="S",VLOOKUP('Raw Data'!A4080,References!#REF!,2,FALSE),(VLOOKUP($S4080,References!$B$3:$C$7,2,FALSE))),"")</f>
        <v/>
      </c>
      <c r="W4080" s="74" t="str">
        <f>IFERROR(VLOOKUP($O4080,'Customer List'!$A$1:$J$488,10,FALSE),"")</f>
        <v/>
      </c>
    </row>
    <row r="4081" spans="18:23">
      <c r="R4081" s="127">
        <f t="shared" si="203"/>
        <v>0</v>
      </c>
      <c r="T4081" s="128">
        <f t="shared" si="202"/>
        <v>0</v>
      </c>
      <c r="U4081" s="129" t="str">
        <f>IFERROR(IF(#REF!="S",VLOOKUP('Raw Data'!A4081,References!#REF!,2,FALSE),(VLOOKUP($S4081,References!$B$3:$C$7,2,FALSE))),"")</f>
        <v/>
      </c>
      <c r="W4081" s="74" t="str">
        <f>IFERROR(VLOOKUP($O4081,'Customer List'!$A$1:$J$488,10,FALSE),"")</f>
        <v/>
      </c>
    </row>
    <row r="4082" spans="18:23">
      <c r="R4082" s="127">
        <f t="shared" si="203"/>
        <v>0</v>
      </c>
      <c r="T4082" s="128">
        <f t="shared" si="202"/>
        <v>0</v>
      </c>
      <c r="U4082" s="129" t="str">
        <f>IFERROR(IF(#REF!="S",VLOOKUP('Raw Data'!A4082,References!#REF!,2,FALSE),(VLOOKUP($S4082,References!$B$3:$C$7,2,FALSE))),"")</f>
        <v/>
      </c>
      <c r="W4082" s="74" t="str">
        <f>IFERROR(VLOOKUP($O4082,'Customer List'!$A$1:$J$488,10,FALSE),"")</f>
        <v/>
      </c>
    </row>
    <row r="4083" spans="18:23">
      <c r="R4083" s="127">
        <f t="shared" si="203"/>
        <v>0</v>
      </c>
      <c r="T4083" s="128">
        <f t="shared" si="202"/>
        <v>0</v>
      </c>
      <c r="U4083" s="129" t="str">
        <f>IFERROR(IF(#REF!="S",VLOOKUP('Raw Data'!A4083,References!#REF!,2,FALSE),(VLOOKUP($S4083,References!$B$3:$C$7,2,FALSE))),"")</f>
        <v/>
      </c>
      <c r="W4083" s="74" t="str">
        <f>IFERROR(VLOOKUP($O4083,'Customer List'!$A$1:$J$488,10,FALSE),"")</f>
        <v/>
      </c>
    </row>
    <row r="4084" spans="18:23">
      <c r="R4084" s="127">
        <f t="shared" si="203"/>
        <v>0</v>
      </c>
      <c r="T4084" s="128">
        <f t="shared" si="202"/>
        <v>0</v>
      </c>
      <c r="U4084" s="129" t="str">
        <f>IFERROR(IF(#REF!="S",VLOOKUP('Raw Data'!A4084,References!#REF!,2,FALSE),(VLOOKUP($S4084,References!$B$3:$C$7,2,FALSE))),"")</f>
        <v/>
      </c>
      <c r="W4084" s="74" t="str">
        <f>IFERROR(VLOOKUP($O4084,'Customer List'!$A$1:$J$488,10,FALSE),"")</f>
        <v/>
      </c>
    </row>
    <row r="4085" spans="18:23">
      <c r="R4085" s="127">
        <f t="shared" si="203"/>
        <v>0</v>
      </c>
      <c r="T4085" s="128">
        <f t="shared" si="202"/>
        <v>0</v>
      </c>
      <c r="U4085" s="129" t="str">
        <f>IFERROR(IF(#REF!="S",VLOOKUP('Raw Data'!A4085,References!#REF!,2,FALSE),(VLOOKUP($S4085,References!$B$3:$C$7,2,FALSE))),"")</f>
        <v/>
      </c>
      <c r="W4085" s="74" t="str">
        <f>IFERROR(VLOOKUP($O4085,'Customer List'!$A$1:$J$488,10,FALSE),"")</f>
        <v/>
      </c>
    </row>
    <row r="4086" spans="18:23">
      <c r="R4086" s="127">
        <f t="shared" si="203"/>
        <v>0</v>
      </c>
      <c r="T4086" s="128">
        <f t="shared" si="202"/>
        <v>0</v>
      </c>
      <c r="U4086" s="129" t="str">
        <f>IFERROR(IF(#REF!="S",VLOOKUP('Raw Data'!A4086,References!#REF!,2,FALSE),(VLOOKUP($S4086,References!$B$3:$C$7,2,FALSE))),"")</f>
        <v/>
      </c>
      <c r="W4086" s="74" t="str">
        <f>IFERROR(VLOOKUP($O4086,'Customer List'!$A$1:$J$488,10,FALSE),"")</f>
        <v/>
      </c>
    </row>
    <row r="4087" spans="18:23">
      <c r="R4087" s="127">
        <f t="shared" si="203"/>
        <v>0</v>
      </c>
      <c r="T4087" s="128">
        <f t="shared" si="202"/>
        <v>0</v>
      </c>
      <c r="U4087" s="129" t="str">
        <f>IFERROR(IF(#REF!="S",VLOOKUP('Raw Data'!A4087,References!#REF!,2,FALSE),(VLOOKUP($S4087,References!$B$3:$C$7,2,FALSE))),"")</f>
        <v/>
      </c>
      <c r="W4087" s="74" t="str">
        <f>IFERROR(VLOOKUP($O4087,'Customer List'!$A$1:$J$488,10,FALSE),"")</f>
        <v/>
      </c>
    </row>
    <row r="4088" spans="18:23">
      <c r="R4088" s="127">
        <f t="shared" si="203"/>
        <v>0</v>
      </c>
      <c r="T4088" s="128">
        <f t="shared" si="202"/>
        <v>0</v>
      </c>
      <c r="U4088" s="129" t="str">
        <f>IFERROR(IF(#REF!="S",VLOOKUP('Raw Data'!A4088,References!#REF!,2,FALSE),(VLOOKUP($S4088,References!$B$3:$C$7,2,FALSE))),"")</f>
        <v/>
      </c>
      <c r="W4088" s="74" t="str">
        <f>IFERROR(VLOOKUP($O4088,'Customer List'!$A$1:$J$488,10,FALSE),"")</f>
        <v/>
      </c>
    </row>
    <row r="4089" spans="18:23">
      <c r="R4089" s="127">
        <f t="shared" si="203"/>
        <v>0</v>
      </c>
      <c r="T4089" s="128">
        <f t="shared" si="202"/>
        <v>0</v>
      </c>
      <c r="U4089" s="129" t="str">
        <f>IFERROR(IF(#REF!="S",VLOOKUP('Raw Data'!A4089,References!#REF!,2,FALSE),(VLOOKUP($S4089,References!$B$3:$C$7,2,FALSE))),"")</f>
        <v/>
      </c>
      <c r="W4089" s="74" t="str">
        <f>IFERROR(VLOOKUP($O4089,'Customer List'!$A$1:$J$488,10,FALSE),"")</f>
        <v/>
      </c>
    </row>
    <row r="4090" spans="18:23">
      <c r="R4090" s="127">
        <f t="shared" si="203"/>
        <v>0</v>
      </c>
      <c r="T4090" s="128">
        <f t="shared" si="202"/>
        <v>0</v>
      </c>
      <c r="U4090" s="129" t="str">
        <f>IFERROR(IF(#REF!="S",VLOOKUP('Raw Data'!A4090,References!#REF!,2,FALSE),(VLOOKUP($S4090,References!$B$3:$C$7,2,FALSE))),"")</f>
        <v/>
      </c>
      <c r="W4090" s="74" t="str">
        <f>IFERROR(VLOOKUP($O4090,'Customer List'!$A$1:$J$488,10,FALSE),"")</f>
        <v/>
      </c>
    </row>
    <row r="4091" spans="18:23">
      <c r="R4091" s="127">
        <f t="shared" si="203"/>
        <v>0</v>
      </c>
      <c r="T4091" s="128">
        <f t="shared" si="202"/>
        <v>0</v>
      </c>
      <c r="U4091" s="129" t="str">
        <f>IFERROR(IF(#REF!="S",VLOOKUP('Raw Data'!A4091,References!#REF!,2,FALSE),(VLOOKUP($S4091,References!$B$3:$C$7,2,FALSE))),"")</f>
        <v/>
      </c>
      <c r="W4091" s="74" t="str">
        <f>IFERROR(VLOOKUP($O4091,'Customer List'!$A$1:$J$488,10,FALSE),"")</f>
        <v/>
      </c>
    </row>
    <row r="4092" spans="18:23">
      <c r="R4092" s="127">
        <f t="shared" si="203"/>
        <v>0</v>
      </c>
      <c r="T4092" s="128">
        <f t="shared" si="202"/>
        <v>0</v>
      </c>
      <c r="U4092" s="129" t="str">
        <f>IFERROR(IF(#REF!="S",VLOOKUP('Raw Data'!A4092,References!#REF!,2,FALSE),(VLOOKUP($S4092,References!$B$3:$C$7,2,FALSE))),"")</f>
        <v/>
      </c>
      <c r="W4092" s="74" t="str">
        <f>IFERROR(VLOOKUP($O4092,'Customer List'!$A$1:$J$488,10,FALSE),"")</f>
        <v/>
      </c>
    </row>
    <row r="4093" spans="18:23">
      <c r="R4093" s="127">
        <f t="shared" si="203"/>
        <v>0</v>
      </c>
      <c r="T4093" s="128">
        <f t="shared" si="202"/>
        <v>0</v>
      </c>
      <c r="U4093" s="129" t="str">
        <f>IFERROR(IF(#REF!="S",VLOOKUP('Raw Data'!A4093,References!#REF!,2,FALSE),(VLOOKUP($S4093,References!$B$3:$C$7,2,FALSE))),"")</f>
        <v/>
      </c>
      <c r="W4093" s="74" t="str">
        <f>IFERROR(VLOOKUP($O4093,'Customer List'!$A$1:$J$488,10,FALSE),"")</f>
        <v/>
      </c>
    </row>
    <row r="4094" spans="18:23">
      <c r="R4094" s="127">
        <f t="shared" si="203"/>
        <v>0</v>
      </c>
      <c r="T4094" s="128">
        <f t="shared" si="202"/>
        <v>0</v>
      </c>
      <c r="U4094" s="129" t="str">
        <f>IFERROR(IF(#REF!="S",VLOOKUP('Raw Data'!A4094,References!#REF!,2,FALSE),(VLOOKUP($S4094,References!$B$3:$C$7,2,FALSE))),"")</f>
        <v/>
      </c>
      <c r="W4094" s="74" t="str">
        <f>IFERROR(VLOOKUP($O4094,'Customer List'!$A$1:$J$488,10,FALSE),"")</f>
        <v/>
      </c>
    </row>
    <row r="4095" spans="18:23">
      <c r="R4095" s="127">
        <f t="shared" si="203"/>
        <v>0</v>
      </c>
      <c r="T4095" s="128">
        <f t="shared" si="202"/>
        <v>0</v>
      </c>
      <c r="U4095" s="129" t="str">
        <f>IFERROR(IF(#REF!="S",VLOOKUP('Raw Data'!A4095,References!#REF!,2,FALSE),(VLOOKUP($S4095,References!$B$3:$C$7,2,FALSE))),"")</f>
        <v/>
      </c>
      <c r="W4095" s="74" t="str">
        <f>IFERROR(VLOOKUP($O4095,'Customer List'!$A$1:$J$488,10,FALSE),"")</f>
        <v/>
      </c>
    </row>
    <row r="4096" spans="18:23">
      <c r="R4096" s="127">
        <f t="shared" si="203"/>
        <v>0</v>
      </c>
      <c r="T4096" s="128">
        <f t="shared" si="202"/>
        <v>0</v>
      </c>
      <c r="U4096" s="129" t="str">
        <f>IFERROR(IF(#REF!="S",VLOOKUP('Raw Data'!A4096,References!#REF!,2,FALSE),(VLOOKUP($S4096,References!$B$3:$C$7,2,FALSE))),"")</f>
        <v/>
      </c>
      <c r="W4096" s="74" t="str">
        <f>IFERROR(VLOOKUP($O4096,'Customer List'!$A$1:$J$488,10,FALSE),"")</f>
        <v/>
      </c>
    </row>
    <row r="4097" spans="18:23">
      <c r="R4097" s="127">
        <f t="shared" si="203"/>
        <v>0</v>
      </c>
      <c r="T4097" s="128">
        <f t="shared" si="202"/>
        <v>0</v>
      </c>
      <c r="U4097" s="129" t="str">
        <f>IFERROR(IF(#REF!="S",VLOOKUP('Raw Data'!A4097,References!#REF!,2,FALSE),(VLOOKUP($S4097,References!$B$3:$C$7,2,FALSE))),"")</f>
        <v/>
      </c>
      <c r="W4097" s="74" t="str">
        <f>IFERROR(VLOOKUP($O4097,'Customer List'!$A$1:$J$488,10,FALSE),"")</f>
        <v/>
      </c>
    </row>
    <row r="4098" spans="18:23">
      <c r="R4098" s="127">
        <f t="shared" si="203"/>
        <v>0</v>
      </c>
      <c r="T4098" s="128">
        <f t="shared" si="202"/>
        <v>0</v>
      </c>
      <c r="U4098" s="129" t="str">
        <f>IFERROR(IF(#REF!="S",VLOOKUP('Raw Data'!A4098,References!#REF!,2,FALSE),(VLOOKUP($S4098,References!$B$3:$C$7,2,FALSE))),"")</f>
        <v/>
      </c>
      <c r="W4098" s="74" t="str">
        <f>IFERROR(VLOOKUP($O4098,'Customer List'!$A$1:$J$488,10,FALSE),"")</f>
        <v/>
      </c>
    </row>
    <row r="4099" spans="18:23">
      <c r="R4099" s="127">
        <f t="shared" si="203"/>
        <v>0</v>
      </c>
      <c r="T4099" s="128">
        <f t="shared" si="202"/>
        <v>0</v>
      </c>
      <c r="U4099" s="129" t="str">
        <f>IFERROR(IF(#REF!="S",VLOOKUP('Raw Data'!A4099,References!#REF!,2,FALSE),(VLOOKUP($S4099,References!$B$3:$C$7,2,FALSE))),"")</f>
        <v/>
      </c>
      <c r="W4099" s="74" t="str">
        <f>IFERROR(VLOOKUP($O4099,'Customer List'!$A$1:$J$488,10,FALSE),"")</f>
        <v/>
      </c>
    </row>
    <row r="4100" spans="18:23">
      <c r="R4100" s="127">
        <f t="shared" si="203"/>
        <v>0</v>
      </c>
      <c r="T4100" s="128">
        <f t="shared" si="202"/>
        <v>0</v>
      </c>
      <c r="U4100" s="129" t="str">
        <f>IFERROR(IF(#REF!="S",VLOOKUP('Raw Data'!A4100,References!#REF!,2,FALSE),(VLOOKUP($S4100,References!$B$3:$C$7,2,FALSE))),"")</f>
        <v/>
      </c>
      <c r="W4100" s="74" t="str">
        <f>IFERROR(VLOOKUP($O4100,'Customer List'!$A$1:$J$488,10,FALSE),"")</f>
        <v/>
      </c>
    </row>
    <row r="4101" spans="18:23">
      <c r="R4101" s="127">
        <f t="shared" si="203"/>
        <v>0</v>
      </c>
      <c r="T4101" s="128">
        <f t="shared" si="202"/>
        <v>0</v>
      </c>
      <c r="U4101" s="129" t="str">
        <f>IFERROR(IF(#REF!="S",VLOOKUP('Raw Data'!A4101,References!#REF!,2,FALSE),(VLOOKUP($S4101,References!$B$3:$C$7,2,FALSE))),"")</f>
        <v/>
      </c>
      <c r="W4101" s="74" t="str">
        <f>IFERROR(VLOOKUP($O4101,'Customer List'!$A$1:$J$488,10,FALSE),"")</f>
        <v/>
      </c>
    </row>
    <row r="4102" spans="18:23">
      <c r="R4102" s="127">
        <f t="shared" si="203"/>
        <v>0</v>
      </c>
      <c r="T4102" s="128">
        <f t="shared" si="202"/>
        <v>0</v>
      </c>
      <c r="U4102" s="129" t="str">
        <f>IFERROR(IF(#REF!="S",VLOOKUP('Raw Data'!A4102,References!#REF!,2,FALSE),(VLOOKUP($S4102,References!$B$3:$C$7,2,FALSE))),"")</f>
        <v/>
      </c>
      <c r="W4102" s="74" t="str">
        <f>IFERROR(VLOOKUP($O4102,'Customer List'!$A$1:$J$488,10,FALSE),"")</f>
        <v/>
      </c>
    </row>
    <row r="4103" spans="18:23">
      <c r="R4103" s="127">
        <f t="shared" si="203"/>
        <v>0</v>
      </c>
      <c r="T4103" s="128">
        <f t="shared" si="202"/>
        <v>0</v>
      </c>
      <c r="U4103" s="129" t="str">
        <f>IFERROR(IF(#REF!="S",VLOOKUP('Raw Data'!A4103,References!#REF!,2,FALSE),(VLOOKUP($S4103,References!$B$3:$C$7,2,FALSE))),"")</f>
        <v/>
      </c>
      <c r="W4103" s="74" t="str">
        <f>IFERROR(VLOOKUP($O4103,'Customer List'!$A$1:$J$488,10,FALSE),"")</f>
        <v/>
      </c>
    </row>
    <row r="4104" spans="18:23">
      <c r="R4104" s="127">
        <f t="shared" si="203"/>
        <v>0</v>
      </c>
      <c r="T4104" s="128">
        <f t="shared" si="202"/>
        <v>0</v>
      </c>
      <c r="U4104" s="129" t="str">
        <f>IFERROR(IF(#REF!="S",VLOOKUP('Raw Data'!A4104,References!#REF!,2,FALSE),(VLOOKUP($S4104,References!$B$3:$C$7,2,FALSE))),"")</f>
        <v/>
      </c>
      <c r="W4104" s="74" t="str">
        <f>IFERROR(VLOOKUP($O4104,'Customer List'!$A$1:$J$488,10,FALSE),"")</f>
        <v/>
      </c>
    </row>
    <row r="4105" spans="18:23">
      <c r="R4105" s="127">
        <f t="shared" si="203"/>
        <v>0</v>
      </c>
      <c r="T4105" s="128">
        <f t="shared" si="202"/>
        <v>0</v>
      </c>
      <c r="U4105" s="129" t="str">
        <f>IFERROR(IF(#REF!="S",VLOOKUP('Raw Data'!A4105,References!#REF!,2,FALSE),(VLOOKUP($S4105,References!$B$3:$C$7,2,FALSE))),"")</f>
        <v/>
      </c>
      <c r="W4105" s="74" t="str">
        <f>IFERROR(VLOOKUP($O4105,'Customer List'!$A$1:$J$488,10,FALSE),"")</f>
        <v/>
      </c>
    </row>
    <row r="4106" spans="18:23">
      <c r="R4106" s="127">
        <f t="shared" si="203"/>
        <v>0</v>
      </c>
      <c r="T4106" s="128">
        <f t="shared" ref="T4106:T4169" si="204">IF(S4106="50 - Cleaning Fee",1,HOUR($R4106)+MINUTE(R4106)/60)</f>
        <v>0</v>
      </c>
      <c r="U4106" s="129" t="str">
        <f>IFERROR(IF(#REF!="S",VLOOKUP('Raw Data'!A4106,References!#REF!,2,FALSE),(VLOOKUP($S4106,References!$B$3:$C$7,2,FALSE))),"")</f>
        <v/>
      </c>
      <c r="W4106" s="74" t="str">
        <f>IFERROR(VLOOKUP($O4106,'Customer List'!$A$1:$J$488,10,FALSE),"")</f>
        <v/>
      </c>
    </row>
    <row r="4107" spans="18:23">
      <c r="R4107" s="127">
        <f t="shared" si="203"/>
        <v>0</v>
      </c>
      <c r="T4107" s="128">
        <f t="shared" si="204"/>
        <v>0</v>
      </c>
      <c r="U4107" s="129" t="str">
        <f>IFERROR(IF(#REF!="S",VLOOKUP('Raw Data'!A4107,References!#REF!,2,FALSE),(VLOOKUP($S4107,References!$B$3:$C$7,2,FALSE))),"")</f>
        <v/>
      </c>
      <c r="W4107" s="74" t="str">
        <f>IFERROR(VLOOKUP($O4107,'Customer List'!$A$1:$J$488,10,FALSE),"")</f>
        <v/>
      </c>
    </row>
    <row r="4108" spans="18:23">
      <c r="R4108" s="127">
        <f t="shared" si="203"/>
        <v>0</v>
      </c>
      <c r="T4108" s="128">
        <f t="shared" si="204"/>
        <v>0</v>
      </c>
      <c r="U4108" s="129" t="str">
        <f>IFERROR(IF(#REF!="S",VLOOKUP('Raw Data'!A4108,References!#REF!,2,FALSE),(VLOOKUP($S4108,References!$B$3:$C$7,2,FALSE))),"")</f>
        <v/>
      </c>
      <c r="W4108" s="74" t="str">
        <f>IFERROR(VLOOKUP($O4108,'Customer List'!$A$1:$J$488,10,FALSE),"")</f>
        <v/>
      </c>
    </row>
    <row r="4109" spans="18:23">
      <c r="R4109" s="127">
        <f t="shared" si="203"/>
        <v>0</v>
      </c>
      <c r="T4109" s="128">
        <f t="shared" si="204"/>
        <v>0</v>
      </c>
      <c r="U4109" s="129" t="str">
        <f>IFERROR(IF(#REF!="S",VLOOKUP('Raw Data'!A4109,References!#REF!,2,FALSE),(VLOOKUP($S4109,References!$B$3:$C$7,2,FALSE))),"")</f>
        <v/>
      </c>
      <c r="W4109" s="74" t="str">
        <f>IFERROR(VLOOKUP($O4109,'Customer List'!$A$1:$J$488,10,FALSE),"")</f>
        <v/>
      </c>
    </row>
    <row r="4110" spans="18:23">
      <c r="R4110" s="127">
        <f t="shared" si="203"/>
        <v>0</v>
      </c>
      <c r="T4110" s="128">
        <f t="shared" si="204"/>
        <v>0</v>
      </c>
      <c r="U4110" s="129" t="str">
        <f>IFERROR(IF(#REF!="S",VLOOKUP('Raw Data'!A4110,References!#REF!,2,FALSE),(VLOOKUP($S4110,References!$B$3:$C$7,2,FALSE))),"")</f>
        <v/>
      </c>
      <c r="W4110" s="74" t="str">
        <f>IFERROR(VLOOKUP($O4110,'Customer List'!$A$1:$J$488,10,FALSE),"")</f>
        <v/>
      </c>
    </row>
    <row r="4111" spans="18:23">
      <c r="R4111" s="127">
        <f t="shared" si="203"/>
        <v>0</v>
      </c>
      <c r="T4111" s="128">
        <f t="shared" si="204"/>
        <v>0</v>
      </c>
      <c r="U4111" s="129" t="str">
        <f>IFERROR(IF(#REF!="S",VLOOKUP('Raw Data'!A4111,References!#REF!,2,FALSE),(VLOOKUP($S4111,References!$B$3:$C$7,2,FALSE))),"")</f>
        <v/>
      </c>
      <c r="W4111" s="74" t="str">
        <f>IFERROR(VLOOKUP($O4111,'Customer List'!$A$1:$J$488,10,FALSE),"")</f>
        <v/>
      </c>
    </row>
    <row r="4112" spans="18:23">
      <c r="R4112" s="127">
        <f t="shared" si="203"/>
        <v>0</v>
      </c>
      <c r="T4112" s="128">
        <f t="shared" si="204"/>
        <v>0</v>
      </c>
      <c r="U4112" s="129" t="str">
        <f>IFERROR(IF(#REF!="S",VLOOKUP('Raw Data'!A4112,References!#REF!,2,FALSE),(VLOOKUP($S4112,References!$B$3:$C$7,2,FALSE))),"")</f>
        <v/>
      </c>
      <c r="W4112" s="74" t="str">
        <f>IFERROR(VLOOKUP($O4112,'Customer List'!$A$1:$J$488,10,FALSE),"")</f>
        <v/>
      </c>
    </row>
    <row r="4113" spans="18:23">
      <c r="R4113" s="127">
        <f t="shared" si="203"/>
        <v>0</v>
      </c>
      <c r="T4113" s="128">
        <f t="shared" si="204"/>
        <v>0</v>
      </c>
      <c r="U4113" s="129" t="str">
        <f>IFERROR(IF(#REF!="S",VLOOKUP('Raw Data'!A4113,References!#REF!,2,FALSE),(VLOOKUP($S4113,References!$B$3:$C$7,2,FALSE))),"")</f>
        <v/>
      </c>
      <c r="W4113" s="74" t="str">
        <f>IFERROR(VLOOKUP($O4113,'Customer List'!$A$1:$J$488,10,FALSE),"")</f>
        <v/>
      </c>
    </row>
    <row r="4114" spans="18:23">
      <c r="R4114" s="127">
        <f t="shared" si="203"/>
        <v>0</v>
      </c>
      <c r="T4114" s="128">
        <f t="shared" si="204"/>
        <v>0</v>
      </c>
      <c r="U4114" s="129" t="str">
        <f>IFERROR(IF(#REF!="S",VLOOKUP('Raw Data'!A4114,References!#REF!,2,FALSE),(VLOOKUP($S4114,References!$B$3:$C$7,2,FALSE))),"")</f>
        <v/>
      </c>
      <c r="W4114" s="74" t="str">
        <f>IFERROR(VLOOKUP($O4114,'Customer List'!$A$1:$J$488,10,FALSE),"")</f>
        <v/>
      </c>
    </row>
    <row r="4115" spans="18:23">
      <c r="R4115" s="127">
        <f t="shared" si="203"/>
        <v>0</v>
      </c>
      <c r="T4115" s="128">
        <f t="shared" si="204"/>
        <v>0</v>
      </c>
      <c r="U4115" s="129" t="str">
        <f>IFERROR(IF(#REF!="S",VLOOKUP('Raw Data'!A4115,References!#REF!,2,FALSE),(VLOOKUP($S4115,References!$B$3:$C$7,2,FALSE))),"")</f>
        <v/>
      </c>
      <c r="W4115" s="74" t="str">
        <f>IFERROR(VLOOKUP($O4115,'Customer List'!$A$1:$J$488,10,FALSE),"")</f>
        <v/>
      </c>
    </row>
    <row r="4116" spans="18:23">
      <c r="R4116" s="127">
        <f t="shared" si="203"/>
        <v>0</v>
      </c>
      <c r="T4116" s="128">
        <f t="shared" si="204"/>
        <v>0</v>
      </c>
      <c r="U4116" s="129" t="str">
        <f>IFERROR(IF(#REF!="S",VLOOKUP('Raw Data'!A4116,References!#REF!,2,FALSE),(VLOOKUP($S4116,References!$B$3:$C$7,2,FALSE))),"")</f>
        <v/>
      </c>
      <c r="W4116" s="74" t="str">
        <f>IFERROR(VLOOKUP($O4116,'Customer List'!$A$1:$J$488,10,FALSE),"")</f>
        <v/>
      </c>
    </row>
    <row r="4117" spans="18:23">
      <c r="R4117" s="127">
        <f t="shared" si="203"/>
        <v>0</v>
      </c>
      <c r="T4117" s="128">
        <f t="shared" si="204"/>
        <v>0</v>
      </c>
      <c r="U4117" s="129" t="str">
        <f>IFERROR(IF(#REF!="S",VLOOKUP('Raw Data'!A4117,References!#REF!,2,FALSE),(VLOOKUP($S4117,References!$B$3:$C$7,2,FALSE))),"")</f>
        <v/>
      </c>
      <c r="W4117" s="74" t="str">
        <f>IFERROR(VLOOKUP($O4117,'Customer List'!$A$1:$J$488,10,FALSE),"")</f>
        <v/>
      </c>
    </row>
    <row r="4118" spans="18:23">
      <c r="R4118" s="127">
        <f t="shared" si="203"/>
        <v>0</v>
      </c>
      <c r="T4118" s="128">
        <f t="shared" si="204"/>
        <v>0</v>
      </c>
      <c r="U4118" s="129" t="str">
        <f>IFERROR(IF(#REF!="S",VLOOKUP('Raw Data'!A4118,References!#REF!,2,FALSE),(VLOOKUP($S4118,References!$B$3:$C$7,2,FALSE))),"")</f>
        <v/>
      </c>
      <c r="W4118" s="74" t="str">
        <f>IFERROR(VLOOKUP($O4118,'Customer List'!$A$1:$J$488,10,FALSE),"")</f>
        <v/>
      </c>
    </row>
    <row r="4119" spans="18:23">
      <c r="R4119" s="127">
        <f t="shared" si="203"/>
        <v>0</v>
      </c>
      <c r="T4119" s="128">
        <f t="shared" si="204"/>
        <v>0</v>
      </c>
      <c r="U4119" s="129" t="str">
        <f>IFERROR(IF(#REF!="S",VLOOKUP('Raw Data'!A4119,References!#REF!,2,FALSE),(VLOOKUP($S4119,References!$B$3:$C$7,2,FALSE))),"")</f>
        <v/>
      </c>
      <c r="W4119" s="74" t="str">
        <f>IFERROR(VLOOKUP($O4119,'Customer List'!$A$1:$J$488,10,FALSE),"")</f>
        <v/>
      </c>
    </row>
    <row r="4120" spans="18:23">
      <c r="R4120" s="127">
        <f t="shared" si="203"/>
        <v>0</v>
      </c>
      <c r="T4120" s="128">
        <f t="shared" si="204"/>
        <v>0</v>
      </c>
      <c r="U4120" s="129" t="str">
        <f>IFERROR(IF(#REF!="S",VLOOKUP('Raw Data'!A4120,References!#REF!,2,FALSE),(VLOOKUP($S4120,References!$B$3:$C$7,2,FALSE))),"")</f>
        <v/>
      </c>
      <c r="W4120" s="74" t="str">
        <f>IFERROR(VLOOKUP($O4120,'Customer List'!$A$1:$J$488,10,FALSE),"")</f>
        <v/>
      </c>
    </row>
    <row r="4121" spans="18:23">
      <c r="R4121" s="127">
        <f t="shared" si="203"/>
        <v>0</v>
      </c>
      <c r="T4121" s="128">
        <f t="shared" si="204"/>
        <v>0</v>
      </c>
      <c r="U4121" s="129" t="str">
        <f>IFERROR(IF(#REF!="S",VLOOKUP('Raw Data'!A4121,References!#REF!,2,FALSE),(VLOOKUP($S4121,References!$B$3:$C$7,2,FALSE))),"")</f>
        <v/>
      </c>
      <c r="W4121" s="74" t="str">
        <f>IFERROR(VLOOKUP($O4121,'Customer List'!$A$1:$J$488,10,FALSE),"")</f>
        <v/>
      </c>
    </row>
    <row r="4122" spans="18:23">
      <c r="R4122" s="127">
        <f t="shared" si="203"/>
        <v>0</v>
      </c>
      <c r="T4122" s="128">
        <f t="shared" si="204"/>
        <v>0</v>
      </c>
      <c r="U4122" s="129" t="str">
        <f>IFERROR(IF(#REF!="S",VLOOKUP('Raw Data'!A4122,References!#REF!,2,FALSE),(VLOOKUP($S4122,References!$B$3:$C$7,2,FALSE))),"")</f>
        <v/>
      </c>
      <c r="W4122" s="74" t="str">
        <f>IFERROR(VLOOKUP($O4122,'Customer List'!$A$1:$J$488,10,FALSE),"")</f>
        <v/>
      </c>
    </row>
    <row r="4123" spans="18:23">
      <c r="R4123" s="127">
        <f t="shared" si="203"/>
        <v>0</v>
      </c>
      <c r="T4123" s="128">
        <f t="shared" si="204"/>
        <v>0</v>
      </c>
      <c r="U4123" s="129" t="str">
        <f>IFERROR(IF(#REF!="S",VLOOKUP('Raw Data'!A4123,References!#REF!,2,FALSE),(VLOOKUP($S4123,References!$B$3:$C$7,2,FALSE))),"")</f>
        <v/>
      </c>
      <c r="W4123" s="74" t="str">
        <f>IFERROR(VLOOKUP($O4123,'Customer List'!$A$1:$J$488,10,FALSE),"")</f>
        <v/>
      </c>
    </row>
    <row r="4124" spans="18:23">
      <c r="R4124" s="127">
        <f t="shared" si="203"/>
        <v>0</v>
      </c>
      <c r="T4124" s="128">
        <f t="shared" si="204"/>
        <v>0</v>
      </c>
      <c r="U4124" s="129" t="str">
        <f>IFERROR(IF(#REF!="S",VLOOKUP('Raw Data'!A4124,References!#REF!,2,FALSE),(VLOOKUP($S4124,References!$B$3:$C$7,2,FALSE))),"")</f>
        <v/>
      </c>
      <c r="W4124" s="74" t="str">
        <f>IFERROR(VLOOKUP($O4124,'Customer List'!$A$1:$J$488,10,FALSE),"")</f>
        <v/>
      </c>
    </row>
    <row r="4125" spans="18:23">
      <c r="R4125" s="127">
        <f t="shared" si="203"/>
        <v>0</v>
      </c>
      <c r="T4125" s="128">
        <f t="shared" si="204"/>
        <v>0</v>
      </c>
      <c r="U4125" s="129" t="str">
        <f>IFERROR(IF(#REF!="S",VLOOKUP('Raw Data'!A4125,References!#REF!,2,FALSE),(VLOOKUP($S4125,References!$B$3:$C$7,2,FALSE))),"")</f>
        <v/>
      </c>
      <c r="W4125" s="74" t="str">
        <f>IFERROR(VLOOKUP($O4125,'Customer List'!$A$1:$J$488,10,FALSE),"")</f>
        <v/>
      </c>
    </row>
    <row r="4126" spans="18:23">
      <c r="R4126" s="127">
        <f t="shared" si="203"/>
        <v>0</v>
      </c>
      <c r="T4126" s="128">
        <f t="shared" si="204"/>
        <v>0</v>
      </c>
      <c r="U4126" s="129" t="str">
        <f>IFERROR(IF(#REF!="S",VLOOKUP('Raw Data'!A4126,References!#REF!,2,FALSE),(VLOOKUP($S4126,References!$B$3:$C$7,2,FALSE))),"")</f>
        <v/>
      </c>
      <c r="W4126" s="74" t="str">
        <f>IFERROR(VLOOKUP($O4126,'Customer List'!$A$1:$J$488,10,FALSE),"")</f>
        <v/>
      </c>
    </row>
    <row r="4127" spans="18:23">
      <c r="R4127" s="127">
        <f t="shared" si="203"/>
        <v>0</v>
      </c>
      <c r="T4127" s="128">
        <f t="shared" si="204"/>
        <v>0</v>
      </c>
      <c r="U4127" s="129" t="str">
        <f>IFERROR(IF(#REF!="S",VLOOKUP('Raw Data'!A4127,References!#REF!,2,FALSE),(VLOOKUP($S4127,References!$B$3:$C$7,2,FALSE))),"")</f>
        <v/>
      </c>
      <c r="W4127" s="74" t="str">
        <f>IFERROR(VLOOKUP($O4127,'Customer List'!$A$1:$J$488,10,FALSE),"")</f>
        <v/>
      </c>
    </row>
    <row r="4128" spans="18:23">
      <c r="R4128" s="127">
        <f t="shared" si="203"/>
        <v>0</v>
      </c>
      <c r="T4128" s="128">
        <f t="shared" si="204"/>
        <v>0</v>
      </c>
      <c r="U4128" s="129" t="str">
        <f>IFERROR(IF(#REF!="S",VLOOKUP('Raw Data'!A4128,References!#REF!,2,FALSE),(VLOOKUP($S4128,References!$B$3:$C$7,2,FALSE))),"")</f>
        <v/>
      </c>
      <c r="W4128" s="74" t="str">
        <f>IFERROR(VLOOKUP($O4128,'Customer List'!$A$1:$J$488,10,FALSE),"")</f>
        <v/>
      </c>
    </row>
    <row r="4129" spans="18:23">
      <c r="R4129" s="127">
        <f t="shared" si="203"/>
        <v>0</v>
      </c>
      <c r="T4129" s="128">
        <f t="shared" si="204"/>
        <v>0</v>
      </c>
      <c r="U4129" s="129" t="str">
        <f>IFERROR(IF(#REF!="S",VLOOKUP('Raw Data'!A4129,References!#REF!,2,FALSE),(VLOOKUP($S4129,References!$B$3:$C$7,2,FALSE))),"")</f>
        <v/>
      </c>
      <c r="W4129" s="74" t="str">
        <f>IFERROR(VLOOKUP($O4129,'Customer List'!$A$1:$J$488,10,FALSE),"")</f>
        <v/>
      </c>
    </row>
    <row r="4130" spans="18:23">
      <c r="R4130" s="127">
        <f t="shared" ref="R4130:R4193" si="205">L4130-K4130</f>
        <v>0</v>
      </c>
      <c r="T4130" s="128">
        <f t="shared" si="204"/>
        <v>0</v>
      </c>
      <c r="U4130" s="129" t="str">
        <f>IFERROR(IF(#REF!="S",VLOOKUP('Raw Data'!A4130,References!#REF!,2,FALSE),(VLOOKUP($S4130,References!$B$3:$C$7,2,FALSE))),"")</f>
        <v/>
      </c>
      <c r="W4130" s="74" t="str">
        <f>IFERROR(VLOOKUP($O4130,'Customer List'!$A$1:$J$488,10,FALSE),"")</f>
        <v/>
      </c>
    </row>
    <row r="4131" spans="18:23">
      <c r="R4131" s="127">
        <f t="shared" si="205"/>
        <v>0</v>
      </c>
      <c r="T4131" s="128">
        <f t="shared" si="204"/>
        <v>0</v>
      </c>
      <c r="U4131" s="129" t="str">
        <f>IFERROR(IF(#REF!="S",VLOOKUP('Raw Data'!A4131,References!#REF!,2,FALSE),(VLOOKUP($S4131,References!$B$3:$C$7,2,FALSE))),"")</f>
        <v/>
      </c>
      <c r="W4131" s="74" t="str">
        <f>IFERROR(VLOOKUP($O4131,'Customer List'!$A$1:$J$488,10,FALSE),"")</f>
        <v/>
      </c>
    </row>
    <row r="4132" spans="18:23">
      <c r="R4132" s="127">
        <f t="shared" si="205"/>
        <v>0</v>
      </c>
      <c r="T4132" s="128">
        <f t="shared" si="204"/>
        <v>0</v>
      </c>
      <c r="U4132" s="129" t="str">
        <f>IFERROR(IF(#REF!="S",VLOOKUP('Raw Data'!A4132,References!#REF!,2,FALSE),(VLOOKUP($S4132,References!$B$3:$C$7,2,FALSE))),"")</f>
        <v/>
      </c>
      <c r="W4132" s="74" t="str">
        <f>IFERROR(VLOOKUP($O4132,'Customer List'!$A$1:$J$488,10,FALSE),"")</f>
        <v/>
      </c>
    </row>
    <row r="4133" spans="18:23">
      <c r="R4133" s="127">
        <f t="shared" si="205"/>
        <v>0</v>
      </c>
      <c r="T4133" s="128">
        <f t="shared" si="204"/>
        <v>0</v>
      </c>
      <c r="U4133" s="129" t="str">
        <f>IFERROR(IF(#REF!="S",VLOOKUP('Raw Data'!A4133,References!#REF!,2,FALSE),(VLOOKUP($S4133,References!$B$3:$C$7,2,FALSE))),"")</f>
        <v/>
      </c>
      <c r="W4133" s="74" t="str">
        <f>IFERROR(VLOOKUP($O4133,'Customer List'!$A$1:$J$488,10,FALSE),"")</f>
        <v/>
      </c>
    </row>
    <row r="4134" spans="18:23">
      <c r="R4134" s="127">
        <f t="shared" si="205"/>
        <v>0</v>
      </c>
      <c r="T4134" s="128">
        <f t="shared" si="204"/>
        <v>0</v>
      </c>
      <c r="U4134" s="129" t="str">
        <f>IFERROR(IF(#REF!="S",VLOOKUP('Raw Data'!A4134,References!#REF!,2,FALSE),(VLOOKUP($S4134,References!$B$3:$C$7,2,FALSE))),"")</f>
        <v/>
      </c>
      <c r="W4134" s="74" t="str">
        <f>IFERROR(VLOOKUP($O4134,'Customer List'!$A$1:$J$488,10,FALSE),"")</f>
        <v/>
      </c>
    </row>
    <row r="4135" spans="18:23">
      <c r="R4135" s="127">
        <f t="shared" si="205"/>
        <v>0</v>
      </c>
      <c r="T4135" s="128">
        <f t="shared" si="204"/>
        <v>0</v>
      </c>
      <c r="U4135" s="129" t="str">
        <f>IFERROR(IF(#REF!="S",VLOOKUP('Raw Data'!A4135,References!#REF!,2,FALSE),(VLOOKUP($S4135,References!$B$3:$C$7,2,FALSE))),"")</f>
        <v/>
      </c>
      <c r="W4135" s="74" t="str">
        <f>IFERROR(VLOOKUP($O4135,'Customer List'!$A$1:$J$488,10,FALSE),"")</f>
        <v/>
      </c>
    </row>
    <row r="4136" spans="18:23">
      <c r="R4136" s="127">
        <f t="shared" si="205"/>
        <v>0</v>
      </c>
      <c r="T4136" s="128">
        <f t="shared" si="204"/>
        <v>0</v>
      </c>
      <c r="U4136" s="129" t="str">
        <f>IFERROR(IF(#REF!="S",VLOOKUP('Raw Data'!A4136,References!#REF!,2,FALSE),(VLOOKUP($S4136,References!$B$3:$C$7,2,FALSE))),"")</f>
        <v/>
      </c>
      <c r="W4136" s="74" t="str">
        <f>IFERROR(VLOOKUP($O4136,'Customer List'!$A$1:$J$488,10,FALSE),"")</f>
        <v/>
      </c>
    </row>
    <row r="4137" spans="18:23">
      <c r="R4137" s="127">
        <f t="shared" si="205"/>
        <v>0</v>
      </c>
      <c r="T4137" s="128">
        <f t="shared" si="204"/>
        <v>0</v>
      </c>
      <c r="U4137" s="129" t="str">
        <f>IFERROR(IF(#REF!="S",VLOOKUP('Raw Data'!A4137,References!#REF!,2,FALSE),(VLOOKUP($S4137,References!$B$3:$C$7,2,FALSE))),"")</f>
        <v/>
      </c>
      <c r="W4137" s="74" t="str">
        <f>IFERROR(VLOOKUP($O4137,'Customer List'!$A$1:$J$488,10,FALSE),"")</f>
        <v/>
      </c>
    </row>
    <row r="4138" spans="18:23">
      <c r="R4138" s="127">
        <f t="shared" si="205"/>
        <v>0</v>
      </c>
      <c r="T4138" s="128">
        <f t="shared" si="204"/>
        <v>0</v>
      </c>
      <c r="U4138" s="129" t="str">
        <f>IFERROR(IF(#REF!="S",VLOOKUP('Raw Data'!A4138,References!#REF!,2,FALSE),(VLOOKUP($S4138,References!$B$3:$C$7,2,FALSE))),"")</f>
        <v/>
      </c>
      <c r="W4138" s="74" t="str">
        <f>IFERROR(VLOOKUP($O4138,'Customer List'!$A$1:$J$488,10,FALSE),"")</f>
        <v/>
      </c>
    </row>
    <row r="4139" spans="18:23">
      <c r="R4139" s="127">
        <f t="shared" si="205"/>
        <v>0</v>
      </c>
      <c r="T4139" s="128">
        <f t="shared" si="204"/>
        <v>0</v>
      </c>
      <c r="U4139" s="129" t="str">
        <f>IFERROR(IF(#REF!="S",VLOOKUP('Raw Data'!A4139,References!#REF!,2,FALSE),(VLOOKUP($S4139,References!$B$3:$C$7,2,FALSE))),"")</f>
        <v/>
      </c>
      <c r="W4139" s="74" t="str">
        <f>IFERROR(VLOOKUP($O4139,'Customer List'!$A$1:$J$488,10,FALSE),"")</f>
        <v/>
      </c>
    </row>
    <row r="4140" spans="18:23">
      <c r="R4140" s="127">
        <f t="shared" si="205"/>
        <v>0</v>
      </c>
      <c r="T4140" s="128">
        <f t="shared" si="204"/>
        <v>0</v>
      </c>
      <c r="U4140" s="129" t="str">
        <f>IFERROR(IF(#REF!="S",VLOOKUP('Raw Data'!A4140,References!#REF!,2,FALSE),(VLOOKUP($S4140,References!$B$3:$C$7,2,FALSE))),"")</f>
        <v/>
      </c>
      <c r="W4140" s="74" t="str">
        <f>IFERROR(VLOOKUP($O4140,'Customer List'!$A$1:$J$488,10,FALSE),"")</f>
        <v/>
      </c>
    </row>
    <row r="4141" spans="18:23">
      <c r="R4141" s="127">
        <f t="shared" si="205"/>
        <v>0</v>
      </c>
      <c r="T4141" s="128">
        <f t="shared" si="204"/>
        <v>0</v>
      </c>
      <c r="U4141" s="129" t="str">
        <f>IFERROR(IF(#REF!="S",VLOOKUP('Raw Data'!A4141,References!#REF!,2,FALSE),(VLOOKUP($S4141,References!$B$3:$C$7,2,FALSE))),"")</f>
        <v/>
      </c>
      <c r="W4141" s="74" t="str">
        <f>IFERROR(VLOOKUP($O4141,'Customer List'!$A$1:$J$488,10,FALSE),"")</f>
        <v/>
      </c>
    </row>
    <row r="4142" spans="18:23">
      <c r="R4142" s="127">
        <f t="shared" si="205"/>
        <v>0</v>
      </c>
      <c r="T4142" s="128">
        <f t="shared" si="204"/>
        <v>0</v>
      </c>
      <c r="U4142" s="129" t="str">
        <f>IFERROR(IF(#REF!="S",VLOOKUP('Raw Data'!A4142,References!#REF!,2,FALSE),(VLOOKUP($S4142,References!$B$3:$C$7,2,FALSE))),"")</f>
        <v/>
      </c>
      <c r="W4142" s="74" t="str">
        <f>IFERROR(VLOOKUP($O4142,'Customer List'!$A$1:$J$488,10,FALSE),"")</f>
        <v/>
      </c>
    </row>
    <row r="4143" spans="18:23">
      <c r="R4143" s="127">
        <f t="shared" si="205"/>
        <v>0</v>
      </c>
      <c r="T4143" s="128">
        <f t="shared" si="204"/>
        <v>0</v>
      </c>
      <c r="U4143" s="129" t="str">
        <f>IFERROR(IF(#REF!="S",VLOOKUP('Raw Data'!A4143,References!#REF!,2,FALSE),(VLOOKUP($S4143,References!$B$3:$C$7,2,FALSE))),"")</f>
        <v/>
      </c>
      <c r="W4143" s="74" t="str">
        <f>IFERROR(VLOOKUP($O4143,'Customer List'!$A$1:$J$488,10,FALSE),"")</f>
        <v/>
      </c>
    </row>
    <row r="4144" spans="18:23">
      <c r="R4144" s="127">
        <f t="shared" si="205"/>
        <v>0</v>
      </c>
      <c r="T4144" s="128">
        <f t="shared" si="204"/>
        <v>0</v>
      </c>
      <c r="U4144" s="129" t="str">
        <f>IFERROR(IF(#REF!="S",VLOOKUP('Raw Data'!A4144,References!#REF!,2,FALSE),(VLOOKUP($S4144,References!$B$3:$C$7,2,FALSE))),"")</f>
        <v/>
      </c>
      <c r="W4144" s="74" t="str">
        <f>IFERROR(VLOOKUP($O4144,'Customer List'!$A$1:$J$488,10,FALSE),"")</f>
        <v/>
      </c>
    </row>
    <row r="4145" spans="18:23">
      <c r="R4145" s="127">
        <f t="shared" si="205"/>
        <v>0</v>
      </c>
      <c r="T4145" s="128">
        <f t="shared" si="204"/>
        <v>0</v>
      </c>
      <c r="U4145" s="129" t="str">
        <f>IFERROR(IF(#REF!="S",VLOOKUP('Raw Data'!A4145,References!#REF!,2,FALSE),(VLOOKUP($S4145,References!$B$3:$C$7,2,FALSE))),"")</f>
        <v/>
      </c>
      <c r="W4145" s="74" t="str">
        <f>IFERROR(VLOOKUP($O4145,'Customer List'!$A$1:$J$488,10,FALSE),"")</f>
        <v/>
      </c>
    </row>
    <row r="4146" spans="18:23">
      <c r="R4146" s="127">
        <f t="shared" si="205"/>
        <v>0</v>
      </c>
      <c r="T4146" s="128">
        <f t="shared" si="204"/>
        <v>0</v>
      </c>
      <c r="U4146" s="129" t="str">
        <f>IFERROR(IF(#REF!="S",VLOOKUP('Raw Data'!A4146,References!#REF!,2,FALSE),(VLOOKUP($S4146,References!$B$3:$C$7,2,FALSE))),"")</f>
        <v/>
      </c>
      <c r="W4146" s="74" t="str">
        <f>IFERROR(VLOOKUP($O4146,'Customer List'!$A$1:$J$488,10,FALSE),"")</f>
        <v/>
      </c>
    </row>
    <row r="4147" spans="18:23">
      <c r="R4147" s="127">
        <f t="shared" si="205"/>
        <v>0</v>
      </c>
      <c r="T4147" s="128">
        <f t="shared" si="204"/>
        <v>0</v>
      </c>
      <c r="U4147" s="129" t="str">
        <f>IFERROR(IF(#REF!="S",VLOOKUP('Raw Data'!A4147,References!#REF!,2,FALSE),(VLOOKUP($S4147,References!$B$3:$C$7,2,FALSE))),"")</f>
        <v/>
      </c>
      <c r="W4147" s="74" t="str">
        <f>IFERROR(VLOOKUP($O4147,'Customer List'!$A$1:$J$488,10,FALSE),"")</f>
        <v/>
      </c>
    </row>
    <row r="4148" spans="18:23">
      <c r="R4148" s="127">
        <f t="shared" si="205"/>
        <v>0</v>
      </c>
      <c r="T4148" s="128">
        <f t="shared" si="204"/>
        <v>0</v>
      </c>
      <c r="U4148" s="129" t="str">
        <f>IFERROR(IF(#REF!="S",VLOOKUP('Raw Data'!A4148,References!#REF!,2,FALSE),(VLOOKUP($S4148,References!$B$3:$C$7,2,FALSE))),"")</f>
        <v/>
      </c>
      <c r="W4148" s="74" t="str">
        <f>IFERROR(VLOOKUP($O4148,'Customer List'!$A$1:$J$488,10,FALSE),"")</f>
        <v/>
      </c>
    </row>
    <row r="4149" spans="18:23">
      <c r="R4149" s="127">
        <f t="shared" si="205"/>
        <v>0</v>
      </c>
      <c r="T4149" s="128">
        <f t="shared" si="204"/>
        <v>0</v>
      </c>
      <c r="U4149" s="129" t="str">
        <f>IFERROR(IF(#REF!="S",VLOOKUP('Raw Data'!A4149,References!#REF!,2,FALSE),(VLOOKUP($S4149,References!$B$3:$C$7,2,FALSE))),"")</f>
        <v/>
      </c>
      <c r="W4149" s="74" t="str">
        <f>IFERROR(VLOOKUP($O4149,'Customer List'!$A$1:$J$488,10,FALSE),"")</f>
        <v/>
      </c>
    </row>
    <row r="4150" spans="18:23">
      <c r="R4150" s="127">
        <f t="shared" si="205"/>
        <v>0</v>
      </c>
      <c r="T4150" s="128">
        <f t="shared" si="204"/>
        <v>0</v>
      </c>
      <c r="U4150" s="129" t="str">
        <f>IFERROR(IF(#REF!="S",VLOOKUP('Raw Data'!A4150,References!#REF!,2,FALSE),(VLOOKUP($S4150,References!$B$3:$C$7,2,FALSE))),"")</f>
        <v/>
      </c>
      <c r="W4150" s="74" t="str">
        <f>IFERROR(VLOOKUP($O4150,'Customer List'!$A$1:$J$488,10,FALSE),"")</f>
        <v/>
      </c>
    </row>
    <row r="4151" spans="18:23">
      <c r="R4151" s="127">
        <f t="shared" si="205"/>
        <v>0</v>
      </c>
      <c r="T4151" s="128">
        <f t="shared" si="204"/>
        <v>0</v>
      </c>
      <c r="U4151" s="129" t="str">
        <f>IFERROR(IF(#REF!="S",VLOOKUP('Raw Data'!A4151,References!#REF!,2,FALSE),(VLOOKUP($S4151,References!$B$3:$C$7,2,FALSE))),"")</f>
        <v/>
      </c>
      <c r="W4151" s="74" t="str">
        <f>IFERROR(VLOOKUP($O4151,'Customer List'!$A$1:$J$488,10,FALSE),"")</f>
        <v/>
      </c>
    </row>
    <row r="4152" spans="18:23">
      <c r="R4152" s="127">
        <f t="shared" si="205"/>
        <v>0</v>
      </c>
      <c r="T4152" s="128">
        <f t="shared" si="204"/>
        <v>0</v>
      </c>
      <c r="U4152" s="129" t="str">
        <f>IFERROR(IF(#REF!="S",VLOOKUP('Raw Data'!A4152,References!#REF!,2,FALSE),(VLOOKUP($S4152,References!$B$3:$C$7,2,FALSE))),"")</f>
        <v/>
      </c>
      <c r="W4152" s="74" t="str">
        <f>IFERROR(VLOOKUP($O4152,'Customer List'!$A$1:$J$488,10,FALSE),"")</f>
        <v/>
      </c>
    </row>
    <row r="4153" spans="18:23">
      <c r="R4153" s="127">
        <f t="shared" si="205"/>
        <v>0</v>
      </c>
      <c r="T4153" s="128">
        <f t="shared" si="204"/>
        <v>0</v>
      </c>
      <c r="U4153" s="129" t="str">
        <f>IFERROR(IF(#REF!="S",VLOOKUP('Raw Data'!A4153,References!#REF!,2,FALSE),(VLOOKUP($S4153,References!$B$3:$C$7,2,FALSE))),"")</f>
        <v/>
      </c>
      <c r="W4153" s="74" t="str">
        <f>IFERROR(VLOOKUP($O4153,'Customer List'!$A$1:$J$488,10,FALSE),"")</f>
        <v/>
      </c>
    </row>
    <row r="4154" spans="18:23">
      <c r="R4154" s="127">
        <f t="shared" si="205"/>
        <v>0</v>
      </c>
      <c r="T4154" s="128">
        <f t="shared" si="204"/>
        <v>0</v>
      </c>
      <c r="U4154" s="129" t="str">
        <f>IFERROR(IF(#REF!="S",VLOOKUP('Raw Data'!A4154,References!#REF!,2,FALSE),(VLOOKUP($S4154,References!$B$3:$C$7,2,FALSE))),"")</f>
        <v/>
      </c>
      <c r="W4154" s="74" t="str">
        <f>IFERROR(VLOOKUP($O4154,'Customer List'!$A$1:$J$488,10,FALSE),"")</f>
        <v/>
      </c>
    </row>
    <row r="4155" spans="18:23">
      <c r="R4155" s="127">
        <f t="shared" si="205"/>
        <v>0</v>
      </c>
      <c r="T4155" s="128">
        <f t="shared" si="204"/>
        <v>0</v>
      </c>
      <c r="U4155" s="129" t="str">
        <f>IFERROR(IF(#REF!="S",VLOOKUP('Raw Data'!A4155,References!#REF!,2,FALSE),(VLOOKUP($S4155,References!$B$3:$C$7,2,FALSE))),"")</f>
        <v/>
      </c>
      <c r="W4155" s="74" t="str">
        <f>IFERROR(VLOOKUP($O4155,'Customer List'!$A$1:$J$488,10,FALSE),"")</f>
        <v/>
      </c>
    </row>
    <row r="4156" spans="18:23">
      <c r="R4156" s="127">
        <f t="shared" si="205"/>
        <v>0</v>
      </c>
      <c r="T4156" s="128">
        <f t="shared" si="204"/>
        <v>0</v>
      </c>
      <c r="U4156" s="129" t="str">
        <f>IFERROR(IF(#REF!="S",VLOOKUP('Raw Data'!A4156,References!#REF!,2,FALSE),(VLOOKUP($S4156,References!$B$3:$C$7,2,FALSE))),"")</f>
        <v/>
      </c>
      <c r="W4156" s="74" t="str">
        <f>IFERROR(VLOOKUP($O4156,'Customer List'!$A$1:$J$488,10,FALSE),"")</f>
        <v/>
      </c>
    </row>
    <row r="4157" spans="18:23">
      <c r="R4157" s="127">
        <f t="shared" si="205"/>
        <v>0</v>
      </c>
      <c r="T4157" s="128">
        <f t="shared" si="204"/>
        <v>0</v>
      </c>
      <c r="U4157" s="129" t="str">
        <f>IFERROR(IF(#REF!="S",VLOOKUP('Raw Data'!A4157,References!#REF!,2,FALSE),(VLOOKUP($S4157,References!$B$3:$C$7,2,FALSE))),"")</f>
        <v/>
      </c>
      <c r="W4157" s="74" t="str">
        <f>IFERROR(VLOOKUP($O4157,'Customer List'!$A$1:$J$488,10,FALSE),"")</f>
        <v/>
      </c>
    </row>
    <row r="4158" spans="18:23">
      <c r="R4158" s="127">
        <f t="shared" si="205"/>
        <v>0</v>
      </c>
      <c r="T4158" s="128">
        <f t="shared" si="204"/>
        <v>0</v>
      </c>
      <c r="U4158" s="129" t="str">
        <f>IFERROR(IF(#REF!="S",VLOOKUP('Raw Data'!A4158,References!#REF!,2,FALSE),(VLOOKUP($S4158,References!$B$3:$C$7,2,FALSE))),"")</f>
        <v/>
      </c>
      <c r="W4158" s="74" t="str">
        <f>IFERROR(VLOOKUP($O4158,'Customer List'!$A$1:$J$488,10,FALSE),"")</f>
        <v/>
      </c>
    </row>
    <row r="4159" spans="18:23">
      <c r="R4159" s="127">
        <f t="shared" si="205"/>
        <v>0</v>
      </c>
      <c r="T4159" s="128">
        <f t="shared" si="204"/>
        <v>0</v>
      </c>
      <c r="U4159" s="129" t="str">
        <f>IFERROR(IF(#REF!="S",VLOOKUP('Raw Data'!A4159,References!#REF!,2,FALSE),(VLOOKUP($S4159,References!$B$3:$C$7,2,FALSE))),"")</f>
        <v/>
      </c>
      <c r="W4159" s="74" t="str">
        <f>IFERROR(VLOOKUP($O4159,'Customer List'!$A$1:$J$488,10,FALSE),"")</f>
        <v/>
      </c>
    </row>
    <row r="4160" spans="18:23">
      <c r="R4160" s="127">
        <f t="shared" si="205"/>
        <v>0</v>
      </c>
      <c r="T4160" s="128">
        <f t="shared" si="204"/>
        <v>0</v>
      </c>
      <c r="U4160" s="129" t="str">
        <f>IFERROR(IF(#REF!="S",VLOOKUP('Raw Data'!A4160,References!#REF!,2,FALSE),(VLOOKUP($S4160,References!$B$3:$C$7,2,FALSE))),"")</f>
        <v/>
      </c>
      <c r="W4160" s="74" t="str">
        <f>IFERROR(VLOOKUP($O4160,'Customer List'!$A$1:$J$488,10,FALSE),"")</f>
        <v/>
      </c>
    </row>
    <row r="4161" spans="18:23">
      <c r="R4161" s="127">
        <f t="shared" si="205"/>
        <v>0</v>
      </c>
      <c r="T4161" s="128">
        <f t="shared" si="204"/>
        <v>0</v>
      </c>
      <c r="U4161" s="129" t="str">
        <f>IFERROR(IF(#REF!="S",VLOOKUP('Raw Data'!A4161,References!#REF!,2,FALSE),(VLOOKUP($S4161,References!$B$3:$C$7,2,FALSE))),"")</f>
        <v/>
      </c>
      <c r="W4161" s="74" t="str">
        <f>IFERROR(VLOOKUP($O4161,'Customer List'!$A$1:$J$488,10,FALSE),"")</f>
        <v/>
      </c>
    </row>
    <row r="4162" spans="18:23">
      <c r="R4162" s="127">
        <f t="shared" si="205"/>
        <v>0</v>
      </c>
      <c r="T4162" s="128">
        <f t="shared" si="204"/>
        <v>0</v>
      </c>
      <c r="U4162" s="129" t="str">
        <f>IFERROR(IF(#REF!="S",VLOOKUP('Raw Data'!A4162,References!#REF!,2,FALSE),(VLOOKUP($S4162,References!$B$3:$C$7,2,FALSE))),"")</f>
        <v/>
      </c>
      <c r="W4162" s="74" t="str">
        <f>IFERROR(VLOOKUP($O4162,'Customer List'!$A$1:$J$488,10,FALSE),"")</f>
        <v/>
      </c>
    </row>
    <row r="4163" spans="18:23">
      <c r="R4163" s="127">
        <f t="shared" si="205"/>
        <v>0</v>
      </c>
      <c r="T4163" s="128">
        <f t="shared" si="204"/>
        <v>0</v>
      </c>
      <c r="U4163" s="129" t="str">
        <f>IFERROR(IF(#REF!="S",VLOOKUP('Raw Data'!A4163,References!#REF!,2,FALSE),(VLOOKUP($S4163,References!$B$3:$C$7,2,FALSE))),"")</f>
        <v/>
      </c>
      <c r="W4163" s="74" t="str">
        <f>IFERROR(VLOOKUP($O4163,'Customer List'!$A$1:$J$488,10,FALSE),"")</f>
        <v/>
      </c>
    </row>
    <row r="4164" spans="18:23">
      <c r="R4164" s="127">
        <f t="shared" si="205"/>
        <v>0</v>
      </c>
      <c r="T4164" s="128">
        <f t="shared" si="204"/>
        <v>0</v>
      </c>
      <c r="U4164" s="129" t="str">
        <f>IFERROR(IF(#REF!="S",VLOOKUP('Raw Data'!A4164,References!#REF!,2,FALSE),(VLOOKUP($S4164,References!$B$3:$C$7,2,FALSE))),"")</f>
        <v/>
      </c>
      <c r="W4164" s="74" t="str">
        <f>IFERROR(VLOOKUP($O4164,'Customer List'!$A$1:$J$488,10,FALSE),"")</f>
        <v/>
      </c>
    </row>
    <row r="4165" spans="18:23">
      <c r="R4165" s="127">
        <f t="shared" si="205"/>
        <v>0</v>
      </c>
      <c r="T4165" s="128">
        <f t="shared" si="204"/>
        <v>0</v>
      </c>
      <c r="U4165" s="129" t="str">
        <f>IFERROR(IF(#REF!="S",VLOOKUP('Raw Data'!A4165,References!#REF!,2,FALSE),(VLOOKUP($S4165,References!$B$3:$C$7,2,FALSE))),"")</f>
        <v/>
      </c>
      <c r="W4165" s="74" t="str">
        <f>IFERROR(VLOOKUP($O4165,'Customer List'!$A$1:$J$488,10,FALSE),"")</f>
        <v/>
      </c>
    </row>
    <row r="4166" spans="18:23">
      <c r="R4166" s="127">
        <f t="shared" si="205"/>
        <v>0</v>
      </c>
      <c r="T4166" s="128">
        <f t="shared" si="204"/>
        <v>0</v>
      </c>
      <c r="U4166" s="129" t="str">
        <f>IFERROR(IF(#REF!="S",VLOOKUP('Raw Data'!A4166,References!#REF!,2,FALSE),(VLOOKUP($S4166,References!$B$3:$C$7,2,FALSE))),"")</f>
        <v/>
      </c>
      <c r="W4166" s="74" t="str">
        <f>IFERROR(VLOOKUP($O4166,'Customer List'!$A$1:$J$488,10,FALSE),"")</f>
        <v/>
      </c>
    </row>
    <row r="4167" spans="18:23">
      <c r="R4167" s="127">
        <f t="shared" si="205"/>
        <v>0</v>
      </c>
      <c r="T4167" s="128">
        <f t="shared" si="204"/>
        <v>0</v>
      </c>
      <c r="U4167" s="129" t="str">
        <f>IFERROR(IF(#REF!="S",VLOOKUP('Raw Data'!A4167,References!#REF!,2,FALSE),(VLOOKUP($S4167,References!$B$3:$C$7,2,FALSE))),"")</f>
        <v/>
      </c>
      <c r="W4167" s="74" t="str">
        <f>IFERROR(VLOOKUP($O4167,'Customer List'!$A$1:$J$488,10,FALSE),"")</f>
        <v/>
      </c>
    </row>
    <row r="4168" spans="18:23">
      <c r="R4168" s="127">
        <f t="shared" si="205"/>
        <v>0</v>
      </c>
      <c r="T4168" s="128">
        <f t="shared" si="204"/>
        <v>0</v>
      </c>
      <c r="U4168" s="129" t="str">
        <f>IFERROR(IF(#REF!="S",VLOOKUP('Raw Data'!A4168,References!#REF!,2,FALSE),(VLOOKUP($S4168,References!$B$3:$C$7,2,FALSE))),"")</f>
        <v/>
      </c>
      <c r="W4168" s="74" t="str">
        <f>IFERROR(VLOOKUP($O4168,'Customer List'!$A$1:$J$488,10,FALSE),"")</f>
        <v/>
      </c>
    </row>
    <row r="4169" spans="18:23">
      <c r="R4169" s="127">
        <f t="shared" si="205"/>
        <v>0</v>
      </c>
      <c r="T4169" s="128">
        <f t="shared" si="204"/>
        <v>0</v>
      </c>
      <c r="U4169" s="129" t="str">
        <f>IFERROR(IF(#REF!="S",VLOOKUP('Raw Data'!A4169,References!#REF!,2,FALSE),(VLOOKUP($S4169,References!$B$3:$C$7,2,FALSE))),"")</f>
        <v/>
      </c>
      <c r="W4169" s="74" t="str">
        <f>IFERROR(VLOOKUP($O4169,'Customer List'!$A$1:$J$488,10,FALSE),"")</f>
        <v/>
      </c>
    </row>
    <row r="4170" spans="18:23">
      <c r="R4170" s="127">
        <f t="shared" si="205"/>
        <v>0</v>
      </c>
      <c r="T4170" s="128">
        <f t="shared" ref="T4170:T4233" si="206">IF(S4170="50 - Cleaning Fee",1,HOUR($R4170)+MINUTE(R4170)/60)</f>
        <v>0</v>
      </c>
      <c r="U4170" s="129" t="str">
        <f>IFERROR(IF(#REF!="S",VLOOKUP('Raw Data'!A4170,References!#REF!,2,FALSE),(VLOOKUP($S4170,References!$B$3:$C$7,2,FALSE))),"")</f>
        <v/>
      </c>
      <c r="W4170" s="74" t="str">
        <f>IFERROR(VLOOKUP($O4170,'Customer List'!$A$1:$J$488,10,FALSE),"")</f>
        <v/>
      </c>
    </row>
    <row r="4171" spans="18:23">
      <c r="R4171" s="127">
        <f t="shared" si="205"/>
        <v>0</v>
      </c>
      <c r="T4171" s="128">
        <f t="shared" si="206"/>
        <v>0</v>
      </c>
      <c r="U4171" s="129" t="str">
        <f>IFERROR(IF(#REF!="S",VLOOKUP('Raw Data'!A4171,References!#REF!,2,FALSE),(VLOOKUP($S4171,References!$B$3:$C$7,2,FALSE))),"")</f>
        <v/>
      </c>
      <c r="W4171" s="74" t="str">
        <f>IFERROR(VLOOKUP($O4171,'Customer List'!$A$1:$J$488,10,FALSE),"")</f>
        <v/>
      </c>
    </row>
    <row r="4172" spans="18:23">
      <c r="R4172" s="127">
        <f t="shared" si="205"/>
        <v>0</v>
      </c>
      <c r="T4172" s="128">
        <f t="shared" si="206"/>
        <v>0</v>
      </c>
      <c r="U4172" s="129" t="str">
        <f>IFERROR(IF(#REF!="S",VLOOKUP('Raw Data'!A4172,References!#REF!,2,FALSE),(VLOOKUP($S4172,References!$B$3:$C$7,2,FALSE))),"")</f>
        <v/>
      </c>
      <c r="W4172" s="74" t="str">
        <f>IFERROR(VLOOKUP($O4172,'Customer List'!$A$1:$J$488,10,FALSE),"")</f>
        <v/>
      </c>
    </row>
    <row r="4173" spans="18:23">
      <c r="R4173" s="127">
        <f t="shared" si="205"/>
        <v>0</v>
      </c>
      <c r="T4173" s="128">
        <f t="shared" si="206"/>
        <v>0</v>
      </c>
      <c r="U4173" s="129" t="str">
        <f>IFERROR(IF(#REF!="S",VLOOKUP('Raw Data'!A4173,References!#REF!,2,FALSE),(VLOOKUP($S4173,References!$B$3:$C$7,2,FALSE))),"")</f>
        <v/>
      </c>
      <c r="W4173" s="74" t="str">
        <f>IFERROR(VLOOKUP($O4173,'Customer List'!$A$1:$J$488,10,FALSE),"")</f>
        <v/>
      </c>
    </row>
    <row r="4174" spans="18:23">
      <c r="R4174" s="127">
        <f t="shared" si="205"/>
        <v>0</v>
      </c>
      <c r="T4174" s="128">
        <f t="shared" si="206"/>
        <v>0</v>
      </c>
      <c r="U4174" s="129" t="str">
        <f>IFERROR(IF(#REF!="S",VLOOKUP('Raw Data'!A4174,References!#REF!,2,FALSE),(VLOOKUP($S4174,References!$B$3:$C$7,2,FALSE))),"")</f>
        <v/>
      </c>
      <c r="W4174" s="74" t="str">
        <f>IFERROR(VLOOKUP($O4174,'Customer List'!$A$1:$J$488,10,FALSE),"")</f>
        <v/>
      </c>
    </row>
    <row r="4175" spans="18:23">
      <c r="R4175" s="127">
        <f t="shared" si="205"/>
        <v>0</v>
      </c>
      <c r="T4175" s="128">
        <f t="shared" si="206"/>
        <v>0</v>
      </c>
      <c r="U4175" s="129" t="str">
        <f>IFERROR(IF(#REF!="S",VLOOKUP('Raw Data'!A4175,References!#REF!,2,FALSE),(VLOOKUP($S4175,References!$B$3:$C$7,2,FALSE))),"")</f>
        <v/>
      </c>
      <c r="W4175" s="74" t="str">
        <f>IFERROR(VLOOKUP($O4175,'Customer List'!$A$1:$J$488,10,FALSE),"")</f>
        <v/>
      </c>
    </row>
    <row r="4176" spans="18:23">
      <c r="R4176" s="127">
        <f t="shared" si="205"/>
        <v>0</v>
      </c>
      <c r="T4176" s="128">
        <f t="shared" si="206"/>
        <v>0</v>
      </c>
      <c r="U4176" s="129" t="str">
        <f>IFERROR(IF(#REF!="S",VLOOKUP('Raw Data'!A4176,References!#REF!,2,FALSE),(VLOOKUP($S4176,References!$B$3:$C$7,2,FALSE))),"")</f>
        <v/>
      </c>
      <c r="W4176" s="74" t="str">
        <f>IFERROR(VLOOKUP($O4176,'Customer List'!$A$1:$J$488,10,FALSE),"")</f>
        <v/>
      </c>
    </row>
    <row r="4177" spans="18:23">
      <c r="R4177" s="127">
        <f t="shared" si="205"/>
        <v>0</v>
      </c>
      <c r="T4177" s="128">
        <f t="shared" si="206"/>
        <v>0</v>
      </c>
      <c r="U4177" s="129" t="str">
        <f>IFERROR(IF(#REF!="S",VLOOKUP('Raw Data'!A4177,References!#REF!,2,FALSE),(VLOOKUP($S4177,References!$B$3:$C$7,2,FALSE))),"")</f>
        <v/>
      </c>
      <c r="W4177" s="74" t="str">
        <f>IFERROR(VLOOKUP($O4177,'Customer List'!$A$1:$J$488,10,FALSE),"")</f>
        <v/>
      </c>
    </row>
    <row r="4178" spans="18:23">
      <c r="R4178" s="127">
        <f t="shared" si="205"/>
        <v>0</v>
      </c>
      <c r="T4178" s="128">
        <f t="shared" si="206"/>
        <v>0</v>
      </c>
      <c r="U4178" s="129" t="str">
        <f>IFERROR(IF(#REF!="S",VLOOKUP('Raw Data'!A4178,References!#REF!,2,FALSE),(VLOOKUP($S4178,References!$B$3:$C$7,2,FALSE))),"")</f>
        <v/>
      </c>
      <c r="W4178" s="74" t="str">
        <f>IFERROR(VLOOKUP($O4178,'Customer List'!$A$1:$J$488,10,FALSE),"")</f>
        <v/>
      </c>
    </row>
    <row r="4179" spans="18:23">
      <c r="R4179" s="127">
        <f t="shared" si="205"/>
        <v>0</v>
      </c>
      <c r="T4179" s="128">
        <f t="shared" si="206"/>
        <v>0</v>
      </c>
      <c r="U4179" s="129" t="str">
        <f>IFERROR(IF(#REF!="S",VLOOKUP('Raw Data'!A4179,References!#REF!,2,FALSE),(VLOOKUP($S4179,References!$B$3:$C$7,2,FALSE))),"")</f>
        <v/>
      </c>
      <c r="W4179" s="74" t="str">
        <f>IFERROR(VLOOKUP($O4179,'Customer List'!$A$1:$J$488,10,FALSE),"")</f>
        <v/>
      </c>
    </row>
    <row r="4180" spans="18:23">
      <c r="R4180" s="127">
        <f t="shared" si="205"/>
        <v>0</v>
      </c>
      <c r="T4180" s="128">
        <f t="shared" si="206"/>
        <v>0</v>
      </c>
      <c r="U4180" s="129" t="str">
        <f>IFERROR(IF(#REF!="S",VLOOKUP('Raw Data'!A4180,References!#REF!,2,FALSE),(VLOOKUP($S4180,References!$B$3:$C$7,2,FALSE))),"")</f>
        <v/>
      </c>
      <c r="W4180" s="74" t="str">
        <f>IFERROR(VLOOKUP($O4180,'Customer List'!$A$1:$J$488,10,FALSE),"")</f>
        <v/>
      </c>
    </row>
    <row r="4181" spans="18:23">
      <c r="R4181" s="127">
        <f t="shared" si="205"/>
        <v>0</v>
      </c>
      <c r="T4181" s="128">
        <f t="shared" si="206"/>
        <v>0</v>
      </c>
      <c r="U4181" s="129" t="str">
        <f>IFERROR(IF(#REF!="S",VLOOKUP('Raw Data'!A4181,References!#REF!,2,FALSE),(VLOOKUP($S4181,References!$B$3:$C$7,2,FALSE))),"")</f>
        <v/>
      </c>
      <c r="W4181" s="74" t="str">
        <f>IFERROR(VLOOKUP($O4181,'Customer List'!$A$1:$J$488,10,FALSE),"")</f>
        <v/>
      </c>
    </row>
    <row r="4182" spans="18:23">
      <c r="R4182" s="127">
        <f t="shared" si="205"/>
        <v>0</v>
      </c>
      <c r="T4182" s="128">
        <f t="shared" si="206"/>
        <v>0</v>
      </c>
      <c r="U4182" s="129" t="str">
        <f>IFERROR(IF(#REF!="S",VLOOKUP('Raw Data'!A4182,References!#REF!,2,FALSE),(VLOOKUP($S4182,References!$B$3:$C$7,2,FALSE))),"")</f>
        <v/>
      </c>
      <c r="W4182" s="74" t="str">
        <f>IFERROR(VLOOKUP($O4182,'Customer List'!$A$1:$J$488,10,FALSE),"")</f>
        <v/>
      </c>
    </row>
    <row r="4183" spans="18:23">
      <c r="R4183" s="127">
        <f t="shared" si="205"/>
        <v>0</v>
      </c>
      <c r="T4183" s="128">
        <f t="shared" si="206"/>
        <v>0</v>
      </c>
      <c r="U4183" s="129" t="str">
        <f>IFERROR(IF(#REF!="S",VLOOKUP('Raw Data'!A4183,References!#REF!,2,FALSE),(VLOOKUP($S4183,References!$B$3:$C$7,2,FALSE))),"")</f>
        <v/>
      </c>
      <c r="W4183" s="74" t="str">
        <f>IFERROR(VLOOKUP($O4183,'Customer List'!$A$1:$J$488,10,FALSE),"")</f>
        <v/>
      </c>
    </row>
    <row r="4184" spans="18:23">
      <c r="R4184" s="127">
        <f t="shared" si="205"/>
        <v>0</v>
      </c>
      <c r="T4184" s="128">
        <f t="shared" si="206"/>
        <v>0</v>
      </c>
      <c r="U4184" s="129" t="str">
        <f>IFERROR(IF(#REF!="S",VLOOKUP('Raw Data'!A4184,References!#REF!,2,FALSE),(VLOOKUP($S4184,References!$B$3:$C$7,2,FALSE))),"")</f>
        <v/>
      </c>
      <c r="W4184" s="74" t="str">
        <f>IFERROR(VLOOKUP($O4184,'Customer List'!$A$1:$J$488,10,FALSE),"")</f>
        <v/>
      </c>
    </row>
    <row r="4185" spans="18:23">
      <c r="R4185" s="127">
        <f t="shared" si="205"/>
        <v>0</v>
      </c>
      <c r="T4185" s="128">
        <f t="shared" si="206"/>
        <v>0</v>
      </c>
      <c r="U4185" s="129" t="str">
        <f>IFERROR(IF(#REF!="S",VLOOKUP('Raw Data'!A4185,References!#REF!,2,FALSE),(VLOOKUP($S4185,References!$B$3:$C$7,2,FALSE))),"")</f>
        <v/>
      </c>
      <c r="W4185" s="74" t="str">
        <f>IFERROR(VLOOKUP($O4185,'Customer List'!$A$1:$J$488,10,FALSE),"")</f>
        <v/>
      </c>
    </row>
    <row r="4186" spans="18:23">
      <c r="R4186" s="127">
        <f t="shared" si="205"/>
        <v>0</v>
      </c>
      <c r="T4186" s="128">
        <f t="shared" si="206"/>
        <v>0</v>
      </c>
      <c r="U4186" s="129" t="str">
        <f>IFERROR(IF(#REF!="S",VLOOKUP('Raw Data'!A4186,References!#REF!,2,FALSE),(VLOOKUP($S4186,References!$B$3:$C$7,2,FALSE))),"")</f>
        <v/>
      </c>
      <c r="W4186" s="74" t="str">
        <f>IFERROR(VLOOKUP($O4186,'Customer List'!$A$1:$J$488,10,FALSE),"")</f>
        <v/>
      </c>
    </row>
    <row r="4187" spans="18:23">
      <c r="R4187" s="127">
        <f t="shared" si="205"/>
        <v>0</v>
      </c>
      <c r="T4187" s="128">
        <f t="shared" si="206"/>
        <v>0</v>
      </c>
      <c r="U4187" s="129" t="str">
        <f>IFERROR(IF(#REF!="S",VLOOKUP('Raw Data'!A4187,References!#REF!,2,FALSE),(VLOOKUP($S4187,References!$B$3:$C$7,2,FALSE))),"")</f>
        <v/>
      </c>
      <c r="W4187" s="74" t="str">
        <f>IFERROR(VLOOKUP($O4187,'Customer List'!$A$1:$J$488,10,FALSE),"")</f>
        <v/>
      </c>
    </row>
    <row r="4188" spans="18:23">
      <c r="R4188" s="127">
        <f t="shared" si="205"/>
        <v>0</v>
      </c>
      <c r="T4188" s="128">
        <f t="shared" si="206"/>
        <v>0</v>
      </c>
      <c r="U4188" s="129" t="str">
        <f>IFERROR(IF(#REF!="S",VLOOKUP('Raw Data'!A4188,References!#REF!,2,FALSE),(VLOOKUP($S4188,References!$B$3:$C$7,2,FALSE))),"")</f>
        <v/>
      </c>
      <c r="W4188" s="74" t="str">
        <f>IFERROR(VLOOKUP($O4188,'Customer List'!$A$1:$J$488,10,FALSE),"")</f>
        <v/>
      </c>
    </row>
    <row r="4189" spans="18:23">
      <c r="R4189" s="127">
        <f t="shared" si="205"/>
        <v>0</v>
      </c>
      <c r="T4189" s="128">
        <f t="shared" si="206"/>
        <v>0</v>
      </c>
      <c r="U4189" s="129" t="str">
        <f>IFERROR(IF(#REF!="S",VLOOKUP('Raw Data'!A4189,References!#REF!,2,FALSE),(VLOOKUP($S4189,References!$B$3:$C$7,2,FALSE))),"")</f>
        <v/>
      </c>
      <c r="W4189" s="74" t="str">
        <f>IFERROR(VLOOKUP($O4189,'Customer List'!$A$1:$J$488,10,FALSE),"")</f>
        <v/>
      </c>
    </row>
    <row r="4190" spans="18:23">
      <c r="R4190" s="127">
        <f t="shared" si="205"/>
        <v>0</v>
      </c>
      <c r="T4190" s="128">
        <f t="shared" si="206"/>
        <v>0</v>
      </c>
      <c r="U4190" s="129" t="str">
        <f>IFERROR(IF(#REF!="S",VLOOKUP('Raw Data'!A4190,References!#REF!,2,FALSE),(VLOOKUP($S4190,References!$B$3:$C$7,2,FALSE))),"")</f>
        <v/>
      </c>
      <c r="W4190" s="74" t="str">
        <f>IFERROR(VLOOKUP($O4190,'Customer List'!$A$1:$J$488,10,FALSE),"")</f>
        <v/>
      </c>
    </row>
    <row r="4191" spans="18:23">
      <c r="R4191" s="127">
        <f t="shared" si="205"/>
        <v>0</v>
      </c>
      <c r="T4191" s="128">
        <f t="shared" si="206"/>
        <v>0</v>
      </c>
      <c r="U4191" s="129" t="str">
        <f>IFERROR(IF(#REF!="S",VLOOKUP('Raw Data'!A4191,References!#REF!,2,FALSE),(VLOOKUP($S4191,References!$B$3:$C$7,2,FALSE))),"")</f>
        <v/>
      </c>
      <c r="W4191" s="74" t="str">
        <f>IFERROR(VLOOKUP($O4191,'Customer List'!$A$1:$J$488,10,FALSE),"")</f>
        <v/>
      </c>
    </row>
    <row r="4192" spans="18:23">
      <c r="R4192" s="127">
        <f t="shared" si="205"/>
        <v>0</v>
      </c>
      <c r="T4192" s="128">
        <f t="shared" si="206"/>
        <v>0</v>
      </c>
      <c r="U4192" s="129" t="str">
        <f>IFERROR(IF(#REF!="S",VLOOKUP('Raw Data'!A4192,References!#REF!,2,FALSE),(VLOOKUP($S4192,References!$B$3:$C$7,2,FALSE))),"")</f>
        <v/>
      </c>
      <c r="W4192" s="74" t="str">
        <f>IFERROR(VLOOKUP($O4192,'Customer List'!$A$1:$J$488,10,FALSE),"")</f>
        <v/>
      </c>
    </row>
    <row r="4193" spans="18:23">
      <c r="R4193" s="127">
        <f t="shared" si="205"/>
        <v>0</v>
      </c>
      <c r="T4193" s="128">
        <f t="shared" si="206"/>
        <v>0</v>
      </c>
      <c r="U4193" s="129" t="str">
        <f>IFERROR(IF(#REF!="S",VLOOKUP('Raw Data'!A4193,References!#REF!,2,FALSE),(VLOOKUP($S4193,References!$B$3:$C$7,2,FALSE))),"")</f>
        <v/>
      </c>
      <c r="W4193" s="74" t="str">
        <f>IFERROR(VLOOKUP($O4193,'Customer List'!$A$1:$J$488,10,FALSE),"")</f>
        <v/>
      </c>
    </row>
    <row r="4194" spans="18:23">
      <c r="R4194" s="127">
        <f t="shared" ref="R4194:R4257" si="207">L4194-K4194</f>
        <v>0</v>
      </c>
      <c r="T4194" s="128">
        <f t="shared" si="206"/>
        <v>0</v>
      </c>
      <c r="U4194" s="129" t="str">
        <f>IFERROR(IF(#REF!="S",VLOOKUP('Raw Data'!A4194,References!#REF!,2,FALSE),(VLOOKUP($S4194,References!$B$3:$C$7,2,FALSE))),"")</f>
        <v/>
      </c>
      <c r="W4194" s="74" t="str">
        <f>IFERROR(VLOOKUP($O4194,'Customer List'!$A$1:$J$488,10,FALSE),"")</f>
        <v/>
      </c>
    </row>
    <row r="4195" spans="18:23">
      <c r="R4195" s="127">
        <f t="shared" si="207"/>
        <v>0</v>
      </c>
      <c r="T4195" s="128">
        <f t="shared" si="206"/>
        <v>0</v>
      </c>
      <c r="U4195" s="129" t="str">
        <f>IFERROR(IF(#REF!="S",VLOOKUP('Raw Data'!A4195,References!#REF!,2,FALSE),(VLOOKUP($S4195,References!$B$3:$C$7,2,FALSE))),"")</f>
        <v/>
      </c>
      <c r="W4195" s="74" t="str">
        <f>IFERROR(VLOOKUP($O4195,'Customer List'!$A$1:$J$488,10,FALSE),"")</f>
        <v/>
      </c>
    </row>
    <row r="4196" spans="18:23">
      <c r="R4196" s="127">
        <f t="shared" si="207"/>
        <v>0</v>
      </c>
      <c r="T4196" s="128">
        <f t="shared" si="206"/>
        <v>0</v>
      </c>
      <c r="U4196" s="129" t="str">
        <f>IFERROR(IF(#REF!="S",VLOOKUP('Raw Data'!A4196,References!#REF!,2,FALSE),(VLOOKUP($S4196,References!$B$3:$C$7,2,FALSE))),"")</f>
        <v/>
      </c>
      <c r="W4196" s="74" t="str">
        <f>IFERROR(VLOOKUP($O4196,'Customer List'!$A$1:$J$488,10,FALSE),"")</f>
        <v/>
      </c>
    </row>
    <row r="4197" spans="18:23">
      <c r="R4197" s="127">
        <f t="shared" si="207"/>
        <v>0</v>
      </c>
      <c r="T4197" s="128">
        <f t="shared" si="206"/>
        <v>0</v>
      </c>
      <c r="U4197" s="129" t="str">
        <f>IFERROR(IF(#REF!="S",VLOOKUP('Raw Data'!A4197,References!#REF!,2,FALSE),(VLOOKUP($S4197,References!$B$3:$C$7,2,FALSE))),"")</f>
        <v/>
      </c>
      <c r="W4197" s="74" t="str">
        <f>IFERROR(VLOOKUP($O4197,'Customer List'!$A$1:$J$488,10,FALSE),"")</f>
        <v/>
      </c>
    </row>
    <row r="4198" spans="18:23">
      <c r="R4198" s="127">
        <f t="shared" si="207"/>
        <v>0</v>
      </c>
      <c r="T4198" s="128">
        <f t="shared" si="206"/>
        <v>0</v>
      </c>
      <c r="U4198" s="129" t="str">
        <f>IFERROR(IF(#REF!="S",VLOOKUP('Raw Data'!A4198,References!#REF!,2,FALSE),(VLOOKUP($S4198,References!$B$3:$C$7,2,FALSE))),"")</f>
        <v/>
      </c>
      <c r="W4198" s="74" t="str">
        <f>IFERROR(VLOOKUP($O4198,'Customer List'!$A$1:$J$488,10,FALSE),"")</f>
        <v/>
      </c>
    </row>
    <row r="4199" spans="18:23">
      <c r="R4199" s="127">
        <f t="shared" si="207"/>
        <v>0</v>
      </c>
      <c r="T4199" s="128">
        <f t="shared" si="206"/>
        <v>0</v>
      </c>
      <c r="U4199" s="129" t="str">
        <f>IFERROR(IF(#REF!="S",VLOOKUP('Raw Data'!A4199,References!#REF!,2,FALSE),(VLOOKUP($S4199,References!$B$3:$C$7,2,FALSE))),"")</f>
        <v/>
      </c>
      <c r="W4199" s="74" t="str">
        <f>IFERROR(VLOOKUP($O4199,'Customer List'!$A$1:$J$488,10,FALSE),"")</f>
        <v/>
      </c>
    </row>
    <row r="4200" spans="18:23">
      <c r="R4200" s="127">
        <f t="shared" si="207"/>
        <v>0</v>
      </c>
      <c r="T4200" s="128">
        <f t="shared" si="206"/>
        <v>0</v>
      </c>
      <c r="U4200" s="129" t="str">
        <f>IFERROR(IF(#REF!="S",VLOOKUP('Raw Data'!A4200,References!#REF!,2,FALSE),(VLOOKUP($S4200,References!$B$3:$C$7,2,FALSE))),"")</f>
        <v/>
      </c>
      <c r="W4200" s="74" t="str">
        <f>IFERROR(VLOOKUP($O4200,'Customer List'!$A$1:$J$488,10,FALSE),"")</f>
        <v/>
      </c>
    </row>
    <row r="4201" spans="18:23">
      <c r="R4201" s="127">
        <f t="shared" si="207"/>
        <v>0</v>
      </c>
      <c r="T4201" s="128">
        <f t="shared" si="206"/>
        <v>0</v>
      </c>
      <c r="U4201" s="129" t="str">
        <f>IFERROR(IF(#REF!="S",VLOOKUP('Raw Data'!A4201,References!#REF!,2,FALSE),(VLOOKUP($S4201,References!$B$3:$C$7,2,FALSE))),"")</f>
        <v/>
      </c>
      <c r="W4201" s="74" t="str">
        <f>IFERROR(VLOOKUP($O4201,'Customer List'!$A$1:$J$488,10,FALSE),"")</f>
        <v/>
      </c>
    </row>
    <row r="4202" spans="18:23">
      <c r="R4202" s="127">
        <f t="shared" si="207"/>
        <v>0</v>
      </c>
      <c r="T4202" s="128">
        <f t="shared" si="206"/>
        <v>0</v>
      </c>
      <c r="U4202" s="129" t="str">
        <f>IFERROR(IF(#REF!="S",VLOOKUP('Raw Data'!A4202,References!#REF!,2,FALSE),(VLOOKUP($S4202,References!$B$3:$C$7,2,FALSE))),"")</f>
        <v/>
      </c>
      <c r="W4202" s="74" t="str">
        <f>IFERROR(VLOOKUP($O4202,'Customer List'!$A$1:$J$488,10,FALSE),"")</f>
        <v/>
      </c>
    </row>
    <row r="4203" spans="18:23">
      <c r="R4203" s="127">
        <f t="shared" si="207"/>
        <v>0</v>
      </c>
      <c r="T4203" s="128">
        <f t="shared" si="206"/>
        <v>0</v>
      </c>
      <c r="U4203" s="129" t="str">
        <f>IFERROR(IF(#REF!="S",VLOOKUP('Raw Data'!A4203,References!#REF!,2,FALSE),(VLOOKUP($S4203,References!$B$3:$C$7,2,FALSE))),"")</f>
        <v/>
      </c>
      <c r="W4203" s="74" t="str">
        <f>IFERROR(VLOOKUP($O4203,'Customer List'!$A$1:$J$488,10,FALSE),"")</f>
        <v/>
      </c>
    </row>
    <row r="4204" spans="18:23">
      <c r="R4204" s="127">
        <f t="shared" si="207"/>
        <v>0</v>
      </c>
      <c r="T4204" s="128">
        <f t="shared" si="206"/>
        <v>0</v>
      </c>
      <c r="U4204" s="129" t="str">
        <f>IFERROR(IF(#REF!="S",VLOOKUP('Raw Data'!A4204,References!#REF!,2,FALSE),(VLOOKUP($S4204,References!$B$3:$C$7,2,FALSE))),"")</f>
        <v/>
      </c>
      <c r="W4204" s="74" t="str">
        <f>IFERROR(VLOOKUP($O4204,'Customer List'!$A$1:$J$488,10,FALSE),"")</f>
        <v/>
      </c>
    </row>
    <row r="4205" spans="18:23">
      <c r="R4205" s="127">
        <f t="shared" si="207"/>
        <v>0</v>
      </c>
      <c r="T4205" s="128">
        <f t="shared" si="206"/>
        <v>0</v>
      </c>
      <c r="U4205" s="129" t="str">
        <f>IFERROR(IF(#REF!="S",VLOOKUP('Raw Data'!A4205,References!#REF!,2,FALSE),(VLOOKUP($S4205,References!$B$3:$C$7,2,FALSE))),"")</f>
        <v/>
      </c>
      <c r="W4205" s="74" t="str">
        <f>IFERROR(VLOOKUP($O4205,'Customer List'!$A$1:$J$488,10,FALSE),"")</f>
        <v/>
      </c>
    </row>
    <row r="4206" spans="18:23">
      <c r="R4206" s="127">
        <f t="shared" si="207"/>
        <v>0</v>
      </c>
      <c r="T4206" s="128">
        <f t="shared" si="206"/>
        <v>0</v>
      </c>
      <c r="U4206" s="129" t="str">
        <f>IFERROR(IF(#REF!="S",VLOOKUP('Raw Data'!A4206,References!#REF!,2,FALSE),(VLOOKUP($S4206,References!$B$3:$C$7,2,FALSE))),"")</f>
        <v/>
      </c>
      <c r="W4206" s="74" t="str">
        <f>IFERROR(VLOOKUP($O4206,'Customer List'!$A$1:$J$488,10,FALSE),"")</f>
        <v/>
      </c>
    </row>
    <row r="4207" spans="18:23">
      <c r="R4207" s="127">
        <f t="shared" si="207"/>
        <v>0</v>
      </c>
      <c r="T4207" s="128">
        <f t="shared" si="206"/>
        <v>0</v>
      </c>
      <c r="U4207" s="129" t="str">
        <f>IFERROR(IF(#REF!="S",VLOOKUP('Raw Data'!A4207,References!#REF!,2,FALSE),(VLOOKUP($S4207,References!$B$3:$C$7,2,FALSE))),"")</f>
        <v/>
      </c>
      <c r="W4207" s="74" t="str">
        <f>IFERROR(VLOOKUP($O4207,'Customer List'!$A$1:$J$488,10,FALSE),"")</f>
        <v/>
      </c>
    </row>
    <row r="4208" spans="18:23">
      <c r="R4208" s="127">
        <f t="shared" si="207"/>
        <v>0</v>
      </c>
      <c r="T4208" s="128">
        <f t="shared" si="206"/>
        <v>0</v>
      </c>
      <c r="U4208" s="129" t="str">
        <f>IFERROR(IF(#REF!="S",VLOOKUP('Raw Data'!A4208,References!#REF!,2,FALSE),(VLOOKUP($S4208,References!$B$3:$C$7,2,FALSE))),"")</f>
        <v/>
      </c>
      <c r="W4208" s="74" t="str">
        <f>IFERROR(VLOOKUP($O4208,'Customer List'!$A$1:$J$488,10,FALSE),"")</f>
        <v/>
      </c>
    </row>
    <row r="4209" spans="18:23">
      <c r="R4209" s="127">
        <f t="shared" si="207"/>
        <v>0</v>
      </c>
      <c r="T4209" s="128">
        <f t="shared" si="206"/>
        <v>0</v>
      </c>
      <c r="U4209" s="129" t="str">
        <f>IFERROR(IF(#REF!="S",VLOOKUP('Raw Data'!A4209,References!#REF!,2,FALSE),(VLOOKUP($S4209,References!$B$3:$C$7,2,FALSE))),"")</f>
        <v/>
      </c>
      <c r="W4209" s="74" t="str">
        <f>IFERROR(VLOOKUP($O4209,'Customer List'!$A$1:$J$488,10,FALSE),"")</f>
        <v/>
      </c>
    </row>
    <row r="4210" spans="18:23">
      <c r="R4210" s="127">
        <f t="shared" si="207"/>
        <v>0</v>
      </c>
      <c r="T4210" s="128">
        <f t="shared" si="206"/>
        <v>0</v>
      </c>
      <c r="U4210" s="129" t="str">
        <f>IFERROR(IF(#REF!="S",VLOOKUP('Raw Data'!A4210,References!#REF!,2,FALSE),(VLOOKUP($S4210,References!$B$3:$C$7,2,FALSE))),"")</f>
        <v/>
      </c>
      <c r="W4210" s="74" t="str">
        <f>IFERROR(VLOOKUP($O4210,'Customer List'!$A$1:$J$488,10,FALSE),"")</f>
        <v/>
      </c>
    </row>
    <row r="4211" spans="18:23">
      <c r="R4211" s="127">
        <f t="shared" si="207"/>
        <v>0</v>
      </c>
      <c r="T4211" s="128">
        <f t="shared" si="206"/>
        <v>0</v>
      </c>
      <c r="U4211" s="129" t="str">
        <f>IFERROR(IF(#REF!="S",VLOOKUP('Raw Data'!A4211,References!#REF!,2,FALSE),(VLOOKUP($S4211,References!$B$3:$C$7,2,FALSE))),"")</f>
        <v/>
      </c>
      <c r="W4211" s="74" t="str">
        <f>IFERROR(VLOOKUP($O4211,'Customer List'!$A$1:$J$488,10,FALSE),"")</f>
        <v/>
      </c>
    </row>
    <row r="4212" spans="18:23">
      <c r="R4212" s="127">
        <f t="shared" si="207"/>
        <v>0</v>
      </c>
      <c r="T4212" s="128">
        <f t="shared" si="206"/>
        <v>0</v>
      </c>
      <c r="U4212" s="129" t="str">
        <f>IFERROR(IF(#REF!="S",VLOOKUP('Raw Data'!A4212,References!#REF!,2,FALSE),(VLOOKUP($S4212,References!$B$3:$C$7,2,FALSE))),"")</f>
        <v/>
      </c>
      <c r="W4212" s="74" t="str">
        <f>IFERROR(VLOOKUP($O4212,'Customer List'!$A$1:$J$488,10,FALSE),"")</f>
        <v/>
      </c>
    </row>
    <row r="4213" spans="18:23">
      <c r="R4213" s="127">
        <f t="shared" si="207"/>
        <v>0</v>
      </c>
      <c r="T4213" s="128">
        <f t="shared" si="206"/>
        <v>0</v>
      </c>
      <c r="U4213" s="129" t="str">
        <f>IFERROR(IF(#REF!="S",VLOOKUP('Raw Data'!A4213,References!#REF!,2,FALSE),(VLOOKUP($S4213,References!$B$3:$C$7,2,FALSE))),"")</f>
        <v/>
      </c>
      <c r="W4213" s="74" t="str">
        <f>IFERROR(VLOOKUP($O4213,'Customer List'!$A$1:$J$488,10,FALSE),"")</f>
        <v/>
      </c>
    </row>
    <row r="4214" spans="18:23">
      <c r="R4214" s="127">
        <f t="shared" si="207"/>
        <v>0</v>
      </c>
      <c r="T4214" s="128">
        <f t="shared" si="206"/>
        <v>0</v>
      </c>
      <c r="U4214" s="129" t="str">
        <f>IFERROR(IF(#REF!="S",VLOOKUP('Raw Data'!A4214,References!#REF!,2,FALSE),(VLOOKUP($S4214,References!$B$3:$C$7,2,FALSE))),"")</f>
        <v/>
      </c>
      <c r="W4214" s="74" t="str">
        <f>IFERROR(VLOOKUP($O4214,'Customer List'!$A$1:$J$488,10,FALSE),"")</f>
        <v/>
      </c>
    </row>
    <row r="4215" spans="18:23">
      <c r="R4215" s="127">
        <f t="shared" si="207"/>
        <v>0</v>
      </c>
      <c r="T4215" s="128">
        <f t="shared" si="206"/>
        <v>0</v>
      </c>
      <c r="U4215" s="129" t="str">
        <f>IFERROR(IF(#REF!="S",VLOOKUP('Raw Data'!A4215,References!#REF!,2,FALSE),(VLOOKUP($S4215,References!$B$3:$C$7,2,FALSE))),"")</f>
        <v/>
      </c>
      <c r="W4215" s="74" t="str">
        <f>IFERROR(VLOOKUP($O4215,'Customer List'!$A$1:$J$488,10,FALSE),"")</f>
        <v/>
      </c>
    </row>
    <row r="4216" spans="18:23">
      <c r="R4216" s="127">
        <f t="shared" si="207"/>
        <v>0</v>
      </c>
      <c r="T4216" s="128">
        <f t="shared" si="206"/>
        <v>0</v>
      </c>
      <c r="U4216" s="129" t="str">
        <f>IFERROR(IF(#REF!="S",VLOOKUP('Raw Data'!A4216,References!#REF!,2,FALSE),(VLOOKUP($S4216,References!$B$3:$C$7,2,FALSE))),"")</f>
        <v/>
      </c>
      <c r="W4216" s="74" t="str">
        <f>IFERROR(VLOOKUP($O4216,'Customer List'!$A$1:$J$488,10,FALSE),"")</f>
        <v/>
      </c>
    </row>
    <row r="4217" spans="18:23">
      <c r="R4217" s="127">
        <f t="shared" si="207"/>
        <v>0</v>
      </c>
      <c r="T4217" s="128">
        <f t="shared" si="206"/>
        <v>0</v>
      </c>
      <c r="U4217" s="129" t="str">
        <f>IFERROR(IF(#REF!="S",VLOOKUP('Raw Data'!A4217,References!#REF!,2,FALSE),(VLOOKUP($S4217,References!$B$3:$C$7,2,FALSE))),"")</f>
        <v/>
      </c>
      <c r="W4217" s="74" t="str">
        <f>IFERROR(VLOOKUP($O4217,'Customer List'!$A$1:$J$488,10,FALSE),"")</f>
        <v/>
      </c>
    </row>
    <row r="4218" spans="18:23">
      <c r="R4218" s="127">
        <f t="shared" si="207"/>
        <v>0</v>
      </c>
      <c r="T4218" s="128">
        <f t="shared" si="206"/>
        <v>0</v>
      </c>
      <c r="U4218" s="129" t="str">
        <f>IFERROR(IF(#REF!="S",VLOOKUP('Raw Data'!A4218,References!#REF!,2,FALSE),(VLOOKUP($S4218,References!$B$3:$C$7,2,FALSE))),"")</f>
        <v/>
      </c>
      <c r="W4218" s="74" t="str">
        <f>IFERROR(VLOOKUP($O4218,'Customer List'!$A$1:$J$488,10,FALSE),"")</f>
        <v/>
      </c>
    </row>
    <row r="4219" spans="18:23">
      <c r="R4219" s="127">
        <f t="shared" si="207"/>
        <v>0</v>
      </c>
      <c r="T4219" s="128">
        <f t="shared" si="206"/>
        <v>0</v>
      </c>
      <c r="U4219" s="129" t="str">
        <f>IFERROR(IF(#REF!="S",VLOOKUP('Raw Data'!A4219,References!#REF!,2,FALSE),(VLOOKUP($S4219,References!$B$3:$C$7,2,FALSE))),"")</f>
        <v/>
      </c>
      <c r="W4219" s="74" t="str">
        <f>IFERROR(VLOOKUP($O4219,'Customer List'!$A$1:$J$488,10,FALSE),"")</f>
        <v/>
      </c>
    </row>
    <row r="4220" spans="18:23">
      <c r="R4220" s="127">
        <f t="shared" si="207"/>
        <v>0</v>
      </c>
      <c r="T4220" s="128">
        <f t="shared" si="206"/>
        <v>0</v>
      </c>
      <c r="U4220" s="129" t="str">
        <f>IFERROR(IF(#REF!="S",VLOOKUP('Raw Data'!A4220,References!#REF!,2,FALSE),(VLOOKUP($S4220,References!$B$3:$C$7,2,FALSE))),"")</f>
        <v/>
      </c>
      <c r="W4220" s="74" t="str">
        <f>IFERROR(VLOOKUP($O4220,'Customer List'!$A$1:$J$488,10,FALSE),"")</f>
        <v/>
      </c>
    </row>
    <row r="4221" spans="18:23">
      <c r="R4221" s="127">
        <f t="shared" si="207"/>
        <v>0</v>
      </c>
      <c r="T4221" s="128">
        <f t="shared" si="206"/>
        <v>0</v>
      </c>
      <c r="U4221" s="129" t="str">
        <f>IFERROR(IF(#REF!="S",VLOOKUP('Raw Data'!A4221,References!#REF!,2,FALSE),(VLOOKUP($S4221,References!$B$3:$C$7,2,FALSE))),"")</f>
        <v/>
      </c>
      <c r="W4221" s="74" t="str">
        <f>IFERROR(VLOOKUP($O4221,'Customer List'!$A$1:$J$488,10,FALSE),"")</f>
        <v/>
      </c>
    </row>
    <row r="4222" spans="18:23">
      <c r="R4222" s="127">
        <f t="shared" si="207"/>
        <v>0</v>
      </c>
      <c r="T4222" s="128">
        <f t="shared" si="206"/>
        <v>0</v>
      </c>
      <c r="U4222" s="129" t="str">
        <f>IFERROR(IF(#REF!="S",VLOOKUP('Raw Data'!A4222,References!#REF!,2,FALSE),(VLOOKUP($S4222,References!$B$3:$C$7,2,FALSE))),"")</f>
        <v/>
      </c>
      <c r="W4222" s="74" t="str">
        <f>IFERROR(VLOOKUP($O4222,'Customer List'!$A$1:$J$488,10,FALSE),"")</f>
        <v/>
      </c>
    </row>
    <row r="4223" spans="18:23">
      <c r="R4223" s="127">
        <f t="shared" si="207"/>
        <v>0</v>
      </c>
      <c r="T4223" s="128">
        <f t="shared" si="206"/>
        <v>0</v>
      </c>
      <c r="U4223" s="129" t="str">
        <f>IFERROR(IF(#REF!="S",VLOOKUP('Raw Data'!A4223,References!#REF!,2,FALSE),(VLOOKUP($S4223,References!$B$3:$C$7,2,FALSE))),"")</f>
        <v/>
      </c>
      <c r="W4223" s="74" t="str">
        <f>IFERROR(VLOOKUP($O4223,'Customer List'!$A$1:$J$488,10,FALSE),"")</f>
        <v/>
      </c>
    </row>
    <row r="4224" spans="18:23">
      <c r="R4224" s="127">
        <f t="shared" si="207"/>
        <v>0</v>
      </c>
      <c r="T4224" s="128">
        <f t="shared" si="206"/>
        <v>0</v>
      </c>
      <c r="U4224" s="129" t="str">
        <f>IFERROR(IF(#REF!="S",VLOOKUP('Raw Data'!A4224,References!#REF!,2,FALSE),(VLOOKUP($S4224,References!$B$3:$C$7,2,FALSE))),"")</f>
        <v/>
      </c>
      <c r="W4224" s="74" t="str">
        <f>IFERROR(VLOOKUP($O4224,'Customer List'!$A$1:$J$488,10,FALSE),"")</f>
        <v/>
      </c>
    </row>
    <row r="4225" spans="18:23">
      <c r="R4225" s="127">
        <f t="shared" si="207"/>
        <v>0</v>
      </c>
      <c r="T4225" s="128">
        <f t="shared" si="206"/>
        <v>0</v>
      </c>
      <c r="U4225" s="129" t="str">
        <f>IFERROR(IF(#REF!="S",VLOOKUP('Raw Data'!A4225,References!#REF!,2,FALSE),(VLOOKUP($S4225,References!$B$3:$C$7,2,FALSE))),"")</f>
        <v/>
      </c>
      <c r="W4225" s="74" t="str">
        <f>IFERROR(VLOOKUP($O4225,'Customer List'!$A$1:$J$488,10,FALSE),"")</f>
        <v/>
      </c>
    </row>
    <row r="4226" spans="18:23">
      <c r="R4226" s="127">
        <f t="shared" si="207"/>
        <v>0</v>
      </c>
      <c r="T4226" s="128">
        <f t="shared" si="206"/>
        <v>0</v>
      </c>
      <c r="U4226" s="129" t="str">
        <f>IFERROR(IF(#REF!="S",VLOOKUP('Raw Data'!A4226,References!#REF!,2,FALSE),(VLOOKUP($S4226,References!$B$3:$C$7,2,FALSE))),"")</f>
        <v/>
      </c>
      <c r="W4226" s="74" t="str">
        <f>IFERROR(VLOOKUP($O4226,'Customer List'!$A$1:$J$488,10,FALSE),"")</f>
        <v/>
      </c>
    </row>
    <row r="4227" spans="18:23">
      <c r="R4227" s="127">
        <f t="shared" si="207"/>
        <v>0</v>
      </c>
      <c r="T4227" s="128">
        <f t="shared" si="206"/>
        <v>0</v>
      </c>
      <c r="U4227" s="129" t="str">
        <f>IFERROR(IF(#REF!="S",VLOOKUP('Raw Data'!A4227,References!#REF!,2,FALSE),(VLOOKUP($S4227,References!$B$3:$C$7,2,FALSE))),"")</f>
        <v/>
      </c>
      <c r="W4227" s="74" t="str">
        <f>IFERROR(VLOOKUP($O4227,'Customer List'!$A$1:$J$488,10,FALSE),"")</f>
        <v/>
      </c>
    </row>
    <row r="4228" spans="18:23">
      <c r="R4228" s="127">
        <f t="shared" si="207"/>
        <v>0</v>
      </c>
      <c r="T4228" s="128">
        <f t="shared" si="206"/>
        <v>0</v>
      </c>
      <c r="U4228" s="129" t="str">
        <f>IFERROR(IF(#REF!="S",VLOOKUP('Raw Data'!A4228,References!#REF!,2,FALSE),(VLOOKUP($S4228,References!$B$3:$C$7,2,FALSE))),"")</f>
        <v/>
      </c>
      <c r="W4228" s="74" t="str">
        <f>IFERROR(VLOOKUP($O4228,'Customer List'!$A$1:$J$488,10,FALSE),"")</f>
        <v/>
      </c>
    </row>
    <row r="4229" spans="18:23">
      <c r="R4229" s="127">
        <f t="shared" si="207"/>
        <v>0</v>
      </c>
      <c r="T4229" s="128">
        <f t="shared" si="206"/>
        <v>0</v>
      </c>
      <c r="U4229" s="129" t="str">
        <f>IFERROR(IF(#REF!="S",VLOOKUP('Raw Data'!A4229,References!#REF!,2,FALSE),(VLOOKUP($S4229,References!$B$3:$C$7,2,FALSE))),"")</f>
        <v/>
      </c>
      <c r="W4229" s="74" t="str">
        <f>IFERROR(VLOOKUP($O4229,'Customer List'!$A$1:$J$488,10,FALSE),"")</f>
        <v/>
      </c>
    </row>
    <row r="4230" spans="18:23">
      <c r="R4230" s="127">
        <f t="shared" si="207"/>
        <v>0</v>
      </c>
      <c r="T4230" s="128">
        <f t="shared" si="206"/>
        <v>0</v>
      </c>
      <c r="U4230" s="129" t="str">
        <f>IFERROR(IF(#REF!="S",VLOOKUP('Raw Data'!A4230,References!#REF!,2,FALSE),(VLOOKUP($S4230,References!$B$3:$C$7,2,FALSE))),"")</f>
        <v/>
      </c>
      <c r="W4230" s="74" t="str">
        <f>IFERROR(VLOOKUP($O4230,'Customer List'!$A$1:$J$488,10,FALSE),"")</f>
        <v/>
      </c>
    </row>
    <row r="4231" spans="18:23">
      <c r="R4231" s="127">
        <f t="shared" si="207"/>
        <v>0</v>
      </c>
      <c r="T4231" s="128">
        <f t="shared" si="206"/>
        <v>0</v>
      </c>
      <c r="U4231" s="129" t="str">
        <f>IFERROR(IF(#REF!="S",VLOOKUP('Raw Data'!A4231,References!#REF!,2,FALSE),(VLOOKUP($S4231,References!$B$3:$C$7,2,FALSE))),"")</f>
        <v/>
      </c>
      <c r="W4231" s="74" t="str">
        <f>IFERROR(VLOOKUP($O4231,'Customer List'!$A$1:$J$488,10,FALSE),"")</f>
        <v/>
      </c>
    </row>
    <row r="4232" spans="18:23">
      <c r="R4232" s="127">
        <f t="shared" si="207"/>
        <v>0</v>
      </c>
      <c r="T4232" s="128">
        <f t="shared" si="206"/>
        <v>0</v>
      </c>
      <c r="U4232" s="129" t="str">
        <f>IFERROR(IF(#REF!="S",VLOOKUP('Raw Data'!A4232,References!#REF!,2,FALSE),(VLOOKUP($S4232,References!$B$3:$C$7,2,FALSE))),"")</f>
        <v/>
      </c>
      <c r="W4232" s="74" t="str">
        <f>IFERROR(VLOOKUP($O4232,'Customer List'!$A$1:$J$488,10,FALSE),"")</f>
        <v/>
      </c>
    </row>
    <row r="4233" spans="18:23">
      <c r="R4233" s="127">
        <f t="shared" si="207"/>
        <v>0</v>
      </c>
      <c r="T4233" s="128">
        <f t="shared" si="206"/>
        <v>0</v>
      </c>
      <c r="U4233" s="129" t="str">
        <f>IFERROR(IF(#REF!="S",VLOOKUP('Raw Data'!A4233,References!#REF!,2,FALSE),(VLOOKUP($S4233,References!$B$3:$C$7,2,FALSE))),"")</f>
        <v/>
      </c>
      <c r="W4233" s="74" t="str">
        <f>IFERROR(VLOOKUP($O4233,'Customer List'!$A$1:$J$488,10,FALSE),"")</f>
        <v/>
      </c>
    </row>
    <row r="4234" spans="18:23">
      <c r="R4234" s="127">
        <f t="shared" si="207"/>
        <v>0</v>
      </c>
      <c r="T4234" s="128">
        <f t="shared" ref="T4234:T4297" si="208">IF(S4234="50 - Cleaning Fee",1,HOUR($R4234)+MINUTE(R4234)/60)</f>
        <v>0</v>
      </c>
      <c r="U4234" s="129" t="str">
        <f>IFERROR(IF(#REF!="S",VLOOKUP('Raw Data'!A4234,References!#REF!,2,FALSE),(VLOOKUP($S4234,References!$B$3:$C$7,2,FALSE))),"")</f>
        <v/>
      </c>
      <c r="W4234" s="74" t="str">
        <f>IFERROR(VLOOKUP($O4234,'Customer List'!$A$1:$J$488,10,FALSE),"")</f>
        <v/>
      </c>
    </row>
    <row r="4235" spans="18:23">
      <c r="R4235" s="127">
        <f t="shared" si="207"/>
        <v>0</v>
      </c>
      <c r="T4235" s="128">
        <f t="shared" si="208"/>
        <v>0</v>
      </c>
      <c r="U4235" s="129" t="str">
        <f>IFERROR(IF(#REF!="S",VLOOKUP('Raw Data'!A4235,References!#REF!,2,FALSE),(VLOOKUP($S4235,References!$B$3:$C$7,2,FALSE))),"")</f>
        <v/>
      </c>
      <c r="W4235" s="74" t="str">
        <f>IFERROR(VLOOKUP($O4235,'Customer List'!$A$1:$J$488,10,FALSE),"")</f>
        <v/>
      </c>
    </row>
    <row r="4236" spans="18:23">
      <c r="R4236" s="127">
        <f t="shared" si="207"/>
        <v>0</v>
      </c>
      <c r="T4236" s="128">
        <f t="shared" si="208"/>
        <v>0</v>
      </c>
      <c r="U4236" s="129" t="str">
        <f>IFERROR(IF(#REF!="S",VLOOKUP('Raw Data'!A4236,References!#REF!,2,FALSE),(VLOOKUP($S4236,References!$B$3:$C$7,2,FALSE))),"")</f>
        <v/>
      </c>
      <c r="W4236" s="74" t="str">
        <f>IFERROR(VLOOKUP($O4236,'Customer List'!$A$1:$J$488,10,FALSE),"")</f>
        <v/>
      </c>
    </row>
    <row r="4237" spans="18:23">
      <c r="R4237" s="127">
        <f t="shared" si="207"/>
        <v>0</v>
      </c>
      <c r="T4237" s="128">
        <f t="shared" si="208"/>
        <v>0</v>
      </c>
      <c r="U4237" s="129" t="str">
        <f>IFERROR(IF(#REF!="S",VLOOKUP('Raw Data'!A4237,References!#REF!,2,FALSE),(VLOOKUP($S4237,References!$B$3:$C$7,2,FALSE))),"")</f>
        <v/>
      </c>
      <c r="W4237" s="74" t="str">
        <f>IFERROR(VLOOKUP($O4237,'Customer List'!$A$1:$J$488,10,FALSE),"")</f>
        <v/>
      </c>
    </row>
    <row r="4238" spans="18:23">
      <c r="R4238" s="127">
        <f t="shared" si="207"/>
        <v>0</v>
      </c>
      <c r="T4238" s="128">
        <f t="shared" si="208"/>
        <v>0</v>
      </c>
      <c r="U4238" s="129" t="str">
        <f>IFERROR(IF(#REF!="S",VLOOKUP('Raw Data'!A4238,References!#REF!,2,FALSE),(VLOOKUP($S4238,References!$B$3:$C$7,2,FALSE))),"")</f>
        <v/>
      </c>
      <c r="W4238" s="74" t="str">
        <f>IFERROR(VLOOKUP($O4238,'Customer List'!$A$1:$J$488,10,FALSE),"")</f>
        <v/>
      </c>
    </row>
    <row r="4239" spans="18:23">
      <c r="R4239" s="127">
        <f t="shared" si="207"/>
        <v>0</v>
      </c>
      <c r="T4239" s="128">
        <f t="shared" si="208"/>
        <v>0</v>
      </c>
      <c r="U4239" s="129" t="str">
        <f>IFERROR(IF(#REF!="S",VLOOKUP('Raw Data'!A4239,References!#REF!,2,FALSE),(VLOOKUP($S4239,References!$B$3:$C$7,2,FALSE))),"")</f>
        <v/>
      </c>
      <c r="W4239" s="74" t="str">
        <f>IFERROR(VLOOKUP($O4239,'Customer List'!$A$1:$J$488,10,FALSE),"")</f>
        <v/>
      </c>
    </row>
    <row r="4240" spans="18:23">
      <c r="R4240" s="127">
        <f t="shared" si="207"/>
        <v>0</v>
      </c>
      <c r="T4240" s="128">
        <f t="shared" si="208"/>
        <v>0</v>
      </c>
      <c r="U4240" s="129" t="str">
        <f>IFERROR(IF(#REF!="S",VLOOKUP('Raw Data'!A4240,References!#REF!,2,FALSE),(VLOOKUP($S4240,References!$B$3:$C$7,2,FALSE))),"")</f>
        <v/>
      </c>
      <c r="W4240" s="74" t="str">
        <f>IFERROR(VLOOKUP($O4240,'Customer List'!$A$1:$J$488,10,FALSE),"")</f>
        <v/>
      </c>
    </row>
    <row r="4241" spans="18:23">
      <c r="R4241" s="127">
        <f t="shared" si="207"/>
        <v>0</v>
      </c>
      <c r="T4241" s="128">
        <f t="shared" si="208"/>
        <v>0</v>
      </c>
      <c r="U4241" s="129" t="str">
        <f>IFERROR(IF(#REF!="S",VLOOKUP('Raw Data'!A4241,References!#REF!,2,FALSE),(VLOOKUP($S4241,References!$B$3:$C$7,2,FALSE))),"")</f>
        <v/>
      </c>
      <c r="W4241" s="74" t="str">
        <f>IFERROR(VLOOKUP($O4241,'Customer List'!$A$1:$J$488,10,FALSE),"")</f>
        <v/>
      </c>
    </row>
    <row r="4242" spans="18:23">
      <c r="R4242" s="127">
        <f t="shared" si="207"/>
        <v>0</v>
      </c>
      <c r="T4242" s="128">
        <f t="shared" si="208"/>
        <v>0</v>
      </c>
      <c r="U4242" s="129" t="str">
        <f>IFERROR(IF(#REF!="S",VLOOKUP('Raw Data'!A4242,References!#REF!,2,FALSE),(VLOOKUP($S4242,References!$B$3:$C$7,2,FALSE))),"")</f>
        <v/>
      </c>
      <c r="W4242" s="74" t="str">
        <f>IFERROR(VLOOKUP($O4242,'Customer List'!$A$1:$J$488,10,FALSE),"")</f>
        <v/>
      </c>
    </row>
    <row r="4243" spans="18:23">
      <c r="R4243" s="127">
        <f t="shared" si="207"/>
        <v>0</v>
      </c>
      <c r="T4243" s="128">
        <f t="shared" si="208"/>
        <v>0</v>
      </c>
      <c r="U4243" s="129" t="str">
        <f>IFERROR(IF(#REF!="S",VLOOKUP('Raw Data'!A4243,References!#REF!,2,FALSE),(VLOOKUP($S4243,References!$B$3:$C$7,2,FALSE))),"")</f>
        <v/>
      </c>
      <c r="W4243" s="74" t="str">
        <f>IFERROR(VLOOKUP($O4243,'Customer List'!$A$1:$J$488,10,FALSE),"")</f>
        <v/>
      </c>
    </row>
    <row r="4244" spans="18:23">
      <c r="R4244" s="127">
        <f t="shared" si="207"/>
        <v>0</v>
      </c>
      <c r="T4244" s="128">
        <f t="shared" si="208"/>
        <v>0</v>
      </c>
      <c r="U4244" s="129" t="str">
        <f>IFERROR(IF(#REF!="S",VLOOKUP('Raw Data'!A4244,References!#REF!,2,FALSE),(VLOOKUP($S4244,References!$B$3:$C$7,2,FALSE))),"")</f>
        <v/>
      </c>
      <c r="W4244" s="74" t="str">
        <f>IFERROR(VLOOKUP($O4244,'Customer List'!$A$1:$J$488,10,FALSE),"")</f>
        <v/>
      </c>
    </row>
    <row r="4245" spans="18:23">
      <c r="R4245" s="127">
        <f t="shared" si="207"/>
        <v>0</v>
      </c>
      <c r="T4245" s="128">
        <f t="shared" si="208"/>
        <v>0</v>
      </c>
      <c r="U4245" s="129" t="str">
        <f>IFERROR(IF(#REF!="S",VLOOKUP('Raw Data'!A4245,References!#REF!,2,FALSE),(VLOOKUP($S4245,References!$B$3:$C$7,2,FALSE))),"")</f>
        <v/>
      </c>
      <c r="W4245" s="74" t="str">
        <f>IFERROR(VLOOKUP($O4245,'Customer List'!$A$1:$J$488,10,FALSE),"")</f>
        <v/>
      </c>
    </row>
    <row r="4246" spans="18:23">
      <c r="R4246" s="127">
        <f t="shared" si="207"/>
        <v>0</v>
      </c>
      <c r="T4246" s="128">
        <f t="shared" si="208"/>
        <v>0</v>
      </c>
      <c r="U4246" s="129" t="str">
        <f>IFERROR(IF(#REF!="S",VLOOKUP('Raw Data'!A4246,References!#REF!,2,FALSE),(VLOOKUP($S4246,References!$B$3:$C$7,2,FALSE))),"")</f>
        <v/>
      </c>
      <c r="W4246" s="74" t="str">
        <f>IFERROR(VLOOKUP($O4246,'Customer List'!$A$1:$J$488,10,FALSE),"")</f>
        <v/>
      </c>
    </row>
    <row r="4247" spans="18:23">
      <c r="R4247" s="127">
        <f t="shared" si="207"/>
        <v>0</v>
      </c>
      <c r="T4247" s="128">
        <f t="shared" si="208"/>
        <v>0</v>
      </c>
      <c r="U4247" s="129" t="str">
        <f>IFERROR(IF(#REF!="S",VLOOKUP('Raw Data'!A4247,References!#REF!,2,FALSE),(VLOOKUP($S4247,References!$B$3:$C$7,2,FALSE))),"")</f>
        <v/>
      </c>
      <c r="W4247" s="74" t="str">
        <f>IFERROR(VLOOKUP($O4247,'Customer List'!$A$1:$J$488,10,FALSE),"")</f>
        <v/>
      </c>
    </row>
    <row r="4248" spans="18:23">
      <c r="R4248" s="127">
        <f t="shared" si="207"/>
        <v>0</v>
      </c>
      <c r="T4248" s="128">
        <f t="shared" si="208"/>
        <v>0</v>
      </c>
      <c r="U4248" s="129" t="str">
        <f>IFERROR(IF(#REF!="S",VLOOKUP('Raw Data'!A4248,References!#REF!,2,FALSE),(VLOOKUP($S4248,References!$B$3:$C$7,2,FALSE))),"")</f>
        <v/>
      </c>
      <c r="W4248" s="74" t="str">
        <f>IFERROR(VLOOKUP($O4248,'Customer List'!$A$1:$J$488,10,FALSE),"")</f>
        <v/>
      </c>
    </row>
    <row r="4249" spans="18:23">
      <c r="R4249" s="127">
        <f t="shared" si="207"/>
        <v>0</v>
      </c>
      <c r="T4249" s="128">
        <f t="shared" si="208"/>
        <v>0</v>
      </c>
      <c r="U4249" s="129" t="str">
        <f>IFERROR(IF(#REF!="S",VLOOKUP('Raw Data'!A4249,References!#REF!,2,FALSE),(VLOOKUP($S4249,References!$B$3:$C$7,2,FALSE))),"")</f>
        <v/>
      </c>
      <c r="W4249" s="74" t="str">
        <f>IFERROR(VLOOKUP($O4249,'Customer List'!$A$1:$J$488,10,FALSE),"")</f>
        <v/>
      </c>
    </row>
    <row r="4250" spans="18:23">
      <c r="R4250" s="127">
        <f t="shared" si="207"/>
        <v>0</v>
      </c>
      <c r="T4250" s="128">
        <f t="shared" si="208"/>
        <v>0</v>
      </c>
      <c r="U4250" s="129" t="str">
        <f>IFERROR(IF(#REF!="S",VLOOKUP('Raw Data'!A4250,References!#REF!,2,FALSE),(VLOOKUP($S4250,References!$B$3:$C$7,2,FALSE))),"")</f>
        <v/>
      </c>
      <c r="W4250" s="74" t="str">
        <f>IFERROR(VLOOKUP($O4250,'Customer List'!$A$1:$J$488,10,FALSE),"")</f>
        <v/>
      </c>
    </row>
    <row r="4251" spans="18:23">
      <c r="R4251" s="127">
        <f t="shared" si="207"/>
        <v>0</v>
      </c>
      <c r="T4251" s="128">
        <f t="shared" si="208"/>
        <v>0</v>
      </c>
      <c r="U4251" s="129" t="str">
        <f>IFERROR(IF(#REF!="S",VLOOKUP('Raw Data'!A4251,References!#REF!,2,FALSE),(VLOOKUP($S4251,References!$B$3:$C$7,2,FALSE))),"")</f>
        <v/>
      </c>
      <c r="W4251" s="74" t="str">
        <f>IFERROR(VLOOKUP($O4251,'Customer List'!$A$1:$J$488,10,FALSE),"")</f>
        <v/>
      </c>
    </row>
    <row r="4252" spans="18:23">
      <c r="R4252" s="127">
        <f t="shared" si="207"/>
        <v>0</v>
      </c>
      <c r="T4252" s="128">
        <f t="shared" si="208"/>
        <v>0</v>
      </c>
      <c r="U4252" s="129" t="str">
        <f>IFERROR(IF(#REF!="S",VLOOKUP('Raw Data'!A4252,References!#REF!,2,FALSE),(VLOOKUP($S4252,References!$B$3:$C$7,2,FALSE))),"")</f>
        <v/>
      </c>
      <c r="W4252" s="74" t="str">
        <f>IFERROR(VLOOKUP($O4252,'Customer List'!$A$1:$J$488,10,FALSE),"")</f>
        <v/>
      </c>
    </row>
    <row r="4253" spans="18:23">
      <c r="R4253" s="127">
        <f t="shared" si="207"/>
        <v>0</v>
      </c>
      <c r="T4253" s="128">
        <f t="shared" si="208"/>
        <v>0</v>
      </c>
      <c r="U4253" s="129" t="str">
        <f>IFERROR(IF(#REF!="S",VLOOKUP('Raw Data'!A4253,References!#REF!,2,FALSE),(VLOOKUP($S4253,References!$B$3:$C$7,2,FALSE))),"")</f>
        <v/>
      </c>
      <c r="W4253" s="74" t="str">
        <f>IFERROR(VLOOKUP($O4253,'Customer List'!$A$1:$J$488,10,FALSE),"")</f>
        <v/>
      </c>
    </row>
    <row r="4254" spans="18:23">
      <c r="R4254" s="127">
        <f t="shared" si="207"/>
        <v>0</v>
      </c>
      <c r="T4254" s="128">
        <f t="shared" si="208"/>
        <v>0</v>
      </c>
      <c r="U4254" s="129" t="str">
        <f>IFERROR(IF(#REF!="S",VLOOKUP('Raw Data'!A4254,References!#REF!,2,FALSE),(VLOOKUP($S4254,References!$B$3:$C$7,2,FALSE))),"")</f>
        <v/>
      </c>
      <c r="W4254" s="74" t="str">
        <f>IFERROR(VLOOKUP($O4254,'Customer List'!$A$1:$J$488,10,FALSE),"")</f>
        <v/>
      </c>
    </row>
    <row r="4255" spans="18:23">
      <c r="R4255" s="127">
        <f t="shared" si="207"/>
        <v>0</v>
      </c>
      <c r="T4255" s="128">
        <f t="shared" si="208"/>
        <v>0</v>
      </c>
      <c r="U4255" s="129" t="str">
        <f>IFERROR(IF(#REF!="S",VLOOKUP('Raw Data'!A4255,References!#REF!,2,FALSE),(VLOOKUP($S4255,References!$B$3:$C$7,2,FALSE))),"")</f>
        <v/>
      </c>
      <c r="W4255" s="74" t="str">
        <f>IFERROR(VLOOKUP($O4255,'Customer List'!$A$1:$J$488,10,FALSE),"")</f>
        <v/>
      </c>
    </row>
    <row r="4256" spans="18:23">
      <c r="R4256" s="127">
        <f t="shared" si="207"/>
        <v>0</v>
      </c>
      <c r="T4256" s="128">
        <f t="shared" si="208"/>
        <v>0</v>
      </c>
      <c r="U4256" s="129" t="str">
        <f>IFERROR(IF(#REF!="S",VLOOKUP('Raw Data'!A4256,References!#REF!,2,FALSE),(VLOOKUP($S4256,References!$B$3:$C$7,2,FALSE))),"")</f>
        <v/>
      </c>
      <c r="W4256" s="74" t="str">
        <f>IFERROR(VLOOKUP($O4256,'Customer List'!$A$1:$J$488,10,FALSE),"")</f>
        <v/>
      </c>
    </row>
    <row r="4257" spans="18:23">
      <c r="R4257" s="127">
        <f t="shared" si="207"/>
        <v>0</v>
      </c>
      <c r="T4257" s="128">
        <f t="shared" si="208"/>
        <v>0</v>
      </c>
      <c r="U4257" s="129" t="str">
        <f>IFERROR(IF(#REF!="S",VLOOKUP('Raw Data'!A4257,References!#REF!,2,FALSE),(VLOOKUP($S4257,References!$B$3:$C$7,2,FALSE))),"")</f>
        <v/>
      </c>
      <c r="W4257" s="74" t="str">
        <f>IFERROR(VLOOKUP($O4257,'Customer List'!$A$1:$J$488,10,FALSE),"")</f>
        <v/>
      </c>
    </row>
    <row r="4258" spans="18:23">
      <c r="R4258" s="127">
        <f t="shared" ref="R4258:R4321" si="209">L4258-K4258</f>
        <v>0</v>
      </c>
      <c r="T4258" s="128">
        <f t="shared" si="208"/>
        <v>0</v>
      </c>
      <c r="U4258" s="129" t="str">
        <f>IFERROR(IF(#REF!="S",VLOOKUP('Raw Data'!A4258,References!#REF!,2,FALSE),(VLOOKUP($S4258,References!$B$3:$C$7,2,FALSE))),"")</f>
        <v/>
      </c>
      <c r="W4258" s="74" t="str">
        <f>IFERROR(VLOOKUP($O4258,'Customer List'!$A$1:$J$488,10,FALSE),"")</f>
        <v/>
      </c>
    </row>
    <row r="4259" spans="18:23">
      <c r="R4259" s="127">
        <f t="shared" si="209"/>
        <v>0</v>
      </c>
      <c r="T4259" s="128">
        <f t="shared" si="208"/>
        <v>0</v>
      </c>
      <c r="U4259" s="129" t="str">
        <f>IFERROR(IF(#REF!="S",VLOOKUP('Raw Data'!A4259,References!#REF!,2,FALSE),(VLOOKUP($S4259,References!$B$3:$C$7,2,FALSE))),"")</f>
        <v/>
      </c>
      <c r="W4259" s="74" t="str">
        <f>IFERROR(VLOOKUP($O4259,'Customer List'!$A$1:$J$488,10,FALSE),"")</f>
        <v/>
      </c>
    </row>
    <row r="4260" spans="18:23">
      <c r="R4260" s="127">
        <f t="shared" si="209"/>
        <v>0</v>
      </c>
      <c r="T4260" s="128">
        <f t="shared" si="208"/>
        <v>0</v>
      </c>
      <c r="U4260" s="129" t="str">
        <f>IFERROR(IF(#REF!="S",VLOOKUP('Raw Data'!A4260,References!#REF!,2,FALSE),(VLOOKUP($S4260,References!$B$3:$C$7,2,FALSE))),"")</f>
        <v/>
      </c>
      <c r="W4260" s="74" t="str">
        <f>IFERROR(VLOOKUP($O4260,'Customer List'!$A$1:$J$488,10,FALSE),"")</f>
        <v/>
      </c>
    </row>
    <row r="4261" spans="18:23">
      <c r="R4261" s="127">
        <f t="shared" si="209"/>
        <v>0</v>
      </c>
      <c r="T4261" s="128">
        <f t="shared" si="208"/>
        <v>0</v>
      </c>
      <c r="U4261" s="129" t="str">
        <f>IFERROR(IF(#REF!="S",VLOOKUP('Raw Data'!A4261,References!#REF!,2,FALSE),(VLOOKUP($S4261,References!$B$3:$C$7,2,FALSE))),"")</f>
        <v/>
      </c>
      <c r="W4261" s="74" t="str">
        <f>IFERROR(VLOOKUP($O4261,'Customer List'!$A$1:$J$488,10,FALSE),"")</f>
        <v/>
      </c>
    </row>
    <row r="4262" spans="18:23">
      <c r="R4262" s="127">
        <f t="shared" si="209"/>
        <v>0</v>
      </c>
      <c r="T4262" s="128">
        <f t="shared" si="208"/>
        <v>0</v>
      </c>
      <c r="U4262" s="129" t="str">
        <f>IFERROR(IF(#REF!="S",VLOOKUP('Raw Data'!A4262,References!#REF!,2,FALSE),(VLOOKUP($S4262,References!$B$3:$C$7,2,FALSE))),"")</f>
        <v/>
      </c>
      <c r="W4262" s="74" t="str">
        <f>IFERROR(VLOOKUP($O4262,'Customer List'!$A$1:$J$488,10,FALSE),"")</f>
        <v/>
      </c>
    </row>
    <row r="4263" spans="18:23">
      <c r="R4263" s="127">
        <f t="shared" si="209"/>
        <v>0</v>
      </c>
      <c r="T4263" s="128">
        <f t="shared" si="208"/>
        <v>0</v>
      </c>
      <c r="U4263" s="129" t="str">
        <f>IFERROR(IF(#REF!="S",VLOOKUP('Raw Data'!A4263,References!#REF!,2,FALSE),(VLOOKUP($S4263,References!$B$3:$C$7,2,FALSE))),"")</f>
        <v/>
      </c>
      <c r="W4263" s="74" t="str">
        <f>IFERROR(VLOOKUP($O4263,'Customer List'!$A$1:$J$488,10,FALSE),"")</f>
        <v/>
      </c>
    </row>
    <row r="4264" spans="18:23">
      <c r="R4264" s="127">
        <f t="shared" si="209"/>
        <v>0</v>
      </c>
      <c r="T4264" s="128">
        <f t="shared" si="208"/>
        <v>0</v>
      </c>
      <c r="U4264" s="129" t="str">
        <f>IFERROR(IF(#REF!="S",VLOOKUP('Raw Data'!A4264,References!#REF!,2,FALSE),(VLOOKUP($S4264,References!$B$3:$C$7,2,FALSE))),"")</f>
        <v/>
      </c>
      <c r="W4264" s="74" t="str">
        <f>IFERROR(VLOOKUP($O4264,'Customer List'!$A$1:$J$488,10,FALSE),"")</f>
        <v/>
      </c>
    </row>
    <row r="4265" spans="18:23">
      <c r="R4265" s="127">
        <f t="shared" si="209"/>
        <v>0</v>
      </c>
      <c r="T4265" s="128">
        <f t="shared" si="208"/>
        <v>0</v>
      </c>
      <c r="U4265" s="129" t="str">
        <f>IFERROR(IF(#REF!="S",VLOOKUP('Raw Data'!A4265,References!#REF!,2,FALSE),(VLOOKUP($S4265,References!$B$3:$C$7,2,FALSE))),"")</f>
        <v/>
      </c>
      <c r="W4265" s="74" t="str">
        <f>IFERROR(VLOOKUP($O4265,'Customer List'!$A$1:$J$488,10,FALSE),"")</f>
        <v/>
      </c>
    </row>
    <row r="4266" spans="18:23">
      <c r="R4266" s="127">
        <f t="shared" si="209"/>
        <v>0</v>
      </c>
      <c r="T4266" s="128">
        <f t="shared" si="208"/>
        <v>0</v>
      </c>
      <c r="U4266" s="129" t="str">
        <f>IFERROR(IF(#REF!="S",VLOOKUP('Raw Data'!A4266,References!#REF!,2,FALSE),(VLOOKUP($S4266,References!$B$3:$C$7,2,FALSE))),"")</f>
        <v/>
      </c>
      <c r="W4266" s="74" t="str">
        <f>IFERROR(VLOOKUP($O4266,'Customer List'!$A$1:$J$488,10,FALSE),"")</f>
        <v/>
      </c>
    </row>
    <row r="4267" spans="18:23">
      <c r="R4267" s="127">
        <f t="shared" si="209"/>
        <v>0</v>
      </c>
      <c r="T4267" s="128">
        <f t="shared" si="208"/>
        <v>0</v>
      </c>
      <c r="U4267" s="129" t="str">
        <f>IFERROR(IF(#REF!="S",VLOOKUP('Raw Data'!A4267,References!#REF!,2,FALSE),(VLOOKUP($S4267,References!$B$3:$C$7,2,FALSE))),"")</f>
        <v/>
      </c>
      <c r="W4267" s="74" t="str">
        <f>IFERROR(VLOOKUP($O4267,'Customer List'!$A$1:$J$488,10,FALSE),"")</f>
        <v/>
      </c>
    </row>
    <row r="4268" spans="18:23">
      <c r="R4268" s="127">
        <f t="shared" si="209"/>
        <v>0</v>
      </c>
      <c r="T4268" s="128">
        <f t="shared" si="208"/>
        <v>0</v>
      </c>
      <c r="U4268" s="129" t="str">
        <f>IFERROR(IF(#REF!="S",VLOOKUP('Raw Data'!A4268,References!#REF!,2,FALSE),(VLOOKUP($S4268,References!$B$3:$C$7,2,FALSE))),"")</f>
        <v/>
      </c>
      <c r="W4268" s="74" t="str">
        <f>IFERROR(VLOOKUP($O4268,'Customer List'!$A$1:$J$488,10,FALSE),"")</f>
        <v/>
      </c>
    </row>
    <row r="4269" spans="18:23">
      <c r="R4269" s="127">
        <f t="shared" si="209"/>
        <v>0</v>
      </c>
      <c r="T4269" s="128">
        <f t="shared" si="208"/>
        <v>0</v>
      </c>
      <c r="U4269" s="129" t="str">
        <f>IFERROR(IF(#REF!="S",VLOOKUP('Raw Data'!A4269,References!#REF!,2,FALSE),(VLOOKUP($S4269,References!$B$3:$C$7,2,FALSE))),"")</f>
        <v/>
      </c>
      <c r="W4269" s="74" t="str">
        <f>IFERROR(VLOOKUP($O4269,'Customer List'!$A$1:$J$488,10,FALSE),"")</f>
        <v/>
      </c>
    </row>
    <row r="4270" spans="18:23">
      <c r="R4270" s="127">
        <f t="shared" si="209"/>
        <v>0</v>
      </c>
      <c r="T4270" s="128">
        <f t="shared" si="208"/>
        <v>0</v>
      </c>
      <c r="U4270" s="129" t="str">
        <f>IFERROR(IF(#REF!="S",VLOOKUP('Raw Data'!A4270,References!#REF!,2,FALSE),(VLOOKUP($S4270,References!$B$3:$C$7,2,FALSE))),"")</f>
        <v/>
      </c>
      <c r="W4270" s="74" t="str">
        <f>IFERROR(VLOOKUP($O4270,'Customer List'!$A$1:$J$488,10,FALSE),"")</f>
        <v/>
      </c>
    </row>
    <row r="4271" spans="18:23">
      <c r="R4271" s="127">
        <f t="shared" si="209"/>
        <v>0</v>
      </c>
      <c r="T4271" s="128">
        <f t="shared" si="208"/>
        <v>0</v>
      </c>
      <c r="U4271" s="129" t="str">
        <f>IFERROR(IF(#REF!="S",VLOOKUP('Raw Data'!A4271,References!#REF!,2,FALSE),(VLOOKUP($S4271,References!$B$3:$C$7,2,FALSE))),"")</f>
        <v/>
      </c>
      <c r="W4271" s="74" t="str">
        <f>IFERROR(VLOOKUP($O4271,'Customer List'!$A$1:$J$488,10,FALSE),"")</f>
        <v/>
      </c>
    </row>
    <row r="4272" spans="18:23">
      <c r="R4272" s="127">
        <f t="shared" si="209"/>
        <v>0</v>
      </c>
      <c r="T4272" s="128">
        <f t="shared" si="208"/>
        <v>0</v>
      </c>
      <c r="U4272" s="129" t="str">
        <f>IFERROR(IF(#REF!="S",VLOOKUP('Raw Data'!A4272,References!#REF!,2,FALSE),(VLOOKUP($S4272,References!$B$3:$C$7,2,FALSE))),"")</f>
        <v/>
      </c>
      <c r="W4272" s="74" t="str">
        <f>IFERROR(VLOOKUP($O4272,'Customer List'!$A$1:$J$488,10,FALSE),"")</f>
        <v/>
      </c>
    </row>
    <row r="4273" spans="18:23">
      <c r="R4273" s="127">
        <f t="shared" si="209"/>
        <v>0</v>
      </c>
      <c r="T4273" s="128">
        <f t="shared" si="208"/>
        <v>0</v>
      </c>
      <c r="U4273" s="129" t="str">
        <f>IFERROR(IF(#REF!="S",VLOOKUP('Raw Data'!A4273,References!#REF!,2,FALSE),(VLOOKUP($S4273,References!$B$3:$C$7,2,FALSE))),"")</f>
        <v/>
      </c>
      <c r="W4273" s="74" t="str">
        <f>IFERROR(VLOOKUP($O4273,'Customer List'!$A$1:$J$488,10,FALSE),"")</f>
        <v/>
      </c>
    </row>
    <row r="4274" spans="18:23">
      <c r="R4274" s="127">
        <f t="shared" si="209"/>
        <v>0</v>
      </c>
      <c r="T4274" s="128">
        <f t="shared" si="208"/>
        <v>0</v>
      </c>
      <c r="U4274" s="129" t="str">
        <f>IFERROR(IF(#REF!="S",VLOOKUP('Raw Data'!A4274,References!#REF!,2,FALSE),(VLOOKUP($S4274,References!$B$3:$C$7,2,FALSE))),"")</f>
        <v/>
      </c>
      <c r="W4274" s="74" t="str">
        <f>IFERROR(VLOOKUP($O4274,'Customer List'!$A$1:$J$488,10,FALSE),"")</f>
        <v/>
      </c>
    </row>
    <row r="4275" spans="18:23">
      <c r="R4275" s="127">
        <f t="shared" si="209"/>
        <v>0</v>
      </c>
      <c r="T4275" s="128">
        <f t="shared" si="208"/>
        <v>0</v>
      </c>
      <c r="U4275" s="129" t="str">
        <f>IFERROR(IF(#REF!="S",VLOOKUP('Raw Data'!A4275,References!#REF!,2,FALSE),(VLOOKUP($S4275,References!$B$3:$C$7,2,FALSE))),"")</f>
        <v/>
      </c>
      <c r="W4275" s="74" t="str">
        <f>IFERROR(VLOOKUP($O4275,'Customer List'!$A$1:$J$488,10,FALSE),"")</f>
        <v/>
      </c>
    </row>
    <row r="4276" spans="18:23">
      <c r="R4276" s="127">
        <f t="shared" si="209"/>
        <v>0</v>
      </c>
      <c r="T4276" s="128">
        <f t="shared" si="208"/>
        <v>0</v>
      </c>
      <c r="U4276" s="129" t="str">
        <f>IFERROR(IF(#REF!="S",VLOOKUP('Raw Data'!A4276,References!#REF!,2,FALSE),(VLOOKUP($S4276,References!$B$3:$C$7,2,FALSE))),"")</f>
        <v/>
      </c>
      <c r="W4276" s="74" t="str">
        <f>IFERROR(VLOOKUP($O4276,'Customer List'!$A$1:$J$488,10,FALSE),"")</f>
        <v/>
      </c>
    </row>
    <row r="4277" spans="18:23">
      <c r="R4277" s="127">
        <f t="shared" si="209"/>
        <v>0</v>
      </c>
      <c r="T4277" s="128">
        <f t="shared" si="208"/>
        <v>0</v>
      </c>
      <c r="U4277" s="129" t="str">
        <f>IFERROR(IF(#REF!="S",VLOOKUP('Raw Data'!A4277,References!#REF!,2,FALSE),(VLOOKUP($S4277,References!$B$3:$C$7,2,FALSE))),"")</f>
        <v/>
      </c>
      <c r="W4277" s="74" t="str">
        <f>IFERROR(VLOOKUP($O4277,'Customer List'!$A$1:$J$488,10,FALSE),"")</f>
        <v/>
      </c>
    </row>
    <row r="4278" spans="18:23">
      <c r="R4278" s="127">
        <f t="shared" si="209"/>
        <v>0</v>
      </c>
      <c r="T4278" s="128">
        <f t="shared" si="208"/>
        <v>0</v>
      </c>
      <c r="U4278" s="129" t="str">
        <f>IFERROR(IF(#REF!="S",VLOOKUP('Raw Data'!A4278,References!#REF!,2,FALSE),(VLOOKUP($S4278,References!$B$3:$C$7,2,FALSE))),"")</f>
        <v/>
      </c>
      <c r="W4278" s="74" t="str">
        <f>IFERROR(VLOOKUP($O4278,'Customer List'!$A$1:$J$488,10,FALSE),"")</f>
        <v/>
      </c>
    </row>
    <row r="4279" spans="18:23">
      <c r="R4279" s="127">
        <f t="shared" si="209"/>
        <v>0</v>
      </c>
      <c r="T4279" s="128">
        <f t="shared" si="208"/>
        <v>0</v>
      </c>
      <c r="U4279" s="129" t="str">
        <f>IFERROR(IF(#REF!="S",VLOOKUP('Raw Data'!A4279,References!#REF!,2,FALSE),(VLOOKUP($S4279,References!$B$3:$C$7,2,FALSE))),"")</f>
        <v/>
      </c>
      <c r="W4279" s="74" t="str">
        <f>IFERROR(VLOOKUP($O4279,'Customer List'!$A$1:$J$488,10,FALSE),"")</f>
        <v/>
      </c>
    </row>
    <row r="4280" spans="18:23">
      <c r="R4280" s="127">
        <f t="shared" si="209"/>
        <v>0</v>
      </c>
      <c r="T4280" s="128">
        <f t="shared" si="208"/>
        <v>0</v>
      </c>
      <c r="U4280" s="129" t="str">
        <f>IFERROR(IF(#REF!="S",VLOOKUP('Raw Data'!A4280,References!#REF!,2,FALSE),(VLOOKUP($S4280,References!$B$3:$C$7,2,FALSE))),"")</f>
        <v/>
      </c>
      <c r="W4280" s="74" t="str">
        <f>IFERROR(VLOOKUP($O4280,'Customer List'!$A$1:$J$488,10,FALSE),"")</f>
        <v/>
      </c>
    </row>
    <row r="4281" spans="18:23">
      <c r="R4281" s="127">
        <f t="shared" si="209"/>
        <v>0</v>
      </c>
      <c r="T4281" s="128">
        <f t="shared" si="208"/>
        <v>0</v>
      </c>
      <c r="U4281" s="129" t="str">
        <f>IFERROR(IF(#REF!="S",VLOOKUP('Raw Data'!A4281,References!#REF!,2,FALSE),(VLOOKUP($S4281,References!$B$3:$C$7,2,FALSE))),"")</f>
        <v/>
      </c>
      <c r="W4281" s="74" t="str">
        <f>IFERROR(VLOOKUP($O4281,'Customer List'!$A$1:$J$488,10,FALSE),"")</f>
        <v/>
      </c>
    </row>
    <row r="4282" spans="18:23">
      <c r="R4282" s="127">
        <f t="shared" si="209"/>
        <v>0</v>
      </c>
      <c r="T4282" s="128">
        <f t="shared" si="208"/>
        <v>0</v>
      </c>
      <c r="U4282" s="129" t="str">
        <f>IFERROR(IF(#REF!="S",VLOOKUP('Raw Data'!A4282,References!#REF!,2,FALSE),(VLOOKUP($S4282,References!$B$3:$C$7,2,FALSE))),"")</f>
        <v/>
      </c>
      <c r="W4282" s="74" t="str">
        <f>IFERROR(VLOOKUP($O4282,'Customer List'!$A$1:$J$488,10,FALSE),"")</f>
        <v/>
      </c>
    </row>
    <row r="4283" spans="18:23">
      <c r="R4283" s="127">
        <f t="shared" si="209"/>
        <v>0</v>
      </c>
      <c r="T4283" s="128">
        <f t="shared" si="208"/>
        <v>0</v>
      </c>
      <c r="U4283" s="129" t="str">
        <f>IFERROR(IF(#REF!="S",VLOOKUP('Raw Data'!A4283,References!#REF!,2,FALSE),(VLOOKUP($S4283,References!$B$3:$C$7,2,FALSE))),"")</f>
        <v/>
      </c>
      <c r="W4283" s="74" t="str">
        <f>IFERROR(VLOOKUP($O4283,'Customer List'!$A$1:$J$488,10,FALSE),"")</f>
        <v/>
      </c>
    </row>
    <row r="4284" spans="18:23">
      <c r="R4284" s="127">
        <f t="shared" si="209"/>
        <v>0</v>
      </c>
      <c r="T4284" s="128">
        <f t="shared" si="208"/>
        <v>0</v>
      </c>
      <c r="U4284" s="129" t="str">
        <f>IFERROR(IF(#REF!="S",VLOOKUP('Raw Data'!A4284,References!#REF!,2,FALSE),(VLOOKUP($S4284,References!$B$3:$C$7,2,FALSE))),"")</f>
        <v/>
      </c>
      <c r="W4284" s="74" t="str">
        <f>IFERROR(VLOOKUP($O4284,'Customer List'!$A$1:$J$488,10,FALSE),"")</f>
        <v/>
      </c>
    </row>
    <row r="4285" spans="18:23">
      <c r="R4285" s="127">
        <f t="shared" si="209"/>
        <v>0</v>
      </c>
      <c r="T4285" s="128">
        <f t="shared" si="208"/>
        <v>0</v>
      </c>
      <c r="U4285" s="129" t="str">
        <f>IFERROR(IF(#REF!="S",VLOOKUP('Raw Data'!A4285,References!#REF!,2,FALSE),(VLOOKUP($S4285,References!$B$3:$C$7,2,FALSE))),"")</f>
        <v/>
      </c>
      <c r="W4285" s="74" t="str">
        <f>IFERROR(VLOOKUP($O4285,'Customer List'!$A$1:$J$488,10,FALSE),"")</f>
        <v/>
      </c>
    </row>
    <row r="4286" spans="18:23">
      <c r="R4286" s="127">
        <f t="shared" si="209"/>
        <v>0</v>
      </c>
      <c r="T4286" s="128">
        <f t="shared" si="208"/>
        <v>0</v>
      </c>
      <c r="U4286" s="129" t="str">
        <f>IFERROR(IF(#REF!="S",VLOOKUP('Raw Data'!A4286,References!#REF!,2,FALSE),(VLOOKUP($S4286,References!$B$3:$C$7,2,FALSE))),"")</f>
        <v/>
      </c>
      <c r="W4286" s="74" t="str">
        <f>IFERROR(VLOOKUP($O4286,'Customer List'!$A$1:$J$488,10,FALSE),"")</f>
        <v/>
      </c>
    </row>
    <row r="4287" spans="18:23">
      <c r="R4287" s="127">
        <f t="shared" si="209"/>
        <v>0</v>
      </c>
      <c r="T4287" s="128">
        <f t="shared" si="208"/>
        <v>0</v>
      </c>
      <c r="U4287" s="129" t="str">
        <f>IFERROR(IF(#REF!="S",VLOOKUP('Raw Data'!A4287,References!#REF!,2,FALSE),(VLOOKUP($S4287,References!$B$3:$C$7,2,FALSE))),"")</f>
        <v/>
      </c>
      <c r="W4287" s="74" t="str">
        <f>IFERROR(VLOOKUP($O4287,'Customer List'!$A$1:$J$488,10,FALSE),"")</f>
        <v/>
      </c>
    </row>
    <row r="4288" spans="18:23">
      <c r="R4288" s="127">
        <f t="shared" si="209"/>
        <v>0</v>
      </c>
      <c r="T4288" s="128">
        <f t="shared" si="208"/>
        <v>0</v>
      </c>
      <c r="U4288" s="129" t="str">
        <f>IFERROR(IF(#REF!="S",VLOOKUP('Raw Data'!A4288,References!#REF!,2,FALSE),(VLOOKUP($S4288,References!$B$3:$C$7,2,FALSE))),"")</f>
        <v/>
      </c>
      <c r="W4288" s="74" t="str">
        <f>IFERROR(VLOOKUP($O4288,'Customer List'!$A$1:$J$488,10,FALSE),"")</f>
        <v/>
      </c>
    </row>
    <row r="4289" spans="18:23">
      <c r="R4289" s="127">
        <f t="shared" si="209"/>
        <v>0</v>
      </c>
      <c r="T4289" s="128">
        <f t="shared" si="208"/>
        <v>0</v>
      </c>
      <c r="U4289" s="129" t="str">
        <f>IFERROR(IF(#REF!="S",VLOOKUP('Raw Data'!A4289,References!#REF!,2,FALSE),(VLOOKUP($S4289,References!$B$3:$C$7,2,FALSE))),"")</f>
        <v/>
      </c>
      <c r="W4289" s="74" t="str">
        <f>IFERROR(VLOOKUP($O4289,'Customer List'!$A$1:$J$488,10,FALSE),"")</f>
        <v/>
      </c>
    </row>
    <row r="4290" spans="18:23">
      <c r="R4290" s="127">
        <f t="shared" si="209"/>
        <v>0</v>
      </c>
      <c r="T4290" s="128">
        <f t="shared" si="208"/>
        <v>0</v>
      </c>
      <c r="U4290" s="129" t="str">
        <f>IFERROR(IF(#REF!="S",VLOOKUP('Raw Data'!A4290,References!#REF!,2,FALSE),(VLOOKUP($S4290,References!$B$3:$C$7,2,FALSE))),"")</f>
        <v/>
      </c>
      <c r="W4290" s="74" t="str">
        <f>IFERROR(VLOOKUP($O4290,'Customer List'!$A$1:$J$488,10,FALSE),"")</f>
        <v/>
      </c>
    </row>
    <row r="4291" spans="18:23">
      <c r="R4291" s="127">
        <f t="shared" si="209"/>
        <v>0</v>
      </c>
      <c r="T4291" s="128">
        <f t="shared" si="208"/>
        <v>0</v>
      </c>
      <c r="U4291" s="129" t="str">
        <f>IFERROR(IF(#REF!="S",VLOOKUP('Raw Data'!A4291,References!#REF!,2,FALSE),(VLOOKUP($S4291,References!$B$3:$C$7,2,FALSE))),"")</f>
        <v/>
      </c>
      <c r="W4291" s="74" t="str">
        <f>IFERROR(VLOOKUP($O4291,'Customer List'!$A$1:$J$488,10,FALSE),"")</f>
        <v/>
      </c>
    </row>
    <row r="4292" spans="18:23">
      <c r="R4292" s="127">
        <f t="shared" si="209"/>
        <v>0</v>
      </c>
      <c r="T4292" s="128">
        <f t="shared" si="208"/>
        <v>0</v>
      </c>
      <c r="U4292" s="129" t="str">
        <f>IFERROR(IF(#REF!="S",VLOOKUP('Raw Data'!A4292,References!#REF!,2,FALSE),(VLOOKUP($S4292,References!$B$3:$C$7,2,FALSE))),"")</f>
        <v/>
      </c>
      <c r="W4292" s="74" t="str">
        <f>IFERROR(VLOOKUP($O4292,'Customer List'!$A$1:$J$488,10,FALSE),"")</f>
        <v/>
      </c>
    </row>
    <row r="4293" spans="18:23">
      <c r="R4293" s="127">
        <f t="shared" si="209"/>
        <v>0</v>
      </c>
      <c r="T4293" s="128">
        <f t="shared" si="208"/>
        <v>0</v>
      </c>
      <c r="U4293" s="129" t="str">
        <f>IFERROR(IF(#REF!="S",VLOOKUP('Raw Data'!A4293,References!#REF!,2,FALSE),(VLOOKUP($S4293,References!$B$3:$C$7,2,FALSE))),"")</f>
        <v/>
      </c>
      <c r="W4293" s="74" t="str">
        <f>IFERROR(VLOOKUP($O4293,'Customer List'!$A$1:$J$488,10,FALSE),"")</f>
        <v/>
      </c>
    </row>
    <row r="4294" spans="18:23">
      <c r="R4294" s="127">
        <f t="shared" si="209"/>
        <v>0</v>
      </c>
      <c r="T4294" s="128">
        <f t="shared" si="208"/>
        <v>0</v>
      </c>
      <c r="U4294" s="129" t="str">
        <f>IFERROR(IF(#REF!="S",VLOOKUP('Raw Data'!A4294,References!#REF!,2,FALSE),(VLOOKUP($S4294,References!$B$3:$C$7,2,FALSE))),"")</f>
        <v/>
      </c>
      <c r="W4294" s="74" t="str">
        <f>IFERROR(VLOOKUP($O4294,'Customer List'!$A$1:$J$488,10,FALSE),"")</f>
        <v/>
      </c>
    </row>
    <row r="4295" spans="18:23">
      <c r="R4295" s="127">
        <f t="shared" si="209"/>
        <v>0</v>
      </c>
      <c r="T4295" s="128">
        <f t="shared" si="208"/>
        <v>0</v>
      </c>
      <c r="U4295" s="129" t="str">
        <f>IFERROR(IF(#REF!="S",VLOOKUP('Raw Data'!A4295,References!#REF!,2,FALSE),(VLOOKUP($S4295,References!$B$3:$C$7,2,FALSE))),"")</f>
        <v/>
      </c>
      <c r="W4295" s="74" t="str">
        <f>IFERROR(VLOOKUP($O4295,'Customer List'!$A$1:$J$488,10,FALSE),"")</f>
        <v/>
      </c>
    </row>
    <row r="4296" spans="18:23">
      <c r="R4296" s="127">
        <f t="shared" si="209"/>
        <v>0</v>
      </c>
      <c r="T4296" s="128">
        <f t="shared" si="208"/>
        <v>0</v>
      </c>
      <c r="U4296" s="129" t="str">
        <f>IFERROR(IF(#REF!="S",VLOOKUP('Raw Data'!A4296,References!#REF!,2,FALSE),(VLOOKUP($S4296,References!$B$3:$C$7,2,FALSE))),"")</f>
        <v/>
      </c>
      <c r="W4296" s="74" t="str">
        <f>IFERROR(VLOOKUP($O4296,'Customer List'!$A$1:$J$488,10,FALSE),"")</f>
        <v/>
      </c>
    </row>
    <row r="4297" spans="18:23">
      <c r="R4297" s="127">
        <f t="shared" si="209"/>
        <v>0</v>
      </c>
      <c r="T4297" s="128">
        <f t="shared" si="208"/>
        <v>0</v>
      </c>
      <c r="U4297" s="129" t="str">
        <f>IFERROR(IF(#REF!="S",VLOOKUP('Raw Data'!A4297,References!#REF!,2,FALSE),(VLOOKUP($S4297,References!$B$3:$C$7,2,FALSE))),"")</f>
        <v/>
      </c>
      <c r="W4297" s="74" t="str">
        <f>IFERROR(VLOOKUP($O4297,'Customer List'!$A$1:$J$488,10,FALSE),"")</f>
        <v/>
      </c>
    </row>
    <row r="4298" spans="18:23">
      <c r="R4298" s="127">
        <f t="shared" si="209"/>
        <v>0</v>
      </c>
      <c r="T4298" s="128">
        <f t="shared" ref="T4298:T4361" si="210">IF(S4298="50 - Cleaning Fee",1,HOUR($R4298)+MINUTE(R4298)/60)</f>
        <v>0</v>
      </c>
      <c r="U4298" s="129" t="str">
        <f>IFERROR(IF(#REF!="S",VLOOKUP('Raw Data'!A4298,References!#REF!,2,FALSE),(VLOOKUP($S4298,References!$B$3:$C$7,2,FALSE))),"")</f>
        <v/>
      </c>
      <c r="W4298" s="74" t="str">
        <f>IFERROR(VLOOKUP($O4298,'Customer List'!$A$1:$J$488,10,FALSE),"")</f>
        <v/>
      </c>
    </row>
    <row r="4299" spans="18:23">
      <c r="R4299" s="127">
        <f t="shared" si="209"/>
        <v>0</v>
      </c>
      <c r="T4299" s="128">
        <f t="shared" si="210"/>
        <v>0</v>
      </c>
      <c r="U4299" s="129" t="str">
        <f>IFERROR(IF(#REF!="S",VLOOKUP('Raw Data'!A4299,References!#REF!,2,FALSE),(VLOOKUP($S4299,References!$B$3:$C$7,2,FALSE))),"")</f>
        <v/>
      </c>
      <c r="W4299" s="74" t="str">
        <f>IFERROR(VLOOKUP($O4299,'Customer List'!$A$1:$J$488,10,FALSE),"")</f>
        <v/>
      </c>
    </row>
    <row r="4300" spans="18:23">
      <c r="R4300" s="127">
        <f t="shared" si="209"/>
        <v>0</v>
      </c>
      <c r="T4300" s="128">
        <f t="shared" si="210"/>
        <v>0</v>
      </c>
      <c r="U4300" s="129" t="str">
        <f>IFERROR(IF(#REF!="S",VLOOKUP('Raw Data'!A4300,References!#REF!,2,FALSE),(VLOOKUP($S4300,References!$B$3:$C$7,2,FALSE))),"")</f>
        <v/>
      </c>
      <c r="W4300" s="74" t="str">
        <f>IFERROR(VLOOKUP($O4300,'Customer List'!$A$1:$J$488,10,FALSE),"")</f>
        <v/>
      </c>
    </row>
    <row r="4301" spans="18:23">
      <c r="R4301" s="127">
        <f t="shared" si="209"/>
        <v>0</v>
      </c>
      <c r="T4301" s="128">
        <f t="shared" si="210"/>
        <v>0</v>
      </c>
      <c r="U4301" s="129" t="str">
        <f>IFERROR(IF(#REF!="S",VLOOKUP('Raw Data'!A4301,References!#REF!,2,FALSE),(VLOOKUP($S4301,References!$B$3:$C$7,2,FALSE))),"")</f>
        <v/>
      </c>
      <c r="W4301" s="74" t="str">
        <f>IFERROR(VLOOKUP($O4301,'Customer List'!$A$1:$J$488,10,FALSE),"")</f>
        <v/>
      </c>
    </row>
    <row r="4302" spans="18:23">
      <c r="R4302" s="127">
        <f t="shared" si="209"/>
        <v>0</v>
      </c>
      <c r="T4302" s="128">
        <f t="shared" si="210"/>
        <v>0</v>
      </c>
      <c r="U4302" s="129" t="str">
        <f>IFERROR(IF(#REF!="S",VLOOKUP('Raw Data'!A4302,References!#REF!,2,FALSE),(VLOOKUP($S4302,References!$B$3:$C$7,2,FALSE))),"")</f>
        <v/>
      </c>
      <c r="W4302" s="74" t="str">
        <f>IFERROR(VLOOKUP($O4302,'Customer List'!$A$1:$J$488,10,FALSE),"")</f>
        <v/>
      </c>
    </row>
    <row r="4303" spans="18:23">
      <c r="R4303" s="127">
        <f t="shared" si="209"/>
        <v>0</v>
      </c>
      <c r="T4303" s="128">
        <f t="shared" si="210"/>
        <v>0</v>
      </c>
      <c r="U4303" s="129" t="str">
        <f>IFERROR(IF(#REF!="S",VLOOKUP('Raw Data'!A4303,References!#REF!,2,FALSE),(VLOOKUP($S4303,References!$B$3:$C$7,2,FALSE))),"")</f>
        <v/>
      </c>
      <c r="W4303" s="74" t="str">
        <f>IFERROR(VLOOKUP($O4303,'Customer List'!$A$1:$J$488,10,FALSE),"")</f>
        <v/>
      </c>
    </row>
    <row r="4304" spans="18:23">
      <c r="R4304" s="127">
        <f t="shared" si="209"/>
        <v>0</v>
      </c>
      <c r="T4304" s="128">
        <f t="shared" si="210"/>
        <v>0</v>
      </c>
      <c r="U4304" s="129" t="str">
        <f>IFERROR(IF(#REF!="S",VLOOKUP('Raw Data'!A4304,References!#REF!,2,FALSE),(VLOOKUP($S4304,References!$B$3:$C$7,2,FALSE))),"")</f>
        <v/>
      </c>
      <c r="W4304" s="74" t="str">
        <f>IFERROR(VLOOKUP($O4304,'Customer List'!$A$1:$J$488,10,FALSE),"")</f>
        <v/>
      </c>
    </row>
    <row r="4305" spans="18:23">
      <c r="R4305" s="127">
        <f t="shared" si="209"/>
        <v>0</v>
      </c>
      <c r="T4305" s="128">
        <f t="shared" si="210"/>
        <v>0</v>
      </c>
      <c r="U4305" s="129" t="str">
        <f>IFERROR(IF(#REF!="S",VLOOKUP('Raw Data'!A4305,References!#REF!,2,FALSE),(VLOOKUP($S4305,References!$B$3:$C$7,2,FALSE))),"")</f>
        <v/>
      </c>
      <c r="W4305" s="74" t="str">
        <f>IFERROR(VLOOKUP($O4305,'Customer List'!$A$1:$J$488,10,FALSE),"")</f>
        <v/>
      </c>
    </row>
    <row r="4306" spans="18:23">
      <c r="R4306" s="127">
        <f t="shared" si="209"/>
        <v>0</v>
      </c>
      <c r="T4306" s="128">
        <f t="shared" si="210"/>
        <v>0</v>
      </c>
      <c r="U4306" s="129" t="str">
        <f>IFERROR(IF(#REF!="S",VLOOKUP('Raw Data'!A4306,References!#REF!,2,FALSE),(VLOOKUP($S4306,References!$B$3:$C$7,2,FALSE))),"")</f>
        <v/>
      </c>
      <c r="W4306" s="74" t="str">
        <f>IFERROR(VLOOKUP($O4306,'Customer List'!$A$1:$J$488,10,FALSE),"")</f>
        <v/>
      </c>
    </row>
    <row r="4307" spans="18:23">
      <c r="R4307" s="127">
        <f t="shared" si="209"/>
        <v>0</v>
      </c>
      <c r="T4307" s="128">
        <f t="shared" si="210"/>
        <v>0</v>
      </c>
      <c r="U4307" s="129" t="str">
        <f>IFERROR(IF(#REF!="S",VLOOKUP('Raw Data'!A4307,References!#REF!,2,FALSE),(VLOOKUP($S4307,References!$B$3:$C$7,2,FALSE))),"")</f>
        <v/>
      </c>
      <c r="W4307" s="74" t="str">
        <f>IFERROR(VLOOKUP($O4307,'Customer List'!$A$1:$J$488,10,FALSE),"")</f>
        <v/>
      </c>
    </row>
    <row r="4308" spans="18:23">
      <c r="R4308" s="127">
        <f t="shared" si="209"/>
        <v>0</v>
      </c>
      <c r="T4308" s="128">
        <f t="shared" si="210"/>
        <v>0</v>
      </c>
      <c r="U4308" s="129" t="str">
        <f>IFERROR(IF(#REF!="S",VLOOKUP('Raw Data'!A4308,References!#REF!,2,FALSE),(VLOOKUP($S4308,References!$B$3:$C$7,2,FALSE))),"")</f>
        <v/>
      </c>
      <c r="W4308" s="74" t="str">
        <f>IFERROR(VLOOKUP($O4308,'Customer List'!$A$1:$J$488,10,FALSE),"")</f>
        <v/>
      </c>
    </row>
    <row r="4309" spans="18:23">
      <c r="R4309" s="127">
        <f t="shared" si="209"/>
        <v>0</v>
      </c>
      <c r="T4309" s="128">
        <f t="shared" si="210"/>
        <v>0</v>
      </c>
      <c r="U4309" s="129" t="str">
        <f>IFERROR(IF(#REF!="S",VLOOKUP('Raw Data'!A4309,References!#REF!,2,FALSE),(VLOOKUP($S4309,References!$B$3:$C$7,2,FALSE))),"")</f>
        <v/>
      </c>
      <c r="W4309" s="74" t="str">
        <f>IFERROR(VLOOKUP($O4309,'Customer List'!$A$1:$J$488,10,FALSE),"")</f>
        <v/>
      </c>
    </row>
    <row r="4310" spans="18:23">
      <c r="R4310" s="127">
        <f t="shared" si="209"/>
        <v>0</v>
      </c>
      <c r="T4310" s="128">
        <f t="shared" si="210"/>
        <v>0</v>
      </c>
      <c r="U4310" s="129" t="str">
        <f>IFERROR(IF(#REF!="S",VLOOKUP('Raw Data'!A4310,References!#REF!,2,FALSE),(VLOOKUP($S4310,References!$B$3:$C$7,2,FALSE))),"")</f>
        <v/>
      </c>
      <c r="W4310" s="74" t="str">
        <f>IFERROR(VLOOKUP($O4310,'Customer List'!$A$1:$J$488,10,FALSE),"")</f>
        <v/>
      </c>
    </row>
    <row r="4311" spans="18:23">
      <c r="R4311" s="127">
        <f t="shared" si="209"/>
        <v>0</v>
      </c>
      <c r="T4311" s="128">
        <f t="shared" si="210"/>
        <v>0</v>
      </c>
      <c r="U4311" s="129" t="str">
        <f>IFERROR(IF(#REF!="S",VLOOKUP('Raw Data'!A4311,References!#REF!,2,FALSE),(VLOOKUP($S4311,References!$B$3:$C$7,2,FALSE))),"")</f>
        <v/>
      </c>
      <c r="W4311" s="74" t="str">
        <f>IFERROR(VLOOKUP($O4311,'Customer List'!$A$1:$J$488,10,FALSE),"")</f>
        <v/>
      </c>
    </row>
    <row r="4312" spans="18:23">
      <c r="R4312" s="127">
        <f t="shared" si="209"/>
        <v>0</v>
      </c>
      <c r="T4312" s="128">
        <f t="shared" si="210"/>
        <v>0</v>
      </c>
      <c r="U4312" s="129" t="str">
        <f>IFERROR(IF(#REF!="S",VLOOKUP('Raw Data'!A4312,References!#REF!,2,FALSE),(VLOOKUP($S4312,References!$B$3:$C$7,2,FALSE))),"")</f>
        <v/>
      </c>
      <c r="W4312" s="74" t="str">
        <f>IFERROR(VLOOKUP($O4312,'Customer List'!$A$1:$J$488,10,FALSE),"")</f>
        <v/>
      </c>
    </row>
    <row r="4313" spans="18:23">
      <c r="R4313" s="127">
        <f t="shared" si="209"/>
        <v>0</v>
      </c>
      <c r="T4313" s="128">
        <f t="shared" si="210"/>
        <v>0</v>
      </c>
      <c r="U4313" s="129" t="str">
        <f>IFERROR(IF(#REF!="S",VLOOKUP('Raw Data'!A4313,References!#REF!,2,FALSE),(VLOOKUP($S4313,References!$B$3:$C$7,2,FALSE))),"")</f>
        <v/>
      </c>
      <c r="W4313" s="74" t="str">
        <f>IFERROR(VLOOKUP($O4313,'Customer List'!$A$1:$J$488,10,FALSE),"")</f>
        <v/>
      </c>
    </row>
    <row r="4314" spans="18:23">
      <c r="R4314" s="127">
        <f t="shared" si="209"/>
        <v>0</v>
      </c>
      <c r="T4314" s="128">
        <f t="shared" si="210"/>
        <v>0</v>
      </c>
      <c r="U4314" s="129" t="str">
        <f>IFERROR(IF(#REF!="S",VLOOKUP('Raw Data'!A4314,References!#REF!,2,FALSE),(VLOOKUP($S4314,References!$B$3:$C$7,2,FALSE))),"")</f>
        <v/>
      </c>
      <c r="W4314" s="74" t="str">
        <f>IFERROR(VLOOKUP($O4314,'Customer List'!$A$1:$J$488,10,FALSE),"")</f>
        <v/>
      </c>
    </row>
    <row r="4315" spans="18:23">
      <c r="R4315" s="127">
        <f t="shared" si="209"/>
        <v>0</v>
      </c>
      <c r="T4315" s="128">
        <f t="shared" si="210"/>
        <v>0</v>
      </c>
      <c r="U4315" s="129" t="str">
        <f>IFERROR(IF(#REF!="S",VLOOKUP('Raw Data'!A4315,References!#REF!,2,FALSE),(VLOOKUP($S4315,References!$B$3:$C$7,2,FALSE))),"")</f>
        <v/>
      </c>
      <c r="W4315" s="74" t="str">
        <f>IFERROR(VLOOKUP($O4315,'Customer List'!$A$1:$J$488,10,FALSE),"")</f>
        <v/>
      </c>
    </row>
    <row r="4316" spans="18:23">
      <c r="R4316" s="127">
        <f t="shared" si="209"/>
        <v>0</v>
      </c>
      <c r="T4316" s="128">
        <f t="shared" si="210"/>
        <v>0</v>
      </c>
      <c r="U4316" s="129" t="str">
        <f>IFERROR(IF(#REF!="S",VLOOKUP('Raw Data'!A4316,References!#REF!,2,FALSE),(VLOOKUP($S4316,References!$B$3:$C$7,2,FALSE))),"")</f>
        <v/>
      </c>
      <c r="W4316" s="74" t="str">
        <f>IFERROR(VLOOKUP($O4316,'Customer List'!$A$1:$J$488,10,FALSE),"")</f>
        <v/>
      </c>
    </row>
    <row r="4317" spans="18:23">
      <c r="R4317" s="127">
        <f t="shared" si="209"/>
        <v>0</v>
      </c>
      <c r="T4317" s="128">
        <f t="shared" si="210"/>
        <v>0</v>
      </c>
      <c r="U4317" s="129" t="str">
        <f>IFERROR(IF(#REF!="S",VLOOKUP('Raw Data'!A4317,References!#REF!,2,FALSE),(VLOOKUP($S4317,References!$B$3:$C$7,2,FALSE))),"")</f>
        <v/>
      </c>
      <c r="W4317" s="74" t="str">
        <f>IFERROR(VLOOKUP($O4317,'Customer List'!$A$1:$J$488,10,FALSE),"")</f>
        <v/>
      </c>
    </row>
    <row r="4318" spans="18:23">
      <c r="R4318" s="127">
        <f t="shared" si="209"/>
        <v>0</v>
      </c>
      <c r="T4318" s="128">
        <f t="shared" si="210"/>
        <v>0</v>
      </c>
      <c r="U4318" s="129" t="str">
        <f>IFERROR(IF(#REF!="S",VLOOKUP('Raw Data'!A4318,References!#REF!,2,FALSE),(VLOOKUP($S4318,References!$B$3:$C$7,2,FALSE))),"")</f>
        <v/>
      </c>
      <c r="W4318" s="74" t="str">
        <f>IFERROR(VLOOKUP($O4318,'Customer List'!$A$1:$J$488,10,FALSE),"")</f>
        <v/>
      </c>
    </row>
    <row r="4319" spans="18:23">
      <c r="R4319" s="127">
        <f t="shared" si="209"/>
        <v>0</v>
      </c>
      <c r="T4319" s="128">
        <f t="shared" si="210"/>
        <v>0</v>
      </c>
      <c r="U4319" s="129" t="str">
        <f>IFERROR(IF(#REF!="S",VLOOKUP('Raw Data'!A4319,References!#REF!,2,FALSE),(VLOOKUP($S4319,References!$B$3:$C$7,2,FALSE))),"")</f>
        <v/>
      </c>
      <c r="W4319" s="74" t="str">
        <f>IFERROR(VLOOKUP($O4319,'Customer List'!$A$1:$J$488,10,FALSE),"")</f>
        <v/>
      </c>
    </row>
    <row r="4320" spans="18:23">
      <c r="R4320" s="127">
        <f t="shared" si="209"/>
        <v>0</v>
      </c>
      <c r="T4320" s="128">
        <f t="shared" si="210"/>
        <v>0</v>
      </c>
      <c r="U4320" s="129" t="str">
        <f>IFERROR(IF(#REF!="S",VLOOKUP('Raw Data'!A4320,References!#REF!,2,FALSE),(VLOOKUP($S4320,References!$B$3:$C$7,2,FALSE))),"")</f>
        <v/>
      </c>
      <c r="W4320" s="74" t="str">
        <f>IFERROR(VLOOKUP($O4320,'Customer List'!$A$1:$J$488,10,FALSE),"")</f>
        <v/>
      </c>
    </row>
    <row r="4321" spans="18:23">
      <c r="R4321" s="127">
        <f t="shared" si="209"/>
        <v>0</v>
      </c>
      <c r="T4321" s="128">
        <f t="shared" si="210"/>
        <v>0</v>
      </c>
      <c r="U4321" s="129" t="str">
        <f>IFERROR(IF(#REF!="S",VLOOKUP('Raw Data'!A4321,References!#REF!,2,FALSE),(VLOOKUP($S4321,References!$B$3:$C$7,2,FALSE))),"")</f>
        <v/>
      </c>
      <c r="W4321" s="74" t="str">
        <f>IFERROR(VLOOKUP($O4321,'Customer List'!$A$1:$J$488,10,FALSE),"")</f>
        <v/>
      </c>
    </row>
    <row r="4322" spans="18:23">
      <c r="R4322" s="127">
        <f t="shared" ref="R4322:R4385" si="211">L4322-K4322</f>
        <v>0</v>
      </c>
      <c r="T4322" s="128">
        <f t="shared" si="210"/>
        <v>0</v>
      </c>
      <c r="U4322" s="129" t="str">
        <f>IFERROR(IF(#REF!="S",VLOOKUP('Raw Data'!A4322,References!#REF!,2,FALSE),(VLOOKUP($S4322,References!$B$3:$C$7,2,FALSE))),"")</f>
        <v/>
      </c>
      <c r="W4322" s="74" t="str">
        <f>IFERROR(VLOOKUP($O4322,'Customer List'!$A$1:$J$488,10,FALSE),"")</f>
        <v/>
      </c>
    </row>
    <row r="4323" spans="18:23">
      <c r="R4323" s="127">
        <f t="shared" si="211"/>
        <v>0</v>
      </c>
      <c r="T4323" s="128">
        <f t="shared" si="210"/>
        <v>0</v>
      </c>
      <c r="U4323" s="129" t="str">
        <f>IFERROR(IF(#REF!="S",VLOOKUP('Raw Data'!A4323,References!#REF!,2,FALSE),(VLOOKUP($S4323,References!$B$3:$C$7,2,FALSE))),"")</f>
        <v/>
      </c>
      <c r="W4323" s="74" t="str">
        <f>IFERROR(VLOOKUP($O4323,'Customer List'!$A$1:$J$488,10,FALSE),"")</f>
        <v/>
      </c>
    </row>
    <row r="4324" spans="18:23">
      <c r="R4324" s="127">
        <f t="shared" si="211"/>
        <v>0</v>
      </c>
      <c r="T4324" s="128">
        <f t="shared" si="210"/>
        <v>0</v>
      </c>
      <c r="U4324" s="129" t="str">
        <f>IFERROR(IF(#REF!="S",VLOOKUP('Raw Data'!A4324,References!#REF!,2,FALSE),(VLOOKUP($S4324,References!$B$3:$C$7,2,FALSE))),"")</f>
        <v/>
      </c>
      <c r="W4324" s="74" t="str">
        <f>IFERROR(VLOOKUP($O4324,'Customer List'!$A$1:$J$488,10,FALSE),"")</f>
        <v/>
      </c>
    </row>
    <row r="4325" spans="18:23">
      <c r="R4325" s="127">
        <f t="shared" si="211"/>
        <v>0</v>
      </c>
      <c r="T4325" s="128">
        <f t="shared" si="210"/>
        <v>0</v>
      </c>
      <c r="U4325" s="129" t="str">
        <f>IFERROR(IF(#REF!="S",VLOOKUP('Raw Data'!A4325,References!#REF!,2,FALSE),(VLOOKUP($S4325,References!$B$3:$C$7,2,FALSE))),"")</f>
        <v/>
      </c>
      <c r="W4325" s="74" t="str">
        <f>IFERROR(VLOOKUP($O4325,'Customer List'!$A$1:$J$488,10,FALSE),"")</f>
        <v/>
      </c>
    </row>
    <row r="4326" spans="18:23">
      <c r="R4326" s="127">
        <f t="shared" si="211"/>
        <v>0</v>
      </c>
      <c r="T4326" s="128">
        <f t="shared" si="210"/>
        <v>0</v>
      </c>
      <c r="U4326" s="129" t="str">
        <f>IFERROR(IF(#REF!="S",VLOOKUP('Raw Data'!A4326,References!#REF!,2,FALSE),(VLOOKUP($S4326,References!$B$3:$C$7,2,FALSE))),"")</f>
        <v/>
      </c>
      <c r="W4326" s="74" t="str">
        <f>IFERROR(VLOOKUP($O4326,'Customer List'!$A$1:$J$488,10,FALSE),"")</f>
        <v/>
      </c>
    </row>
    <row r="4327" spans="18:23">
      <c r="R4327" s="127">
        <f t="shared" si="211"/>
        <v>0</v>
      </c>
      <c r="T4327" s="128">
        <f t="shared" si="210"/>
        <v>0</v>
      </c>
      <c r="U4327" s="129" t="str">
        <f>IFERROR(IF(#REF!="S",VLOOKUP('Raw Data'!A4327,References!#REF!,2,FALSE),(VLOOKUP($S4327,References!$B$3:$C$7,2,FALSE))),"")</f>
        <v/>
      </c>
      <c r="W4327" s="74" t="str">
        <f>IFERROR(VLOOKUP($O4327,'Customer List'!$A$1:$J$488,10,FALSE),"")</f>
        <v/>
      </c>
    </row>
    <row r="4328" spans="18:23">
      <c r="R4328" s="127">
        <f t="shared" si="211"/>
        <v>0</v>
      </c>
      <c r="T4328" s="128">
        <f t="shared" si="210"/>
        <v>0</v>
      </c>
      <c r="U4328" s="129" t="str">
        <f>IFERROR(IF(#REF!="S",VLOOKUP('Raw Data'!A4328,References!#REF!,2,FALSE),(VLOOKUP($S4328,References!$B$3:$C$7,2,FALSE))),"")</f>
        <v/>
      </c>
      <c r="W4328" s="74" t="str">
        <f>IFERROR(VLOOKUP($O4328,'Customer List'!$A$1:$J$488,10,FALSE),"")</f>
        <v/>
      </c>
    </row>
    <row r="4329" spans="18:23">
      <c r="R4329" s="127">
        <f t="shared" si="211"/>
        <v>0</v>
      </c>
      <c r="T4329" s="128">
        <f t="shared" si="210"/>
        <v>0</v>
      </c>
      <c r="U4329" s="129" t="str">
        <f>IFERROR(IF(#REF!="S",VLOOKUP('Raw Data'!A4329,References!#REF!,2,FALSE),(VLOOKUP($S4329,References!$B$3:$C$7,2,FALSE))),"")</f>
        <v/>
      </c>
      <c r="W4329" s="74" t="str">
        <f>IFERROR(VLOOKUP($O4329,'Customer List'!$A$1:$J$488,10,FALSE),"")</f>
        <v/>
      </c>
    </row>
    <row r="4330" spans="18:23">
      <c r="R4330" s="127">
        <f t="shared" si="211"/>
        <v>0</v>
      </c>
      <c r="T4330" s="128">
        <f t="shared" si="210"/>
        <v>0</v>
      </c>
      <c r="U4330" s="129" t="str">
        <f>IFERROR(IF(#REF!="S",VLOOKUP('Raw Data'!A4330,References!#REF!,2,FALSE),(VLOOKUP($S4330,References!$B$3:$C$7,2,FALSE))),"")</f>
        <v/>
      </c>
      <c r="W4330" s="74" t="str">
        <f>IFERROR(VLOOKUP($O4330,'Customer List'!$A$1:$J$488,10,FALSE),"")</f>
        <v/>
      </c>
    </row>
    <row r="4331" spans="18:23">
      <c r="R4331" s="127">
        <f t="shared" si="211"/>
        <v>0</v>
      </c>
      <c r="T4331" s="128">
        <f t="shared" si="210"/>
        <v>0</v>
      </c>
      <c r="U4331" s="129" t="str">
        <f>IFERROR(IF(#REF!="S",VLOOKUP('Raw Data'!A4331,References!#REF!,2,FALSE),(VLOOKUP($S4331,References!$B$3:$C$7,2,FALSE))),"")</f>
        <v/>
      </c>
      <c r="W4331" s="74" t="str">
        <f>IFERROR(VLOOKUP($O4331,'Customer List'!$A$1:$J$488,10,FALSE),"")</f>
        <v/>
      </c>
    </row>
    <row r="4332" spans="18:23">
      <c r="R4332" s="127">
        <f t="shared" si="211"/>
        <v>0</v>
      </c>
      <c r="T4332" s="128">
        <f t="shared" si="210"/>
        <v>0</v>
      </c>
      <c r="U4332" s="129" t="str">
        <f>IFERROR(IF(#REF!="S",VLOOKUP('Raw Data'!A4332,References!#REF!,2,FALSE),(VLOOKUP($S4332,References!$B$3:$C$7,2,FALSE))),"")</f>
        <v/>
      </c>
      <c r="W4332" s="74" t="str">
        <f>IFERROR(VLOOKUP($O4332,'Customer List'!$A$1:$J$488,10,FALSE),"")</f>
        <v/>
      </c>
    </row>
    <row r="4333" spans="18:23">
      <c r="R4333" s="127">
        <f t="shared" si="211"/>
        <v>0</v>
      </c>
      <c r="T4333" s="128">
        <f t="shared" si="210"/>
        <v>0</v>
      </c>
      <c r="U4333" s="129" t="str">
        <f>IFERROR(IF(#REF!="S",VLOOKUP('Raw Data'!A4333,References!#REF!,2,FALSE),(VLOOKUP($S4333,References!$B$3:$C$7,2,FALSE))),"")</f>
        <v/>
      </c>
      <c r="W4333" s="74" t="str">
        <f>IFERROR(VLOOKUP($O4333,'Customer List'!$A$1:$J$488,10,FALSE),"")</f>
        <v/>
      </c>
    </row>
    <row r="4334" spans="18:23">
      <c r="R4334" s="127">
        <f t="shared" si="211"/>
        <v>0</v>
      </c>
      <c r="T4334" s="128">
        <f t="shared" si="210"/>
        <v>0</v>
      </c>
      <c r="U4334" s="129" t="str">
        <f>IFERROR(IF(#REF!="S",VLOOKUP('Raw Data'!A4334,References!#REF!,2,FALSE),(VLOOKUP($S4334,References!$B$3:$C$7,2,FALSE))),"")</f>
        <v/>
      </c>
      <c r="W4334" s="74" t="str">
        <f>IFERROR(VLOOKUP($O4334,'Customer List'!$A$1:$J$488,10,FALSE),"")</f>
        <v/>
      </c>
    </row>
    <row r="4335" spans="18:23">
      <c r="R4335" s="127">
        <f t="shared" si="211"/>
        <v>0</v>
      </c>
      <c r="T4335" s="128">
        <f t="shared" si="210"/>
        <v>0</v>
      </c>
      <c r="U4335" s="129" t="str">
        <f>IFERROR(IF(#REF!="S",VLOOKUP('Raw Data'!A4335,References!#REF!,2,FALSE),(VLOOKUP($S4335,References!$B$3:$C$7,2,FALSE))),"")</f>
        <v/>
      </c>
      <c r="W4335" s="74" t="str">
        <f>IFERROR(VLOOKUP($O4335,'Customer List'!$A$1:$J$488,10,FALSE),"")</f>
        <v/>
      </c>
    </row>
    <row r="4336" spans="18:23">
      <c r="R4336" s="127">
        <f t="shared" si="211"/>
        <v>0</v>
      </c>
      <c r="T4336" s="128">
        <f t="shared" si="210"/>
        <v>0</v>
      </c>
      <c r="U4336" s="129" t="str">
        <f>IFERROR(IF(#REF!="S",VLOOKUP('Raw Data'!A4336,References!#REF!,2,FALSE),(VLOOKUP($S4336,References!$B$3:$C$7,2,FALSE))),"")</f>
        <v/>
      </c>
      <c r="W4336" s="74" t="str">
        <f>IFERROR(VLOOKUP($O4336,'Customer List'!$A$1:$J$488,10,FALSE),"")</f>
        <v/>
      </c>
    </row>
    <row r="4337" spans="18:23">
      <c r="R4337" s="127">
        <f t="shared" si="211"/>
        <v>0</v>
      </c>
      <c r="T4337" s="128">
        <f t="shared" si="210"/>
        <v>0</v>
      </c>
      <c r="U4337" s="129" t="str">
        <f>IFERROR(IF(#REF!="S",VLOOKUP('Raw Data'!A4337,References!#REF!,2,FALSE),(VLOOKUP($S4337,References!$B$3:$C$7,2,FALSE))),"")</f>
        <v/>
      </c>
      <c r="W4337" s="74" t="str">
        <f>IFERROR(VLOOKUP($O4337,'Customer List'!$A$1:$J$488,10,FALSE),"")</f>
        <v/>
      </c>
    </row>
    <row r="4338" spans="18:23">
      <c r="R4338" s="127">
        <f t="shared" si="211"/>
        <v>0</v>
      </c>
      <c r="T4338" s="128">
        <f t="shared" si="210"/>
        <v>0</v>
      </c>
      <c r="U4338" s="129" t="str">
        <f>IFERROR(IF(#REF!="S",VLOOKUP('Raw Data'!A4338,References!#REF!,2,FALSE),(VLOOKUP($S4338,References!$B$3:$C$7,2,FALSE))),"")</f>
        <v/>
      </c>
      <c r="W4338" s="74" t="str">
        <f>IFERROR(VLOOKUP($O4338,'Customer List'!$A$1:$J$488,10,FALSE),"")</f>
        <v/>
      </c>
    </row>
    <row r="4339" spans="18:23">
      <c r="R4339" s="127">
        <f t="shared" si="211"/>
        <v>0</v>
      </c>
      <c r="T4339" s="128">
        <f t="shared" si="210"/>
        <v>0</v>
      </c>
      <c r="U4339" s="129" t="str">
        <f>IFERROR(IF(#REF!="S",VLOOKUP('Raw Data'!A4339,References!#REF!,2,FALSE),(VLOOKUP($S4339,References!$B$3:$C$7,2,FALSE))),"")</f>
        <v/>
      </c>
      <c r="W4339" s="74" t="str">
        <f>IFERROR(VLOOKUP($O4339,'Customer List'!$A$1:$J$488,10,FALSE),"")</f>
        <v/>
      </c>
    </row>
    <row r="4340" spans="18:23">
      <c r="R4340" s="127">
        <f t="shared" si="211"/>
        <v>0</v>
      </c>
      <c r="T4340" s="128">
        <f t="shared" si="210"/>
        <v>0</v>
      </c>
      <c r="U4340" s="129" t="str">
        <f>IFERROR(IF(#REF!="S",VLOOKUP('Raw Data'!A4340,References!#REF!,2,FALSE),(VLOOKUP($S4340,References!$B$3:$C$7,2,FALSE))),"")</f>
        <v/>
      </c>
      <c r="W4340" s="74" t="str">
        <f>IFERROR(VLOOKUP($O4340,'Customer List'!$A$1:$J$488,10,FALSE),"")</f>
        <v/>
      </c>
    </row>
    <row r="4341" spans="18:23">
      <c r="R4341" s="127">
        <f t="shared" si="211"/>
        <v>0</v>
      </c>
      <c r="T4341" s="128">
        <f t="shared" si="210"/>
        <v>0</v>
      </c>
      <c r="U4341" s="129" t="str">
        <f>IFERROR(IF(#REF!="S",VLOOKUP('Raw Data'!A4341,References!#REF!,2,FALSE),(VLOOKUP($S4341,References!$B$3:$C$7,2,FALSE))),"")</f>
        <v/>
      </c>
      <c r="W4341" s="74" t="str">
        <f>IFERROR(VLOOKUP($O4341,'Customer List'!$A$1:$J$488,10,FALSE),"")</f>
        <v/>
      </c>
    </row>
    <row r="4342" spans="18:23">
      <c r="R4342" s="127">
        <f t="shared" si="211"/>
        <v>0</v>
      </c>
      <c r="T4342" s="128">
        <f t="shared" si="210"/>
        <v>0</v>
      </c>
      <c r="U4342" s="129" t="str">
        <f>IFERROR(IF(#REF!="S",VLOOKUP('Raw Data'!A4342,References!#REF!,2,FALSE),(VLOOKUP($S4342,References!$B$3:$C$7,2,FALSE))),"")</f>
        <v/>
      </c>
      <c r="W4342" s="74" t="str">
        <f>IFERROR(VLOOKUP($O4342,'Customer List'!$A$1:$J$488,10,FALSE),"")</f>
        <v/>
      </c>
    </row>
    <row r="4343" spans="18:23">
      <c r="R4343" s="127">
        <f t="shared" si="211"/>
        <v>0</v>
      </c>
      <c r="T4343" s="128">
        <f t="shared" si="210"/>
        <v>0</v>
      </c>
      <c r="U4343" s="129" t="str">
        <f>IFERROR(IF(#REF!="S",VLOOKUP('Raw Data'!A4343,References!#REF!,2,FALSE),(VLOOKUP($S4343,References!$B$3:$C$7,2,FALSE))),"")</f>
        <v/>
      </c>
      <c r="W4343" s="74" t="str">
        <f>IFERROR(VLOOKUP($O4343,'Customer List'!$A$1:$J$488,10,FALSE),"")</f>
        <v/>
      </c>
    </row>
    <row r="4344" spans="18:23">
      <c r="R4344" s="127">
        <f t="shared" si="211"/>
        <v>0</v>
      </c>
      <c r="T4344" s="128">
        <f t="shared" si="210"/>
        <v>0</v>
      </c>
      <c r="U4344" s="129" t="str">
        <f>IFERROR(IF(#REF!="S",VLOOKUP('Raw Data'!A4344,References!#REF!,2,FALSE),(VLOOKUP($S4344,References!$B$3:$C$7,2,FALSE))),"")</f>
        <v/>
      </c>
      <c r="W4344" s="74" t="str">
        <f>IFERROR(VLOOKUP($O4344,'Customer List'!$A$1:$J$488,10,FALSE),"")</f>
        <v/>
      </c>
    </row>
    <row r="4345" spans="18:23">
      <c r="R4345" s="127">
        <f t="shared" si="211"/>
        <v>0</v>
      </c>
      <c r="T4345" s="128">
        <f t="shared" si="210"/>
        <v>0</v>
      </c>
      <c r="U4345" s="129" t="str">
        <f>IFERROR(IF(#REF!="S",VLOOKUP('Raw Data'!A4345,References!#REF!,2,FALSE),(VLOOKUP($S4345,References!$B$3:$C$7,2,FALSE))),"")</f>
        <v/>
      </c>
      <c r="W4345" s="74" t="str">
        <f>IFERROR(VLOOKUP($O4345,'Customer List'!$A$1:$J$488,10,FALSE),"")</f>
        <v/>
      </c>
    </row>
    <row r="4346" spans="18:23">
      <c r="R4346" s="127">
        <f t="shared" si="211"/>
        <v>0</v>
      </c>
      <c r="T4346" s="128">
        <f t="shared" si="210"/>
        <v>0</v>
      </c>
      <c r="U4346" s="129" t="str">
        <f>IFERROR(IF(#REF!="S",VLOOKUP('Raw Data'!A4346,References!#REF!,2,FALSE),(VLOOKUP($S4346,References!$B$3:$C$7,2,FALSE))),"")</f>
        <v/>
      </c>
      <c r="W4346" s="74" t="str">
        <f>IFERROR(VLOOKUP($O4346,'Customer List'!$A$1:$J$488,10,FALSE),"")</f>
        <v/>
      </c>
    </row>
    <row r="4347" spans="18:23">
      <c r="R4347" s="127">
        <f t="shared" si="211"/>
        <v>0</v>
      </c>
      <c r="T4347" s="128">
        <f t="shared" si="210"/>
        <v>0</v>
      </c>
      <c r="U4347" s="129" t="str">
        <f>IFERROR(IF(#REF!="S",VLOOKUP('Raw Data'!A4347,References!#REF!,2,FALSE),(VLOOKUP($S4347,References!$B$3:$C$7,2,FALSE))),"")</f>
        <v/>
      </c>
      <c r="W4347" s="74" t="str">
        <f>IFERROR(VLOOKUP($O4347,'Customer List'!$A$1:$J$488,10,FALSE),"")</f>
        <v/>
      </c>
    </row>
    <row r="4348" spans="18:23">
      <c r="R4348" s="127">
        <f t="shared" si="211"/>
        <v>0</v>
      </c>
      <c r="T4348" s="128">
        <f t="shared" si="210"/>
        <v>0</v>
      </c>
      <c r="U4348" s="129" t="str">
        <f>IFERROR(IF(#REF!="S",VLOOKUP('Raw Data'!A4348,References!#REF!,2,FALSE),(VLOOKUP($S4348,References!$B$3:$C$7,2,FALSE))),"")</f>
        <v/>
      </c>
      <c r="W4348" s="74" t="str">
        <f>IFERROR(VLOOKUP($O4348,'Customer List'!$A$1:$J$488,10,FALSE),"")</f>
        <v/>
      </c>
    </row>
    <row r="4349" spans="18:23">
      <c r="R4349" s="127">
        <f t="shared" si="211"/>
        <v>0</v>
      </c>
      <c r="T4349" s="128">
        <f t="shared" si="210"/>
        <v>0</v>
      </c>
      <c r="U4349" s="129" t="str">
        <f>IFERROR(IF(#REF!="S",VLOOKUP('Raw Data'!A4349,References!#REF!,2,FALSE),(VLOOKUP($S4349,References!$B$3:$C$7,2,FALSE))),"")</f>
        <v/>
      </c>
      <c r="W4349" s="74" t="str">
        <f>IFERROR(VLOOKUP($O4349,'Customer List'!$A$1:$J$488,10,FALSE),"")</f>
        <v/>
      </c>
    </row>
    <row r="4350" spans="18:23">
      <c r="R4350" s="127">
        <f t="shared" si="211"/>
        <v>0</v>
      </c>
      <c r="T4350" s="128">
        <f t="shared" si="210"/>
        <v>0</v>
      </c>
      <c r="U4350" s="129" t="str">
        <f>IFERROR(IF(#REF!="S",VLOOKUP('Raw Data'!A4350,References!#REF!,2,FALSE),(VLOOKUP($S4350,References!$B$3:$C$7,2,FALSE))),"")</f>
        <v/>
      </c>
      <c r="W4350" s="74" t="str">
        <f>IFERROR(VLOOKUP($O4350,'Customer List'!$A$1:$J$488,10,FALSE),"")</f>
        <v/>
      </c>
    </row>
    <row r="4351" spans="18:23">
      <c r="R4351" s="127">
        <f t="shared" si="211"/>
        <v>0</v>
      </c>
      <c r="T4351" s="128">
        <f t="shared" si="210"/>
        <v>0</v>
      </c>
      <c r="U4351" s="129" t="str">
        <f>IFERROR(IF(#REF!="S",VLOOKUP('Raw Data'!A4351,References!#REF!,2,FALSE),(VLOOKUP($S4351,References!$B$3:$C$7,2,FALSE))),"")</f>
        <v/>
      </c>
      <c r="W4351" s="74" t="str">
        <f>IFERROR(VLOOKUP($O4351,'Customer List'!$A$1:$J$488,10,FALSE),"")</f>
        <v/>
      </c>
    </row>
    <row r="4352" spans="18:23">
      <c r="R4352" s="127">
        <f t="shared" si="211"/>
        <v>0</v>
      </c>
      <c r="T4352" s="128">
        <f t="shared" si="210"/>
        <v>0</v>
      </c>
      <c r="U4352" s="129" t="str">
        <f>IFERROR(IF(#REF!="S",VLOOKUP('Raw Data'!A4352,References!#REF!,2,FALSE),(VLOOKUP($S4352,References!$B$3:$C$7,2,FALSE))),"")</f>
        <v/>
      </c>
      <c r="W4352" s="74" t="str">
        <f>IFERROR(VLOOKUP($O4352,'Customer List'!$A$1:$J$488,10,FALSE),"")</f>
        <v/>
      </c>
    </row>
    <row r="4353" spans="18:23">
      <c r="R4353" s="127">
        <f t="shared" si="211"/>
        <v>0</v>
      </c>
      <c r="T4353" s="128">
        <f t="shared" si="210"/>
        <v>0</v>
      </c>
      <c r="U4353" s="129" t="str">
        <f>IFERROR(IF(#REF!="S",VLOOKUP('Raw Data'!A4353,References!#REF!,2,FALSE),(VLOOKUP($S4353,References!$B$3:$C$7,2,FALSE))),"")</f>
        <v/>
      </c>
      <c r="W4353" s="74" t="str">
        <f>IFERROR(VLOOKUP($O4353,'Customer List'!$A$1:$J$488,10,FALSE),"")</f>
        <v/>
      </c>
    </row>
    <row r="4354" spans="18:23">
      <c r="R4354" s="127">
        <f t="shared" si="211"/>
        <v>0</v>
      </c>
      <c r="T4354" s="128">
        <f t="shared" si="210"/>
        <v>0</v>
      </c>
      <c r="U4354" s="129" t="str">
        <f>IFERROR(IF(#REF!="S",VLOOKUP('Raw Data'!A4354,References!#REF!,2,FALSE),(VLOOKUP($S4354,References!$B$3:$C$7,2,FALSE))),"")</f>
        <v/>
      </c>
      <c r="W4354" s="74" t="str">
        <f>IFERROR(VLOOKUP($O4354,'Customer List'!$A$1:$J$488,10,FALSE),"")</f>
        <v/>
      </c>
    </row>
    <row r="4355" spans="18:23">
      <c r="R4355" s="127">
        <f t="shared" si="211"/>
        <v>0</v>
      </c>
      <c r="T4355" s="128">
        <f t="shared" si="210"/>
        <v>0</v>
      </c>
      <c r="U4355" s="129" t="str">
        <f>IFERROR(IF(#REF!="S",VLOOKUP('Raw Data'!A4355,References!#REF!,2,FALSE),(VLOOKUP($S4355,References!$B$3:$C$7,2,FALSE))),"")</f>
        <v/>
      </c>
      <c r="W4355" s="74" t="str">
        <f>IFERROR(VLOOKUP($O4355,'Customer List'!$A$1:$J$488,10,FALSE),"")</f>
        <v/>
      </c>
    </row>
    <row r="4356" spans="18:23">
      <c r="R4356" s="127">
        <f t="shared" si="211"/>
        <v>0</v>
      </c>
      <c r="T4356" s="128">
        <f t="shared" si="210"/>
        <v>0</v>
      </c>
      <c r="U4356" s="129" t="str">
        <f>IFERROR(IF(#REF!="S",VLOOKUP('Raw Data'!A4356,References!#REF!,2,FALSE),(VLOOKUP($S4356,References!$B$3:$C$7,2,FALSE))),"")</f>
        <v/>
      </c>
      <c r="W4356" s="74" t="str">
        <f>IFERROR(VLOOKUP($O4356,'Customer List'!$A$1:$J$488,10,FALSE),"")</f>
        <v/>
      </c>
    </row>
    <row r="4357" spans="18:23">
      <c r="R4357" s="127">
        <f t="shared" si="211"/>
        <v>0</v>
      </c>
      <c r="T4357" s="128">
        <f t="shared" si="210"/>
        <v>0</v>
      </c>
      <c r="U4357" s="129" t="str">
        <f>IFERROR(IF(#REF!="S",VLOOKUP('Raw Data'!A4357,References!#REF!,2,FALSE),(VLOOKUP($S4357,References!$B$3:$C$7,2,FALSE))),"")</f>
        <v/>
      </c>
      <c r="W4357" s="74" t="str">
        <f>IFERROR(VLOOKUP($O4357,'Customer List'!$A$1:$J$488,10,FALSE),"")</f>
        <v/>
      </c>
    </row>
    <row r="4358" spans="18:23">
      <c r="R4358" s="127">
        <f t="shared" si="211"/>
        <v>0</v>
      </c>
      <c r="T4358" s="128">
        <f t="shared" si="210"/>
        <v>0</v>
      </c>
      <c r="U4358" s="129" t="str">
        <f>IFERROR(IF(#REF!="S",VLOOKUP('Raw Data'!A4358,References!#REF!,2,FALSE),(VLOOKUP($S4358,References!$B$3:$C$7,2,FALSE))),"")</f>
        <v/>
      </c>
      <c r="W4358" s="74" t="str">
        <f>IFERROR(VLOOKUP($O4358,'Customer List'!$A$1:$J$488,10,FALSE),"")</f>
        <v/>
      </c>
    </row>
    <row r="4359" spans="18:23">
      <c r="R4359" s="127">
        <f t="shared" si="211"/>
        <v>0</v>
      </c>
      <c r="T4359" s="128">
        <f t="shared" si="210"/>
        <v>0</v>
      </c>
      <c r="U4359" s="129" t="str">
        <f>IFERROR(IF(#REF!="S",VLOOKUP('Raw Data'!A4359,References!#REF!,2,FALSE),(VLOOKUP($S4359,References!$B$3:$C$7,2,FALSE))),"")</f>
        <v/>
      </c>
      <c r="W4359" s="74" t="str">
        <f>IFERROR(VLOOKUP($O4359,'Customer List'!$A$1:$J$488,10,FALSE),"")</f>
        <v/>
      </c>
    </row>
    <row r="4360" spans="18:23">
      <c r="R4360" s="127">
        <f t="shared" si="211"/>
        <v>0</v>
      </c>
      <c r="T4360" s="128">
        <f t="shared" si="210"/>
        <v>0</v>
      </c>
      <c r="U4360" s="129" t="str">
        <f>IFERROR(IF(#REF!="S",VLOOKUP('Raw Data'!A4360,References!#REF!,2,FALSE),(VLOOKUP($S4360,References!$B$3:$C$7,2,FALSE))),"")</f>
        <v/>
      </c>
      <c r="W4360" s="74" t="str">
        <f>IFERROR(VLOOKUP($O4360,'Customer List'!$A$1:$J$488,10,FALSE),"")</f>
        <v/>
      </c>
    </row>
    <row r="4361" spans="18:23">
      <c r="R4361" s="127">
        <f t="shared" si="211"/>
        <v>0</v>
      </c>
      <c r="T4361" s="128">
        <f t="shared" si="210"/>
        <v>0</v>
      </c>
      <c r="U4361" s="129" t="str">
        <f>IFERROR(IF(#REF!="S",VLOOKUP('Raw Data'!A4361,References!#REF!,2,FALSE),(VLOOKUP($S4361,References!$B$3:$C$7,2,FALSE))),"")</f>
        <v/>
      </c>
      <c r="W4361" s="74" t="str">
        <f>IFERROR(VLOOKUP($O4361,'Customer List'!$A$1:$J$488,10,FALSE),"")</f>
        <v/>
      </c>
    </row>
    <row r="4362" spans="18:23">
      <c r="R4362" s="127">
        <f t="shared" si="211"/>
        <v>0</v>
      </c>
      <c r="T4362" s="128">
        <f t="shared" ref="T4362:T4425" si="212">IF(S4362="50 - Cleaning Fee",1,HOUR($R4362)+MINUTE(R4362)/60)</f>
        <v>0</v>
      </c>
      <c r="U4362" s="129" t="str">
        <f>IFERROR(IF(#REF!="S",VLOOKUP('Raw Data'!A4362,References!#REF!,2,FALSE),(VLOOKUP($S4362,References!$B$3:$C$7,2,FALSE))),"")</f>
        <v/>
      </c>
      <c r="W4362" s="74" t="str">
        <f>IFERROR(VLOOKUP($O4362,'Customer List'!$A$1:$J$488,10,FALSE),"")</f>
        <v/>
      </c>
    </row>
    <row r="4363" spans="18:23">
      <c r="R4363" s="127">
        <f t="shared" si="211"/>
        <v>0</v>
      </c>
      <c r="T4363" s="128">
        <f t="shared" si="212"/>
        <v>0</v>
      </c>
      <c r="U4363" s="129" t="str">
        <f>IFERROR(IF(#REF!="S",VLOOKUP('Raw Data'!A4363,References!#REF!,2,FALSE),(VLOOKUP($S4363,References!$B$3:$C$7,2,FALSE))),"")</f>
        <v/>
      </c>
      <c r="W4363" s="74" t="str">
        <f>IFERROR(VLOOKUP($O4363,'Customer List'!$A$1:$J$488,10,FALSE),"")</f>
        <v/>
      </c>
    </row>
    <row r="4364" spans="18:23">
      <c r="R4364" s="127">
        <f t="shared" si="211"/>
        <v>0</v>
      </c>
      <c r="T4364" s="128">
        <f t="shared" si="212"/>
        <v>0</v>
      </c>
      <c r="U4364" s="129" t="str">
        <f>IFERROR(IF(#REF!="S",VLOOKUP('Raw Data'!A4364,References!#REF!,2,FALSE),(VLOOKUP($S4364,References!$B$3:$C$7,2,FALSE))),"")</f>
        <v/>
      </c>
      <c r="W4364" s="74" t="str">
        <f>IFERROR(VLOOKUP($O4364,'Customer List'!$A$1:$J$488,10,FALSE),"")</f>
        <v/>
      </c>
    </row>
    <row r="4365" spans="18:23">
      <c r="R4365" s="127">
        <f t="shared" si="211"/>
        <v>0</v>
      </c>
      <c r="T4365" s="128">
        <f t="shared" si="212"/>
        <v>0</v>
      </c>
      <c r="U4365" s="129" t="str">
        <f>IFERROR(IF(#REF!="S",VLOOKUP('Raw Data'!A4365,References!#REF!,2,FALSE),(VLOOKUP($S4365,References!$B$3:$C$7,2,FALSE))),"")</f>
        <v/>
      </c>
      <c r="W4365" s="74" t="str">
        <f>IFERROR(VLOOKUP($O4365,'Customer List'!$A$1:$J$488,10,FALSE),"")</f>
        <v/>
      </c>
    </row>
    <row r="4366" spans="18:23">
      <c r="R4366" s="127">
        <f t="shared" si="211"/>
        <v>0</v>
      </c>
      <c r="T4366" s="128">
        <f t="shared" si="212"/>
        <v>0</v>
      </c>
      <c r="U4366" s="129" t="str">
        <f>IFERROR(IF(#REF!="S",VLOOKUP('Raw Data'!A4366,References!#REF!,2,FALSE),(VLOOKUP($S4366,References!$B$3:$C$7,2,FALSE))),"")</f>
        <v/>
      </c>
      <c r="W4366" s="74" t="str">
        <f>IFERROR(VLOOKUP($O4366,'Customer List'!$A$1:$J$488,10,FALSE),"")</f>
        <v/>
      </c>
    </row>
    <row r="4367" spans="18:23">
      <c r="R4367" s="127">
        <f t="shared" si="211"/>
        <v>0</v>
      </c>
      <c r="T4367" s="128">
        <f t="shared" si="212"/>
        <v>0</v>
      </c>
      <c r="U4367" s="129" t="str">
        <f>IFERROR(IF(#REF!="S",VLOOKUP('Raw Data'!A4367,References!#REF!,2,FALSE),(VLOOKUP($S4367,References!$B$3:$C$7,2,FALSE))),"")</f>
        <v/>
      </c>
      <c r="W4367" s="74" t="str">
        <f>IFERROR(VLOOKUP($O4367,'Customer List'!$A$1:$J$488,10,FALSE),"")</f>
        <v/>
      </c>
    </row>
    <row r="4368" spans="18:23">
      <c r="R4368" s="127">
        <f t="shared" si="211"/>
        <v>0</v>
      </c>
      <c r="T4368" s="128">
        <f t="shared" si="212"/>
        <v>0</v>
      </c>
      <c r="U4368" s="129" t="str">
        <f>IFERROR(IF(#REF!="S",VLOOKUP('Raw Data'!A4368,References!#REF!,2,FALSE),(VLOOKUP($S4368,References!$B$3:$C$7,2,FALSE))),"")</f>
        <v/>
      </c>
      <c r="W4368" s="74" t="str">
        <f>IFERROR(VLOOKUP($O4368,'Customer List'!$A$1:$J$488,10,FALSE),"")</f>
        <v/>
      </c>
    </row>
    <row r="4369" spans="18:23">
      <c r="R4369" s="127">
        <f t="shared" si="211"/>
        <v>0</v>
      </c>
      <c r="T4369" s="128">
        <f t="shared" si="212"/>
        <v>0</v>
      </c>
      <c r="U4369" s="129" t="str">
        <f>IFERROR(IF(#REF!="S",VLOOKUP('Raw Data'!A4369,References!#REF!,2,FALSE),(VLOOKUP($S4369,References!$B$3:$C$7,2,FALSE))),"")</f>
        <v/>
      </c>
      <c r="W4369" s="74" t="str">
        <f>IFERROR(VLOOKUP($O4369,'Customer List'!$A$1:$J$488,10,FALSE),"")</f>
        <v/>
      </c>
    </row>
    <row r="4370" spans="18:23">
      <c r="R4370" s="127">
        <f t="shared" si="211"/>
        <v>0</v>
      </c>
      <c r="T4370" s="128">
        <f t="shared" si="212"/>
        <v>0</v>
      </c>
      <c r="U4370" s="129" t="str">
        <f>IFERROR(IF(#REF!="S",VLOOKUP('Raw Data'!A4370,References!#REF!,2,FALSE),(VLOOKUP($S4370,References!$B$3:$C$7,2,FALSE))),"")</f>
        <v/>
      </c>
      <c r="W4370" s="74" t="str">
        <f>IFERROR(VLOOKUP($O4370,'Customer List'!$A$1:$J$488,10,FALSE),"")</f>
        <v/>
      </c>
    </row>
    <row r="4371" spans="18:23">
      <c r="R4371" s="127">
        <f t="shared" si="211"/>
        <v>0</v>
      </c>
      <c r="T4371" s="128">
        <f t="shared" si="212"/>
        <v>0</v>
      </c>
      <c r="U4371" s="129" t="str">
        <f>IFERROR(IF(#REF!="S",VLOOKUP('Raw Data'!A4371,References!#REF!,2,FALSE),(VLOOKUP($S4371,References!$B$3:$C$7,2,FALSE))),"")</f>
        <v/>
      </c>
      <c r="W4371" s="74" t="str">
        <f>IFERROR(VLOOKUP($O4371,'Customer List'!$A$1:$J$488,10,FALSE),"")</f>
        <v/>
      </c>
    </row>
    <row r="4372" spans="18:23">
      <c r="R4372" s="127">
        <f t="shared" si="211"/>
        <v>0</v>
      </c>
      <c r="T4372" s="128">
        <f t="shared" si="212"/>
        <v>0</v>
      </c>
      <c r="U4372" s="129" t="str">
        <f>IFERROR(IF(#REF!="S",VLOOKUP('Raw Data'!A4372,References!#REF!,2,FALSE),(VLOOKUP($S4372,References!$B$3:$C$7,2,FALSE))),"")</f>
        <v/>
      </c>
      <c r="W4372" s="74" t="str">
        <f>IFERROR(VLOOKUP($O4372,'Customer List'!$A$1:$J$488,10,FALSE),"")</f>
        <v/>
      </c>
    </row>
    <row r="4373" spans="18:23">
      <c r="R4373" s="127">
        <f t="shared" si="211"/>
        <v>0</v>
      </c>
      <c r="T4373" s="128">
        <f t="shared" si="212"/>
        <v>0</v>
      </c>
      <c r="U4373" s="129" t="str">
        <f>IFERROR(IF(#REF!="S",VLOOKUP('Raw Data'!A4373,References!#REF!,2,FALSE),(VLOOKUP($S4373,References!$B$3:$C$7,2,FALSE))),"")</f>
        <v/>
      </c>
      <c r="W4373" s="74" t="str">
        <f>IFERROR(VLOOKUP($O4373,'Customer List'!$A$1:$J$488,10,FALSE),"")</f>
        <v/>
      </c>
    </row>
    <row r="4374" spans="18:23">
      <c r="R4374" s="127">
        <f t="shared" si="211"/>
        <v>0</v>
      </c>
      <c r="T4374" s="128">
        <f t="shared" si="212"/>
        <v>0</v>
      </c>
      <c r="U4374" s="129" t="str">
        <f>IFERROR(IF(#REF!="S",VLOOKUP('Raw Data'!A4374,References!#REF!,2,FALSE),(VLOOKUP($S4374,References!$B$3:$C$7,2,FALSE))),"")</f>
        <v/>
      </c>
      <c r="W4374" s="74" t="str">
        <f>IFERROR(VLOOKUP($O4374,'Customer List'!$A$1:$J$488,10,FALSE),"")</f>
        <v/>
      </c>
    </row>
    <row r="4375" spans="18:23">
      <c r="R4375" s="127">
        <f t="shared" si="211"/>
        <v>0</v>
      </c>
      <c r="T4375" s="128">
        <f t="shared" si="212"/>
        <v>0</v>
      </c>
      <c r="U4375" s="129" t="str">
        <f>IFERROR(IF(#REF!="S",VLOOKUP('Raw Data'!A4375,References!#REF!,2,FALSE),(VLOOKUP($S4375,References!$B$3:$C$7,2,FALSE))),"")</f>
        <v/>
      </c>
      <c r="W4375" s="74" t="str">
        <f>IFERROR(VLOOKUP($O4375,'Customer List'!$A$1:$J$488,10,FALSE),"")</f>
        <v/>
      </c>
    </row>
    <row r="4376" spans="18:23">
      <c r="R4376" s="127">
        <f t="shared" si="211"/>
        <v>0</v>
      </c>
      <c r="T4376" s="128">
        <f t="shared" si="212"/>
        <v>0</v>
      </c>
      <c r="U4376" s="129" t="str">
        <f>IFERROR(IF(#REF!="S",VLOOKUP('Raw Data'!A4376,References!#REF!,2,FALSE),(VLOOKUP($S4376,References!$B$3:$C$7,2,FALSE))),"")</f>
        <v/>
      </c>
      <c r="W4376" s="74" t="str">
        <f>IFERROR(VLOOKUP($O4376,'Customer List'!$A$1:$J$488,10,FALSE),"")</f>
        <v/>
      </c>
    </row>
    <row r="4377" spans="18:23">
      <c r="R4377" s="127">
        <f t="shared" si="211"/>
        <v>0</v>
      </c>
      <c r="T4377" s="128">
        <f t="shared" si="212"/>
        <v>0</v>
      </c>
      <c r="U4377" s="129" t="str">
        <f>IFERROR(IF(#REF!="S",VLOOKUP('Raw Data'!A4377,References!#REF!,2,FALSE),(VLOOKUP($S4377,References!$B$3:$C$7,2,FALSE))),"")</f>
        <v/>
      </c>
      <c r="W4377" s="74" t="str">
        <f>IFERROR(VLOOKUP($O4377,'Customer List'!$A$1:$J$488,10,FALSE),"")</f>
        <v/>
      </c>
    </row>
    <row r="4378" spans="18:23">
      <c r="R4378" s="127">
        <f t="shared" si="211"/>
        <v>0</v>
      </c>
      <c r="T4378" s="128">
        <f t="shared" si="212"/>
        <v>0</v>
      </c>
      <c r="U4378" s="129" t="str">
        <f>IFERROR(IF(#REF!="S",VLOOKUP('Raw Data'!A4378,References!#REF!,2,FALSE),(VLOOKUP($S4378,References!$B$3:$C$7,2,FALSE))),"")</f>
        <v/>
      </c>
      <c r="W4378" s="74" t="str">
        <f>IFERROR(VLOOKUP($O4378,'Customer List'!$A$1:$J$488,10,FALSE),"")</f>
        <v/>
      </c>
    </row>
    <row r="4379" spans="18:23">
      <c r="R4379" s="127">
        <f t="shared" si="211"/>
        <v>0</v>
      </c>
      <c r="T4379" s="128">
        <f t="shared" si="212"/>
        <v>0</v>
      </c>
      <c r="U4379" s="129" t="str">
        <f>IFERROR(IF(#REF!="S",VLOOKUP('Raw Data'!A4379,References!#REF!,2,FALSE),(VLOOKUP($S4379,References!$B$3:$C$7,2,FALSE))),"")</f>
        <v/>
      </c>
      <c r="W4379" s="74" t="str">
        <f>IFERROR(VLOOKUP($O4379,'Customer List'!$A$1:$J$488,10,FALSE),"")</f>
        <v/>
      </c>
    </row>
    <row r="4380" spans="18:23">
      <c r="R4380" s="127">
        <f t="shared" si="211"/>
        <v>0</v>
      </c>
      <c r="T4380" s="128">
        <f t="shared" si="212"/>
        <v>0</v>
      </c>
      <c r="U4380" s="129" t="str">
        <f>IFERROR(IF(#REF!="S",VLOOKUP('Raw Data'!A4380,References!#REF!,2,FALSE),(VLOOKUP($S4380,References!$B$3:$C$7,2,FALSE))),"")</f>
        <v/>
      </c>
      <c r="W4380" s="74" t="str">
        <f>IFERROR(VLOOKUP($O4380,'Customer List'!$A$1:$J$488,10,FALSE),"")</f>
        <v/>
      </c>
    </row>
    <row r="4381" spans="18:23">
      <c r="R4381" s="127">
        <f t="shared" si="211"/>
        <v>0</v>
      </c>
      <c r="T4381" s="128">
        <f t="shared" si="212"/>
        <v>0</v>
      </c>
      <c r="U4381" s="129" t="str">
        <f>IFERROR(IF(#REF!="S",VLOOKUP('Raw Data'!A4381,References!#REF!,2,FALSE),(VLOOKUP($S4381,References!$B$3:$C$7,2,FALSE))),"")</f>
        <v/>
      </c>
      <c r="W4381" s="74" t="str">
        <f>IFERROR(VLOOKUP($O4381,'Customer List'!$A$1:$J$488,10,FALSE),"")</f>
        <v/>
      </c>
    </row>
    <row r="4382" spans="18:23">
      <c r="R4382" s="127">
        <f t="shared" si="211"/>
        <v>0</v>
      </c>
      <c r="T4382" s="128">
        <f t="shared" si="212"/>
        <v>0</v>
      </c>
      <c r="U4382" s="129" t="str">
        <f>IFERROR(IF(#REF!="S",VLOOKUP('Raw Data'!A4382,References!#REF!,2,FALSE),(VLOOKUP($S4382,References!$B$3:$C$7,2,FALSE))),"")</f>
        <v/>
      </c>
      <c r="W4382" s="74" t="str">
        <f>IFERROR(VLOOKUP($O4382,'Customer List'!$A$1:$J$488,10,FALSE),"")</f>
        <v/>
      </c>
    </row>
    <row r="4383" spans="18:23">
      <c r="R4383" s="127">
        <f t="shared" si="211"/>
        <v>0</v>
      </c>
      <c r="T4383" s="128">
        <f t="shared" si="212"/>
        <v>0</v>
      </c>
      <c r="U4383" s="129" t="str">
        <f>IFERROR(IF(#REF!="S",VLOOKUP('Raw Data'!A4383,References!#REF!,2,FALSE),(VLOOKUP($S4383,References!$B$3:$C$7,2,FALSE))),"")</f>
        <v/>
      </c>
      <c r="W4383" s="74" t="str">
        <f>IFERROR(VLOOKUP($O4383,'Customer List'!$A$1:$J$488,10,FALSE),"")</f>
        <v/>
      </c>
    </row>
    <row r="4384" spans="18:23">
      <c r="R4384" s="127">
        <f t="shared" si="211"/>
        <v>0</v>
      </c>
      <c r="T4384" s="128">
        <f t="shared" si="212"/>
        <v>0</v>
      </c>
      <c r="U4384" s="129" t="str">
        <f>IFERROR(IF(#REF!="S",VLOOKUP('Raw Data'!A4384,References!#REF!,2,FALSE),(VLOOKUP($S4384,References!$B$3:$C$7,2,FALSE))),"")</f>
        <v/>
      </c>
      <c r="W4384" s="74" t="str">
        <f>IFERROR(VLOOKUP($O4384,'Customer List'!$A$1:$J$488,10,FALSE),"")</f>
        <v/>
      </c>
    </row>
    <row r="4385" spans="18:23">
      <c r="R4385" s="127">
        <f t="shared" si="211"/>
        <v>0</v>
      </c>
      <c r="T4385" s="128">
        <f t="shared" si="212"/>
        <v>0</v>
      </c>
      <c r="U4385" s="129" t="str">
        <f>IFERROR(IF(#REF!="S",VLOOKUP('Raw Data'!A4385,References!#REF!,2,FALSE),(VLOOKUP($S4385,References!$B$3:$C$7,2,FALSE))),"")</f>
        <v/>
      </c>
      <c r="W4385" s="74" t="str">
        <f>IFERROR(VLOOKUP($O4385,'Customer List'!$A$1:$J$488,10,FALSE),"")</f>
        <v/>
      </c>
    </row>
    <row r="4386" spans="18:23">
      <c r="R4386" s="127">
        <f t="shared" ref="R4386:R4449" si="213">L4386-K4386</f>
        <v>0</v>
      </c>
      <c r="T4386" s="128">
        <f t="shared" si="212"/>
        <v>0</v>
      </c>
      <c r="U4386" s="129" t="str">
        <f>IFERROR(IF(#REF!="S",VLOOKUP('Raw Data'!A4386,References!#REF!,2,FALSE),(VLOOKUP($S4386,References!$B$3:$C$7,2,FALSE))),"")</f>
        <v/>
      </c>
      <c r="W4386" s="74" t="str">
        <f>IFERROR(VLOOKUP($O4386,'Customer List'!$A$1:$J$488,10,FALSE),"")</f>
        <v/>
      </c>
    </row>
    <row r="4387" spans="18:23">
      <c r="R4387" s="127">
        <f t="shared" si="213"/>
        <v>0</v>
      </c>
      <c r="T4387" s="128">
        <f t="shared" si="212"/>
        <v>0</v>
      </c>
      <c r="U4387" s="129" t="str">
        <f>IFERROR(IF(#REF!="S",VLOOKUP('Raw Data'!A4387,References!#REF!,2,FALSE),(VLOOKUP($S4387,References!$B$3:$C$7,2,FALSE))),"")</f>
        <v/>
      </c>
      <c r="W4387" s="74" t="str">
        <f>IFERROR(VLOOKUP($O4387,'Customer List'!$A$1:$J$488,10,FALSE),"")</f>
        <v/>
      </c>
    </row>
    <row r="4388" spans="18:23">
      <c r="R4388" s="127">
        <f t="shared" si="213"/>
        <v>0</v>
      </c>
      <c r="T4388" s="128">
        <f t="shared" si="212"/>
        <v>0</v>
      </c>
      <c r="U4388" s="129" t="str">
        <f>IFERROR(IF(#REF!="S",VLOOKUP('Raw Data'!A4388,References!#REF!,2,FALSE),(VLOOKUP($S4388,References!$B$3:$C$7,2,FALSE))),"")</f>
        <v/>
      </c>
      <c r="W4388" s="74" t="str">
        <f>IFERROR(VLOOKUP($O4388,'Customer List'!$A$1:$J$488,10,FALSE),"")</f>
        <v/>
      </c>
    </row>
    <row r="4389" spans="18:23">
      <c r="R4389" s="127">
        <f t="shared" si="213"/>
        <v>0</v>
      </c>
      <c r="T4389" s="128">
        <f t="shared" si="212"/>
        <v>0</v>
      </c>
      <c r="U4389" s="129" t="str">
        <f>IFERROR(IF(#REF!="S",VLOOKUP('Raw Data'!A4389,References!#REF!,2,FALSE),(VLOOKUP($S4389,References!$B$3:$C$7,2,FALSE))),"")</f>
        <v/>
      </c>
      <c r="W4389" s="74" t="str">
        <f>IFERROR(VLOOKUP($O4389,'Customer List'!$A$1:$J$488,10,FALSE),"")</f>
        <v/>
      </c>
    </row>
    <row r="4390" spans="18:23">
      <c r="R4390" s="127">
        <f t="shared" si="213"/>
        <v>0</v>
      </c>
      <c r="T4390" s="128">
        <f t="shared" si="212"/>
        <v>0</v>
      </c>
      <c r="U4390" s="129" t="str">
        <f>IFERROR(IF(#REF!="S",VLOOKUP('Raw Data'!A4390,References!#REF!,2,FALSE),(VLOOKUP($S4390,References!$B$3:$C$7,2,FALSE))),"")</f>
        <v/>
      </c>
      <c r="W4390" s="74" t="str">
        <f>IFERROR(VLOOKUP($O4390,'Customer List'!$A$1:$J$488,10,FALSE),"")</f>
        <v/>
      </c>
    </row>
    <row r="4391" spans="18:23">
      <c r="R4391" s="127">
        <f t="shared" si="213"/>
        <v>0</v>
      </c>
      <c r="T4391" s="128">
        <f t="shared" si="212"/>
        <v>0</v>
      </c>
      <c r="U4391" s="129" t="str">
        <f>IFERROR(IF(#REF!="S",VLOOKUP('Raw Data'!A4391,References!#REF!,2,FALSE),(VLOOKUP($S4391,References!$B$3:$C$7,2,FALSE))),"")</f>
        <v/>
      </c>
      <c r="W4391" s="74" t="str">
        <f>IFERROR(VLOOKUP($O4391,'Customer List'!$A$1:$J$488,10,FALSE),"")</f>
        <v/>
      </c>
    </row>
    <row r="4392" spans="18:23">
      <c r="R4392" s="127">
        <f t="shared" si="213"/>
        <v>0</v>
      </c>
      <c r="T4392" s="128">
        <f t="shared" si="212"/>
        <v>0</v>
      </c>
      <c r="U4392" s="129" t="str">
        <f>IFERROR(IF(#REF!="S",VLOOKUP('Raw Data'!A4392,References!#REF!,2,FALSE),(VLOOKUP($S4392,References!$B$3:$C$7,2,FALSE))),"")</f>
        <v/>
      </c>
      <c r="W4392" s="74" t="str">
        <f>IFERROR(VLOOKUP($O4392,'Customer List'!$A$1:$J$488,10,FALSE),"")</f>
        <v/>
      </c>
    </row>
    <row r="4393" spans="18:23">
      <c r="R4393" s="127">
        <f t="shared" si="213"/>
        <v>0</v>
      </c>
      <c r="T4393" s="128">
        <f t="shared" si="212"/>
        <v>0</v>
      </c>
      <c r="U4393" s="129" t="str">
        <f>IFERROR(IF(#REF!="S",VLOOKUP('Raw Data'!A4393,References!#REF!,2,FALSE),(VLOOKUP($S4393,References!$B$3:$C$7,2,FALSE))),"")</f>
        <v/>
      </c>
      <c r="W4393" s="74" t="str">
        <f>IFERROR(VLOOKUP($O4393,'Customer List'!$A$1:$J$488,10,FALSE),"")</f>
        <v/>
      </c>
    </row>
    <row r="4394" spans="18:23">
      <c r="R4394" s="127">
        <f t="shared" si="213"/>
        <v>0</v>
      </c>
      <c r="T4394" s="128">
        <f t="shared" si="212"/>
        <v>0</v>
      </c>
      <c r="U4394" s="129" t="str">
        <f>IFERROR(IF(#REF!="S",VLOOKUP('Raw Data'!A4394,References!#REF!,2,FALSE),(VLOOKUP($S4394,References!$B$3:$C$7,2,FALSE))),"")</f>
        <v/>
      </c>
      <c r="W4394" s="74" t="str">
        <f>IFERROR(VLOOKUP($O4394,'Customer List'!$A$1:$J$488,10,FALSE),"")</f>
        <v/>
      </c>
    </row>
    <row r="4395" spans="18:23">
      <c r="R4395" s="127">
        <f t="shared" si="213"/>
        <v>0</v>
      </c>
      <c r="T4395" s="128">
        <f t="shared" si="212"/>
        <v>0</v>
      </c>
      <c r="U4395" s="129" t="str">
        <f>IFERROR(IF(#REF!="S",VLOOKUP('Raw Data'!A4395,References!#REF!,2,FALSE),(VLOOKUP($S4395,References!$B$3:$C$7,2,FALSE))),"")</f>
        <v/>
      </c>
      <c r="W4395" s="74" t="str">
        <f>IFERROR(VLOOKUP($O4395,'Customer List'!$A$1:$J$488,10,FALSE),"")</f>
        <v/>
      </c>
    </row>
    <row r="4396" spans="18:23">
      <c r="R4396" s="127">
        <f t="shared" si="213"/>
        <v>0</v>
      </c>
      <c r="T4396" s="128">
        <f t="shared" si="212"/>
        <v>0</v>
      </c>
      <c r="U4396" s="129" t="str">
        <f>IFERROR(IF(#REF!="S",VLOOKUP('Raw Data'!A4396,References!#REF!,2,FALSE),(VLOOKUP($S4396,References!$B$3:$C$7,2,FALSE))),"")</f>
        <v/>
      </c>
      <c r="W4396" s="74" t="str">
        <f>IFERROR(VLOOKUP($O4396,'Customer List'!$A$1:$J$488,10,FALSE),"")</f>
        <v/>
      </c>
    </row>
    <row r="4397" spans="18:23">
      <c r="R4397" s="127">
        <f t="shared" si="213"/>
        <v>0</v>
      </c>
      <c r="T4397" s="128">
        <f t="shared" si="212"/>
        <v>0</v>
      </c>
      <c r="U4397" s="129" t="str">
        <f>IFERROR(IF(#REF!="S",VLOOKUP('Raw Data'!A4397,References!#REF!,2,FALSE),(VLOOKUP($S4397,References!$B$3:$C$7,2,FALSE))),"")</f>
        <v/>
      </c>
      <c r="W4397" s="74" t="str">
        <f>IFERROR(VLOOKUP($O4397,'Customer List'!$A$1:$J$488,10,FALSE),"")</f>
        <v/>
      </c>
    </row>
    <row r="4398" spans="18:23">
      <c r="R4398" s="127">
        <f t="shared" si="213"/>
        <v>0</v>
      </c>
      <c r="T4398" s="128">
        <f t="shared" si="212"/>
        <v>0</v>
      </c>
      <c r="U4398" s="129" t="str">
        <f>IFERROR(IF(#REF!="S",VLOOKUP('Raw Data'!A4398,References!#REF!,2,FALSE),(VLOOKUP($S4398,References!$B$3:$C$7,2,FALSE))),"")</f>
        <v/>
      </c>
      <c r="W4398" s="74" t="str">
        <f>IFERROR(VLOOKUP($O4398,'Customer List'!$A$1:$J$488,10,FALSE),"")</f>
        <v/>
      </c>
    </row>
    <row r="4399" spans="18:23">
      <c r="R4399" s="127">
        <f t="shared" si="213"/>
        <v>0</v>
      </c>
      <c r="T4399" s="128">
        <f t="shared" si="212"/>
        <v>0</v>
      </c>
      <c r="U4399" s="129" t="str">
        <f>IFERROR(IF(#REF!="S",VLOOKUP('Raw Data'!A4399,References!#REF!,2,FALSE),(VLOOKUP($S4399,References!$B$3:$C$7,2,FALSE))),"")</f>
        <v/>
      </c>
      <c r="W4399" s="74" t="str">
        <f>IFERROR(VLOOKUP($O4399,'Customer List'!$A$1:$J$488,10,FALSE),"")</f>
        <v/>
      </c>
    </row>
    <row r="4400" spans="18:23">
      <c r="R4400" s="127">
        <f t="shared" si="213"/>
        <v>0</v>
      </c>
      <c r="T4400" s="128">
        <f t="shared" si="212"/>
        <v>0</v>
      </c>
      <c r="U4400" s="129" t="str">
        <f>IFERROR(IF(#REF!="S",VLOOKUP('Raw Data'!A4400,References!#REF!,2,FALSE),(VLOOKUP($S4400,References!$B$3:$C$7,2,FALSE))),"")</f>
        <v/>
      </c>
      <c r="W4400" s="74" t="str">
        <f>IFERROR(VLOOKUP($O4400,'Customer List'!$A$1:$J$488,10,FALSE),"")</f>
        <v/>
      </c>
    </row>
    <row r="4401" spans="18:23">
      <c r="R4401" s="127">
        <f t="shared" si="213"/>
        <v>0</v>
      </c>
      <c r="T4401" s="128">
        <f t="shared" si="212"/>
        <v>0</v>
      </c>
      <c r="U4401" s="129" t="str">
        <f>IFERROR(IF(#REF!="S",VLOOKUP('Raw Data'!A4401,References!#REF!,2,FALSE),(VLOOKUP($S4401,References!$B$3:$C$7,2,FALSE))),"")</f>
        <v/>
      </c>
      <c r="W4401" s="74" t="str">
        <f>IFERROR(VLOOKUP($O4401,'Customer List'!$A$1:$J$488,10,FALSE),"")</f>
        <v/>
      </c>
    </row>
    <row r="4402" spans="18:23">
      <c r="R4402" s="127">
        <f t="shared" si="213"/>
        <v>0</v>
      </c>
      <c r="T4402" s="128">
        <f t="shared" si="212"/>
        <v>0</v>
      </c>
      <c r="U4402" s="129" t="str">
        <f>IFERROR(IF(#REF!="S",VLOOKUP('Raw Data'!A4402,References!#REF!,2,FALSE),(VLOOKUP($S4402,References!$B$3:$C$7,2,FALSE))),"")</f>
        <v/>
      </c>
      <c r="W4402" s="74" t="str">
        <f>IFERROR(VLOOKUP($O4402,'Customer List'!$A$1:$J$488,10,FALSE),"")</f>
        <v/>
      </c>
    </row>
    <row r="4403" spans="18:23">
      <c r="R4403" s="127">
        <f t="shared" si="213"/>
        <v>0</v>
      </c>
      <c r="T4403" s="128">
        <f t="shared" si="212"/>
        <v>0</v>
      </c>
      <c r="U4403" s="129" t="str">
        <f>IFERROR(IF(#REF!="S",VLOOKUP('Raw Data'!A4403,References!#REF!,2,FALSE),(VLOOKUP($S4403,References!$B$3:$C$7,2,FALSE))),"")</f>
        <v/>
      </c>
      <c r="W4403" s="74" t="str">
        <f>IFERROR(VLOOKUP($O4403,'Customer List'!$A$1:$J$488,10,FALSE),"")</f>
        <v/>
      </c>
    </row>
    <row r="4404" spans="18:23">
      <c r="R4404" s="127">
        <f t="shared" si="213"/>
        <v>0</v>
      </c>
      <c r="T4404" s="128">
        <f t="shared" si="212"/>
        <v>0</v>
      </c>
      <c r="U4404" s="129" t="str">
        <f>IFERROR(IF(#REF!="S",VLOOKUP('Raw Data'!A4404,References!#REF!,2,FALSE),(VLOOKUP($S4404,References!$B$3:$C$7,2,FALSE))),"")</f>
        <v/>
      </c>
      <c r="W4404" s="74" t="str">
        <f>IFERROR(VLOOKUP($O4404,'Customer List'!$A$1:$J$488,10,FALSE),"")</f>
        <v/>
      </c>
    </row>
    <row r="4405" spans="18:23">
      <c r="R4405" s="127">
        <f t="shared" si="213"/>
        <v>0</v>
      </c>
      <c r="T4405" s="128">
        <f t="shared" si="212"/>
        <v>0</v>
      </c>
      <c r="U4405" s="129" t="str">
        <f>IFERROR(IF(#REF!="S",VLOOKUP('Raw Data'!A4405,References!#REF!,2,FALSE),(VLOOKUP($S4405,References!$B$3:$C$7,2,FALSE))),"")</f>
        <v/>
      </c>
      <c r="W4405" s="74" t="str">
        <f>IFERROR(VLOOKUP($O4405,'Customer List'!$A$1:$J$488,10,FALSE),"")</f>
        <v/>
      </c>
    </row>
    <row r="4406" spans="18:23">
      <c r="R4406" s="127">
        <f t="shared" si="213"/>
        <v>0</v>
      </c>
      <c r="T4406" s="128">
        <f t="shared" si="212"/>
        <v>0</v>
      </c>
      <c r="U4406" s="129" t="str">
        <f>IFERROR(IF(#REF!="S",VLOOKUP('Raw Data'!A4406,References!#REF!,2,FALSE),(VLOOKUP($S4406,References!$B$3:$C$7,2,FALSE))),"")</f>
        <v/>
      </c>
      <c r="W4406" s="74" t="str">
        <f>IFERROR(VLOOKUP($O4406,'Customer List'!$A$1:$J$488,10,FALSE),"")</f>
        <v/>
      </c>
    </row>
    <row r="4407" spans="18:23">
      <c r="R4407" s="127">
        <f t="shared" si="213"/>
        <v>0</v>
      </c>
      <c r="T4407" s="128">
        <f t="shared" si="212"/>
        <v>0</v>
      </c>
      <c r="U4407" s="129" t="str">
        <f>IFERROR(IF(#REF!="S",VLOOKUP('Raw Data'!A4407,References!#REF!,2,FALSE),(VLOOKUP($S4407,References!$B$3:$C$7,2,FALSE))),"")</f>
        <v/>
      </c>
      <c r="W4407" s="74" t="str">
        <f>IFERROR(VLOOKUP($O4407,'Customer List'!$A$1:$J$488,10,FALSE),"")</f>
        <v/>
      </c>
    </row>
    <row r="4408" spans="18:23">
      <c r="R4408" s="127">
        <f t="shared" si="213"/>
        <v>0</v>
      </c>
      <c r="T4408" s="128">
        <f t="shared" si="212"/>
        <v>0</v>
      </c>
      <c r="U4408" s="129" t="str">
        <f>IFERROR(IF(#REF!="S",VLOOKUP('Raw Data'!A4408,References!#REF!,2,FALSE),(VLOOKUP($S4408,References!$B$3:$C$7,2,FALSE))),"")</f>
        <v/>
      </c>
      <c r="W4408" s="74" t="str">
        <f>IFERROR(VLOOKUP($O4408,'Customer List'!$A$1:$J$488,10,FALSE),"")</f>
        <v/>
      </c>
    </row>
    <row r="4409" spans="18:23">
      <c r="R4409" s="127">
        <f t="shared" si="213"/>
        <v>0</v>
      </c>
      <c r="T4409" s="128">
        <f t="shared" si="212"/>
        <v>0</v>
      </c>
      <c r="U4409" s="129" t="str">
        <f>IFERROR(IF(#REF!="S",VLOOKUP('Raw Data'!A4409,References!#REF!,2,FALSE),(VLOOKUP($S4409,References!$B$3:$C$7,2,FALSE))),"")</f>
        <v/>
      </c>
      <c r="W4409" s="74" t="str">
        <f>IFERROR(VLOOKUP($O4409,'Customer List'!$A$1:$J$488,10,FALSE),"")</f>
        <v/>
      </c>
    </row>
    <row r="4410" spans="18:23">
      <c r="R4410" s="127">
        <f t="shared" si="213"/>
        <v>0</v>
      </c>
      <c r="T4410" s="128">
        <f t="shared" si="212"/>
        <v>0</v>
      </c>
      <c r="U4410" s="129" t="str">
        <f>IFERROR(IF(#REF!="S",VLOOKUP('Raw Data'!A4410,References!#REF!,2,FALSE),(VLOOKUP($S4410,References!$B$3:$C$7,2,FALSE))),"")</f>
        <v/>
      </c>
      <c r="W4410" s="74" t="str">
        <f>IFERROR(VLOOKUP($O4410,'Customer List'!$A$1:$J$488,10,FALSE),"")</f>
        <v/>
      </c>
    </row>
    <row r="4411" spans="18:23">
      <c r="R4411" s="127">
        <f t="shared" si="213"/>
        <v>0</v>
      </c>
      <c r="T4411" s="128">
        <f t="shared" si="212"/>
        <v>0</v>
      </c>
      <c r="U4411" s="129" t="str">
        <f>IFERROR(IF(#REF!="S",VLOOKUP('Raw Data'!A4411,References!#REF!,2,FALSE),(VLOOKUP($S4411,References!$B$3:$C$7,2,FALSE))),"")</f>
        <v/>
      </c>
      <c r="W4411" s="74" t="str">
        <f>IFERROR(VLOOKUP($O4411,'Customer List'!$A$1:$J$488,10,FALSE),"")</f>
        <v/>
      </c>
    </row>
    <row r="4412" spans="18:23">
      <c r="R4412" s="127">
        <f t="shared" si="213"/>
        <v>0</v>
      </c>
      <c r="T4412" s="128">
        <f t="shared" si="212"/>
        <v>0</v>
      </c>
      <c r="U4412" s="129" t="str">
        <f>IFERROR(IF(#REF!="S",VLOOKUP('Raw Data'!A4412,References!#REF!,2,FALSE),(VLOOKUP($S4412,References!$B$3:$C$7,2,FALSE))),"")</f>
        <v/>
      </c>
      <c r="W4412" s="74" t="str">
        <f>IFERROR(VLOOKUP($O4412,'Customer List'!$A$1:$J$488,10,FALSE),"")</f>
        <v/>
      </c>
    </row>
    <row r="4413" spans="18:23">
      <c r="R4413" s="127">
        <f t="shared" si="213"/>
        <v>0</v>
      </c>
      <c r="T4413" s="128">
        <f t="shared" si="212"/>
        <v>0</v>
      </c>
      <c r="U4413" s="129" t="str">
        <f>IFERROR(IF(#REF!="S",VLOOKUP('Raw Data'!A4413,References!#REF!,2,FALSE),(VLOOKUP($S4413,References!$B$3:$C$7,2,FALSE))),"")</f>
        <v/>
      </c>
      <c r="W4413" s="74" t="str">
        <f>IFERROR(VLOOKUP($O4413,'Customer List'!$A$1:$J$488,10,FALSE),"")</f>
        <v/>
      </c>
    </row>
    <row r="4414" spans="18:23">
      <c r="R4414" s="127">
        <f t="shared" si="213"/>
        <v>0</v>
      </c>
      <c r="T4414" s="128">
        <f t="shared" si="212"/>
        <v>0</v>
      </c>
      <c r="U4414" s="129" t="str">
        <f>IFERROR(IF(#REF!="S",VLOOKUP('Raw Data'!A4414,References!#REF!,2,FALSE),(VLOOKUP($S4414,References!$B$3:$C$7,2,FALSE))),"")</f>
        <v/>
      </c>
      <c r="W4414" s="74" t="str">
        <f>IFERROR(VLOOKUP($O4414,'Customer List'!$A$1:$J$488,10,FALSE),"")</f>
        <v/>
      </c>
    </row>
    <row r="4415" spans="18:23">
      <c r="R4415" s="127">
        <f t="shared" si="213"/>
        <v>0</v>
      </c>
      <c r="T4415" s="128">
        <f t="shared" si="212"/>
        <v>0</v>
      </c>
      <c r="U4415" s="129" t="str">
        <f>IFERROR(IF(#REF!="S",VLOOKUP('Raw Data'!A4415,References!#REF!,2,FALSE),(VLOOKUP($S4415,References!$B$3:$C$7,2,FALSE))),"")</f>
        <v/>
      </c>
      <c r="W4415" s="74" t="str">
        <f>IFERROR(VLOOKUP($O4415,'Customer List'!$A$1:$J$488,10,FALSE),"")</f>
        <v/>
      </c>
    </row>
    <row r="4416" spans="18:23">
      <c r="R4416" s="127">
        <f t="shared" si="213"/>
        <v>0</v>
      </c>
      <c r="T4416" s="128">
        <f t="shared" si="212"/>
        <v>0</v>
      </c>
      <c r="U4416" s="129" t="str">
        <f>IFERROR(IF(#REF!="S",VLOOKUP('Raw Data'!A4416,References!#REF!,2,FALSE),(VLOOKUP($S4416,References!$B$3:$C$7,2,FALSE))),"")</f>
        <v/>
      </c>
      <c r="W4416" s="74" t="str">
        <f>IFERROR(VLOOKUP($O4416,'Customer List'!$A$1:$J$488,10,FALSE),"")</f>
        <v/>
      </c>
    </row>
    <row r="4417" spans="18:23">
      <c r="R4417" s="127">
        <f t="shared" si="213"/>
        <v>0</v>
      </c>
      <c r="T4417" s="128">
        <f t="shared" si="212"/>
        <v>0</v>
      </c>
      <c r="U4417" s="129" t="str">
        <f>IFERROR(IF(#REF!="S",VLOOKUP('Raw Data'!A4417,References!#REF!,2,FALSE),(VLOOKUP($S4417,References!$B$3:$C$7,2,FALSE))),"")</f>
        <v/>
      </c>
      <c r="W4417" s="74" t="str">
        <f>IFERROR(VLOOKUP($O4417,'Customer List'!$A$1:$J$488,10,FALSE),"")</f>
        <v/>
      </c>
    </row>
    <row r="4418" spans="18:23">
      <c r="R4418" s="127">
        <f t="shared" si="213"/>
        <v>0</v>
      </c>
      <c r="T4418" s="128">
        <f t="shared" si="212"/>
        <v>0</v>
      </c>
      <c r="U4418" s="129" t="str">
        <f>IFERROR(IF(#REF!="S",VLOOKUP('Raw Data'!A4418,References!#REF!,2,FALSE),(VLOOKUP($S4418,References!$B$3:$C$7,2,FALSE))),"")</f>
        <v/>
      </c>
      <c r="W4418" s="74" t="str">
        <f>IFERROR(VLOOKUP($O4418,'Customer List'!$A$1:$J$488,10,FALSE),"")</f>
        <v/>
      </c>
    </row>
    <row r="4419" spans="18:23">
      <c r="R4419" s="127">
        <f t="shared" si="213"/>
        <v>0</v>
      </c>
      <c r="T4419" s="128">
        <f t="shared" si="212"/>
        <v>0</v>
      </c>
      <c r="U4419" s="129" t="str">
        <f>IFERROR(IF(#REF!="S",VLOOKUP('Raw Data'!A4419,References!#REF!,2,FALSE),(VLOOKUP($S4419,References!$B$3:$C$7,2,FALSE))),"")</f>
        <v/>
      </c>
      <c r="W4419" s="74" t="str">
        <f>IFERROR(VLOOKUP($O4419,'Customer List'!$A$1:$J$488,10,FALSE),"")</f>
        <v/>
      </c>
    </row>
    <row r="4420" spans="18:23">
      <c r="R4420" s="127">
        <f t="shared" si="213"/>
        <v>0</v>
      </c>
      <c r="T4420" s="128">
        <f t="shared" si="212"/>
        <v>0</v>
      </c>
      <c r="U4420" s="129" t="str">
        <f>IFERROR(IF(#REF!="S",VLOOKUP('Raw Data'!A4420,References!#REF!,2,FALSE),(VLOOKUP($S4420,References!$B$3:$C$7,2,FALSE))),"")</f>
        <v/>
      </c>
      <c r="W4420" s="74" t="str">
        <f>IFERROR(VLOOKUP($O4420,'Customer List'!$A$1:$J$488,10,FALSE),"")</f>
        <v/>
      </c>
    </row>
    <row r="4421" spans="18:23">
      <c r="R4421" s="127">
        <f t="shared" si="213"/>
        <v>0</v>
      </c>
      <c r="T4421" s="128">
        <f t="shared" si="212"/>
        <v>0</v>
      </c>
      <c r="U4421" s="129" t="str">
        <f>IFERROR(IF(#REF!="S",VLOOKUP('Raw Data'!A4421,References!#REF!,2,FALSE),(VLOOKUP($S4421,References!$B$3:$C$7,2,FALSE))),"")</f>
        <v/>
      </c>
      <c r="W4421" s="74" t="str">
        <f>IFERROR(VLOOKUP($O4421,'Customer List'!$A$1:$J$488,10,FALSE),"")</f>
        <v/>
      </c>
    </row>
    <row r="4422" spans="18:23">
      <c r="R4422" s="127">
        <f t="shared" si="213"/>
        <v>0</v>
      </c>
      <c r="T4422" s="128">
        <f t="shared" si="212"/>
        <v>0</v>
      </c>
      <c r="U4422" s="129" t="str">
        <f>IFERROR(IF(#REF!="S",VLOOKUP('Raw Data'!A4422,References!#REF!,2,FALSE),(VLOOKUP($S4422,References!$B$3:$C$7,2,FALSE))),"")</f>
        <v/>
      </c>
      <c r="W4422" s="74" t="str">
        <f>IFERROR(VLOOKUP($O4422,'Customer List'!$A$1:$J$488,10,FALSE),"")</f>
        <v/>
      </c>
    </row>
    <row r="4423" spans="18:23">
      <c r="R4423" s="127">
        <f t="shared" si="213"/>
        <v>0</v>
      </c>
      <c r="T4423" s="128">
        <f t="shared" si="212"/>
        <v>0</v>
      </c>
      <c r="U4423" s="129" t="str">
        <f>IFERROR(IF(#REF!="S",VLOOKUP('Raw Data'!A4423,References!#REF!,2,FALSE),(VLOOKUP($S4423,References!$B$3:$C$7,2,FALSE))),"")</f>
        <v/>
      </c>
      <c r="W4423" s="74" t="str">
        <f>IFERROR(VLOOKUP($O4423,'Customer List'!$A$1:$J$488,10,FALSE),"")</f>
        <v/>
      </c>
    </row>
    <row r="4424" spans="18:23">
      <c r="R4424" s="127">
        <f t="shared" si="213"/>
        <v>0</v>
      </c>
      <c r="T4424" s="128">
        <f t="shared" si="212"/>
        <v>0</v>
      </c>
      <c r="U4424" s="129" t="str">
        <f>IFERROR(IF(#REF!="S",VLOOKUP('Raw Data'!A4424,References!#REF!,2,FALSE),(VLOOKUP($S4424,References!$B$3:$C$7,2,FALSE))),"")</f>
        <v/>
      </c>
      <c r="W4424" s="74" t="str">
        <f>IFERROR(VLOOKUP($O4424,'Customer List'!$A$1:$J$488,10,FALSE),"")</f>
        <v/>
      </c>
    </row>
    <row r="4425" spans="18:23">
      <c r="R4425" s="127">
        <f t="shared" si="213"/>
        <v>0</v>
      </c>
      <c r="T4425" s="128">
        <f t="shared" si="212"/>
        <v>0</v>
      </c>
      <c r="U4425" s="129" t="str">
        <f>IFERROR(IF(#REF!="S",VLOOKUP('Raw Data'!A4425,References!#REF!,2,FALSE),(VLOOKUP($S4425,References!$B$3:$C$7,2,FALSE))),"")</f>
        <v/>
      </c>
      <c r="W4425" s="74" t="str">
        <f>IFERROR(VLOOKUP($O4425,'Customer List'!$A$1:$J$488,10,FALSE),"")</f>
        <v/>
      </c>
    </row>
    <row r="4426" spans="18:23">
      <c r="R4426" s="127">
        <f t="shared" si="213"/>
        <v>0</v>
      </c>
      <c r="T4426" s="128">
        <f t="shared" ref="T4426:T4489" si="214">IF(S4426="50 - Cleaning Fee",1,HOUR($R4426)+MINUTE(R4426)/60)</f>
        <v>0</v>
      </c>
      <c r="U4426" s="129" t="str">
        <f>IFERROR(IF(#REF!="S",VLOOKUP('Raw Data'!A4426,References!#REF!,2,FALSE),(VLOOKUP($S4426,References!$B$3:$C$7,2,FALSE))),"")</f>
        <v/>
      </c>
      <c r="W4426" s="74" t="str">
        <f>IFERROR(VLOOKUP($O4426,'Customer List'!$A$1:$J$488,10,FALSE),"")</f>
        <v/>
      </c>
    </row>
    <row r="4427" spans="18:23">
      <c r="R4427" s="127">
        <f t="shared" si="213"/>
        <v>0</v>
      </c>
      <c r="T4427" s="128">
        <f t="shared" si="214"/>
        <v>0</v>
      </c>
      <c r="U4427" s="129" t="str">
        <f>IFERROR(IF(#REF!="S",VLOOKUP('Raw Data'!A4427,References!#REF!,2,FALSE),(VLOOKUP($S4427,References!$B$3:$C$7,2,FALSE))),"")</f>
        <v/>
      </c>
      <c r="W4427" s="74" t="str">
        <f>IFERROR(VLOOKUP($O4427,'Customer List'!$A$1:$J$488,10,FALSE),"")</f>
        <v/>
      </c>
    </row>
    <row r="4428" spans="18:23">
      <c r="R4428" s="127">
        <f t="shared" si="213"/>
        <v>0</v>
      </c>
      <c r="T4428" s="128">
        <f t="shared" si="214"/>
        <v>0</v>
      </c>
      <c r="U4428" s="129" t="str">
        <f>IFERROR(IF(#REF!="S",VLOOKUP('Raw Data'!A4428,References!#REF!,2,FALSE),(VLOOKUP($S4428,References!$B$3:$C$7,2,FALSE))),"")</f>
        <v/>
      </c>
      <c r="W4428" s="74" t="str">
        <f>IFERROR(VLOOKUP($O4428,'Customer List'!$A$1:$J$488,10,FALSE),"")</f>
        <v/>
      </c>
    </row>
    <row r="4429" spans="18:23">
      <c r="R4429" s="127">
        <f t="shared" si="213"/>
        <v>0</v>
      </c>
      <c r="T4429" s="128">
        <f t="shared" si="214"/>
        <v>0</v>
      </c>
      <c r="U4429" s="129" t="str">
        <f>IFERROR(IF(#REF!="S",VLOOKUP('Raw Data'!A4429,References!#REF!,2,FALSE),(VLOOKUP($S4429,References!$B$3:$C$7,2,FALSE))),"")</f>
        <v/>
      </c>
      <c r="W4429" s="74" t="str">
        <f>IFERROR(VLOOKUP($O4429,'Customer List'!$A$1:$J$488,10,FALSE),"")</f>
        <v/>
      </c>
    </row>
    <row r="4430" spans="18:23">
      <c r="R4430" s="127">
        <f t="shared" si="213"/>
        <v>0</v>
      </c>
      <c r="T4430" s="128">
        <f t="shared" si="214"/>
        <v>0</v>
      </c>
      <c r="U4430" s="129" t="str">
        <f>IFERROR(IF(#REF!="S",VLOOKUP('Raw Data'!A4430,References!#REF!,2,FALSE),(VLOOKUP($S4430,References!$B$3:$C$7,2,FALSE))),"")</f>
        <v/>
      </c>
      <c r="W4430" s="74" t="str">
        <f>IFERROR(VLOOKUP($O4430,'Customer List'!$A$1:$J$488,10,FALSE),"")</f>
        <v/>
      </c>
    </row>
    <row r="4431" spans="18:23">
      <c r="R4431" s="127">
        <f t="shared" si="213"/>
        <v>0</v>
      </c>
      <c r="T4431" s="128">
        <f t="shared" si="214"/>
        <v>0</v>
      </c>
      <c r="U4431" s="129" t="str">
        <f>IFERROR(IF(#REF!="S",VLOOKUP('Raw Data'!A4431,References!#REF!,2,FALSE),(VLOOKUP($S4431,References!$B$3:$C$7,2,FALSE))),"")</f>
        <v/>
      </c>
      <c r="W4431" s="74" t="str">
        <f>IFERROR(VLOOKUP($O4431,'Customer List'!$A$1:$J$488,10,FALSE),"")</f>
        <v/>
      </c>
    </row>
    <row r="4432" spans="18:23">
      <c r="R4432" s="127">
        <f t="shared" si="213"/>
        <v>0</v>
      </c>
      <c r="T4432" s="128">
        <f t="shared" si="214"/>
        <v>0</v>
      </c>
      <c r="U4432" s="129" t="str">
        <f>IFERROR(IF(#REF!="S",VLOOKUP('Raw Data'!A4432,References!#REF!,2,FALSE),(VLOOKUP($S4432,References!$B$3:$C$7,2,FALSE))),"")</f>
        <v/>
      </c>
      <c r="W4432" s="74" t="str">
        <f>IFERROR(VLOOKUP($O4432,'Customer List'!$A$1:$J$488,10,FALSE),"")</f>
        <v/>
      </c>
    </row>
    <row r="4433" spans="18:23">
      <c r="R4433" s="127">
        <f t="shared" si="213"/>
        <v>0</v>
      </c>
      <c r="T4433" s="128">
        <f t="shared" si="214"/>
        <v>0</v>
      </c>
      <c r="U4433" s="129" t="str">
        <f>IFERROR(IF(#REF!="S",VLOOKUP('Raw Data'!A4433,References!#REF!,2,FALSE),(VLOOKUP($S4433,References!$B$3:$C$7,2,FALSE))),"")</f>
        <v/>
      </c>
      <c r="W4433" s="74" t="str">
        <f>IFERROR(VLOOKUP($O4433,'Customer List'!$A$1:$J$488,10,FALSE),"")</f>
        <v/>
      </c>
    </row>
    <row r="4434" spans="18:23">
      <c r="R4434" s="127">
        <f t="shared" si="213"/>
        <v>0</v>
      </c>
      <c r="T4434" s="128">
        <f t="shared" si="214"/>
        <v>0</v>
      </c>
      <c r="U4434" s="129" t="str">
        <f>IFERROR(IF(#REF!="S",VLOOKUP('Raw Data'!A4434,References!#REF!,2,FALSE),(VLOOKUP($S4434,References!$B$3:$C$7,2,FALSE))),"")</f>
        <v/>
      </c>
      <c r="W4434" s="74" t="str">
        <f>IFERROR(VLOOKUP($O4434,'Customer List'!$A$1:$J$488,10,FALSE),"")</f>
        <v/>
      </c>
    </row>
    <row r="4435" spans="18:23">
      <c r="R4435" s="127">
        <f t="shared" si="213"/>
        <v>0</v>
      </c>
      <c r="T4435" s="128">
        <f t="shared" si="214"/>
        <v>0</v>
      </c>
      <c r="U4435" s="129" t="str">
        <f>IFERROR(IF(#REF!="S",VLOOKUP('Raw Data'!A4435,References!#REF!,2,FALSE),(VLOOKUP($S4435,References!$B$3:$C$7,2,FALSE))),"")</f>
        <v/>
      </c>
      <c r="W4435" s="74" t="str">
        <f>IFERROR(VLOOKUP($O4435,'Customer List'!$A$1:$J$488,10,FALSE),"")</f>
        <v/>
      </c>
    </row>
    <row r="4436" spans="18:23">
      <c r="R4436" s="127">
        <f t="shared" si="213"/>
        <v>0</v>
      </c>
      <c r="T4436" s="128">
        <f t="shared" si="214"/>
        <v>0</v>
      </c>
      <c r="U4436" s="129" t="str">
        <f>IFERROR(IF(#REF!="S",VLOOKUP('Raw Data'!A4436,References!#REF!,2,FALSE),(VLOOKUP($S4436,References!$B$3:$C$7,2,FALSE))),"")</f>
        <v/>
      </c>
      <c r="W4436" s="74" t="str">
        <f>IFERROR(VLOOKUP($O4436,'Customer List'!$A$1:$J$488,10,FALSE),"")</f>
        <v/>
      </c>
    </row>
    <row r="4437" spans="18:23">
      <c r="R4437" s="127">
        <f t="shared" si="213"/>
        <v>0</v>
      </c>
      <c r="T4437" s="128">
        <f t="shared" si="214"/>
        <v>0</v>
      </c>
      <c r="U4437" s="129" t="str">
        <f>IFERROR(IF(#REF!="S",VLOOKUP('Raw Data'!A4437,References!#REF!,2,FALSE),(VLOOKUP($S4437,References!$B$3:$C$7,2,FALSE))),"")</f>
        <v/>
      </c>
      <c r="W4437" s="74" t="str">
        <f>IFERROR(VLOOKUP($O4437,'Customer List'!$A$1:$J$488,10,FALSE),"")</f>
        <v/>
      </c>
    </row>
    <row r="4438" spans="18:23">
      <c r="R4438" s="127">
        <f t="shared" si="213"/>
        <v>0</v>
      </c>
      <c r="T4438" s="128">
        <f t="shared" si="214"/>
        <v>0</v>
      </c>
      <c r="U4438" s="129" t="str">
        <f>IFERROR(IF(#REF!="S",VLOOKUP('Raw Data'!A4438,References!#REF!,2,FALSE),(VLOOKUP($S4438,References!$B$3:$C$7,2,FALSE))),"")</f>
        <v/>
      </c>
      <c r="W4438" s="74" t="str">
        <f>IFERROR(VLOOKUP($O4438,'Customer List'!$A$1:$J$488,10,FALSE),"")</f>
        <v/>
      </c>
    </row>
    <row r="4439" spans="18:23">
      <c r="R4439" s="127">
        <f t="shared" si="213"/>
        <v>0</v>
      </c>
      <c r="T4439" s="128">
        <f t="shared" si="214"/>
        <v>0</v>
      </c>
      <c r="U4439" s="129" t="str">
        <f>IFERROR(IF(#REF!="S",VLOOKUP('Raw Data'!A4439,References!#REF!,2,FALSE),(VLOOKUP($S4439,References!$B$3:$C$7,2,FALSE))),"")</f>
        <v/>
      </c>
      <c r="W4439" s="74" t="str">
        <f>IFERROR(VLOOKUP($O4439,'Customer List'!$A$1:$J$488,10,FALSE),"")</f>
        <v/>
      </c>
    </row>
    <row r="4440" spans="18:23">
      <c r="R4440" s="127">
        <f t="shared" si="213"/>
        <v>0</v>
      </c>
      <c r="T4440" s="128">
        <f t="shared" si="214"/>
        <v>0</v>
      </c>
      <c r="U4440" s="129" t="str">
        <f>IFERROR(IF(#REF!="S",VLOOKUP('Raw Data'!A4440,References!#REF!,2,FALSE),(VLOOKUP($S4440,References!$B$3:$C$7,2,FALSE))),"")</f>
        <v/>
      </c>
      <c r="W4440" s="74" t="str">
        <f>IFERROR(VLOOKUP($O4440,'Customer List'!$A$1:$J$488,10,FALSE),"")</f>
        <v/>
      </c>
    </row>
    <row r="4441" spans="18:23">
      <c r="R4441" s="127">
        <f t="shared" si="213"/>
        <v>0</v>
      </c>
      <c r="T4441" s="128">
        <f t="shared" si="214"/>
        <v>0</v>
      </c>
      <c r="U4441" s="129" t="str">
        <f>IFERROR(IF(#REF!="S",VLOOKUP('Raw Data'!A4441,References!#REF!,2,FALSE),(VLOOKUP($S4441,References!$B$3:$C$7,2,FALSE))),"")</f>
        <v/>
      </c>
      <c r="W4441" s="74" t="str">
        <f>IFERROR(VLOOKUP($O4441,'Customer List'!$A$1:$J$488,10,FALSE),"")</f>
        <v/>
      </c>
    </row>
    <row r="4442" spans="18:23">
      <c r="R4442" s="127">
        <f t="shared" si="213"/>
        <v>0</v>
      </c>
      <c r="T4442" s="128">
        <f t="shared" si="214"/>
        <v>0</v>
      </c>
      <c r="U4442" s="129" t="str">
        <f>IFERROR(IF(#REF!="S",VLOOKUP('Raw Data'!A4442,References!#REF!,2,FALSE),(VLOOKUP($S4442,References!$B$3:$C$7,2,FALSE))),"")</f>
        <v/>
      </c>
      <c r="W4442" s="74" t="str">
        <f>IFERROR(VLOOKUP($O4442,'Customer List'!$A$1:$J$488,10,FALSE),"")</f>
        <v/>
      </c>
    </row>
    <row r="4443" spans="18:23">
      <c r="R4443" s="127">
        <f t="shared" si="213"/>
        <v>0</v>
      </c>
      <c r="T4443" s="128">
        <f t="shared" si="214"/>
        <v>0</v>
      </c>
      <c r="U4443" s="129" t="str">
        <f>IFERROR(IF(#REF!="S",VLOOKUP('Raw Data'!A4443,References!#REF!,2,FALSE),(VLOOKUP($S4443,References!$B$3:$C$7,2,FALSE))),"")</f>
        <v/>
      </c>
      <c r="W4443" s="74" t="str">
        <f>IFERROR(VLOOKUP($O4443,'Customer List'!$A$1:$J$488,10,FALSE),"")</f>
        <v/>
      </c>
    </row>
    <row r="4444" spans="18:23">
      <c r="R4444" s="127">
        <f t="shared" si="213"/>
        <v>0</v>
      </c>
      <c r="T4444" s="128">
        <f t="shared" si="214"/>
        <v>0</v>
      </c>
      <c r="U4444" s="129" t="str">
        <f>IFERROR(IF(#REF!="S",VLOOKUP('Raw Data'!A4444,References!#REF!,2,FALSE),(VLOOKUP($S4444,References!$B$3:$C$7,2,FALSE))),"")</f>
        <v/>
      </c>
      <c r="W4444" s="74" t="str">
        <f>IFERROR(VLOOKUP($O4444,'Customer List'!$A$1:$J$488,10,FALSE),"")</f>
        <v/>
      </c>
    </row>
    <row r="4445" spans="18:23">
      <c r="R4445" s="127">
        <f t="shared" si="213"/>
        <v>0</v>
      </c>
      <c r="T4445" s="128">
        <f t="shared" si="214"/>
        <v>0</v>
      </c>
      <c r="U4445" s="129" t="str">
        <f>IFERROR(IF(#REF!="S",VLOOKUP('Raw Data'!A4445,References!#REF!,2,FALSE),(VLOOKUP($S4445,References!$B$3:$C$7,2,FALSE))),"")</f>
        <v/>
      </c>
      <c r="W4445" s="74" t="str">
        <f>IFERROR(VLOOKUP($O4445,'Customer List'!$A$1:$J$488,10,FALSE),"")</f>
        <v/>
      </c>
    </row>
    <row r="4446" spans="18:23">
      <c r="R4446" s="127">
        <f t="shared" si="213"/>
        <v>0</v>
      </c>
      <c r="T4446" s="128">
        <f t="shared" si="214"/>
        <v>0</v>
      </c>
      <c r="U4446" s="129" t="str">
        <f>IFERROR(IF(#REF!="S",VLOOKUP('Raw Data'!A4446,References!#REF!,2,FALSE),(VLOOKUP($S4446,References!$B$3:$C$7,2,FALSE))),"")</f>
        <v/>
      </c>
      <c r="W4446" s="74" t="str">
        <f>IFERROR(VLOOKUP($O4446,'Customer List'!$A$1:$J$488,10,FALSE),"")</f>
        <v/>
      </c>
    </row>
    <row r="4447" spans="18:23">
      <c r="R4447" s="127">
        <f t="shared" si="213"/>
        <v>0</v>
      </c>
      <c r="T4447" s="128">
        <f t="shared" si="214"/>
        <v>0</v>
      </c>
      <c r="U4447" s="129" t="str">
        <f>IFERROR(IF(#REF!="S",VLOOKUP('Raw Data'!A4447,References!#REF!,2,FALSE),(VLOOKUP($S4447,References!$B$3:$C$7,2,FALSE))),"")</f>
        <v/>
      </c>
      <c r="W4447" s="74" t="str">
        <f>IFERROR(VLOOKUP($O4447,'Customer List'!$A$1:$J$488,10,FALSE),"")</f>
        <v/>
      </c>
    </row>
    <row r="4448" spans="18:23">
      <c r="R4448" s="127">
        <f t="shared" si="213"/>
        <v>0</v>
      </c>
      <c r="T4448" s="128">
        <f t="shared" si="214"/>
        <v>0</v>
      </c>
      <c r="U4448" s="129" t="str">
        <f>IFERROR(IF(#REF!="S",VLOOKUP('Raw Data'!A4448,References!#REF!,2,FALSE),(VLOOKUP($S4448,References!$B$3:$C$7,2,FALSE))),"")</f>
        <v/>
      </c>
      <c r="W4448" s="74" t="str">
        <f>IFERROR(VLOOKUP($O4448,'Customer List'!$A$1:$J$488,10,FALSE),"")</f>
        <v/>
      </c>
    </row>
    <row r="4449" spans="18:23">
      <c r="R4449" s="127">
        <f t="shared" si="213"/>
        <v>0</v>
      </c>
      <c r="T4449" s="128">
        <f t="shared" si="214"/>
        <v>0</v>
      </c>
      <c r="U4449" s="129" t="str">
        <f>IFERROR(IF(#REF!="S",VLOOKUP('Raw Data'!A4449,References!#REF!,2,FALSE),(VLOOKUP($S4449,References!$B$3:$C$7,2,FALSE))),"")</f>
        <v/>
      </c>
      <c r="W4449" s="74" t="str">
        <f>IFERROR(VLOOKUP($O4449,'Customer List'!$A$1:$J$488,10,FALSE),"")</f>
        <v/>
      </c>
    </row>
    <row r="4450" spans="18:23">
      <c r="R4450" s="127">
        <f t="shared" ref="R4450:R4513" si="215">L4450-K4450</f>
        <v>0</v>
      </c>
      <c r="T4450" s="128">
        <f t="shared" si="214"/>
        <v>0</v>
      </c>
      <c r="U4450" s="129" t="str">
        <f>IFERROR(IF(#REF!="S",VLOOKUP('Raw Data'!A4450,References!#REF!,2,FALSE),(VLOOKUP($S4450,References!$B$3:$C$7,2,FALSE))),"")</f>
        <v/>
      </c>
      <c r="W4450" s="74" t="str">
        <f>IFERROR(VLOOKUP($O4450,'Customer List'!$A$1:$J$488,10,FALSE),"")</f>
        <v/>
      </c>
    </row>
    <row r="4451" spans="18:23">
      <c r="R4451" s="127">
        <f t="shared" si="215"/>
        <v>0</v>
      </c>
      <c r="T4451" s="128">
        <f t="shared" si="214"/>
        <v>0</v>
      </c>
      <c r="U4451" s="129" t="str">
        <f>IFERROR(IF(#REF!="S",VLOOKUP('Raw Data'!A4451,References!#REF!,2,FALSE),(VLOOKUP($S4451,References!$B$3:$C$7,2,FALSE))),"")</f>
        <v/>
      </c>
      <c r="W4451" s="74" t="str">
        <f>IFERROR(VLOOKUP($O4451,'Customer List'!$A$1:$J$488,10,FALSE),"")</f>
        <v/>
      </c>
    </row>
    <row r="4452" spans="18:23">
      <c r="R4452" s="127">
        <f t="shared" si="215"/>
        <v>0</v>
      </c>
      <c r="T4452" s="128">
        <f t="shared" si="214"/>
        <v>0</v>
      </c>
      <c r="U4452" s="129" t="str">
        <f>IFERROR(IF(#REF!="S",VLOOKUP('Raw Data'!A4452,References!#REF!,2,FALSE),(VLOOKUP($S4452,References!$B$3:$C$7,2,FALSE))),"")</f>
        <v/>
      </c>
      <c r="W4452" s="74" t="str">
        <f>IFERROR(VLOOKUP($O4452,'Customer List'!$A$1:$J$488,10,FALSE),"")</f>
        <v/>
      </c>
    </row>
    <row r="4453" spans="18:23">
      <c r="R4453" s="127">
        <f t="shared" si="215"/>
        <v>0</v>
      </c>
      <c r="T4453" s="128">
        <f t="shared" si="214"/>
        <v>0</v>
      </c>
      <c r="U4453" s="129" t="str">
        <f>IFERROR(IF(#REF!="S",VLOOKUP('Raw Data'!A4453,References!#REF!,2,FALSE),(VLOOKUP($S4453,References!$B$3:$C$7,2,FALSE))),"")</f>
        <v/>
      </c>
      <c r="W4453" s="74" t="str">
        <f>IFERROR(VLOOKUP($O4453,'Customer List'!$A$1:$J$488,10,FALSE),"")</f>
        <v/>
      </c>
    </row>
    <row r="4454" spans="18:23">
      <c r="R4454" s="127">
        <f t="shared" si="215"/>
        <v>0</v>
      </c>
      <c r="T4454" s="128">
        <f t="shared" si="214"/>
        <v>0</v>
      </c>
      <c r="U4454" s="129" t="str">
        <f>IFERROR(IF(#REF!="S",VLOOKUP('Raw Data'!A4454,References!#REF!,2,FALSE),(VLOOKUP($S4454,References!$B$3:$C$7,2,FALSE))),"")</f>
        <v/>
      </c>
      <c r="W4454" s="74" t="str">
        <f>IFERROR(VLOOKUP($O4454,'Customer List'!$A$1:$J$488,10,FALSE),"")</f>
        <v/>
      </c>
    </row>
    <row r="4455" spans="18:23">
      <c r="R4455" s="127">
        <f t="shared" si="215"/>
        <v>0</v>
      </c>
      <c r="T4455" s="128">
        <f t="shared" si="214"/>
        <v>0</v>
      </c>
      <c r="U4455" s="129" t="str">
        <f>IFERROR(IF(#REF!="S",VLOOKUP('Raw Data'!A4455,References!#REF!,2,FALSE),(VLOOKUP($S4455,References!$B$3:$C$7,2,FALSE))),"")</f>
        <v/>
      </c>
      <c r="W4455" s="74" t="str">
        <f>IFERROR(VLOOKUP($O4455,'Customer List'!$A$1:$J$488,10,FALSE),"")</f>
        <v/>
      </c>
    </row>
    <row r="4456" spans="18:23">
      <c r="R4456" s="127">
        <f t="shared" si="215"/>
        <v>0</v>
      </c>
      <c r="T4456" s="128">
        <f t="shared" si="214"/>
        <v>0</v>
      </c>
      <c r="U4456" s="129" t="str">
        <f>IFERROR(IF(#REF!="S",VLOOKUP('Raw Data'!A4456,References!#REF!,2,FALSE),(VLOOKUP($S4456,References!$B$3:$C$7,2,FALSE))),"")</f>
        <v/>
      </c>
      <c r="W4456" s="74" t="str">
        <f>IFERROR(VLOOKUP($O4456,'Customer List'!$A$1:$J$488,10,FALSE),"")</f>
        <v/>
      </c>
    </row>
    <row r="4457" spans="18:23">
      <c r="R4457" s="127">
        <f t="shared" si="215"/>
        <v>0</v>
      </c>
      <c r="T4457" s="128">
        <f t="shared" si="214"/>
        <v>0</v>
      </c>
      <c r="U4457" s="129" t="str">
        <f>IFERROR(IF(#REF!="S",VLOOKUP('Raw Data'!A4457,References!#REF!,2,FALSE),(VLOOKUP($S4457,References!$B$3:$C$7,2,FALSE))),"")</f>
        <v/>
      </c>
      <c r="W4457" s="74" t="str">
        <f>IFERROR(VLOOKUP($O4457,'Customer List'!$A$1:$J$488,10,FALSE),"")</f>
        <v/>
      </c>
    </row>
    <row r="4458" spans="18:23">
      <c r="R4458" s="127">
        <f t="shared" si="215"/>
        <v>0</v>
      </c>
      <c r="T4458" s="128">
        <f t="shared" si="214"/>
        <v>0</v>
      </c>
      <c r="U4458" s="129" t="str">
        <f>IFERROR(IF(#REF!="S",VLOOKUP('Raw Data'!A4458,References!#REF!,2,FALSE),(VLOOKUP($S4458,References!$B$3:$C$7,2,FALSE))),"")</f>
        <v/>
      </c>
      <c r="W4458" s="74" t="str">
        <f>IFERROR(VLOOKUP($O4458,'Customer List'!$A$1:$J$488,10,FALSE),"")</f>
        <v/>
      </c>
    </row>
    <row r="4459" spans="18:23">
      <c r="R4459" s="127">
        <f t="shared" si="215"/>
        <v>0</v>
      </c>
      <c r="T4459" s="128">
        <f t="shared" si="214"/>
        <v>0</v>
      </c>
      <c r="U4459" s="129" t="str">
        <f>IFERROR(IF(#REF!="S",VLOOKUP('Raw Data'!A4459,References!#REF!,2,FALSE),(VLOOKUP($S4459,References!$B$3:$C$7,2,FALSE))),"")</f>
        <v/>
      </c>
      <c r="W4459" s="74" t="str">
        <f>IFERROR(VLOOKUP($O4459,'Customer List'!$A$1:$J$488,10,FALSE),"")</f>
        <v/>
      </c>
    </row>
    <row r="4460" spans="18:23">
      <c r="R4460" s="127">
        <f t="shared" si="215"/>
        <v>0</v>
      </c>
      <c r="T4460" s="128">
        <f t="shared" si="214"/>
        <v>0</v>
      </c>
      <c r="U4460" s="129" t="str">
        <f>IFERROR(IF(#REF!="S",VLOOKUP('Raw Data'!A4460,References!#REF!,2,FALSE),(VLOOKUP($S4460,References!$B$3:$C$7,2,FALSE))),"")</f>
        <v/>
      </c>
      <c r="W4460" s="74" t="str">
        <f>IFERROR(VLOOKUP($O4460,'Customer List'!$A$1:$J$488,10,FALSE),"")</f>
        <v/>
      </c>
    </row>
    <row r="4461" spans="18:23">
      <c r="R4461" s="127">
        <f t="shared" si="215"/>
        <v>0</v>
      </c>
      <c r="T4461" s="128">
        <f t="shared" si="214"/>
        <v>0</v>
      </c>
      <c r="U4461" s="129" t="str">
        <f>IFERROR(IF(#REF!="S",VLOOKUP('Raw Data'!A4461,References!#REF!,2,FALSE),(VLOOKUP($S4461,References!$B$3:$C$7,2,FALSE))),"")</f>
        <v/>
      </c>
      <c r="W4461" s="74" t="str">
        <f>IFERROR(VLOOKUP($O4461,'Customer List'!$A$1:$J$488,10,FALSE),"")</f>
        <v/>
      </c>
    </row>
    <row r="4462" spans="18:23">
      <c r="R4462" s="127">
        <f t="shared" si="215"/>
        <v>0</v>
      </c>
      <c r="T4462" s="128">
        <f t="shared" si="214"/>
        <v>0</v>
      </c>
      <c r="U4462" s="129" t="str">
        <f>IFERROR(IF(#REF!="S",VLOOKUP('Raw Data'!A4462,References!#REF!,2,FALSE),(VLOOKUP($S4462,References!$B$3:$C$7,2,FALSE))),"")</f>
        <v/>
      </c>
      <c r="W4462" s="74" t="str">
        <f>IFERROR(VLOOKUP($O4462,'Customer List'!$A$1:$J$488,10,FALSE),"")</f>
        <v/>
      </c>
    </row>
    <row r="4463" spans="18:23">
      <c r="R4463" s="127">
        <f t="shared" si="215"/>
        <v>0</v>
      </c>
      <c r="T4463" s="128">
        <f t="shared" si="214"/>
        <v>0</v>
      </c>
      <c r="U4463" s="129" t="str">
        <f>IFERROR(IF(#REF!="S",VLOOKUP('Raw Data'!A4463,References!#REF!,2,FALSE),(VLOOKUP($S4463,References!$B$3:$C$7,2,FALSE))),"")</f>
        <v/>
      </c>
      <c r="W4463" s="74" t="str">
        <f>IFERROR(VLOOKUP($O4463,'Customer List'!$A$1:$J$488,10,FALSE),"")</f>
        <v/>
      </c>
    </row>
    <row r="4464" spans="18:23">
      <c r="R4464" s="127">
        <f t="shared" si="215"/>
        <v>0</v>
      </c>
      <c r="T4464" s="128">
        <f t="shared" si="214"/>
        <v>0</v>
      </c>
      <c r="U4464" s="129" t="str">
        <f>IFERROR(IF(#REF!="S",VLOOKUP('Raw Data'!A4464,References!#REF!,2,FALSE),(VLOOKUP($S4464,References!$B$3:$C$7,2,FALSE))),"")</f>
        <v/>
      </c>
      <c r="W4464" s="74" t="str">
        <f>IFERROR(VLOOKUP($O4464,'Customer List'!$A$1:$J$488,10,FALSE),"")</f>
        <v/>
      </c>
    </row>
    <row r="4465" spans="18:23">
      <c r="R4465" s="127">
        <f t="shared" si="215"/>
        <v>0</v>
      </c>
      <c r="T4465" s="128">
        <f t="shared" si="214"/>
        <v>0</v>
      </c>
      <c r="U4465" s="129" t="str">
        <f>IFERROR(IF(#REF!="S",VLOOKUP('Raw Data'!A4465,References!#REF!,2,FALSE),(VLOOKUP($S4465,References!$B$3:$C$7,2,FALSE))),"")</f>
        <v/>
      </c>
      <c r="W4465" s="74" t="str">
        <f>IFERROR(VLOOKUP($O4465,'Customer List'!$A$1:$J$488,10,FALSE),"")</f>
        <v/>
      </c>
    </row>
    <row r="4466" spans="18:23">
      <c r="R4466" s="127">
        <f t="shared" si="215"/>
        <v>0</v>
      </c>
      <c r="T4466" s="128">
        <f t="shared" si="214"/>
        <v>0</v>
      </c>
      <c r="U4466" s="129" t="str">
        <f>IFERROR(IF(#REF!="S",VLOOKUP('Raw Data'!A4466,References!#REF!,2,FALSE),(VLOOKUP($S4466,References!$B$3:$C$7,2,FALSE))),"")</f>
        <v/>
      </c>
      <c r="W4466" s="74" t="str">
        <f>IFERROR(VLOOKUP($O4466,'Customer List'!$A$1:$J$488,10,FALSE),"")</f>
        <v/>
      </c>
    </row>
    <row r="4467" spans="18:23">
      <c r="R4467" s="127">
        <f t="shared" si="215"/>
        <v>0</v>
      </c>
      <c r="T4467" s="128">
        <f t="shared" si="214"/>
        <v>0</v>
      </c>
      <c r="U4467" s="129" t="str">
        <f>IFERROR(IF(#REF!="S",VLOOKUP('Raw Data'!A4467,References!#REF!,2,FALSE),(VLOOKUP($S4467,References!$B$3:$C$7,2,FALSE))),"")</f>
        <v/>
      </c>
      <c r="W4467" s="74" t="str">
        <f>IFERROR(VLOOKUP($O4467,'Customer List'!$A$1:$J$488,10,FALSE),"")</f>
        <v/>
      </c>
    </row>
    <row r="4468" spans="18:23">
      <c r="R4468" s="127">
        <f t="shared" si="215"/>
        <v>0</v>
      </c>
      <c r="T4468" s="128">
        <f t="shared" si="214"/>
        <v>0</v>
      </c>
      <c r="U4468" s="129" t="str">
        <f>IFERROR(IF(#REF!="S",VLOOKUP('Raw Data'!A4468,References!#REF!,2,FALSE),(VLOOKUP($S4468,References!$B$3:$C$7,2,FALSE))),"")</f>
        <v/>
      </c>
      <c r="W4468" s="74" t="str">
        <f>IFERROR(VLOOKUP($O4468,'Customer List'!$A$1:$J$488,10,FALSE),"")</f>
        <v/>
      </c>
    </row>
    <row r="4469" spans="18:23">
      <c r="R4469" s="127">
        <f t="shared" si="215"/>
        <v>0</v>
      </c>
      <c r="T4469" s="128">
        <f t="shared" si="214"/>
        <v>0</v>
      </c>
      <c r="U4469" s="129" t="str">
        <f>IFERROR(IF(#REF!="S",VLOOKUP('Raw Data'!A4469,References!#REF!,2,FALSE),(VLOOKUP($S4469,References!$B$3:$C$7,2,FALSE))),"")</f>
        <v/>
      </c>
      <c r="W4469" s="74" t="str">
        <f>IFERROR(VLOOKUP($O4469,'Customer List'!$A$1:$J$488,10,FALSE),"")</f>
        <v/>
      </c>
    </row>
    <row r="4470" spans="18:23">
      <c r="R4470" s="127">
        <f t="shared" si="215"/>
        <v>0</v>
      </c>
      <c r="T4470" s="128">
        <f t="shared" si="214"/>
        <v>0</v>
      </c>
      <c r="U4470" s="129" t="str">
        <f>IFERROR(IF(#REF!="S",VLOOKUP('Raw Data'!A4470,References!#REF!,2,FALSE),(VLOOKUP($S4470,References!$B$3:$C$7,2,FALSE))),"")</f>
        <v/>
      </c>
      <c r="W4470" s="74" t="str">
        <f>IFERROR(VLOOKUP($O4470,'Customer List'!$A$1:$J$488,10,FALSE),"")</f>
        <v/>
      </c>
    </row>
    <row r="4471" spans="18:23">
      <c r="R4471" s="127">
        <f t="shared" si="215"/>
        <v>0</v>
      </c>
      <c r="T4471" s="128">
        <f t="shared" si="214"/>
        <v>0</v>
      </c>
      <c r="U4471" s="129" t="str">
        <f>IFERROR(IF(#REF!="S",VLOOKUP('Raw Data'!A4471,References!#REF!,2,FALSE),(VLOOKUP($S4471,References!$B$3:$C$7,2,FALSE))),"")</f>
        <v/>
      </c>
      <c r="W4471" s="74" t="str">
        <f>IFERROR(VLOOKUP($O4471,'Customer List'!$A$1:$J$488,10,FALSE),"")</f>
        <v/>
      </c>
    </row>
    <row r="4472" spans="18:23">
      <c r="R4472" s="127">
        <f t="shared" si="215"/>
        <v>0</v>
      </c>
      <c r="T4472" s="128">
        <f t="shared" si="214"/>
        <v>0</v>
      </c>
      <c r="U4472" s="129" t="str">
        <f>IFERROR(IF(#REF!="S",VLOOKUP('Raw Data'!A4472,References!#REF!,2,FALSE),(VLOOKUP($S4472,References!$B$3:$C$7,2,FALSE))),"")</f>
        <v/>
      </c>
      <c r="W4472" s="74" t="str">
        <f>IFERROR(VLOOKUP($O4472,'Customer List'!$A$1:$J$488,10,FALSE),"")</f>
        <v/>
      </c>
    </row>
    <row r="4473" spans="18:23">
      <c r="R4473" s="127">
        <f t="shared" si="215"/>
        <v>0</v>
      </c>
      <c r="T4473" s="128">
        <f t="shared" si="214"/>
        <v>0</v>
      </c>
      <c r="U4473" s="129" t="str">
        <f>IFERROR(IF(#REF!="S",VLOOKUP('Raw Data'!A4473,References!#REF!,2,FALSE),(VLOOKUP($S4473,References!$B$3:$C$7,2,FALSE))),"")</f>
        <v/>
      </c>
      <c r="W4473" s="74" t="str">
        <f>IFERROR(VLOOKUP($O4473,'Customer List'!$A$1:$J$488,10,FALSE),"")</f>
        <v/>
      </c>
    </row>
    <row r="4474" spans="18:23">
      <c r="R4474" s="127">
        <f t="shared" si="215"/>
        <v>0</v>
      </c>
      <c r="T4474" s="128">
        <f t="shared" si="214"/>
        <v>0</v>
      </c>
      <c r="U4474" s="129" t="str">
        <f>IFERROR(IF(#REF!="S",VLOOKUP('Raw Data'!A4474,References!#REF!,2,FALSE),(VLOOKUP($S4474,References!$B$3:$C$7,2,FALSE))),"")</f>
        <v/>
      </c>
      <c r="W4474" s="74" t="str">
        <f>IFERROR(VLOOKUP($O4474,'Customer List'!$A$1:$J$488,10,FALSE),"")</f>
        <v/>
      </c>
    </row>
    <row r="4475" spans="18:23">
      <c r="R4475" s="127">
        <f t="shared" si="215"/>
        <v>0</v>
      </c>
      <c r="T4475" s="128">
        <f t="shared" si="214"/>
        <v>0</v>
      </c>
      <c r="U4475" s="129" t="str">
        <f>IFERROR(IF(#REF!="S",VLOOKUP('Raw Data'!A4475,References!#REF!,2,FALSE),(VLOOKUP($S4475,References!$B$3:$C$7,2,FALSE))),"")</f>
        <v/>
      </c>
      <c r="W4475" s="74" t="str">
        <f>IFERROR(VLOOKUP($O4475,'Customer List'!$A$1:$J$488,10,FALSE),"")</f>
        <v/>
      </c>
    </row>
    <row r="4476" spans="18:23">
      <c r="R4476" s="127">
        <f t="shared" si="215"/>
        <v>0</v>
      </c>
      <c r="T4476" s="128">
        <f t="shared" si="214"/>
        <v>0</v>
      </c>
      <c r="U4476" s="129" t="str">
        <f>IFERROR(IF(#REF!="S",VLOOKUP('Raw Data'!A4476,References!#REF!,2,FALSE),(VLOOKUP($S4476,References!$B$3:$C$7,2,FALSE))),"")</f>
        <v/>
      </c>
      <c r="W4476" s="74" t="str">
        <f>IFERROR(VLOOKUP($O4476,'Customer List'!$A$1:$J$488,10,FALSE),"")</f>
        <v/>
      </c>
    </row>
    <row r="4477" spans="18:23">
      <c r="R4477" s="127">
        <f t="shared" si="215"/>
        <v>0</v>
      </c>
      <c r="T4477" s="128">
        <f t="shared" si="214"/>
        <v>0</v>
      </c>
      <c r="U4477" s="129" t="str">
        <f>IFERROR(IF(#REF!="S",VLOOKUP('Raw Data'!A4477,References!#REF!,2,FALSE),(VLOOKUP($S4477,References!$B$3:$C$7,2,FALSE))),"")</f>
        <v/>
      </c>
      <c r="W4477" s="74" t="str">
        <f>IFERROR(VLOOKUP($O4477,'Customer List'!$A$1:$J$488,10,FALSE),"")</f>
        <v/>
      </c>
    </row>
    <row r="4478" spans="18:23">
      <c r="R4478" s="127">
        <f t="shared" si="215"/>
        <v>0</v>
      </c>
      <c r="T4478" s="128">
        <f t="shared" si="214"/>
        <v>0</v>
      </c>
      <c r="U4478" s="129" t="str">
        <f>IFERROR(IF(#REF!="S",VLOOKUP('Raw Data'!A4478,References!#REF!,2,FALSE),(VLOOKUP($S4478,References!$B$3:$C$7,2,FALSE))),"")</f>
        <v/>
      </c>
      <c r="W4478" s="74" t="str">
        <f>IFERROR(VLOOKUP($O4478,'Customer List'!$A$1:$J$488,10,FALSE),"")</f>
        <v/>
      </c>
    </row>
    <row r="4479" spans="18:23">
      <c r="R4479" s="127">
        <f t="shared" si="215"/>
        <v>0</v>
      </c>
      <c r="T4479" s="128">
        <f t="shared" si="214"/>
        <v>0</v>
      </c>
      <c r="U4479" s="129" t="str">
        <f>IFERROR(IF(#REF!="S",VLOOKUP('Raw Data'!A4479,References!#REF!,2,FALSE),(VLOOKUP($S4479,References!$B$3:$C$7,2,FALSE))),"")</f>
        <v/>
      </c>
      <c r="W4479" s="74" t="str">
        <f>IFERROR(VLOOKUP($O4479,'Customer List'!$A$1:$J$488,10,FALSE),"")</f>
        <v/>
      </c>
    </row>
    <row r="4480" spans="18:23">
      <c r="R4480" s="127">
        <f t="shared" si="215"/>
        <v>0</v>
      </c>
      <c r="T4480" s="128">
        <f t="shared" si="214"/>
        <v>0</v>
      </c>
      <c r="U4480" s="129" t="str">
        <f>IFERROR(IF(#REF!="S",VLOOKUP('Raw Data'!A4480,References!#REF!,2,FALSE),(VLOOKUP($S4480,References!$B$3:$C$7,2,FALSE))),"")</f>
        <v/>
      </c>
      <c r="W4480" s="74" t="str">
        <f>IFERROR(VLOOKUP($O4480,'Customer List'!$A$1:$J$488,10,FALSE),"")</f>
        <v/>
      </c>
    </row>
    <row r="4481" spans="18:23">
      <c r="R4481" s="127">
        <f t="shared" si="215"/>
        <v>0</v>
      </c>
      <c r="T4481" s="128">
        <f t="shared" si="214"/>
        <v>0</v>
      </c>
      <c r="U4481" s="129" t="str">
        <f>IFERROR(IF(#REF!="S",VLOOKUP('Raw Data'!A4481,References!#REF!,2,FALSE),(VLOOKUP($S4481,References!$B$3:$C$7,2,FALSE))),"")</f>
        <v/>
      </c>
      <c r="W4481" s="74" t="str">
        <f>IFERROR(VLOOKUP($O4481,'Customer List'!$A$1:$J$488,10,FALSE),"")</f>
        <v/>
      </c>
    </row>
    <row r="4482" spans="18:23">
      <c r="R4482" s="127">
        <f t="shared" si="215"/>
        <v>0</v>
      </c>
      <c r="T4482" s="128">
        <f t="shared" si="214"/>
        <v>0</v>
      </c>
      <c r="U4482" s="129" t="str">
        <f>IFERROR(IF(#REF!="S",VLOOKUP('Raw Data'!A4482,References!#REF!,2,FALSE),(VLOOKUP($S4482,References!$B$3:$C$7,2,FALSE))),"")</f>
        <v/>
      </c>
      <c r="W4482" s="74" t="str">
        <f>IFERROR(VLOOKUP($O4482,'Customer List'!$A$1:$J$488,10,FALSE),"")</f>
        <v/>
      </c>
    </row>
    <row r="4483" spans="18:23">
      <c r="R4483" s="127">
        <f t="shared" si="215"/>
        <v>0</v>
      </c>
      <c r="T4483" s="128">
        <f t="shared" si="214"/>
        <v>0</v>
      </c>
      <c r="U4483" s="129" t="str">
        <f>IFERROR(IF(#REF!="S",VLOOKUP('Raw Data'!A4483,References!#REF!,2,FALSE),(VLOOKUP($S4483,References!$B$3:$C$7,2,FALSE))),"")</f>
        <v/>
      </c>
      <c r="W4483" s="74" t="str">
        <f>IFERROR(VLOOKUP($O4483,'Customer List'!$A$1:$J$488,10,FALSE),"")</f>
        <v/>
      </c>
    </row>
    <row r="4484" spans="18:23">
      <c r="R4484" s="127">
        <f t="shared" si="215"/>
        <v>0</v>
      </c>
      <c r="T4484" s="128">
        <f t="shared" si="214"/>
        <v>0</v>
      </c>
      <c r="U4484" s="129" t="str">
        <f>IFERROR(IF(#REF!="S",VLOOKUP('Raw Data'!A4484,References!#REF!,2,FALSE),(VLOOKUP($S4484,References!$B$3:$C$7,2,FALSE))),"")</f>
        <v/>
      </c>
      <c r="W4484" s="74" t="str">
        <f>IFERROR(VLOOKUP($O4484,'Customer List'!$A$1:$J$488,10,FALSE),"")</f>
        <v/>
      </c>
    </row>
    <row r="4485" spans="18:23">
      <c r="R4485" s="127">
        <f t="shared" si="215"/>
        <v>0</v>
      </c>
      <c r="T4485" s="128">
        <f t="shared" si="214"/>
        <v>0</v>
      </c>
      <c r="U4485" s="129" t="str">
        <f>IFERROR(IF(#REF!="S",VLOOKUP('Raw Data'!A4485,References!#REF!,2,FALSE),(VLOOKUP($S4485,References!$B$3:$C$7,2,FALSE))),"")</f>
        <v/>
      </c>
      <c r="W4485" s="74" t="str">
        <f>IFERROR(VLOOKUP($O4485,'Customer List'!$A$1:$J$488,10,FALSE),"")</f>
        <v/>
      </c>
    </row>
    <row r="4486" spans="18:23">
      <c r="R4486" s="127">
        <f t="shared" si="215"/>
        <v>0</v>
      </c>
      <c r="T4486" s="128">
        <f t="shared" si="214"/>
        <v>0</v>
      </c>
      <c r="U4486" s="129" t="str">
        <f>IFERROR(IF(#REF!="S",VLOOKUP('Raw Data'!A4486,References!#REF!,2,FALSE),(VLOOKUP($S4486,References!$B$3:$C$7,2,FALSE))),"")</f>
        <v/>
      </c>
      <c r="W4486" s="74" t="str">
        <f>IFERROR(VLOOKUP($O4486,'Customer List'!$A$1:$J$488,10,FALSE),"")</f>
        <v/>
      </c>
    </row>
    <row r="4487" spans="18:23">
      <c r="R4487" s="127">
        <f t="shared" si="215"/>
        <v>0</v>
      </c>
      <c r="T4487" s="128">
        <f t="shared" si="214"/>
        <v>0</v>
      </c>
      <c r="U4487" s="129" t="str">
        <f>IFERROR(IF(#REF!="S",VLOOKUP('Raw Data'!A4487,References!#REF!,2,FALSE),(VLOOKUP($S4487,References!$B$3:$C$7,2,FALSE))),"")</f>
        <v/>
      </c>
      <c r="W4487" s="74" t="str">
        <f>IFERROR(VLOOKUP($O4487,'Customer List'!$A$1:$J$488,10,FALSE),"")</f>
        <v/>
      </c>
    </row>
    <row r="4488" spans="18:23">
      <c r="R4488" s="127">
        <f t="shared" si="215"/>
        <v>0</v>
      </c>
      <c r="T4488" s="128">
        <f t="shared" si="214"/>
        <v>0</v>
      </c>
      <c r="U4488" s="129" t="str">
        <f>IFERROR(IF(#REF!="S",VLOOKUP('Raw Data'!A4488,References!#REF!,2,FALSE),(VLOOKUP($S4488,References!$B$3:$C$7,2,FALSE))),"")</f>
        <v/>
      </c>
      <c r="W4488" s="74" t="str">
        <f>IFERROR(VLOOKUP($O4488,'Customer List'!$A$1:$J$488,10,FALSE),"")</f>
        <v/>
      </c>
    </row>
    <row r="4489" spans="18:23">
      <c r="R4489" s="127">
        <f t="shared" si="215"/>
        <v>0</v>
      </c>
      <c r="T4489" s="128">
        <f t="shared" si="214"/>
        <v>0</v>
      </c>
      <c r="U4489" s="129" t="str">
        <f>IFERROR(IF(#REF!="S",VLOOKUP('Raw Data'!A4489,References!#REF!,2,FALSE),(VLOOKUP($S4489,References!$B$3:$C$7,2,FALSE))),"")</f>
        <v/>
      </c>
      <c r="W4489" s="74" t="str">
        <f>IFERROR(VLOOKUP($O4489,'Customer List'!$A$1:$J$488,10,FALSE),"")</f>
        <v/>
      </c>
    </row>
    <row r="4490" spans="18:23">
      <c r="R4490" s="127">
        <f t="shared" si="215"/>
        <v>0</v>
      </c>
      <c r="T4490" s="128">
        <f t="shared" ref="T4490:T4553" si="216">IF(S4490="50 - Cleaning Fee",1,HOUR($R4490)+MINUTE(R4490)/60)</f>
        <v>0</v>
      </c>
      <c r="U4490" s="129" t="str">
        <f>IFERROR(IF(#REF!="S",VLOOKUP('Raw Data'!A4490,References!#REF!,2,FALSE),(VLOOKUP($S4490,References!$B$3:$C$7,2,FALSE))),"")</f>
        <v/>
      </c>
      <c r="W4490" s="74" t="str">
        <f>IFERROR(VLOOKUP($O4490,'Customer List'!$A$1:$J$488,10,FALSE),"")</f>
        <v/>
      </c>
    </row>
    <row r="4491" spans="18:23">
      <c r="R4491" s="127">
        <f t="shared" si="215"/>
        <v>0</v>
      </c>
      <c r="T4491" s="128">
        <f t="shared" si="216"/>
        <v>0</v>
      </c>
      <c r="U4491" s="129" t="str">
        <f>IFERROR(IF(#REF!="S",VLOOKUP('Raw Data'!A4491,References!#REF!,2,FALSE),(VLOOKUP($S4491,References!$B$3:$C$7,2,FALSE))),"")</f>
        <v/>
      </c>
      <c r="W4491" s="74" t="str">
        <f>IFERROR(VLOOKUP($O4491,'Customer List'!$A$1:$J$488,10,FALSE),"")</f>
        <v/>
      </c>
    </row>
    <row r="4492" spans="18:23">
      <c r="R4492" s="127">
        <f t="shared" si="215"/>
        <v>0</v>
      </c>
      <c r="T4492" s="128">
        <f t="shared" si="216"/>
        <v>0</v>
      </c>
      <c r="U4492" s="129" t="str">
        <f>IFERROR(IF(#REF!="S",VLOOKUP('Raw Data'!A4492,References!#REF!,2,FALSE),(VLOOKUP($S4492,References!$B$3:$C$7,2,FALSE))),"")</f>
        <v/>
      </c>
      <c r="W4492" s="74" t="str">
        <f>IFERROR(VLOOKUP($O4492,'Customer List'!$A$1:$J$488,10,FALSE),"")</f>
        <v/>
      </c>
    </row>
    <row r="4493" spans="18:23">
      <c r="R4493" s="127">
        <f t="shared" si="215"/>
        <v>0</v>
      </c>
      <c r="T4493" s="128">
        <f t="shared" si="216"/>
        <v>0</v>
      </c>
      <c r="U4493" s="129" t="str">
        <f>IFERROR(IF(#REF!="S",VLOOKUP('Raw Data'!A4493,References!#REF!,2,FALSE),(VLOOKUP($S4493,References!$B$3:$C$7,2,FALSE))),"")</f>
        <v/>
      </c>
      <c r="W4493" s="74" t="str">
        <f>IFERROR(VLOOKUP($O4493,'Customer List'!$A$1:$J$488,10,FALSE),"")</f>
        <v/>
      </c>
    </row>
    <row r="4494" spans="18:23">
      <c r="R4494" s="127">
        <f t="shared" si="215"/>
        <v>0</v>
      </c>
      <c r="T4494" s="128">
        <f t="shared" si="216"/>
        <v>0</v>
      </c>
      <c r="U4494" s="129" t="str">
        <f>IFERROR(IF(#REF!="S",VLOOKUP('Raw Data'!A4494,References!#REF!,2,FALSE),(VLOOKUP($S4494,References!$B$3:$C$7,2,FALSE))),"")</f>
        <v/>
      </c>
      <c r="W4494" s="74" t="str">
        <f>IFERROR(VLOOKUP($O4494,'Customer List'!$A$1:$J$488,10,FALSE),"")</f>
        <v/>
      </c>
    </row>
    <row r="4495" spans="18:23">
      <c r="R4495" s="127">
        <f t="shared" si="215"/>
        <v>0</v>
      </c>
      <c r="T4495" s="128">
        <f t="shared" si="216"/>
        <v>0</v>
      </c>
      <c r="U4495" s="129" t="str">
        <f>IFERROR(IF(#REF!="S",VLOOKUP('Raw Data'!A4495,References!#REF!,2,FALSE),(VLOOKUP($S4495,References!$B$3:$C$7,2,FALSE))),"")</f>
        <v/>
      </c>
      <c r="W4495" s="74" t="str">
        <f>IFERROR(VLOOKUP($O4495,'Customer List'!$A$1:$J$488,10,FALSE),"")</f>
        <v/>
      </c>
    </row>
    <row r="4496" spans="18:23">
      <c r="R4496" s="127">
        <f t="shared" si="215"/>
        <v>0</v>
      </c>
      <c r="T4496" s="128">
        <f t="shared" si="216"/>
        <v>0</v>
      </c>
      <c r="U4496" s="129" t="str">
        <f>IFERROR(IF(#REF!="S",VLOOKUP('Raw Data'!A4496,References!#REF!,2,FALSE),(VLOOKUP($S4496,References!$B$3:$C$7,2,FALSE))),"")</f>
        <v/>
      </c>
      <c r="W4496" s="74" t="str">
        <f>IFERROR(VLOOKUP($O4496,'Customer List'!$A$1:$J$488,10,FALSE),"")</f>
        <v/>
      </c>
    </row>
    <row r="4497" spans="18:23">
      <c r="R4497" s="127">
        <f t="shared" si="215"/>
        <v>0</v>
      </c>
      <c r="T4497" s="128">
        <f t="shared" si="216"/>
        <v>0</v>
      </c>
      <c r="U4497" s="129" t="str">
        <f>IFERROR(IF(#REF!="S",VLOOKUP('Raw Data'!A4497,References!#REF!,2,FALSE),(VLOOKUP($S4497,References!$B$3:$C$7,2,FALSE))),"")</f>
        <v/>
      </c>
      <c r="W4497" s="74" t="str">
        <f>IFERROR(VLOOKUP($O4497,'Customer List'!$A$1:$J$488,10,FALSE),"")</f>
        <v/>
      </c>
    </row>
    <row r="4498" spans="18:23">
      <c r="R4498" s="127">
        <f t="shared" si="215"/>
        <v>0</v>
      </c>
      <c r="T4498" s="128">
        <f t="shared" si="216"/>
        <v>0</v>
      </c>
      <c r="U4498" s="129" t="str">
        <f>IFERROR(IF(#REF!="S",VLOOKUP('Raw Data'!A4498,References!#REF!,2,FALSE),(VLOOKUP($S4498,References!$B$3:$C$7,2,FALSE))),"")</f>
        <v/>
      </c>
      <c r="W4498" s="74" t="str">
        <f>IFERROR(VLOOKUP($O4498,'Customer List'!$A$1:$J$488,10,FALSE),"")</f>
        <v/>
      </c>
    </row>
    <row r="4499" spans="18:23">
      <c r="R4499" s="127">
        <f t="shared" si="215"/>
        <v>0</v>
      </c>
      <c r="T4499" s="128">
        <f t="shared" si="216"/>
        <v>0</v>
      </c>
      <c r="U4499" s="129" t="str">
        <f>IFERROR(IF(#REF!="S",VLOOKUP('Raw Data'!A4499,References!#REF!,2,FALSE),(VLOOKUP($S4499,References!$B$3:$C$7,2,FALSE))),"")</f>
        <v/>
      </c>
      <c r="W4499" s="74" t="str">
        <f>IFERROR(VLOOKUP($O4499,'Customer List'!$A$1:$J$488,10,FALSE),"")</f>
        <v/>
      </c>
    </row>
    <row r="4500" spans="18:23">
      <c r="R4500" s="127">
        <f t="shared" si="215"/>
        <v>0</v>
      </c>
      <c r="T4500" s="128">
        <f t="shared" si="216"/>
        <v>0</v>
      </c>
      <c r="U4500" s="129" t="str">
        <f>IFERROR(IF(#REF!="S",VLOOKUP('Raw Data'!A4500,References!#REF!,2,FALSE),(VLOOKUP($S4500,References!$B$3:$C$7,2,FALSE))),"")</f>
        <v/>
      </c>
      <c r="W4500" s="74" t="str">
        <f>IFERROR(VLOOKUP($O4500,'Customer List'!$A$1:$J$488,10,FALSE),"")</f>
        <v/>
      </c>
    </row>
    <row r="4501" spans="18:23">
      <c r="R4501" s="127">
        <f t="shared" si="215"/>
        <v>0</v>
      </c>
      <c r="T4501" s="128">
        <f t="shared" si="216"/>
        <v>0</v>
      </c>
      <c r="U4501" s="129" t="str">
        <f>IFERROR(IF(#REF!="S",VLOOKUP('Raw Data'!A4501,References!#REF!,2,FALSE),(VLOOKUP($S4501,References!$B$3:$C$7,2,FALSE))),"")</f>
        <v/>
      </c>
      <c r="W4501" s="74" t="str">
        <f>IFERROR(VLOOKUP($O4501,'Customer List'!$A$1:$J$488,10,FALSE),"")</f>
        <v/>
      </c>
    </row>
    <row r="4502" spans="18:23">
      <c r="R4502" s="127">
        <f t="shared" si="215"/>
        <v>0</v>
      </c>
      <c r="T4502" s="128">
        <f t="shared" si="216"/>
        <v>0</v>
      </c>
      <c r="U4502" s="129" t="str">
        <f>IFERROR(IF(#REF!="S",VLOOKUP('Raw Data'!A4502,References!#REF!,2,FALSE),(VLOOKUP($S4502,References!$B$3:$C$7,2,FALSE))),"")</f>
        <v/>
      </c>
      <c r="W4502" s="74" t="str">
        <f>IFERROR(VLOOKUP($O4502,'Customer List'!$A$1:$J$488,10,FALSE),"")</f>
        <v/>
      </c>
    </row>
    <row r="4503" spans="18:23">
      <c r="R4503" s="127">
        <f t="shared" si="215"/>
        <v>0</v>
      </c>
      <c r="T4503" s="128">
        <f t="shared" si="216"/>
        <v>0</v>
      </c>
      <c r="U4503" s="129" t="str">
        <f>IFERROR(IF(#REF!="S",VLOOKUP('Raw Data'!A4503,References!#REF!,2,FALSE),(VLOOKUP($S4503,References!$B$3:$C$7,2,FALSE))),"")</f>
        <v/>
      </c>
      <c r="W4503" s="74" t="str">
        <f>IFERROR(VLOOKUP($O4503,'Customer List'!$A$1:$J$488,10,FALSE),"")</f>
        <v/>
      </c>
    </row>
    <row r="4504" spans="18:23">
      <c r="R4504" s="127">
        <f t="shared" si="215"/>
        <v>0</v>
      </c>
      <c r="T4504" s="128">
        <f t="shared" si="216"/>
        <v>0</v>
      </c>
      <c r="U4504" s="129" t="str">
        <f>IFERROR(IF(#REF!="S",VLOOKUP('Raw Data'!A4504,References!#REF!,2,FALSE),(VLOOKUP($S4504,References!$B$3:$C$7,2,FALSE))),"")</f>
        <v/>
      </c>
      <c r="W4504" s="74" t="str">
        <f>IFERROR(VLOOKUP($O4504,'Customer List'!$A$1:$J$488,10,FALSE),"")</f>
        <v/>
      </c>
    </row>
    <row r="4505" spans="18:23">
      <c r="R4505" s="127">
        <f t="shared" si="215"/>
        <v>0</v>
      </c>
      <c r="T4505" s="128">
        <f t="shared" si="216"/>
        <v>0</v>
      </c>
      <c r="U4505" s="129" t="str">
        <f>IFERROR(IF(#REF!="S",VLOOKUP('Raw Data'!A4505,References!#REF!,2,FALSE),(VLOOKUP($S4505,References!$B$3:$C$7,2,FALSE))),"")</f>
        <v/>
      </c>
      <c r="W4505" s="74" t="str">
        <f>IFERROR(VLOOKUP($O4505,'Customer List'!$A$1:$J$488,10,FALSE),"")</f>
        <v/>
      </c>
    </row>
    <row r="4506" spans="18:23">
      <c r="R4506" s="127">
        <f t="shared" si="215"/>
        <v>0</v>
      </c>
      <c r="T4506" s="128">
        <f t="shared" si="216"/>
        <v>0</v>
      </c>
      <c r="U4506" s="129" t="str">
        <f>IFERROR(IF(#REF!="S",VLOOKUP('Raw Data'!A4506,References!#REF!,2,FALSE),(VLOOKUP($S4506,References!$B$3:$C$7,2,FALSE))),"")</f>
        <v/>
      </c>
      <c r="W4506" s="74" t="str">
        <f>IFERROR(VLOOKUP($O4506,'Customer List'!$A$1:$J$488,10,FALSE),"")</f>
        <v/>
      </c>
    </row>
    <row r="4507" spans="18:23">
      <c r="R4507" s="127">
        <f t="shared" si="215"/>
        <v>0</v>
      </c>
      <c r="T4507" s="128">
        <f t="shared" si="216"/>
        <v>0</v>
      </c>
      <c r="U4507" s="129" t="str">
        <f>IFERROR(IF(#REF!="S",VLOOKUP('Raw Data'!A4507,References!#REF!,2,FALSE),(VLOOKUP($S4507,References!$B$3:$C$7,2,FALSE))),"")</f>
        <v/>
      </c>
      <c r="W4507" s="74" t="str">
        <f>IFERROR(VLOOKUP($O4507,'Customer List'!$A$1:$J$488,10,FALSE),"")</f>
        <v/>
      </c>
    </row>
    <row r="4508" spans="18:23">
      <c r="R4508" s="127">
        <f t="shared" si="215"/>
        <v>0</v>
      </c>
      <c r="T4508" s="128">
        <f t="shared" si="216"/>
        <v>0</v>
      </c>
      <c r="U4508" s="129" t="str">
        <f>IFERROR(IF(#REF!="S",VLOOKUP('Raw Data'!A4508,References!#REF!,2,FALSE),(VLOOKUP($S4508,References!$B$3:$C$7,2,FALSE))),"")</f>
        <v/>
      </c>
      <c r="W4508" s="74" t="str">
        <f>IFERROR(VLOOKUP($O4508,'Customer List'!$A$1:$J$488,10,FALSE),"")</f>
        <v/>
      </c>
    </row>
    <row r="4509" spans="18:23">
      <c r="R4509" s="127">
        <f t="shared" si="215"/>
        <v>0</v>
      </c>
      <c r="T4509" s="128">
        <f t="shared" si="216"/>
        <v>0</v>
      </c>
      <c r="U4509" s="129" t="str">
        <f>IFERROR(IF(#REF!="S",VLOOKUP('Raw Data'!A4509,References!#REF!,2,FALSE),(VLOOKUP($S4509,References!$B$3:$C$7,2,FALSE))),"")</f>
        <v/>
      </c>
      <c r="W4509" s="74" t="str">
        <f>IFERROR(VLOOKUP($O4509,'Customer List'!$A$1:$J$488,10,FALSE),"")</f>
        <v/>
      </c>
    </row>
    <row r="4510" spans="18:23">
      <c r="R4510" s="127">
        <f t="shared" si="215"/>
        <v>0</v>
      </c>
      <c r="T4510" s="128">
        <f t="shared" si="216"/>
        <v>0</v>
      </c>
      <c r="U4510" s="129" t="str">
        <f>IFERROR(IF(#REF!="S",VLOOKUP('Raw Data'!A4510,References!#REF!,2,FALSE),(VLOOKUP($S4510,References!$B$3:$C$7,2,FALSE))),"")</f>
        <v/>
      </c>
      <c r="W4510" s="74" t="str">
        <f>IFERROR(VLOOKUP($O4510,'Customer List'!$A$1:$J$488,10,FALSE),"")</f>
        <v/>
      </c>
    </row>
    <row r="4511" spans="18:23">
      <c r="R4511" s="127">
        <f t="shared" si="215"/>
        <v>0</v>
      </c>
      <c r="T4511" s="128">
        <f t="shared" si="216"/>
        <v>0</v>
      </c>
      <c r="U4511" s="129" t="str">
        <f>IFERROR(IF(#REF!="S",VLOOKUP('Raw Data'!A4511,References!#REF!,2,FALSE),(VLOOKUP($S4511,References!$B$3:$C$7,2,FALSE))),"")</f>
        <v/>
      </c>
      <c r="W4511" s="74" t="str">
        <f>IFERROR(VLOOKUP($O4511,'Customer List'!$A$1:$J$488,10,FALSE),"")</f>
        <v/>
      </c>
    </row>
    <row r="4512" spans="18:23">
      <c r="R4512" s="127">
        <f t="shared" si="215"/>
        <v>0</v>
      </c>
      <c r="T4512" s="128">
        <f t="shared" si="216"/>
        <v>0</v>
      </c>
      <c r="U4512" s="129" t="str">
        <f>IFERROR(IF(#REF!="S",VLOOKUP('Raw Data'!A4512,References!#REF!,2,FALSE),(VLOOKUP($S4512,References!$B$3:$C$7,2,FALSE))),"")</f>
        <v/>
      </c>
      <c r="W4512" s="74" t="str">
        <f>IFERROR(VLOOKUP($O4512,'Customer List'!$A$1:$J$488,10,FALSE),"")</f>
        <v/>
      </c>
    </row>
    <row r="4513" spans="18:23">
      <c r="R4513" s="127">
        <f t="shared" si="215"/>
        <v>0</v>
      </c>
      <c r="T4513" s="128">
        <f t="shared" si="216"/>
        <v>0</v>
      </c>
      <c r="U4513" s="129" t="str">
        <f>IFERROR(IF(#REF!="S",VLOOKUP('Raw Data'!A4513,References!#REF!,2,FALSE),(VLOOKUP($S4513,References!$B$3:$C$7,2,FALSE))),"")</f>
        <v/>
      </c>
      <c r="W4513" s="74" t="str">
        <f>IFERROR(VLOOKUP($O4513,'Customer List'!$A$1:$J$488,10,FALSE),"")</f>
        <v/>
      </c>
    </row>
    <row r="4514" spans="18:23">
      <c r="R4514" s="127">
        <f t="shared" ref="R4514:R4577" si="217">L4514-K4514</f>
        <v>0</v>
      </c>
      <c r="T4514" s="128">
        <f t="shared" si="216"/>
        <v>0</v>
      </c>
      <c r="U4514" s="129" t="str">
        <f>IFERROR(IF(#REF!="S",VLOOKUP('Raw Data'!A4514,References!#REF!,2,FALSE),(VLOOKUP($S4514,References!$B$3:$C$7,2,FALSE))),"")</f>
        <v/>
      </c>
      <c r="W4514" s="74" t="str">
        <f>IFERROR(VLOOKUP($O4514,'Customer List'!$A$1:$J$488,10,FALSE),"")</f>
        <v/>
      </c>
    </row>
    <row r="4515" spans="18:23">
      <c r="R4515" s="127">
        <f t="shared" si="217"/>
        <v>0</v>
      </c>
      <c r="T4515" s="128">
        <f t="shared" si="216"/>
        <v>0</v>
      </c>
      <c r="U4515" s="129" t="str">
        <f>IFERROR(IF(#REF!="S",VLOOKUP('Raw Data'!A4515,References!#REF!,2,FALSE),(VLOOKUP($S4515,References!$B$3:$C$7,2,FALSE))),"")</f>
        <v/>
      </c>
      <c r="W4515" s="74" t="str">
        <f>IFERROR(VLOOKUP($O4515,'Customer List'!$A$1:$J$488,10,FALSE),"")</f>
        <v/>
      </c>
    </row>
    <row r="4516" spans="18:23">
      <c r="R4516" s="127">
        <f t="shared" si="217"/>
        <v>0</v>
      </c>
      <c r="T4516" s="128">
        <f t="shared" si="216"/>
        <v>0</v>
      </c>
      <c r="U4516" s="129" t="str">
        <f>IFERROR(IF(#REF!="S",VLOOKUP('Raw Data'!A4516,References!#REF!,2,FALSE),(VLOOKUP($S4516,References!$B$3:$C$7,2,FALSE))),"")</f>
        <v/>
      </c>
      <c r="W4516" s="74" t="str">
        <f>IFERROR(VLOOKUP($O4516,'Customer List'!$A$1:$J$488,10,FALSE),"")</f>
        <v/>
      </c>
    </row>
    <row r="4517" spans="18:23">
      <c r="R4517" s="127">
        <f t="shared" si="217"/>
        <v>0</v>
      </c>
      <c r="T4517" s="128">
        <f t="shared" si="216"/>
        <v>0</v>
      </c>
      <c r="U4517" s="129" t="str">
        <f>IFERROR(IF(#REF!="S",VLOOKUP('Raw Data'!A4517,References!#REF!,2,FALSE),(VLOOKUP($S4517,References!$B$3:$C$7,2,FALSE))),"")</f>
        <v/>
      </c>
      <c r="W4517" s="74" t="str">
        <f>IFERROR(VLOOKUP($O4517,'Customer List'!$A$1:$J$488,10,FALSE),"")</f>
        <v/>
      </c>
    </row>
    <row r="4518" spans="18:23">
      <c r="R4518" s="127">
        <f t="shared" si="217"/>
        <v>0</v>
      </c>
      <c r="T4518" s="128">
        <f t="shared" si="216"/>
        <v>0</v>
      </c>
      <c r="U4518" s="129" t="str">
        <f>IFERROR(IF(#REF!="S",VLOOKUP('Raw Data'!A4518,References!#REF!,2,FALSE),(VLOOKUP($S4518,References!$B$3:$C$7,2,FALSE))),"")</f>
        <v/>
      </c>
      <c r="W4518" s="74" t="str">
        <f>IFERROR(VLOOKUP($O4518,'Customer List'!$A$1:$J$488,10,FALSE),"")</f>
        <v/>
      </c>
    </row>
    <row r="4519" spans="18:23">
      <c r="R4519" s="127">
        <f t="shared" si="217"/>
        <v>0</v>
      </c>
      <c r="T4519" s="128">
        <f t="shared" si="216"/>
        <v>0</v>
      </c>
      <c r="U4519" s="129" t="str">
        <f>IFERROR(IF(#REF!="S",VLOOKUP('Raw Data'!A4519,References!#REF!,2,FALSE),(VLOOKUP($S4519,References!$B$3:$C$7,2,FALSE))),"")</f>
        <v/>
      </c>
      <c r="W4519" s="74" t="str">
        <f>IFERROR(VLOOKUP($O4519,'Customer List'!$A$1:$J$488,10,FALSE),"")</f>
        <v/>
      </c>
    </row>
    <row r="4520" spans="18:23">
      <c r="R4520" s="127">
        <f t="shared" si="217"/>
        <v>0</v>
      </c>
      <c r="T4520" s="128">
        <f t="shared" si="216"/>
        <v>0</v>
      </c>
      <c r="U4520" s="129" t="str">
        <f>IFERROR(IF(#REF!="S",VLOOKUP('Raw Data'!A4520,References!#REF!,2,FALSE),(VLOOKUP($S4520,References!$B$3:$C$7,2,FALSE))),"")</f>
        <v/>
      </c>
      <c r="W4520" s="74" t="str">
        <f>IFERROR(VLOOKUP($O4520,'Customer List'!$A$1:$J$488,10,FALSE),"")</f>
        <v/>
      </c>
    </row>
    <row r="4521" spans="18:23">
      <c r="R4521" s="127">
        <f t="shared" si="217"/>
        <v>0</v>
      </c>
      <c r="T4521" s="128">
        <f t="shared" si="216"/>
        <v>0</v>
      </c>
      <c r="U4521" s="129" t="str">
        <f>IFERROR(IF(#REF!="S",VLOOKUP('Raw Data'!A4521,References!#REF!,2,FALSE),(VLOOKUP($S4521,References!$B$3:$C$7,2,FALSE))),"")</f>
        <v/>
      </c>
      <c r="W4521" s="74" t="str">
        <f>IFERROR(VLOOKUP($O4521,'Customer List'!$A$1:$J$488,10,FALSE),"")</f>
        <v/>
      </c>
    </row>
    <row r="4522" spans="18:23">
      <c r="R4522" s="127">
        <f t="shared" si="217"/>
        <v>0</v>
      </c>
      <c r="T4522" s="128">
        <f t="shared" si="216"/>
        <v>0</v>
      </c>
      <c r="U4522" s="129" t="str">
        <f>IFERROR(IF(#REF!="S",VLOOKUP('Raw Data'!A4522,References!#REF!,2,FALSE),(VLOOKUP($S4522,References!$B$3:$C$7,2,FALSE))),"")</f>
        <v/>
      </c>
      <c r="W4522" s="74" t="str">
        <f>IFERROR(VLOOKUP($O4522,'Customer List'!$A$1:$J$488,10,FALSE),"")</f>
        <v/>
      </c>
    </row>
    <row r="4523" spans="18:23">
      <c r="R4523" s="127">
        <f t="shared" si="217"/>
        <v>0</v>
      </c>
      <c r="T4523" s="128">
        <f t="shared" si="216"/>
        <v>0</v>
      </c>
      <c r="U4523" s="129" t="str">
        <f>IFERROR(IF(#REF!="S",VLOOKUP('Raw Data'!A4523,References!#REF!,2,FALSE),(VLOOKUP($S4523,References!$B$3:$C$7,2,FALSE))),"")</f>
        <v/>
      </c>
      <c r="W4523" s="74" t="str">
        <f>IFERROR(VLOOKUP($O4523,'Customer List'!$A$1:$J$488,10,FALSE),"")</f>
        <v/>
      </c>
    </row>
    <row r="4524" spans="18:23">
      <c r="R4524" s="127">
        <f t="shared" si="217"/>
        <v>0</v>
      </c>
      <c r="T4524" s="128">
        <f t="shared" si="216"/>
        <v>0</v>
      </c>
      <c r="U4524" s="129" t="str">
        <f>IFERROR(IF(#REF!="S",VLOOKUP('Raw Data'!A4524,References!#REF!,2,FALSE),(VLOOKUP($S4524,References!$B$3:$C$7,2,FALSE))),"")</f>
        <v/>
      </c>
      <c r="W4524" s="74" t="str">
        <f>IFERROR(VLOOKUP($O4524,'Customer List'!$A$1:$J$488,10,FALSE),"")</f>
        <v/>
      </c>
    </row>
    <row r="4525" spans="18:23">
      <c r="R4525" s="127">
        <f t="shared" si="217"/>
        <v>0</v>
      </c>
      <c r="T4525" s="128">
        <f t="shared" si="216"/>
        <v>0</v>
      </c>
      <c r="U4525" s="129" t="str">
        <f>IFERROR(IF(#REF!="S",VLOOKUP('Raw Data'!A4525,References!#REF!,2,FALSE),(VLOOKUP($S4525,References!$B$3:$C$7,2,FALSE))),"")</f>
        <v/>
      </c>
      <c r="W4525" s="74" t="str">
        <f>IFERROR(VLOOKUP($O4525,'Customer List'!$A$1:$J$488,10,FALSE),"")</f>
        <v/>
      </c>
    </row>
    <row r="4526" spans="18:23">
      <c r="R4526" s="127">
        <f t="shared" si="217"/>
        <v>0</v>
      </c>
      <c r="T4526" s="128">
        <f t="shared" si="216"/>
        <v>0</v>
      </c>
      <c r="U4526" s="129" t="str">
        <f>IFERROR(IF(#REF!="S",VLOOKUP('Raw Data'!A4526,References!#REF!,2,FALSE),(VLOOKUP($S4526,References!$B$3:$C$7,2,FALSE))),"")</f>
        <v/>
      </c>
      <c r="W4526" s="74" t="str">
        <f>IFERROR(VLOOKUP($O4526,'Customer List'!$A$1:$J$488,10,FALSE),"")</f>
        <v/>
      </c>
    </row>
    <row r="4527" spans="18:23">
      <c r="R4527" s="127">
        <f t="shared" si="217"/>
        <v>0</v>
      </c>
      <c r="T4527" s="128">
        <f t="shared" si="216"/>
        <v>0</v>
      </c>
      <c r="U4527" s="129" t="str">
        <f>IFERROR(IF(#REF!="S",VLOOKUP('Raw Data'!A4527,References!#REF!,2,FALSE),(VLOOKUP($S4527,References!$B$3:$C$7,2,FALSE))),"")</f>
        <v/>
      </c>
      <c r="W4527" s="74" t="str">
        <f>IFERROR(VLOOKUP($O4527,'Customer List'!$A$1:$J$488,10,FALSE),"")</f>
        <v/>
      </c>
    </row>
    <row r="4528" spans="18:23">
      <c r="R4528" s="127">
        <f t="shared" si="217"/>
        <v>0</v>
      </c>
      <c r="T4528" s="128">
        <f t="shared" si="216"/>
        <v>0</v>
      </c>
      <c r="U4528" s="129" t="str">
        <f>IFERROR(IF(#REF!="S",VLOOKUP('Raw Data'!A4528,References!#REF!,2,FALSE),(VLOOKUP($S4528,References!$B$3:$C$7,2,FALSE))),"")</f>
        <v/>
      </c>
      <c r="W4528" s="74" t="str">
        <f>IFERROR(VLOOKUP($O4528,'Customer List'!$A$1:$J$488,10,FALSE),"")</f>
        <v/>
      </c>
    </row>
    <row r="4529" spans="18:23">
      <c r="R4529" s="127">
        <f t="shared" si="217"/>
        <v>0</v>
      </c>
      <c r="T4529" s="128">
        <f t="shared" si="216"/>
        <v>0</v>
      </c>
      <c r="U4529" s="129" t="str">
        <f>IFERROR(IF(#REF!="S",VLOOKUP('Raw Data'!A4529,References!#REF!,2,FALSE),(VLOOKUP($S4529,References!$B$3:$C$7,2,FALSE))),"")</f>
        <v/>
      </c>
      <c r="W4529" s="74" t="str">
        <f>IFERROR(VLOOKUP($O4529,'Customer List'!$A$1:$J$488,10,FALSE),"")</f>
        <v/>
      </c>
    </row>
    <row r="4530" spans="18:23">
      <c r="R4530" s="127">
        <f t="shared" si="217"/>
        <v>0</v>
      </c>
      <c r="T4530" s="128">
        <f t="shared" si="216"/>
        <v>0</v>
      </c>
      <c r="U4530" s="129" t="str">
        <f>IFERROR(IF(#REF!="S",VLOOKUP('Raw Data'!A4530,References!#REF!,2,FALSE),(VLOOKUP($S4530,References!$B$3:$C$7,2,FALSE))),"")</f>
        <v/>
      </c>
      <c r="W4530" s="74" t="str">
        <f>IFERROR(VLOOKUP($O4530,'Customer List'!$A$1:$J$488,10,FALSE),"")</f>
        <v/>
      </c>
    </row>
    <row r="4531" spans="18:23">
      <c r="R4531" s="127">
        <f t="shared" si="217"/>
        <v>0</v>
      </c>
      <c r="T4531" s="128">
        <f t="shared" si="216"/>
        <v>0</v>
      </c>
      <c r="U4531" s="129" t="str">
        <f>IFERROR(IF(#REF!="S",VLOOKUP('Raw Data'!A4531,References!#REF!,2,FALSE),(VLOOKUP($S4531,References!$B$3:$C$7,2,FALSE))),"")</f>
        <v/>
      </c>
      <c r="W4531" s="74" t="str">
        <f>IFERROR(VLOOKUP($O4531,'Customer List'!$A$1:$J$488,10,FALSE),"")</f>
        <v/>
      </c>
    </row>
    <row r="4532" spans="18:23">
      <c r="R4532" s="127">
        <f t="shared" si="217"/>
        <v>0</v>
      </c>
      <c r="T4532" s="128">
        <f t="shared" si="216"/>
        <v>0</v>
      </c>
      <c r="U4532" s="129" t="str">
        <f>IFERROR(IF(#REF!="S",VLOOKUP('Raw Data'!A4532,References!#REF!,2,FALSE),(VLOOKUP($S4532,References!$B$3:$C$7,2,FALSE))),"")</f>
        <v/>
      </c>
      <c r="W4532" s="74" t="str">
        <f>IFERROR(VLOOKUP($O4532,'Customer List'!$A$1:$J$488,10,FALSE),"")</f>
        <v/>
      </c>
    </row>
    <row r="4533" spans="18:23">
      <c r="R4533" s="127">
        <f t="shared" si="217"/>
        <v>0</v>
      </c>
      <c r="T4533" s="128">
        <f t="shared" si="216"/>
        <v>0</v>
      </c>
      <c r="U4533" s="129" t="str">
        <f>IFERROR(IF(#REF!="S",VLOOKUP('Raw Data'!A4533,References!#REF!,2,FALSE),(VLOOKUP($S4533,References!$B$3:$C$7,2,FALSE))),"")</f>
        <v/>
      </c>
      <c r="W4533" s="74" t="str">
        <f>IFERROR(VLOOKUP($O4533,'Customer List'!$A$1:$J$488,10,FALSE),"")</f>
        <v/>
      </c>
    </row>
    <row r="4534" spans="18:23">
      <c r="R4534" s="127">
        <f t="shared" si="217"/>
        <v>0</v>
      </c>
      <c r="T4534" s="128">
        <f t="shared" si="216"/>
        <v>0</v>
      </c>
      <c r="U4534" s="129" t="str">
        <f>IFERROR(IF(#REF!="S",VLOOKUP('Raw Data'!A4534,References!#REF!,2,FALSE),(VLOOKUP($S4534,References!$B$3:$C$7,2,FALSE))),"")</f>
        <v/>
      </c>
      <c r="W4534" s="74" t="str">
        <f>IFERROR(VLOOKUP($O4534,'Customer List'!$A$1:$J$488,10,FALSE),"")</f>
        <v/>
      </c>
    </row>
    <row r="4535" spans="18:23">
      <c r="R4535" s="127">
        <f t="shared" si="217"/>
        <v>0</v>
      </c>
      <c r="T4535" s="128">
        <f t="shared" si="216"/>
        <v>0</v>
      </c>
      <c r="U4535" s="129" t="str">
        <f>IFERROR(IF(#REF!="S",VLOOKUP('Raw Data'!A4535,References!#REF!,2,FALSE),(VLOOKUP($S4535,References!$B$3:$C$7,2,FALSE))),"")</f>
        <v/>
      </c>
      <c r="W4535" s="74" t="str">
        <f>IFERROR(VLOOKUP($O4535,'Customer List'!$A$1:$J$488,10,FALSE),"")</f>
        <v/>
      </c>
    </row>
    <row r="4536" spans="18:23">
      <c r="R4536" s="127">
        <f t="shared" si="217"/>
        <v>0</v>
      </c>
      <c r="T4536" s="128">
        <f t="shared" si="216"/>
        <v>0</v>
      </c>
      <c r="U4536" s="129" t="str">
        <f>IFERROR(IF(#REF!="S",VLOOKUP('Raw Data'!A4536,References!#REF!,2,FALSE),(VLOOKUP($S4536,References!$B$3:$C$7,2,FALSE))),"")</f>
        <v/>
      </c>
      <c r="W4536" s="74" t="str">
        <f>IFERROR(VLOOKUP($O4536,'Customer List'!$A$1:$J$488,10,FALSE),"")</f>
        <v/>
      </c>
    </row>
    <row r="4537" spans="18:23">
      <c r="R4537" s="127">
        <f t="shared" si="217"/>
        <v>0</v>
      </c>
      <c r="T4537" s="128">
        <f t="shared" si="216"/>
        <v>0</v>
      </c>
      <c r="U4537" s="129" t="str">
        <f>IFERROR(IF(#REF!="S",VLOOKUP('Raw Data'!A4537,References!#REF!,2,FALSE),(VLOOKUP($S4537,References!$B$3:$C$7,2,FALSE))),"")</f>
        <v/>
      </c>
      <c r="W4537" s="74" t="str">
        <f>IFERROR(VLOOKUP($O4537,'Customer List'!$A$1:$J$488,10,FALSE),"")</f>
        <v/>
      </c>
    </row>
    <row r="4538" spans="18:23">
      <c r="R4538" s="127">
        <f t="shared" si="217"/>
        <v>0</v>
      </c>
      <c r="T4538" s="128">
        <f t="shared" si="216"/>
        <v>0</v>
      </c>
      <c r="U4538" s="129" t="str">
        <f>IFERROR(IF(#REF!="S",VLOOKUP('Raw Data'!A4538,References!#REF!,2,FALSE),(VLOOKUP($S4538,References!$B$3:$C$7,2,FALSE))),"")</f>
        <v/>
      </c>
      <c r="W4538" s="74" t="str">
        <f>IFERROR(VLOOKUP($O4538,'Customer List'!$A$1:$J$488,10,FALSE),"")</f>
        <v/>
      </c>
    </row>
    <row r="4539" spans="18:23">
      <c r="R4539" s="127">
        <f t="shared" si="217"/>
        <v>0</v>
      </c>
      <c r="T4539" s="128">
        <f t="shared" si="216"/>
        <v>0</v>
      </c>
      <c r="U4539" s="129" t="str">
        <f>IFERROR(IF(#REF!="S",VLOOKUP('Raw Data'!A4539,References!#REF!,2,FALSE),(VLOOKUP($S4539,References!$B$3:$C$7,2,FALSE))),"")</f>
        <v/>
      </c>
      <c r="W4539" s="74" t="str">
        <f>IFERROR(VLOOKUP($O4539,'Customer List'!$A$1:$J$488,10,FALSE),"")</f>
        <v/>
      </c>
    </row>
    <row r="4540" spans="18:23">
      <c r="R4540" s="127">
        <f t="shared" si="217"/>
        <v>0</v>
      </c>
      <c r="T4540" s="128">
        <f t="shared" si="216"/>
        <v>0</v>
      </c>
      <c r="U4540" s="129" t="str">
        <f>IFERROR(IF(#REF!="S",VLOOKUP('Raw Data'!A4540,References!#REF!,2,FALSE),(VLOOKUP($S4540,References!$B$3:$C$7,2,FALSE))),"")</f>
        <v/>
      </c>
      <c r="W4540" s="74" t="str">
        <f>IFERROR(VLOOKUP($O4540,'Customer List'!$A$1:$J$488,10,FALSE),"")</f>
        <v/>
      </c>
    </row>
    <row r="4541" spans="18:23">
      <c r="R4541" s="127">
        <f t="shared" si="217"/>
        <v>0</v>
      </c>
      <c r="T4541" s="128">
        <f t="shared" si="216"/>
        <v>0</v>
      </c>
      <c r="U4541" s="129" t="str">
        <f>IFERROR(IF(#REF!="S",VLOOKUP('Raw Data'!A4541,References!#REF!,2,FALSE),(VLOOKUP($S4541,References!$B$3:$C$7,2,FALSE))),"")</f>
        <v/>
      </c>
      <c r="W4541" s="74" t="str">
        <f>IFERROR(VLOOKUP($O4541,'Customer List'!$A$1:$J$488,10,FALSE),"")</f>
        <v/>
      </c>
    </row>
    <row r="4542" spans="18:23">
      <c r="R4542" s="127">
        <f t="shared" si="217"/>
        <v>0</v>
      </c>
      <c r="T4542" s="128">
        <f t="shared" si="216"/>
        <v>0</v>
      </c>
      <c r="U4542" s="129" t="str">
        <f>IFERROR(IF(#REF!="S",VLOOKUP('Raw Data'!A4542,References!#REF!,2,FALSE),(VLOOKUP($S4542,References!$B$3:$C$7,2,FALSE))),"")</f>
        <v/>
      </c>
      <c r="W4542" s="74" t="str">
        <f>IFERROR(VLOOKUP($O4542,'Customer List'!$A$1:$J$488,10,FALSE),"")</f>
        <v/>
      </c>
    </row>
    <row r="4543" spans="18:23">
      <c r="R4543" s="127">
        <f t="shared" si="217"/>
        <v>0</v>
      </c>
      <c r="T4543" s="128">
        <f t="shared" si="216"/>
        <v>0</v>
      </c>
      <c r="U4543" s="129" t="str">
        <f>IFERROR(IF(#REF!="S",VLOOKUP('Raw Data'!A4543,References!#REF!,2,FALSE),(VLOOKUP($S4543,References!$B$3:$C$7,2,FALSE))),"")</f>
        <v/>
      </c>
      <c r="W4543" s="74" t="str">
        <f>IFERROR(VLOOKUP($O4543,'Customer List'!$A$1:$J$488,10,FALSE),"")</f>
        <v/>
      </c>
    </row>
    <row r="4544" spans="18:23">
      <c r="R4544" s="127">
        <f t="shared" si="217"/>
        <v>0</v>
      </c>
      <c r="T4544" s="128">
        <f t="shared" si="216"/>
        <v>0</v>
      </c>
      <c r="U4544" s="129" t="str">
        <f>IFERROR(IF(#REF!="S",VLOOKUP('Raw Data'!A4544,References!#REF!,2,FALSE),(VLOOKUP($S4544,References!$B$3:$C$7,2,FALSE))),"")</f>
        <v/>
      </c>
      <c r="W4544" s="74" t="str">
        <f>IFERROR(VLOOKUP($O4544,'Customer List'!$A$1:$J$488,10,FALSE),"")</f>
        <v/>
      </c>
    </row>
    <row r="4545" spans="18:23">
      <c r="R4545" s="127">
        <f t="shared" si="217"/>
        <v>0</v>
      </c>
      <c r="T4545" s="128">
        <f t="shared" si="216"/>
        <v>0</v>
      </c>
      <c r="U4545" s="129" t="str">
        <f>IFERROR(IF(#REF!="S",VLOOKUP('Raw Data'!A4545,References!#REF!,2,FALSE),(VLOOKUP($S4545,References!$B$3:$C$7,2,FALSE))),"")</f>
        <v/>
      </c>
      <c r="W4545" s="74" t="str">
        <f>IFERROR(VLOOKUP($O4545,'Customer List'!$A$1:$J$488,10,FALSE),"")</f>
        <v/>
      </c>
    </row>
    <row r="4546" spans="18:23">
      <c r="R4546" s="127">
        <f t="shared" si="217"/>
        <v>0</v>
      </c>
      <c r="T4546" s="128">
        <f t="shared" si="216"/>
        <v>0</v>
      </c>
      <c r="U4546" s="129" t="str">
        <f>IFERROR(IF(#REF!="S",VLOOKUP('Raw Data'!A4546,References!#REF!,2,FALSE),(VLOOKUP($S4546,References!$B$3:$C$7,2,FALSE))),"")</f>
        <v/>
      </c>
      <c r="W4546" s="74" t="str">
        <f>IFERROR(VLOOKUP($O4546,'Customer List'!$A$1:$J$488,10,FALSE),"")</f>
        <v/>
      </c>
    </row>
    <row r="4547" spans="18:23">
      <c r="R4547" s="127">
        <f t="shared" si="217"/>
        <v>0</v>
      </c>
      <c r="T4547" s="128">
        <f t="shared" si="216"/>
        <v>0</v>
      </c>
      <c r="U4547" s="129" t="str">
        <f>IFERROR(IF(#REF!="S",VLOOKUP('Raw Data'!A4547,References!#REF!,2,FALSE),(VLOOKUP($S4547,References!$B$3:$C$7,2,FALSE))),"")</f>
        <v/>
      </c>
      <c r="W4547" s="74" t="str">
        <f>IFERROR(VLOOKUP($O4547,'Customer List'!$A$1:$J$488,10,FALSE),"")</f>
        <v/>
      </c>
    </row>
    <row r="4548" spans="18:23">
      <c r="R4548" s="127">
        <f t="shared" si="217"/>
        <v>0</v>
      </c>
      <c r="T4548" s="128">
        <f t="shared" si="216"/>
        <v>0</v>
      </c>
      <c r="U4548" s="129" t="str">
        <f>IFERROR(IF(#REF!="S",VLOOKUP('Raw Data'!A4548,References!#REF!,2,FALSE),(VLOOKUP($S4548,References!$B$3:$C$7,2,FALSE))),"")</f>
        <v/>
      </c>
      <c r="W4548" s="74" t="str">
        <f>IFERROR(VLOOKUP($O4548,'Customer List'!$A$1:$J$488,10,FALSE),"")</f>
        <v/>
      </c>
    </row>
    <row r="4549" spans="18:23">
      <c r="R4549" s="127">
        <f t="shared" si="217"/>
        <v>0</v>
      </c>
      <c r="T4549" s="128">
        <f t="shared" si="216"/>
        <v>0</v>
      </c>
      <c r="U4549" s="129" t="str">
        <f>IFERROR(IF(#REF!="S",VLOOKUP('Raw Data'!A4549,References!#REF!,2,FALSE),(VLOOKUP($S4549,References!$B$3:$C$7,2,FALSE))),"")</f>
        <v/>
      </c>
      <c r="W4549" s="74" t="str">
        <f>IFERROR(VLOOKUP($O4549,'Customer List'!$A$1:$J$488,10,FALSE),"")</f>
        <v/>
      </c>
    </row>
    <row r="4550" spans="18:23">
      <c r="R4550" s="127">
        <f t="shared" si="217"/>
        <v>0</v>
      </c>
      <c r="T4550" s="128">
        <f t="shared" si="216"/>
        <v>0</v>
      </c>
      <c r="U4550" s="129" t="str">
        <f>IFERROR(IF(#REF!="S",VLOOKUP('Raw Data'!A4550,References!#REF!,2,FALSE),(VLOOKUP($S4550,References!$B$3:$C$7,2,FALSE))),"")</f>
        <v/>
      </c>
      <c r="W4550" s="74" t="str">
        <f>IFERROR(VLOOKUP($O4550,'Customer List'!$A$1:$J$488,10,FALSE),"")</f>
        <v/>
      </c>
    </row>
    <row r="4551" spans="18:23">
      <c r="R4551" s="127">
        <f t="shared" si="217"/>
        <v>0</v>
      </c>
      <c r="T4551" s="128">
        <f t="shared" si="216"/>
        <v>0</v>
      </c>
      <c r="U4551" s="129" t="str">
        <f>IFERROR(IF(#REF!="S",VLOOKUP('Raw Data'!A4551,References!#REF!,2,FALSE),(VLOOKUP($S4551,References!$B$3:$C$7,2,FALSE))),"")</f>
        <v/>
      </c>
      <c r="W4551" s="74" t="str">
        <f>IFERROR(VLOOKUP($O4551,'Customer List'!$A$1:$J$488,10,FALSE),"")</f>
        <v/>
      </c>
    </row>
    <row r="4552" spans="18:23">
      <c r="R4552" s="127">
        <f t="shared" si="217"/>
        <v>0</v>
      </c>
      <c r="T4552" s="128">
        <f t="shared" si="216"/>
        <v>0</v>
      </c>
      <c r="U4552" s="129" t="str">
        <f>IFERROR(IF(#REF!="S",VLOOKUP('Raw Data'!A4552,References!#REF!,2,FALSE),(VLOOKUP($S4552,References!$B$3:$C$7,2,FALSE))),"")</f>
        <v/>
      </c>
      <c r="W4552" s="74" t="str">
        <f>IFERROR(VLOOKUP($O4552,'Customer List'!$A$1:$J$488,10,FALSE),"")</f>
        <v/>
      </c>
    </row>
    <row r="4553" spans="18:23">
      <c r="R4553" s="127">
        <f t="shared" si="217"/>
        <v>0</v>
      </c>
      <c r="T4553" s="128">
        <f t="shared" si="216"/>
        <v>0</v>
      </c>
      <c r="U4553" s="129" t="str">
        <f>IFERROR(IF(#REF!="S",VLOOKUP('Raw Data'!A4553,References!#REF!,2,FALSE),(VLOOKUP($S4553,References!$B$3:$C$7,2,FALSE))),"")</f>
        <v/>
      </c>
      <c r="W4553" s="74" t="str">
        <f>IFERROR(VLOOKUP($O4553,'Customer List'!$A$1:$J$488,10,FALSE),"")</f>
        <v/>
      </c>
    </row>
    <row r="4554" spans="18:23">
      <c r="R4554" s="127">
        <f t="shared" si="217"/>
        <v>0</v>
      </c>
      <c r="T4554" s="128">
        <f t="shared" ref="T4554:T4617" si="218">IF(S4554="50 - Cleaning Fee",1,HOUR($R4554)+MINUTE(R4554)/60)</f>
        <v>0</v>
      </c>
      <c r="U4554" s="129" t="str">
        <f>IFERROR(IF(#REF!="S",VLOOKUP('Raw Data'!A4554,References!#REF!,2,FALSE),(VLOOKUP($S4554,References!$B$3:$C$7,2,FALSE))),"")</f>
        <v/>
      </c>
      <c r="W4554" s="74" t="str">
        <f>IFERROR(VLOOKUP($O4554,'Customer List'!$A$1:$J$488,10,FALSE),"")</f>
        <v/>
      </c>
    </row>
    <row r="4555" spans="18:23">
      <c r="R4555" s="127">
        <f t="shared" si="217"/>
        <v>0</v>
      </c>
      <c r="T4555" s="128">
        <f t="shared" si="218"/>
        <v>0</v>
      </c>
      <c r="U4555" s="129" t="str">
        <f>IFERROR(IF(#REF!="S",VLOOKUP('Raw Data'!A4555,References!#REF!,2,FALSE),(VLOOKUP($S4555,References!$B$3:$C$7,2,FALSE))),"")</f>
        <v/>
      </c>
      <c r="W4555" s="74" t="str">
        <f>IFERROR(VLOOKUP($O4555,'Customer List'!$A$1:$J$488,10,FALSE),"")</f>
        <v/>
      </c>
    </row>
    <row r="4556" spans="18:23">
      <c r="R4556" s="127">
        <f t="shared" si="217"/>
        <v>0</v>
      </c>
      <c r="T4556" s="128">
        <f t="shared" si="218"/>
        <v>0</v>
      </c>
      <c r="U4556" s="129" t="str">
        <f>IFERROR(IF(#REF!="S",VLOOKUP('Raw Data'!A4556,References!#REF!,2,FALSE),(VLOOKUP($S4556,References!$B$3:$C$7,2,FALSE))),"")</f>
        <v/>
      </c>
      <c r="W4556" s="74" t="str">
        <f>IFERROR(VLOOKUP($O4556,'Customer List'!$A$1:$J$488,10,FALSE),"")</f>
        <v/>
      </c>
    </row>
    <row r="4557" spans="18:23">
      <c r="R4557" s="127">
        <f t="shared" si="217"/>
        <v>0</v>
      </c>
      <c r="T4557" s="128">
        <f t="shared" si="218"/>
        <v>0</v>
      </c>
      <c r="U4557" s="129" t="str">
        <f>IFERROR(IF(#REF!="S",VLOOKUP('Raw Data'!A4557,References!#REF!,2,FALSE),(VLOOKUP($S4557,References!$B$3:$C$7,2,FALSE))),"")</f>
        <v/>
      </c>
      <c r="W4557" s="74" t="str">
        <f>IFERROR(VLOOKUP($O4557,'Customer List'!$A$1:$J$488,10,FALSE),"")</f>
        <v/>
      </c>
    </row>
    <row r="4558" spans="18:23">
      <c r="R4558" s="127">
        <f t="shared" si="217"/>
        <v>0</v>
      </c>
      <c r="T4558" s="128">
        <f t="shared" si="218"/>
        <v>0</v>
      </c>
      <c r="U4558" s="129" t="str">
        <f>IFERROR(IF(#REF!="S",VLOOKUP('Raw Data'!A4558,References!#REF!,2,FALSE),(VLOOKUP($S4558,References!$B$3:$C$7,2,FALSE))),"")</f>
        <v/>
      </c>
      <c r="W4558" s="74" t="str">
        <f>IFERROR(VLOOKUP($O4558,'Customer List'!$A$1:$J$488,10,FALSE),"")</f>
        <v/>
      </c>
    </row>
    <row r="4559" spans="18:23">
      <c r="R4559" s="127">
        <f t="shared" si="217"/>
        <v>0</v>
      </c>
      <c r="T4559" s="128">
        <f t="shared" si="218"/>
        <v>0</v>
      </c>
      <c r="U4559" s="129" t="str">
        <f>IFERROR(IF(#REF!="S",VLOOKUP('Raw Data'!A4559,References!#REF!,2,FALSE),(VLOOKUP($S4559,References!$B$3:$C$7,2,FALSE))),"")</f>
        <v/>
      </c>
      <c r="W4559" s="74" t="str">
        <f>IFERROR(VLOOKUP($O4559,'Customer List'!$A$1:$J$488,10,FALSE),"")</f>
        <v/>
      </c>
    </row>
    <row r="4560" spans="18:23">
      <c r="R4560" s="127">
        <f t="shared" si="217"/>
        <v>0</v>
      </c>
      <c r="T4560" s="128">
        <f t="shared" si="218"/>
        <v>0</v>
      </c>
      <c r="U4560" s="129" t="str">
        <f>IFERROR(IF(#REF!="S",VLOOKUP('Raw Data'!A4560,References!#REF!,2,FALSE),(VLOOKUP($S4560,References!$B$3:$C$7,2,FALSE))),"")</f>
        <v/>
      </c>
      <c r="W4560" s="74" t="str">
        <f>IFERROR(VLOOKUP($O4560,'Customer List'!$A$1:$J$488,10,FALSE),"")</f>
        <v/>
      </c>
    </row>
    <row r="4561" spans="18:23">
      <c r="R4561" s="127">
        <f t="shared" si="217"/>
        <v>0</v>
      </c>
      <c r="T4561" s="128">
        <f t="shared" si="218"/>
        <v>0</v>
      </c>
      <c r="U4561" s="129" t="str">
        <f>IFERROR(IF(#REF!="S",VLOOKUP('Raw Data'!A4561,References!#REF!,2,FALSE),(VLOOKUP($S4561,References!$B$3:$C$7,2,FALSE))),"")</f>
        <v/>
      </c>
      <c r="W4561" s="74" t="str">
        <f>IFERROR(VLOOKUP($O4561,'Customer List'!$A$1:$J$488,10,FALSE),"")</f>
        <v/>
      </c>
    </row>
    <row r="4562" spans="18:23">
      <c r="R4562" s="127">
        <f t="shared" si="217"/>
        <v>0</v>
      </c>
      <c r="T4562" s="128">
        <f t="shared" si="218"/>
        <v>0</v>
      </c>
      <c r="U4562" s="129" t="str">
        <f>IFERROR(IF(#REF!="S",VLOOKUP('Raw Data'!A4562,References!#REF!,2,FALSE),(VLOOKUP($S4562,References!$B$3:$C$7,2,FALSE))),"")</f>
        <v/>
      </c>
      <c r="W4562" s="74" t="str">
        <f>IFERROR(VLOOKUP($O4562,'Customer List'!$A$1:$J$488,10,FALSE),"")</f>
        <v/>
      </c>
    </row>
    <row r="4563" spans="18:23">
      <c r="R4563" s="127">
        <f t="shared" si="217"/>
        <v>0</v>
      </c>
      <c r="T4563" s="128">
        <f t="shared" si="218"/>
        <v>0</v>
      </c>
      <c r="U4563" s="129" t="str">
        <f>IFERROR(IF(#REF!="S",VLOOKUP('Raw Data'!A4563,References!#REF!,2,FALSE),(VLOOKUP($S4563,References!$B$3:$C$7,2,FALSE))),"")</f>
        <v/>
      </c>
      <c r="W4563" s="74" t="str">
        <f>IFERROR(VLOOKUP($O4563,'Customer List'!$A$1:$J$488,10,FALSE),"")</f>
        <v/>
      </c>
    </row>
    <row r="4564" spans="18:23">
      <c r="R4564" s="127">
        <f t="shared" si="217"/>
        <v>0</v>
      </c>
      <c r="T4564" s="128">
        <f t="shared" si="218"/>
        <v>0</v>
      </c>
      <c r="U4564" s="129" t="str">
        <f>IFERROR(IF(#REF!="S",VLOOKUP('Raw Data'!A4564,References!#REF!,2,FALSE),(VLOOKUP($S4564,References!$B$3:$C$7,2,FALSE))),"")</f>
        <v/>
      </c>
      <c r="W4564" s="74" t="str">
        <f>IFERROR(VLOOKUP($O4564,'Customer List'!$A$1:$J$488,10,FALSE),"")</f>
        <v/>
      </c>
    </row>
    <row r="4565" spans="18:23">
      <c r="R4565" s="127">
        <f t="shared" si="217"/>
        <v>0</v>
      </c>
      <c r="T4565" s="128">
        <f t="shared" si="218"/>
        <v>0</v>
      </c>
      <c r="U4565" s="129" t="str">
        <f>IFERROR(IF(#REF!="S",VLOOKUP('Raw Data'!A4565,References!#REF!,2,FALSE),(VLOOKUP($S4565,References!$B$3:$C$7,2,FALSE))),"")</f>
        <v/>
      </c>
      <c r="W4565" s="74" t="str">
        <f>IFERROR(VLOOKUP($O4565,'Customer List'!$A$1:$J$488,10,FALSE),"")</f>
        <v/>
      </c>
    </row>
    <row r="4566" spans="18:23">
      <c r="R4566" s="127">
        <f t="shared" si="217"/>
        <v>0</v>
      </c>
      <c r="T4566" s="128">
        <f t="shared" si="218"/>
        <v>0</v>
      </c>
      <c r="U4566" s="129" t="str">
        <f>IFERROR(IF(#REF!="S",VLOOKUP('Raw Data'!A4566,References!#REF!,2,FALSE),(VLOOKUP($S4566,References!$B$3:$C$7,2,FALSE))),"")</f>
        <v/>
      </c>
      <c r="W4566" s="74" t="str">
        <f>IFERROR(VLOOKUP($O4566,'Customer List'!$A$1:$J$488,10,FALSE),"")</f>
        <v/>
      </c>
    </row>
    <row r="4567" spans="18:23">
      <c r="R4567" s="127">
        <f t="shared" si="217"/>
        <v>0</v>
      </c>
      <c r="T4567" s="128">
        <f t="shared" si="218"/>
        <v>0</v>
      </c>
      <c r="U4567" s="129" t="str">
        <f>IFERROR(IF(#REF!="S",VLOOKUP('Raw Data'!A4567,References!#REF!,2,FALSE),(VLOOKUP($S4567,References!$B$3:$C$7,2,FALSE))),"")</f>
        <v/>
      </c>
      <c r="W4567" s="74" t="str">
        <f>IFERROR(VLOOKUP($O4567,'Customer List'!$A$1:$J$488,10,FALSE),"")</f>
        <v/>
      </c>
    </row>
    <row r="4568" spans="18:23">
      <c r="R4568" s="127">
        <f t="shared" si="217"/>
        <v>0</v>
      </c>
      <c r="T4568" s="128">
        <f t="shared" si="218"/>
        <v>0</v>
      </c>
      <c r="U4568" s="129" t="str">
        <f>IFERROR(IF(#REF!="S",VLOOKUP('Raw Data'!A4568,References!#REF!,2,FALSE),(VLOOKUP($S4568,References!$B$3:$C$7,2,FALSE))),"")</f>
        <v/>
      </c>
      <c r="W4568" s="74" t="str">
        <f>IFERROR(VLOOKUP($O4568,'Customer List'!$A$1:$J$488,10,FALSE),"")</f>
        <v/>
      </c>
    </row>
    <row r="4569" spans="18:23">
      <c r="R4569" s="127">
        <f t="shared" si="217"/>
        <v>0</v>
      </c>
      <c r="T4569" s="128">
        <f t="shared" si="218"/>
        <v>0</v>
      </c>
      <c r="U4569" s="129" t="str">
        <f>IFERROR(IF(#REF!="S",VLOOKUP('Raw Data'!A4569,References!#REF!,2,FALSE),(VLOOKUP($S4569,References!$B$3:$C$7,2,FALSE))),"")</f>
        <v/>
      </c>
      <c r="W4569" s="74" t="str">
        <f>IFERROR(VLOOKUP($O4569,'Customer List'!$A$1:$J$488,10,FALSE),"")</f>
        <v/>
      </c>
    </row>
    <row r="4570" spans="18:23">
      <c r="R4570" s="127">
        <f t="shared" si="217"/>
        <v>0</v>
      </c>
      <c r="T4570" s="128">
        <f t="shared" si="218"/>
        <v>0</v>
      </c>
      <c r="U4570" s="129" t="str">
        <f>IFERROR(IF(#REF!="S",VLOOKUP('Raw Data'!A4570,References!#REF!,2,FALSE),(VLOOKUP($S4570,References!$B$3:$C$7,2,FALSE))),"")</f>
        <v/>
      </c>
      <c r="W4570" s="74" t="str">
        <f>IFERROR(VLOOKUP($O4570,'Customer List'!$A$1:$J$488,10,FALSE),"")</f>
        <v/>
      </c>
    </row>
    <row r="4571" spans="18:23">
      <c r="R4571" s="127">
        <f t="shared" si="217"/>
        <v>0</v>
      </c>
      <c r="T4571" s="128">
        <f t="shared" si="218"/>
        <v>0</v>
      </c>
      <c r="U4571" s="129" t="str">
        <f>IFERROR(IF(#REF!="S",VLOOKUP('Raw Data'!A4571,References!#REF!,2,FALSE),(VLOOKUP($S4571,References!$B$3:$C$7,2,FALSE))),"")</f>
        <v/>
      </c>
      <c r="W4571" s="74" t="str">
        <f>IFERROR(VLOOKUP($O4571,'Customer List'!$A$1:$J$488,10,FALSE),"")</f>
        <v/>
      </c>
    </row>
    <row r="4572" spans="18:23">
      <c r="R4572" s="127">
        <f t="shared" si="217"/>
        <v>0</v>
      </c>
      <c r="T4572" s="128">
        <f t="shared" si="218"/>
        <v>0</v>
      </c>
      <c r="U4572" s="129" t="str">
        <f>IFERROR(IF(#REF!="S",VLOOKUP('Raw Data'!A4572,References!#REF!,2,FALSE),(VLOOKUP($S4572,References!$B$3:$C$7,2,FALSE))),"")</f>
        <v/>
      </c>
      <c r="W4572" s="74" t="str">
        <f>IFERROR(VLOOKUP($O4572,'Customer List'!$A$1:$J$488,10,FALSE),"")</f>
        <v/>
      </c>
    </row>
    <row r="4573" spans="18:23">
      <c r="R4573" s="127">
        <f t="shared" si="217"/>
        <v>0</v>
      </c>
      <c r="T4573" s="128">
        <f t="shared" si="218"/>
        <v>0</v>
      </c>
      <c r="U4573" s="129" t="str">
        <f>IFERROR(IF(#REF!="S",VLOOKUP('Raw Data'!A4573,References!#REF!,2,FALSE),(VLOOKUP($S4573,References!$B$3:$C$7,2,FALSE))),"")</f>
        <v/>
      </c>
      <c r="W4573" s="74" t="str">
        <f>IFERROR(VLOOKUP($O4573,'Customer List'!$A$1:$J$488,10,FALSE),"")</f>
        <v/>
      </c>
    </row>
    <row r="4574" spans="18:23">
      <c r="R4574" s="127">
        <f t="shared" si="217"/>
        <v>0</v>
      </c>
      <c r="T4574" s="128">
        <f t="shared" si="218"/>
        <v>0</v>
      </c>
      <c r="U4574" s="129" t="str">
        <f>IFERROR(IF(#REF!="S",VLOOKUP('Raw Data'!A4574,References!#REF!,2,FALSE),(VLOOKUP($S4574,References!$B$3:$C$7,2,FALSE))),"")</f>
        <v/>
      </c>
      <c r="W4574" s="74" t="str">
        <f>IFERROR(VLOOKUP($O4574,'Customer List'!$A$1:$J$488,10,FALSE),"")</f>
        <v/>
      </c>
    </row>
    <row r="4575" spans="18:23">
      <c r="R4575" s="127">
        <f t="shared" si="217"/>
        <v>0</v>
      </c>
      <c r="T4575" s="128">
        <f t="shared" si="218"/>
        <v>0</v>
      </c>
      <c r="U4575" s="129" t="str">
        <f>IFERROR(IF(#REF!="S",VLOOKUP('Raw Data'!A4575,References!#REF!,2,FALSE),(VLOOKUP($S4575,References!$B$3:$C$7,2,FALSE))),"")</f>
        <v/>
      </c>
      <c r="W4575" s="74" t="str">
        <f>IFERROR(VLOOKUP($O4575,'Customer List'!$A$1:$J$488,10,FALSE),"")</f>
        <v/>
      </c>
    </row>
    <row r="4576" spans="18:23">
      <c r="R4576" s="127">
        <f t="shared" si="217"/>
        <v>0</v>
      </c>
      <c r="T4576" s="128">
        <f t="shared" si="218"/>
        <v>0</v>
      </c>
      <c r="U4576" s="129" t="str">
        <f>IFERROR(IF(#REF!="S",VLOOKUP('Raw Data'!A4576,References!#REF!,2,FALSE),(VLOOKUP($S4576,References!$B$3:$C$7,2,FALSE))),"")</f>
        <v/>
      </c>
      <c r="W4576" s="74" t="str">
        <f>IFERROR(VLOOKUP($O4576,'Customer List'!$A$1:$J$488,10,FALSE),"")</f>
        <v/>
      </c>
    </row>
    <row r="4577" spans="18:23">
      <c r="R4577" s="127">
        <f t="shared" si="217"/>
        <v>0</v>
      </c>
      <c r="T4577" s="128">
        <f t="shared" si="218"/>
        <v>0</v>
      </c>
      <c r="U4577" s="129" t="str">
        <f>IFERROR(IF(#REF!="S",VLOOKUP('Raw Data'!A4577,References!#REF!,2,FALSE),(VLOOKUP($S4577,References!$B$3:$C$7,2,FALSE))),"")</f>
        <v/>
      </c>
      <c r="W4577" s="74" t="str">
        <f>IFERROR(VLOOKUP($O4577,'Customer List'!$A$1:$J$488,10,FALSE),"")</f>
        <v/>
      </c>
    </row>
    <row r="4578" spans="18:23">
      <c r="R4578" s="127">
        <f t="shared" ref="R4578:R4641" si="219">L4578-K4578</f>
        <v>0</v>
      </c>
      <c r="T4578" s="128">
        <f t="shared" si="218"/>
        <v>0</v>
      </c>
      <c r="U4578" s="129" t="str">
        <f>IFERROR(IF(#REF!="S",VLOOKUP('Raw Data'!A4578,References!#REF!,2,FALSE),(VLOOKUP($S4578,References!$B$3:$C$7,2,FALSE))),"")</f>
        <v/>
      </c>
      <c r="W4578" s="74" t="str">
        <f>IFERROR(VLOOKUP($O4578,'Customer List'!$A$1:$J$488,10,FALSE),"")</f>
        <v/>
      </c>
    </row>
    <row r="4579" spans="18:23">
      <c r="R4579" s="127">
        <f t="shared" si="219"/>
        <v>0</v>
      </c>
      <c r="T4579" s="128">
        <f t="shared" si="218"/>
        <v>0</v>
      </c>
      <c r="U4579" s="129" t="str">
        <f>IFERROR(IF(#REF!="S",VLOOKUP('Raw Data'!A4579,References!#REF!,2,FALSE),(VLOOKUP($S4579,References!$B$3:$C$7,2,FALSE))),"")</f>
        <v/>
      </c>
      <c r="W4579" s="74" t="str">
        <f>IFERROR(VLOOKUP($O4579,'Customer List'!$A$1:$J$488,10,FALSE),"")</f>
        <v/>
      </c>
    </row>
    <row r="4580" spans="18:23">
      <c r="R4580" s="127">
        <f t="shared" si="219"/>
        <v>0</v>
      </c>
      <c r="T4580" s="128">
        <f t="shared" si="218"/>
        <v>0</v>
      </c>
      <c r="U4580" s="129" t="str">
        <f>IFERROR(IF(#REF!="S",VLOOKUP('Raw Data'!A4580,References!#REF!,2,FALSE),(VLOOKUP($S4580,References!$B$3:$C$7,2,FALSE))),"")</f>
        <v/>
      </c>
      <c r="W4580" s="74" t="str">
        <f>IFERROR(VLOOKUP($O4580,'Customer List'!$A$1:$J$488,10,FALSE),"")</f>
        <v/>
      </c>
    </row>
    <row r="4581" spans="18:23">
      <c r="R4581" s="127">
        <f t="shared" si="219"/>
        <v>0</v>
      </c>
      <c r="T4581" s="128">
        <f t="shared" si="218"/>
        <v>0</v>
      </c>
      <c r="U4581" s="129" t="str">
        <f>IFERROR(IF(#REF!="S",VLOOKUP('Raw Data'!A4581,References!#REF!,2,FALSE),(VLOOKUP($S4581,References!$B$3:$C$7,2,FALSE))),"")</f>
        <v/>
      </c>
      <c r="W4581" s="74" t="str">
        <f>IFERROR(VLOOKUP($O4581,'Customer List'!$A$1:$J$488,10,FALSE),"")</f>
        <v/>
      </c>
    </row>
    <row r="4582" spans="18:23">
      <c r="R4582" s="127">
        <f t="shared" si="219"/>
        <v>0</v>
      </c>
      <c r="T4582" s="128">
        <f t="shared" si="218"/>
        <v>0</v>
      </c>
      <c r="U4582" s="129" t="str">
        <f>IFERROR(IF(#REF!="S",VLOOKUP('Raw Data'!A4582,References!#REF!,2,FALSE),(VLOOKUP($S4582,References!$B$3:$C$7,2,FALSE))),"")</f>
        <v/>
      </c>
      <c r="W4582" s="74" t="str">
        <f>IFERROR(VLOOKUP($O4582,'Customer List'!$A$1:$J$488,10,FALSE),"")</f>
        <v/>
      </c>
    </row>
    <row r="4583" spans="18:23">
      <c r="R4583" s="127">
        <f t="shared" si="219"/>
        <v>0</v>
      </c>
      <c r="T4583" s="128">
        <f t="shared" si="218"/>
        <v>0</v>
      </c>
      <c r="U4583" s="129" t="str">
        <f>IFERROR(IF(#REF!="S",VLOOKUP('Raw Data'!A4583,References!#REF!,2,FALSE),(VLOOKUP($S4583,References!$B$3:$C$7,2,FALSE))),"")</f>
        <v/>
      </c>
      <c r="W4583" s="74" t="str">
        <f>IFERROR(VLOOKUP($O4583,'Customer List'!$A$1:$J$488,10,FALSE),"")</f>
        <v/>
      </c>
    </row>
    <row r="4584" spans="18:23">
      <c r="R4584" s="127">
        <f t="shared" si="219"/>
        <v>0</v>
      </c>
      <c r="T4584" s="128">
        <f t="shared" si="218"/>
        <v>0</v>
      </c>
      <c r="U4584" s="129" t="str">
        <f>IFERROR(IF(#REF!="S",VLOOKUP('Raw Data'!A4584,References!#REF!,2,FALSE),(VLOOKUP($S4584,References!$B$3:$C$7,2,FALSE))),"")</f>
        <v/>
      </c>
      <c r="W4584" s="74" t="str">
        <f>IFERROR(VLOOKUP($O4584,'Customer List'!$A$1:$J$488,10,FALSE),"")</f>
        <v/>
      </c>
    </row>
    <row r="4585" spans="18:23">
      <c r="R4585" s="127">
        <f t="shared" si="219"/>
        <v>0</v>
      </c>
      <c r="T4585" s="128">
        <f t="shared" si="218"/>
        <v>0</v>
      </c>
      <c r="U4585" s="129" t="str">
        <f>IFERROR(IF(#REF!="S",VLOOKUP('Raw Data'!A4585,References!#REF!,2,FALSE),(VLOOKUP($S4585,References!$B$3:$C$7,2,FALSE))),"")</f>
        <v/>
      </c>
      <c r="W4585" s="74" t="str">
        <f>IFERROR(VLOOKUP($O4585,'Customer List'!$A$1:$J$488,10,FALSE),"")</f>
        <v/>
      </c>
    </row>
    <row r="4586" spans="18:23">
      <c r="R4586" s="127">
        <f t="shared" si="219"/>
        <v>0</v>
      </c>
      <c r="T4586" s="128">
        <f t="shared" si="218"/>
        <v>0</v>
      </c>
      <c r="U4586" s="129" t="str">
        <f>IFERROR(IF(#REF!="S",VLOOKUP('Raw Data'!A4586,References!#REF!,2,FALSE),(VLOOKUP($S4586,References!$B$3:$C$7,2,FALSE))),"")</f>
        <v/>
      </c>
      <c r="W4586" s="74" t="str">
        <f>IFERROR(VLOOKUP($O4586,'Customer List'!$A$1:$J$488,10,FALSE),"")</f>
        <v/>
      </c>
    </row>
    <row r="4587" spans="18:23">
      <c r="R4587" s="127">
        <f t="shared" si="219"/>
        <v>0</v>
      </c>
      <c r="T4587" s="128">
        <f t="shared" si="218"/>
        <v>0</v>
      </c>
      <c r="U4587" s="129" t="str">
        <f>IFERROR(IF(#REF!="S",VLOOKUP('Raw Data'!A4587,References!#REF!,2,FALSE),(VLOOKUP($S4587,References!$B$3:$C$7,2,FALSE))),"")</f>
        <v/>
      </c>
      <c r="W4587" s="74" t="str">
        <f>IFERROR(VLOOKUP($O4587,'Customer List'!$A$1:$J$488,10,FALSE),"")</f>
        <v/>
      </c>
    </row>
    <row r="4588" spans="18:23">
      <c r="R4588" s="127">
        <f t="shared" si="219"/>
        <v>0</v>
      </c>
      <c r="T4588" s="128">
        <f t="shared" si="218"/>
        <v>0</v>
      </c>
      <c r="U4588" s="129" t="str">
        <f>IFERROR(IF(#REF!="S",VLOOKUP('Raw Data'!A4588,References!#REF!,2,FALSE),(VLOOKUP($S4588,References!$B$3:$C$7,2,FALSE))),"")</f>
        <v/>
      </c>
      <c r="W4588" s="74" t="str">
        <f>IFERROR(VLOOKUP($O4588,'Customer List'!$A$1:$J$488,10,FALSE),"")</f>
        <v/>
      </c>
    </row>
    <row r="4589" spans="18:23">
      <c r="R4589" s="127">
        <f t="shared" si="219"/>
        <v>0</v>
      </c>
      <c r="T4589" s="128">
        <f t="shared" si="218"/>
        <v>0</v>
      </c>
      <c r="U4589" s="129" t="str">
        <f>IFERROR(IF(#REF!="S",VLOOKUP('Raw Data'!A4589,References!#REF!,2,FALSE),(VLOOKUP($S4589,References!$B$3:$C$7,2,FALSE))),"")</f>
        <v/>
      </c>
      <c r="W4589" s="74" t="str">
        <f>IFERROR(VLOOKUP($O4589,'Customer List'!$A$1:$J$488,10,FALSE),"")</f>
        <v/>
      </c>
    </row>
    <row r="4590" spans="18:23">
      <c r="R4590" s="127">
        <f t="shared" si="219"/>
        <v>0</v>
      </c>
      <c r="T4590" s="128">
        <f t="shared" si="218"/>
        <v>0</v>
      </c>
      <c r="U4590" s="129" t="str">
        <f>IFERROR(IF(#REF!="S",VLOOKUP('Raw Data'!A4590,References!#REF!,2,FALSE),(VLOOKUP($S4590,References!$B$3:$C$7,2,FALSE))),"")</f>
        <v/>
      </c>
      <c r="W4590" s="74" t="str">
        <f>IFERROR(VLOOKUP($O4590,'Customer List'!$A$1:$J$488,10,FALSE),"")</f>
        <v/>
      </c>
    </row>
    <row r="4591" spans="18:23">
      <c r="R4591" s="127">
        <f t="shared" si="219"/>
        <v>0</v>
      </c>
      <c r="T4591" s="128">
        <f t="shared" si="218"/>
        <v>0</v>
      </c>
      <c r="U4591" s="129" t="str">
        <f>IFERROR(IF(#REF!="S",VLOOKUP('Raw Data'!A4591,References!#REF!,2,FALSE),(VLOOKUP($S4591,References!$B$3:$C$7,2,FALSE))),"")</f>
        <v/>
      </c>
      <c r="W4591" s="74" t="str">
        <f>IFERROR(VLOOKUP($O4591,'Customer List'!$A$1:$J$488,10,FALSE),"")</f>
        <v/>
      </c>
    </row>
    <row r="4592" spans="18:23">
      <c r="R4592" s="127">
        <f t="shared" si="219"/>
        <v>0</v>
      </c>
      <c r="T4592" s="128">
        <f t="shared" si="218"/>
        <v>0</v>
      </c>
      <c r="U4592" s="129" t="str">
        <f>IFERROR(IF(#REF!="S",VLOOKUP('Raw Data'!A4592,References!#REF!,2,FALSE),(VLOOKUP($S4592,References!$B$3:$C$7,2,FALSE))),"")</f>
        <v/>
      </c>
      <c r="W4592" s="74" t="str">
        <f>IFERROR(VLOOKUP($O4592,'Customer List'!$A$1:$J$488,10,FALSE),"")</f>
        <v/>
      </c>
    </row>
    <row r="4593" spans="18:23">
      <c r="R4593" s="127">
        <f t="shared" si="219"/>
        <v>0</v>
      </c>
      <c r="T4593" s="128">
        <f t="shared" si="218"/>
        <v>0</v>
      </c>
      <c r="U4593" s="129" t="str">
        <f>IFERROR(IF(#REF!="S",VLOOKUP('Raw Data'!A4593,References!#REF!,2,FALSE),(VLOOKUP($S4593,References!$B$3:$C$7,2,FALSE))),"")</f>
        <v/>
      </c>
      <c r="W4593" s="74" t="str">
        <f>IFERROR(VLOOKUP($O4593,'Customer List'!$A$1:$J$488,10,FALSE),"")</f>
        <v/>
      </c>
    </row>
    <row r="4594" spans="18:23">
      <c r="R4594" s="127">
        <f t="shared" si="219"/>
        <v>0</v>
      </c>
      <c r="T4594" s="128">
        <f t="shared" si="218"/>
        <v>0</v>
      </c>
      <c r="U4594" s="129" t="str">
        <f>IFERROR(IF(#REF!="S",VLOOKUP('Raw Data'!A4594,References!#REF!,2,FALSE),(VLOOKUP($S4594,References!$B$3:$C$7,2,FALSE))),"")</f>
        <v/>
      </c>
      <c r="W4594" s="74" t="str">
        <f>IFERROR(VLOOKUP($O4594,'Customer List'!$A$1:$J$488,10,FALSE),"")</f>
        <v/>
      </c>
    </row>
    <row r="4595" spans="18:23">
      <c r="R4595" s="127">
        <f t="shared" si="219"/>
        <v>0</v>
      </c>
      <c r="T4595" s="128">
        <f t="shared" si="218"/>
        <v>0</v>
      </c>
      <c r="U4595" s="129" t="str">
        <f>IFERROR(IF(#REF!="S",VLOOKUP('Raw Data'!A4595,References!#REF!,2,FALSE),(VLOOKUP($S4595,References!$B$3:$C$7,2,FALSE))),"")</f>
        <v/>
      </c>
      <c r="W4595" s="74" t="str">
        <f>IFERROR(VLOOKUP($O4595,'Customer List'!$A$1:$J$488,10,FALSE),"")</f>
        <v/>
      </c>
    </row>
    <row r="4596" spans="18:23">
      <c r="R4596" s="127">
        <f t="shared" si="219"/>
        <v>0</v>
      </c>
      <c r="T4596" s="128">
        <f t="shared" si="218"/>
        <v>0</v>
      </c>
      <c r="U4596" s="129" t="str">
        <f>IFERROR(IF(#REF!="S",VLOOKUP('Raw Data'!A4596,References!#REF!,2,FALSE),(VLOOKUP($S4596,References!$B$3:$C$7,2,FALSE))),"")</f>
        <v/>
      </c>
      <c r="W4596" s="74" t="str">
        <f>IFERROR(VLOOKUP($O4596,'Customer List'!$A$1:$J$488,10,FALSE),"")</f>
        <v/>
      </c>
    </row>
    <row r="4597" spans="18:23">
      <c r="R4597" s="127">
        <f t="shared" si="219"/>
        <v>0</v>
      </c>
      <c r="T4597" s="128">
        <f t="shared" si="218"/>
        <v>0</v>
      </c>
      <c r="U4597" s="129" t="str">
        <f>IFERROR(IF(#REF!="S",VLOOKUP('Raw Data'!A4597,References!#REF!,2,FALSE),(VLOOKUP($S4597,References!$B$3:$C$7,2,FALSE))),"")</f>
        <v/>
      </c>
      <c r="W4597" s="74" t="str">
        <f>IFERROR(VLOOKUP($O4597,'Customer List'!$A$1:$J$488,10,FALSE),"")</f>
        <v/>
      </c>
    </row>
    <row r="4598" spans="18:23">
      <c r="R4598" s="127">
        <f t="shared" si="219"/>
        <v>0</v>
      </c>
      <c r="T4598" s="128">
        <f t="shared" si="218"/>
        <v>0</v>
      </c>
      <c r="U4598" s="129" t="str">
        <f>IFERROR(IF(#REF!="S",VLOOKUP('Raw Data'!A4598,References!#REF!,2,FALSE),(VLOOKUP($S4598,References!$B$3:$C$7,2,FALSE))),"")</f>
        <v/>
      </c>
      <c r="W4598" s="74" t="str">
        <f>IFERROR(VLOOKUP($O4598,'Customer List'!$A$1:$J$488,10,FALSE),"")</f>
        <v/>
      </c>
    </row>
    <row r="4599" spans="18:23">
      <c r="R4599" s="127">
        <f t="shared" si="219"/>
        <v>0</v>
      </c>
      <c r="T4599" s="128">
        <f t="shared" si="218"/>
        <v>0</v>
      </c>
      <c r="U4599" s="129" t="str">
        <f>IFERROR(IF(#REF!="S",VLOOKUP('Raw Data'!A4599,References!#REF!,2,FALSE),(VLOOKUP($S4599,References!$B$3:$C$7,2,FALSE))),"")</f>
        <v/>
      </c>
      <c r="W4599" s="74" t="str">
        <f>IFERROR(VLOOKUP($O4599,'Customer List'!$A$1:$J$488,10,FALSE),"")</f>
        <v/>
      </c>
    </row>
    <row r="4600" spans="18:23">
      <c r="R4600" s="127">
        <f t="shared" si="219"/>
        <v>0</v>
      </c>
      <c r="T4600" s="128">
        <f t="shared" si="218"/>
        <v>0</v>
      </c>
      <c r="U4600" s="129" t="str">
        <f>IFERROR(IF(#REF!="S",VLOOKUP('Raw Data'!A4600,References!#REF!,2,FALSE),(VLOOKUP($S4600,References!$B$3:$C$7,2,FALSE))),"")</f>
        <v/>
      </c>
      <c r="W4600" s="74" t="str">
        <f>IFERROR(VLOOKUP($O4600,'Customer List'!$A$1:$J$488,10,FALSE),"")</f>
        <v/>
      </c>
    </row>
    <row r="4601" spans="18:23">
      <c r="R4601" s="127">
        <f t="shared" si="219"/>
        <v>0</v>
      </c>
      <c r="T4601" s="128">
        <f t="shared" si="218"/>
        <v>0</v>
      </c>
      <c r="U4601" s="129" t="str">
        <f>IFERROR(IF(#REF!="S",VLOOKUP('Raw Data'!A4601,References!#REF!,2,FALSE),(VLOOKUP($S4601,References!$B$3:$C$7,2,FALSE))),"")</f>
        <v/>
      </c>
      <c r="W4601" s="74" t="str">
        <f>IFERROR(VLOOKUP($O4601,'Customer List'!$A$1:$J$488,10,FALSE),"")</f>
        <v/>
      </c>
    </row>
    <row r="4602" spans="18:23">
      <c r="R4602" s="127">
        <f t="shared" si="219"/>
        <v>0</v>
      </c>
      <c r="T4602" s="128">
        <f t="shared" si="218"/>
        <v>0</v>
      </c>
      <c r="U4602" s="129" t="str">
        <f>IFERROR(IF(#REF!="S",VLOOKUP('Raw Data'!A4602,References!#REF!,2,FALSE),(VLOOKUP($S4602,References!$B$3:$C$7,2,FALSE))),"")</f>
        <v/>
      </c>
      <c r="W4602" s="74" t="str">
        <f>IFERROR(VLOOKUP($O4602,'Customer List'!$A$1:$J$488,10,FALSE),"")</f>
        <v/>
      </c>
    </row>
    <row r="4603" spans="18:23">
      <c r="R4603" s="127">
        <f t="shared" si="219"/>
        <v>0</v>
      </c>
      <c r="T4603" s="128">
        <f t="shared" si="218"/>
        <v>0</v>
      </c>
      <c r="U4603" s="129" t="str">
        <f>IFERROR(IF(#REF!="S",VLOOKUP('Raw Data'!A4603,References!#REF!,2,FALSE),(VLOOKUP($S4603,References!$B$3:$C$7,2,FALSE))),"")</f>
        <v/>
      </c>
      <c r="W4603" s="74" t="str">
        <f>IFERROR(VLOOKUP($O4603,'Customer List'!$A$1:$J$488,10,FALSE),"")</f>
        <v/>
      </c>
    </row>
    <row r="4604" spans="18:23">
      <c r="R4604" s="127">
        <f t="shared" si="219"/>
        <v>0</v>
      </c>
      <c r="T4604" s="128">
        <f t="shared" si="218"/>
        <v>0</v>
      </c>
      <c r="U4604" s="129" t="str">
        <f>IFERROR(IF(#REF!="S",VLOOKUP('Raw Data'!A4604,References!#REF!,2,FALSE),(VLOOKUP($S4604,References!$B$3:$C$7,2,FALSE))),"")</f>
        <v/>
      </c>
      <c r="W4604" s="74" t="str">
        <f>IFERROR(VLOOKUP($O4604,'Customer List'!$A$1:$J$488,10,FALSE),"")</f>
        <v/>
      </c>
    </row>
    <row r="4605" spans="18:23">
      <c r="R4605" s="127">
        <f t="shared" si="219"/>
        <v>0</v>
      </c>
      <c r="T4605" s="128">
        <f t="shared" si="218"/>
        <v>0</v>
      </c>
      <c r="U4605" s="129" t="str">
        <f>IFERROR(IF(#REF!="S",VLOOKUP('Raw Data'!A4605,References!#REF!,2,FALSE),(VLOOKUP($S4605,References!$B$3:$C$7,2,FALSE))),"")</f>
        <v/>
      </c>
      <c r="W4605" s="74" t="str">
        <f>IFERROR(VLOOKUP($O4605,'Customer List'!$A$1:$J$488,10,FALSE),"")</f>
        <v/>
      </c>
    </row>
    <row r="4606" spans="18:23">
      <c r="R4606" s="127">
        <f t="shared" si="219"/>
        <v>0</v>
      </c>
      <c r="T4606" s="128">
        <f t="shared" si="218"/>
        <v>0</v>
      </c>
      <c r="U4606" s="129" t="str">
        <f>IFERROR(IF(#REF!="S",VLOOKUP('Raw Data'!A4606,References!#REF!,2,FALSE),(VLOOKUP($S4606,References!$B$3:$C$7,2,FALSE))),"")</f>
        <v/>
      </c>
      <c r="W4606" s="74" t="str">
        <f>IFERROR(VLOOKUP($O4606,'Customer List'!$A$1:$J$488,10,FALSE),"")</f>
        <v/>
      </c>
    </row>
    <row r="4607" spans="18:23">
      <c r="R4607" s="127">
        <f t="shared" si="219"/>
        <v>0</v>
      </c>
      <c r="T4607" s="128">
        <f t="shared" si="218"/>
        <v>0</v>
      </c>
      <c r="U4607" s="129" t="str">
        <f>IFERROR(IF(#REF!="S",VLOOKUP('Raw Data'!A4607,References!#REF!,2,FALSE),(VLOOKUP($S4607,References!$B$3:$C$7,2,FALSE))),"")</f>
        <v/>
      </c>
      <c r="W4607" s="74" t="str">
        <f>IFERROR(VLOOKUP($O4607,'Customer List'!$A$1:$J$488,10,FALSE),"")</f>
        <v/>
      </c>
    </row>
    <row r="4608" spans="18:23">
      <c r="R4608" s="127">
        <f t="shared" si="219"/>
        <v>0</v>
      </c>
      <c r="T4608" s="128">
        <f t="shared" si="218"/>
        <v>0</v>
      </c>
      <c r="U4608" s="129" t="str">
        <f>IFERROR(IF(#REF!="S",VLOOKUP('Raw Data'!A4608,References!#REF!,2,FALSE),(VLOOKUP($S4608,References!$B$3:$C$7,2,FALSE))),"")</f>
        <v/>
      </c>
      <c r="W4608" s="74" t="str">
        <f>IFERROR(VLOOKUP($O4608,'Customer List'!$A$1:$J$488,10,FALSE),"")</f>
        <v/>
      </c>
    </row>
    <row r="4609" spans="18:23">
      <c r="R4609" s="127">
        <f t="shared" si="219"/>
        <v>0</v>
      </c>
      <c r="T4609" s="128">
        <f t="shared" si="218"/>
        <v>0</v>
      </c>
      <c r="U4609" s="129" t="str">
        <f>IFERROR(IF(#REF!="S",VLOOKUP('Raw Data'!A4609,References!#REF!,2,FALSE),(VLOOKUP($S4609,References!$B$3:$C$7,2,FALSE))),"")</f>
        <v/>
      </c>
      <c r="W4609" s="74" t="str">
        <f>IFERROR(VLOOKUP($O4609,'Customer List'!$A$1:$J$488,10,FALSE),"")</f>
        <v/>
      </c>
    </row>
    <row r="4610" spans="18:23">
      <c r="R4610" s="127">
        <f t="shared" si="219"/>
        <v>0</v>
      </c>
      <c r="T4610" s="128">
        <f t="shared" si="218"/>
        <v>0</v>
      </c>
      <c r="U4610" s="129" t="str">
        <f>IFERROR(IF(#REF!="S",VLOOKUP('Raw Data'!A4610,References!#REF!,2,FALSE),(VLOOKUP($S4610,References!$B$3:$C$7,2,FALSE))),"")</f>
        <v/>
      </c>
      <c r="W4610" s="74" t="str">
        <f>IFERROR(VLOOKUP($O4610,'Customer List'!$A$1:$J$488,10,FALSE),"")</f>
        <v/>
      </c>
    </row>
    <row r="4611" spans="18:23">
      <c r="R4611" s="127">
        <f t="shared" si="219"/>
        <v>0</v>
      </c>
      <c r="T4611" s="128">
        <f t="shared" si="218"/>
        <v>0</v>
      </c>
      <c r="U4611" s="129" t="str">
        <f>IFERROR(IF(#REF!="S",VLOOKUP('Raw Data'!A4611,References!#REF!,2,FALSE),(VLOOKUP($S4611,References!$B$3:$C$7,2,FALSE))),"")</f>
        <v/>
      </c>
      <c r="W4611" s="74" t="str">
        <f>IFERROR(VLOOKUP($O4611,'Customer List'!$A$1:$J$488,10,FALSE),"")</f>
        <v/>
      </c>
    </row>
    <row r="4612" spans="18:23">
      <c r="R4612" s="127">
        <f t="shared" si="219"/>
        <v>0</v>
      </c>
      <c r="T4612" s="128">
        <f t="shared" si="218"/>
        <v>0</v>
      </c>
      <c r="U4612" s="129" t="str">
        <f>IFERROR(IF(#REF!="S",VLOOKUP('Raw Data'!A4612,References!#REF!,2,FALSE),(VLOOKUP($S4612,References!$B$3:$C$7,2,FALSE))),"")</f>
        <v/>
      </c>
      <c r="W4612" s="74" t="str">
        <f>IFERROR(VLOOKUP($O4612,'Customer List'!$A$1:$J$488,10,FALSE),"")</f>
        <v/>
      </c>
    </row>
    <row r="4613" spans="18:23">
      <c r="R4613" s="127">
        <f t="shared" si="219"/>
        <v>0</v>
      </c>
      <c r="T4613" s="128">
        <f t="shared" si="218"/>
        <v>0</v>
      </c>
      <c r="U4613" s="129" t="str">
        <f>IFERROR(IF(#REF!="S",VLOOKUP('Raw Data'!A4613,References!#REF!,2,FALSE),(VLOOKUP($S4613,References!$B$3:$C$7,2,FALSE))),"")</f>
        <v/>
      </c>
      <c r="W4613" s="74" t="str">
        <f>IFERROR(VLOOKUP($O4613,'Customer List'!$A$1:$J$488,10,FALSE),"")</f>
        <v/>
      </c>
    </row>
    <row r="4614" spans="18:23">
      <c r="R4614" s="127">
        <f t="shared" si="219"/>
        <v>0</v>
      </c>
      <c r="T4614" s="128">
        <f t="shared" si="218"/>
        <v>0</v>
      </c>
      <c r="U4614" s="129" t="str">
        <f>IFERROR(IF(#REF!="S",VLOOKUP('Raw Data'!A4614,References!#REF!,2,FALSE),(VLOOKUP($S4614,References!$B$3:$C$7,2,FALSE))),"")</f>
        <v/>
      </c>
      <c r="W4614" s="74" t="str">
        <f>IFERROR(VLOOKUP($O4614,'Customer List'!$A$1:$J$488,10,FALSE),"")</f>
        <v/>
      </c>
    </row>
    <row r="4615" spans="18:23">
      <c r="R4615" s="127">
        <f t="shared" si="219"/>
        <v>0</v>
      </c>
      <c r="T4615" s="128">
        <f t="shared" si="218"/>
        <v>0</v>
      </c>
      <c r="U4615" s="129" t="str">
        <f>IFERROR(IF(#REF!="S",VLOOKUP('Raw Data'!A4615,References!#REF!,2,FALSE),(VLOOKUP($S4615,References!$B$3:$C$7,2,FALSE))),"")</f>
        <v/>
      </c>
      <c r="W4615" s="74" t="str">
        <f>IFERROR(VLOOKUP($O4615,'Customer List'!$A$1:$J$488,10,FALSE),"")</f>
        <v/>
      </c>
    </row>
    <row r="4616" spans="18:23">
      <c r="R4616" s="127">
        <f t="shared" si="219"/>
        <v>0</v>
      </c>
      <c r="T4616" s="128">
        <f t="shared" si="218"/>
        <v>0</v>
      </c>
      <c r="U4616" s="129" t="str">
        <f>IFERROR(IF(#REF!="S",VLOOKUP('Raw Data'!A4616,References!#REF!,2,FALSE),(VLOOKUP($S4616,References!$B$3:$C$7,2,FALSE))),"")</f>
        <v/>
      </c>
      <c r="W4616" s="74" t="str">
        <f>IFERROR(VLOOKUP($O4616,'Customer List'!$A$1:$J$488,10,FALSE),"")</f>
        <v/>
      </c>
    </row>
    <row r="4617" spans="18:23">
      <c r="R4617" s="127">
        <f t="shared" si="219"/>
        <v>0</v>
      </c>
      <c r="T4617" s="128">
        <f t="shared" si="218"/>
        <v>0</v>
      </c>
      <c r="U4617" s="129" t="str">
        <f>IFERROR(IF(#REF!="S",VLOOKUP('Raw Data'!A4617,References!#REF!,2,FALSE),(VLOOKUP($S4617,References!$B$3:$C$7,2,FALSE))),"")</f>
        <v/>
      </c>
      <c r="W4617" s="74" t="str">
        <f>IFERROR(VLOOKUP($O4617,'Customer List'!$A$1:$J$488,10,FALSE),"")</f>
        <v/>
      </c>
    </row>
    <row r="4618" spans="18:23">
      <c r="R4618" s="127">
        <f t="shared" si="219"/>
        <v>0</v>
      </c>
      <c r="T4618" s="128">
        <f t="shared" ref="T4618:T4681" si="220">IF(S4618="50 - Cleaning Fee",1,HOUR($R4618)+MINUTE(R4618)/60)</f>
        <v>0</v>
      </c>
      <c r="U4618" s="129" t="str">
        <f>IFERROR(IF(#REF!="S",VLOOKUP('Raw Data'!A4618,References!#REF!,2,FALSE),(VLOOKUP($S4618,References!$B$3:$C$7,2,FALSE))),"")</f>
        <v/>
      </c>
      <c r="W4618" s="74" t="str">
        <f>IFERROR(VLOOKUP($O4618,'Customer List'!$A$1:$J$488,10,FALSE),"")</f>
        <v/>
      </c>
    </row>
    <row r="4619" spans="18:23">
      <c r="R4619" s="127">
        <f t="shared" si="219"/>
        <v>0</v>
      </c>
      <c r="T4619" s="128">
        <f t="shared" si="220"/>
        <v>0</v>
      </c>
      <c r="U4619" s="129" t="str">
        <f>IFERROR(IF(#REF!="S",VLOOKUP('Raw Data'!A4619,References!#REF!,2,FALSE),(VLOOKUP($S4619,References!$B$3:$C$7,2,FALSE))),"")</f>
        <v/>
      </c>
      <c r="W4619" s="74" t="str">
        <f>IFERROR(VLOOKUP($O4619,'Customer List'!$A$1:$J$488,10,FALSE),"")</f>
        <v/>
      </c>
    </row>
    <row r="4620" spans="18:23">
      <c r="R4620" s="127">
        <f t="shared" si="219"/>
        <v>0</v>
      </c>
      <c r="T4620" s="128">
        <f t="shared" si="220"/>
        <v>0</v>
      </c>
      <c r="U4620" s="129" t="str">
        <f>IFERROR(IF(#REF!="S",VLOOKUP('Raw Data'!A4620,References!#REF!,2,FALSE),(VLOOKUP($S4620,References!$B$3:$C$7,2,FALSE))),"")</f>
        <v/>
      </c>
      <c r="W4620" s="74" t="str">
        <f>IFERROR(VLOOKUP($O4620,'Customer List'!$A$1:$J$488,10,FALSE),"")</f>
        <v/>
      </c>
    </row>
    <row r="4621" spans="18:23">
      <c r="R4621" s="127">
        <f t="shared" si="219"/>
        <v>0</v>
      </c>
      <c r="T4621" s="128">
        <f t="shared" si="220"/>
        <v>0</v>
      </c>
      <c r="U4621" s="129" t="str">
        <f>IFERROR(IF(#REF!="S",VLOOKUP('Raw Data'!A4621,References!#REF!,2,FALSE),(VLOOKUP($S4621,References!$B$3:$C$7,2,FALSE))),"")</f>
        <v/>
      </c>
      <c r="W4621" s="74" t="str">
        <f>IFERROR(VLOOKUP($O4621,'Customer List'!$A$1:$J$488,10,FALSE),"")</f>
        <v/>
      </c>
    </row>
    <row r="4622" spans="18:23">
      <c r="R4622" s="127">
        <f t="shared" si="219"/>
        <v>0</v>
      </c>
      <c r="T4622" s="128">
        <f t="shared" si="220"/>
        <v>0</v>
      </c>
      <c r="U4622" s="129" t="str">
        <f>IFERROR(IF(#REF!="S",VLOOKUP('Raw Data'!A4622,References!#REF!,2,FALSE),(VLOOKUP($S4622,References!$B$3:$C$7,2,FALSE))),"")</f>
        <v/>
      </c>
      <c r="W4622" s="74" t="str">
        <f>IFERROR(VLOOKUP($O4622,'Customer List'!$A$1:$J$488,10,FALSE),"")</f>
        <v/>
      </c>
    </row>
    <row r="4623" spans="18:23">
      <c r="R4623" s="127">
        <f t="shared" si="219"/>
        <v>0</v>
      </c>
      <c r="T4623" s="128">
        <f t="shared" si="220"/>
        <v>0</v>
      </c>
      <c r="U4623" s="129" t="str">
        <f>IFERROR(IF(#REF!="S",VLOOKUP('Raw Data'!A4623,References!#REF!,2,FALSE),(VLOOKUP($S4623,References!$B$3:$C$7,2,FALSE))),"")</f>
        <v/>
      </c>
      <c r="W4623" s="74" t="str">
        <f>IFERROR(VLOOKUP($O4623,'Customer List'!$A$1:$J$488,10,FALSE),"")</f>
        <v/>
      </c>
    </row>
    <row r="4624" spans="18:23">
      <c r="R4624" s="127">
        <f t="shared" si="219"/>
        <v>0</v>
      </c>
      <c r="T4624" s="128">
        <f t="shared" si="220"/>
        <v>0</v>
      </c>
      <c r="U4624" s="129" t="str">
        <f>IFERROR(IF(#REF!="S",VLOOKUP('Raw Data'!A4624,References!#REF!,2,FALSE),(VLOOKUP($S4624,References!$B$3:$C$7,2,FALSE))),"")</f>
        <v/>
      </c>
      <c r="W4624" s="74" t="str">
        <f>IFERROR(VLOOKUP($O4624,'Customer List'!$A$1:$J$488,10,FALSE),"")</f>
        <v/>
      </c>
    </row>
    <row r="4625" spans="18:23">
      <c r="R4625" s="127">
        <f t="shared" si="219"/>
        <v>0</v>
      </c>
      <c r="T4625" s="128">
        <f t="shared" si="220"/>
        <v>0</v>
      </c>
      <c r="U4625" s="129" t="str">
        <f>IFERROR(IF(#REF!="S",VLOOKUP('Raw Data'!A4625,References!#REF!,2,FALSE),(VLOOKUP($S4625,References!$B$3:$C$7,2,FALSE))),"")</f>
        <v/>
      </c>
      <c r="W4625" s="74" t="str">
        <f>IFERROR(VLOOKUP($O4625,'Customer List'!$A$1:$J$488,10,FALSE),"")</f>
        <v/>
      </c>
    </row>
    <row r="4626" spans="18:23">
      <c r="R4626" s="127">
        <f t="shared" si="219"/>
        <v>0</v>
      </c>
      <c r="T4626" s="128">
        <f t="shared" si="220"/>
        <v>0</v>
      </c>
      <c r="U4626" s="129" t="str">
        <f>IFERROR(IF(#REF!="S",VLOOKUP('Raw Data'!A4626,References!#REF!,2,FALSE),(VLOOKUP($S4626,References!$B$3:$C$7,2,FALSE))),"")</f>
        <v/>
      </c>
      <c r="W4626" s="74" t="str">
        <f>IFERROR(VLOOKUP($O4626,'Customer List'!$A$1:$J$488,10,FALSE),"")</f>
        <v/>
      </c>
    </row>
    <row r="4627" spans="18:23">
      <c r="R4627" s="127">
        <f t="shared" si="219"/>
        <v>0</v>
      </c>
      <c r="T4627" s="128">
        <f t="shared" si="220"/>
        <v>0</v>
      </c>
      <c r="U4627" s="129" t="str">
        <f>IFERROR(IF(#REF!="S",VLOOKUP('Raw Data'!A4627,References!#REF!,2,FALSE),(VLOOKUP($S4627,References!$B$3:$C$7,2,FALSE))),"")</f>
        <v/>
      </c>
      <c r="W4627" s="74" t="str">
        <f>IFERROR(VLOOKUP($O4627,'Customer List'!$A$1:$J$488,10,FALSE),"")</f>
        <v/>
      </c>
    </row>
    <row r="4628" spans="18:23">
      <c r="R4628" s="127">
        <f t="shared" si="219"/>
        <v>0</v>
      </c>
      <c r="T4628" s="128">
        <f t="shared" si="220"/>
        <v>0</v>
      </c>
      <c r="U4628" s="129" t="str">
        <f>IFERROR(IF(#REF!="S",VLOOKUP('Raw Data'!A4628,References!#REF!,2,FALSE),(VLOOKUP($S4628,References!$B$3:$C$7,2,FALSE))),"")</f>
        <v/>
      </c>
      <c r="W4628" s="74" t="str">
        <f>IFERROR(VLOOKUP($O4628,'Customer List'!$A$1:$J$488,10,FALSE),"")</f>
        <v/>
      </c>
    </row>
    <row r="4629" spans="18:23">
      <c r="R4629" s="127">
        <f t="shared" si="219"/>
        <v>0</v>
      </c>
      <c r="T4629" s="128">
        <f t="shared" si="220"/>
        <v>0</v>
      </c>
      <c r="U4629" s="129" t="str">
        <f>IFERROR(IF(#REF!="S",VLOOKUP('Raw Data'!A4629,References!#REF!,2,FALSE),(VLOOKUP($S4629,References!$B$3:$C$7,2,FALSE))),"")</f>
        <v/>
      </c>
      <c r="W4629" s="74" t="str">
        <f>IFERROR(VLOOKUP($O4629,'Customer List'!$A$1:$J$488,10,FALSE),"")</f>
        <v/>
      </c>
    </row>
    <row r="4630" spans="18:23">
      <c r="R4630" s="127">
        <f t="shared" si="219"/>
        <v>0</v>
      </c>
      <c r="T4630" s="128">
        <f t="shared" si="220"/>
        <v>0</v>
      </c>
      <c r="U4630" s="129" t="str">
        <f>IFERROR(IF(#REF!="S",VLOOKUP('Raw Data'!A4630,References!#REF!,2,FALSE),(VLOOKUP($S4630,References!$B$3:$C$7,2,FALSE))),"")</f>
        <v/>
      </c>
      <c r="W4630" s="74" t="str">
        <f>IFERROR(VLOOKUP($O4630,'Customer List'!$A$1:$J$488,10,FALSE),"")</f>
        <v/>
      </c>
    </row>
    <row r="4631" spans="18:23">
      <c r="R4631" s="127">
        <f t="shared" si="219"/>
        <v>0</v>
      </c>
      <c r="T4631" s="128">
        <f t="shared" si="220"/>
        <v>0</v>
      </c>
      <c r="U4631" s="129" t="str">
        <f>IFERROR(IF(#REF!="S",VLOOKUP('Raw Data'!A4631,References!#REF!,2,FALSE),(VLOOKUP($S4631,References!$B$3:$C$7,2,FALSE))),"")</f>
        <v/>
      </c>
      <c r="W4631" s="74" t="str">
        <f>IFERROR(VLOOKUP($O4631,'Customer List'!$A$1:$J$488,10,FALSE),"")</f>
        <v/>
      </c>
    </row>
    <row r="4632" spans="18:23">
      <c r="R4632" s="127">
        <f t="shared" si="219"/>
        <v>0</v>
      </c>
      <c r="T4632" s="128">
        <f t="shared" si="220"/>
        <v>0</v>
      </c>
      <c r="U4632" s="129" t="str">
        <f>IFERROR(IF(#REF!="S",VLOOKUP('Raw Data'!A4632,References!#REF!,2,FALSE),(VLOOKUP($S4632,References!$B$3:$C$7,2,FALSE))),"")</f>
        <v/>
      </c>
      <c r="W4632" s="74" t="str">
        <f>IFERROR(VLOOKUP($O4632,'Customer List'!$A$1:$J$488,10,FALSE),"")</f>
        <v/>
      </c>
    </row>
    <row r="4633" spans="18:23">
      <c r="R4633" s="127">
        <f t="shared" si="219"/>
        <v>0</v>
      </c>
      <c r="T4633" s="128">
        <f t="shared" si="220"/>
        <v>0</v>
      </c>
      <c r="U4633" s="129" t="str">
        <f>IFERROR(IF(#REF!="S",VLOOKUP('Raw Data'!A4633,References!#REF!,2,FALSE),(VLOOKUP($S4633,References!$B$3:$C$7,2,FALSE))),"")</f>
        <v/>
      </c>
      <c r="W4633" s="74" t="str">
        <f>IFERROR(VLOOKUP($O4633,'Customer List'!$A$1:$J$488,10,FALSE),"")</f>
        <v/>
      </c>
    </row>
    <row r="4634" spans="18:23">
      <c r="R4634" s="127">
        <f t="shared" si="219"/>
        <v>0</v>
      </c>
      <c r="T4634" s="128">
        <f t="shared" si="220"/>
        <v>0</v>
      </c>
      <c r="U4634" s="129" t="str">
        <f>IFERROR(IF(#REF!="S",VLOOKUP('Raw Data'!A4634,References!#REF!,2,FALSE),(VLOOKUP($S4634,References!$B$3:$C$7,2,FALSE))),"")</f>
        <v/>
      </c>
      <c r="W4634" s="74" t="str">
        <f>IFERROR(VLOOKUP($O4634,'Customer List'!$A$1:$J$488,10,FALSE),"")</f>
        <v/>
      </c>
    </row>
    <row r="4635" spans="18:23">
      <c r="R4635" s="127">
        <f t="shared" si="219"/>
        <v>0</v>
      </c>
      <c r="T4635" s="128">
        <f t="shared" si="220"/>
        <v>0</v>
      </c>
      <c r="U4635" s="129" t="str">
        <f>IFERROR(IF(#REF!="S",VLOOKUP('Raw Data'!A4635,References!#REF!,2,FALSE),(VLOOKUP($S4635,References!$B$3:$C$7,2,FALSE))),"")</f>
        <v/>
      </c>
      <c r="W4635" s="74" t="str">
        <f>IFERROR(VLOOKUP($O4635,'Customer List'!$A$1:$J$488,10,FALSE),"")</f>
        <v/>
      </c>
    </row>
    <row r="4636" spans="18:23">
      <c r="R4636" s="127">
        <f t="shared" si="219"/>
        <v>0</v>
      </c>
      <c r="T4636" s="128">
        <f t="shared" si="220"/>
        <v>0</v>
      </c>
      <c r="U4636" s="129" t="str">
        <f>IFERROR(IF(#REF!="S",VLOOKUP('Raw Data'!A4636,References!#REF!,2,FALSE),(VLOOKUP($S4636,References!$B$3:$C$7,2,FALSE))),"")</f>
        <v/>
      </c>
      <c r="W4636" s="74" t="str">
        <f>IFERROR(VLOOKUP($O4636,'Customer List'!$A$1:$J$488,10,FALSE),"")</f>
        <v/>
      </c>
    </row>
    <row r="4637" spans="18:23">
      <c r="R4637" s="127">
        <f t="shared" si="219"/>
        <v>0</v>
      </c>
      <c r="T4637" s="128">
        <f t="shared" si="220"/>
        <v>0</v>
      </c>
      <c r="U4637" s="129" t="str">
        <f>IFERROR(IF(#REF!="S",VLOOKUP('Raw Data'!A4637,References!#REF!,2,FALSE),(VLOOKUP($S4637,References!$B$3:$C$7,2,FALSE))),"")</f>
        <v/>
      </c>
      <c r="W4637" s="74" t="str">
        <f>IFERROR(VLOOKUP($O4637,'Customer List'!$A$1:$J$488,10,FALSE),"")</f>
        <v/>
      </c>
    </row>
    <row r="4638" spans="18:23">
      <c r="R4638" s="127">
        <f t="shared" si="219"/>
        <v>0</v>
      </c>
      <c r="T4638" s="128">
        <f t="shared" si="220"/>
        <v>0</v>
      </c>
      <c r="U4638" s="129" t="str">
        <f>IFERROR(IF(#REF!="S",VLOOKUP('Raw Data'!A4638,References!#REF!,2,FALSE),(VLOOKUP($S4638,References!$B$3:$C$7,2,FALSE))),"")</f>
        <v/>
      </c>
      <c r="W4638" s="74" t="str">
        <f>IFERROR(VLOOKUP($O4638,'Customer List'!$A$1:$J$488,10,FALSE),"")</f>
        <v/>
      </c>
    </row>
    <row r="4639" spans="18:23">
      <c r="R4639" s="127">
        <f t="shared" si="219"/>
        <v>0</v>
      </c>
      <c r="T4639" s="128">
        <f t="shared" si="220"/>
        <v>0</v>
      </c>
      <c r="U4639" s="129" t="str">
        <f>IFERROR(IF(#REF!="S",VLOOKUP('Raw Data'!A4639,References!#REF!,2,FALSE),(VLOOKUP($S4639,References!$B$3:$C$7,2,FALSE))),"")</f>
        <v/>
      </c>
      <c r="W4639" s="74" t="str">
        <f>IFERROR(VLOOKUP($O4639,'Customer List'!$A$1:$J$488,10,FALSE),"")</f>
        <v/>
      </c>
    </row>
    <row r="4640" spans="18:23">
      <c r="R4640" s="127">
        <f t="shared" si="219"/>
        <v>0</v>
      </c>
      <c r="T4640" s="128">
        <f t="shared" si="220"/>
        <v>0</v>
      </c>
      <c r="U4640" s="129" t="str">
        <f>IFERROR(IF(#REF!="S",VLOOKUP('Raw Data'!A4640,References!#REF!,2,FALSE),(VLOOKUP($S4640,References!$B$3:$C$7,2,FALSE))),"")</f>
        <v/>
      </c>
      <c r="W4640" s="74" t="str">
        <f>IFERROR(VLOOKUP($O4640,'Customer List'!$A$1:$J$488,10,FALSE),"")</f>
        <v/>
      </c>
    </row>
    <row r="4641" spans="18:23">
      <c r="R4641" s="127">
        <f t="shared" si="219"/>
        <v>0</v>
      </c>
      <c r="T4641" s="128">
        <f t="shared" si="220"/>
        <v>0</v>
      </c>
      <c r="U4641" s="129" t="str">
        <f>IFERROR(IF(#REF!="S",VLOOKUP('Raw Data'!A4641,References!#REF!,2,FALSE),(VLOOKUP($S4641,References!$B$3:$C$7,2,FALSE))),"")</f>
        <v/>
      </c>
      <c r="W4641" s="74" t="str">
        <f>IFERROR(VLOOKUP($O4641,'Customer List'!$A$1:$J$488,10,FALSE),"")</f>
        <v/>
      </c>
    </row>
    <row r="4642" spans="18:23">
      <c r="R4642" s="127">
        <f t="shared" ref="R4642:R4705" si="221">L4642-K4642</f>
        <v>0</v>
      </c>
      <c r="T4642" s="128">
        <f t="shared" si="220"/>
        <v>0</v>
      </c>
      <c r="U4642" s="129" t="str">
        <f>IFERROR(IF(#REF!="S",VLOOKUP('Raw Data'!A4642,References!#REF!,2,FALSE),(VLOOKUP($S4642,References!$B$3:$C$7,2,FALSE))),"")</f>
        <v/>
      </c>
      <c r="W4642" s="74" t="str">
        <f>IFERROR(VLOOKUP($O4642,'Customer List'!$A$1:$J$488,10,FALSE),"")</f>
        <v/>
      </c>
    </row>
    <row r="4643" spans="18:23">
      <c r="R4643" s="127">
        <f t="shared" si="221"/>
        <v>0</v>
      </c>
      <c r="T4643" s="128">
        <f t="shared" si="220"/>
        <v>0</v>
      </c>
      <c r="U4643" s="129" t="str">
        <f>IFERROR(IF(#REF!="S",VLOOKUP('Raw Data'!A4643,References!#REF!,2,FALSE),(VLOOKUP($S4643,References!$B$3:$C$7,2,FALSE))),"")</f>
        <v/>
      </c>
      <c r="W4643" s="74" t="str">
        <f>IFERROR(VLOOKUP($O4643,'Customer List'!$A$1:$J$488,10,FALSE),"")</f>
        <v/>
      </c>
    </row>
    <row r="4644" spans="18:23">
      <c r="R4644" s="127">
        <f t="shared" si="221"/>
        <v>0</v>
      </c>
      <c r="T4644" s="128">
        <f t="shared" si="220"/>
        <v>0</v>
      </c>
      <c r="U4644" s="129" t="str">
        <f>IFERROR(IF(#REF!="S",VLOOKUP('Raw Data'!A4644,References!#REF!,2,FALSE),(VLOOKUP($S4644,References!$B$3:$C$7,2,FALSE))),"")</f>
        <v/>
      </c>
      <c r="W4644" s="74" t="str">
        <f>IFERROR(VLOOKUP($O4644,'Customer List'!$A$1:$J$488,10,FALSE),"")</f>
        <v/>
      </c>
    </row>
    <row r="4645" spans="18:23">
      <c r="R4645" s="127">
        <f t="shared" si="221"/>
        <v>0</v>
      </c>
      <c r="T4645" s="128">
        <f t="shared" si="220"/>
        <v>0</v>
      </c>
      <c r="U4645" s="129" t="str">
        <f>IFERROR(IF(#REF!="S",VLOOKUP('Raw Data'!A4645,References!#REF!,2,FALSE),(VLOOKUP($S4645,References!$B$3:$C$7,2,FALSE))),"")</f>
        <v/>
      </c>
      <c r="W4645" s="74" t="str">
        <f>IFERROR(VLOOKUP($O4645,'Customer List'!$A$1:$J$488,10,FALSE),"")</f>
        <v/>
      </c>
    </row>
    <row r="4646" spans="18:23">
      <c r="R4646" s="127">
        <f t="shared" si="221"/>
        <v>0</v>
      </c>
      <c r="T4646" s="128">
        <f t="shared" si="220"/>
        <v>0</v>
      </c>
      <c r="U4646" s="129" t="str">
        <f>IFERROR(IF(#REF!="S",VLOOKUP('Raw Data'!A4646,References!#REF!,2,FALSE),(VLOOKUP($S4646,References!$B$3:$C$7,2,FALSE))),"")</f>
        <v/>
      </c>
      <c r="W4646" s="74" t="str">
        <f>IFERROR(VLOOKUP($O4646,'Customer List'!$A$1:$J$488,10,FALSE),"")</f>
        <v/>
      </c>
    </row>
    <row r="4647" spans="18:23">
      <c r="R4647" s="127">
        <f t="shared" si="221"/>
        <v>0</v>
      </c>
      <c r="T4647" s="128">
        <f t="shared" si="220"/>
        <v>0</v>
      </c>
      <c r="U4647" s="129" t="str">
        <f>IFERROR(IF(#REF!="S",VLOOKUP('Raw Data'!A4647,References!#REF!,2,FALSE),(VLOOKUP($S4647,References!$B$3:$C$7,2,FALSE))),"")</f>
        <v/>
      </c>
      <c r="W4647" s="74" t="str">
        <f>IFERROR(VLOOKUP($O4647,'Customer List'!$A$1:$J$488,10,FALSE),"")</f>
        <v/>
      </c>
    </row>
    <row r="4648" spans="18:23">
      <c r="R4648" s="127">
        <f t="shared" si="221"/>
        <v>0</v>
      </c>
      <c r="T4648" s="128">
        <f t="shared" si="220"/>
        <v>0</v>
      </c>
      <c r="U4648" s="129" t="str">
        <f>IFERROR(IF(#REF!="S",VLOOKUP('Raw Data'!A4648,References!#REF!,2,FALSE),(VLOOKUP($S4648,References!$B$3:$C$7,2,FALSE))),"")</f>
        <v/>
      </c>
      <c r="W4648" s="74" t="str">
        <f>IFERROR(VLOOKUP($O4648,'Customer List'!$A$1:$J$488,10,FALSE),"")</f>
        <v/>
      </c>
    </row>
    <row r="4649" spans="18:23">
      <c r="R4649" s="127">
        <f t="shared" si="221"/>
        <v>0</v>
      </c>
      <c r="T4649" s="128">
        <f t="shared" si="220"/>
        <v>0</v>
      </c>
      <c r="U4649" s="129" t="str">
        <f>IFERROR(IF(#REF!="S",VLOOKUP('Raw Data'!A4649,References!#REF!,2,FALSE),(VLOOKUP($S4649,References!$B$3:$C$7,2,FALSE))),"")</f>
        <v/>
      </c>
      <c r="W4649" s="74" t="str">
        <f>IFERROR(VLOOKUP($O4649,'Customer List'!$A$1:$J$488,10,FALSE),"")</f>
        <v/>
      </c>
    </row>
    <row r="4650" spans="18:23">
      <c r="R4650" s="127">
        <f t="shared" si="221"/>
        <v>0</v>
      </c>
      <c r="T4650" s="128">
        <f t="shared" si="220"/>
        <v>0</v>
      </c>
      <c r="U4650" s="129" t="str">
        <f>IFERROR(IF(#REF!="S",VLOOKUP('Raw Data'!A4650,References!#REF!,2,FALSE),(VLOOKUP($S4650,References!$B$3:$C$7,2,FALSE))),"")</f>
        <v/>
      </c>
      <c r="W4650" s="74" t="str">
        <f>IFERROR(VLOOKUP($O4650,'Customer List'!$A$1:$J$488,10,FALSE),"")</f>
        <v/>
      </c>
    </row>
    <row r="4651" spans="18:23">
      <c r="R4651" s="127">
        <f t="shared" si="221"/>
        <v>0</v>
      </c>
      <c r="T4651" s="128">
        <f t="shared" si="220"/>
        <v>0</v>
      </c>
      <c r="U4651" s="129" t="str">
        <f>IFERROR(IF(#REF!="S",VLOOKUP('Raw Data'!A4651,References!#REF!,2,FALSE),(VLOOKUP($S4651,References!$B$3:$C$7,2,FALSE))),"")</f>
        <v/>
      </c>
      <c r="W4651" s="74" t="str">
        <f>IFERROR(VLOOKUP($O4651,'Customer List'!$A$1:$J$488,10,FALSE),"")</f>
        <v/>
      </c>
    </row>
    <row r="4652" spans="18:23">
      <c r="R4652" s="127">
        <f t="shared" si="221"/>
        <v>0</v>
      </c>
      <c r="T4652" s="128">
        <f t="shared" si="220"/>
        <v>0</v>
      </c>
      <c r="U4652" s="129" t="str">
        <f>IFERROR(IF(#REF!="S",VLOOKUP('Raw Data'!A4652,References!#REF!,2,FALSE),(VLOOKUP($S4652,References!$B$3:$C$7,2,FALSE))),"")</f>
        <v/>
      </c>
      <c r="W4652" s="74" t="str">
        <f>IFERROR(VLOOKUP($O4652,'Customer List'!$A$1:$J$488,10,FALSE),"")</f>
        <v/>
      </c>
    </row>
    <row r="4653" spans="18:23">
      <c r="R4653" s="127">
        <f t="shared" si="221"/>
        <v>0</v>
      </c>
      <c r="T4653" s="128">
        <f t="shared" si="220"/>
        <v>0</v>
      </c>
      <c r="U4653" s="129" t="str">
        <f>IFERROR(IF(#REF!="S",VLOOKUP('Raw Data'!A4653,References!#REF!,2,FALSE),(VLOOKUP($S4653,References!$B$3:$C$7,2,FALSE))),"")</f>
        <v/>
      </c>
      <c r="W4653" s="74" t="str">
        <f>IFERROR(VLOOKUP($O4653,'Customer List'!$A$1:$J$488,10,FALSE),"")</f>
        <v/>
      </c>
    </row>
    <row r="4654" spans="18:23">
      <c r="R4654" s="127">
        <f t="shared" si="221"/>
        <v>0</v>
      </c>
      <c r="T4654" s="128">
        <f t="shared" si="220"/>
        <v>0</v>
      </c>
      <c r="U4654" s="129" t="str">
        <f>IFERROR(IF(#REF!="S",VLOOKUP('Raw Data'!A4654,References!#REF!,2,FALSE),(VLOOKUP($S4654,References!$B$3:$C$7,2,FALSE))),"")</f>
        <v/>
      </c>
      <c r="W4654" s="74" t="str">
        <f>IFERROR(VLOOKUP($O4654,'Customer List'!$A$1:$J$488,10,FALSE),"")</f>
        <v/>
      </c>
    </row>
    <row r="4655" spans="18:23">
      <c r="R4655" s="127">
        <f t="shared" si="221"/>
        <v>0</v>
      </c>
      <c r="T4655" s="128">
        <f t="shared" si="220"/>
        <v>0</v>
      </c>
      <c r="U4655" s="129" t="str">
        <f>IFERROR(IF(#REF!="S",VLOOKUP('Raw Data'!A4655,References!#REF!,2,FALSE),(VLOOKUP($S4655,References!$B$3:$C$7,2,FALSE))),"")</f>
        <v/>
      </c>
      <c r="W4655" s="74" t="str">
        <f>IFERROR(VLOOKUP($O4655,'Customer List'!$A$1:$J$488,10,FALSE),"")</f>
        <v/>
      </c>
    </row>
    <row r="4656" spans="18:23">
      <c r="R4656" s="127">
        <f t="shared" si="221"/>
        <v>0</v>
      </c>
      <c r="T4656" s="128">
        <f t="shared" si="220"/>
        <v>0</v>
      </c>
      <c r="U4656" s="129" t="str">
        <f>IFERROR(IF(#REF!="S",VLOOKUP('Raw Data'!A4656,References!#REF!,2,FALSE),(VLOOKUP($S4656,References!$B$3:$C$7,2,FALSE))),"")</f>
        <v/>
      </c>
      <c r="W4656" s="74" t="str">
        <f>IFERROR(VLOOKUP($O4656,'Customer List'!$A$1:$J$488,10,FALSE),"")</f>
        <v/>
      </c>
    </row>
    <row r="4657" spans="18:23">
      <c r="R4657" s="127">
        <f t="shared" si="221"/>
        <v>0</v>
      </c>
      <c r="T4657" s="128">
        <f t="shared" si="220"/>
        <v>0</v>
      </c>
      <c r="U4657" s="129" t="str">
        <f>IFERROR(IF(#REF!="S",VLOOKUP('Raw Data'!A4657,References!#REF!,2,FALSE),(VLOOKUP($S4657,References!$B$3:$C$7,2,FALSE))),"")</f>
        <v/>
      </c>
      <c r="W4657" s="74" t="str">
        <f>IFERROR(VLOOKUP($O4657,'Customer List'!$A$1:$J$488,10,FALSE),"")</f>
        <v/>
      </c>
    </row>
    <row r="4658" spans="18:23">
      <c r="R4658" s="127">
        <f t="shared" si="221"/>
        <v>0</v>
      </c>
      <c r="T4658" s="128">
        <f t="shared" si="220"/>
        <v>0</v>
      </c>
      <c r="U4658" s="129" t="str">
        <f>IFERROR(IF(#REF!="S",VLOOKUP('Raw Data'!A4658,References!#REF!,2,FALSE),(VLOOKUP($S4658,References!$B$3:$C$7,2,FALSE))),"")</f>
        <v/>
      </c>
      <c r="W4658" s="74" t="str">
        <f>IFERROR(VLOOKUP($O4658,'Customer List'!$A$1:$J$488,10,FALSE),"")</f>
        <v/>
      </c>
    </row>
    <row r="4659" spans="18:23">
      <c r="R4659" s="127">
        <f t="shared" si="221"/>
        <v>0</v>
      </c>
      <c r="T4659" s="128">
        <f t="shared" si="220"/>
        <v>0</v>
      </c>
      <c r="U4659" s="129" t="str">
        <f>IFERROR(IF(#REF!="S",VLOOKUP('Raw Data'!A4659,References!#REF!,2,FALSE),(VLOOKUP($S4659,References!$B$3:$C$7,2,FALSE))),"")</f>
        <v/>
      </c>
      <c r="W4659" s="74" t="str">
        <f>IFERROR(VLOOKUP($O4659,'Customer List'!$A$1:$J$488,10,FALSE),"")</f>
        <v/>
      </c>
    </row>
    <row r="4660" spans="18:23">
      <c r="R4660" s="127">
        <f t="shared" si="221"/>
        <v>0</v>
      </c>
      <c r="T4660" s="128">
        <f t="shared" si="220"/>
        <v>0</v>
      </c>
      <c r="U4660" s="129" t="str">
        <f>IFERROR(IF(#REF!="S",VLOOKUP('Raw Data'!A4660,References!#REF!,2,FALSE),(VLOOKUP($S4660,References!$B$3:$C$7,2,FALSE))),"")</f>
        <v/>
      </c>
      <c r="W4660" s="74" t="str">
        <f>IFERROR(VLOOKUP($O4660,'Customer List'!$A$1:$J$488,10,FALSE),"")</f>
        <v/>
      </c>
    </row>
    <row r="4661" spans="18:23">
      <c r="R4661" s="127">
        <f t="shared" si="221"/>
        <v>0</v>
      </c>
      <c r="T4661" s="128">
        <f t="shared" si="220"/>
        <v>0</v>
      </c>
      <c r="U4661" s="129" t="str">
        <f>IFERROR(IF(#REF!="S",VLOOKUP('Raw Data'!A4661,References!#REF!,2,FALSE),(VLOOKUP($S4661,References!$B$3:$C$7,2,FALSE))),"")</f>
        <v/>
      </c>
      <c r="W4661" s="74" t="str">
        <f>IFERROR(VLOOKUP($O4661,'Customer List'!$A$1:$J$488,10,FALSE),"")</f>
        <v/>
      </c>
    </row>
    <row r="4662" spans="18:23">
      <c r="R4662" s="127">
        <f t="shared" si="221"/>
        <v>0</v>
      </c>
      <c r="T4662" s="128">
        <f t="shared" si="220"/>
        <v>0</v>
      </c>
      <c r="U4662" s="129" t="str">
        <f>IFERROR(IF(#REF!="S",VLOOKUP('Raw Data'!A4662,References!#REF!,2,FALSE),(VLOOKUP($S4662,References!$B$3:$C$7,2,FALSE))),"")</f>
        <v/>
      </c>
      <c r="W4662" s="74" t="str">
        <f>IFERROR(VLOOKUP($O4662,'Customer List'!$A$1:$J$488,10,FALSE),"")</f>
        <v/>
      </c>
    </row>
    <row r="4663" spans="18:23">
      <c r="R4663" s="127">
        <f t="shared" si="221"/>
        <v>0</v>
      </c>
      <c r="T4663" s="128">
        <f t="shared" si="220"/>
        <v>0</v>
      </c>
      <c r="U4663" s="129" t="str">
        <f>IFERROR(IF(#REF!="S",VLOOKUP('Raw Data'!A4663,References!#REF!,2,FALSE),(VLOOKUP($S4663,References!$B$3:$C$7,2,FALSE))),"")</f>
        <v/>
      </c>
      <c r="W4663" s="74" t="str">
        <f>IFERROR(VLOOKUP($O4663,'Customer List'!$A$1:$J$488,10,FALSE),"")</f>
        <v/>
      </c>
    </row>
    <row r="4664" spans="18:23">
      <c r="R4664" s="127">
        <f t="shared" si="221"/>
        <v>0</v>
      </c>
      <c r="T4664" s="128">
        <f t="shared" si="220"/>
        <v>0</v>
      </c>
      <c r="U4664" s="129" t="str">
        <f>IFERROR(IF(#REF!="S",VLOOKUP('Raw Data'!A4664,References!#REF!,2,FALSE),(VLOOKUP($S4664,References!$B$3:$C$7,2,FALSE))),"")</f>
        <v/>
      </c>
      <c r="W4664" s="74" t="str">
        <f>IFERROR(VLOOKUP($O4664,'Customer List'!$A$1:$J$488,10,FALSE),"")</f>
        <v/>
      </c>
    </row>
    <row r="4665" spans="18:23">
      <c r="R4665" s="127">
        <f t="shared" si="221"/>
        <v>0</v>
      </c>
      <c r="T4665" s="128">
        <f t="shared" si="220"/>
        <v>0</v>
      </c>
      <c r="U4665" s="129" t="str">
        <f>IFERROR(IF(#REF!="S",VLOOKUP('Raw Data'!A4665,References!#REF!,2,FALSE),(VLOOKUP($S4665,References!$B$3:$C$7,2,FALSE))),"")</f>
        <v/>
      </c>
      <c r="W4665" s="74" t="str">
        <f>IFERROR(VLOOKUP($O4665,'Customer List'!$A$1:$J$488,10,FALSE),"")</f>
        <v/>
      </c>
    </row>
    <row r="4666" spans="18:23">
      <c r="R4666" s="127">
        <f t="shared" si="221"/>
        <v>0</v>
      </c>
      <c r="T4666" s="128">
        <f t="shared" si="220"/>
        <v>0</v>
      </c>
      <c r="U4666" s="129" t="str">
        <f>IFERROR(IF(#REF!="S",VLOOKUP('Raw Data'!A4666,References!#REF!,2,FALSE),(VLOOKUP($S4666,References!$B$3:$C$7,2,FALSE))),"")</f>
        <v/>
      </c>
      <c r="W4666" s="74" t="str">
        <f>IFERROR(VLOOKUP($O4666,'Customer List'!$A$1:$J$488,10,FALSE),"")</f>
        <v/>
      </c>
    </row>
    <row r="4667" spans="18:23">
      <c r="R4667" s="127">
        <f t="shared" si="221"/>
        <v>0</v>
      </c>
      <c r="T4667" s="128">
        <f t="shared" si="220"/>
        <v>0</v>
      </c>
      <c r="U4667" s="129" t="str">
        <f>IFERROR(IF(#REF!="S",VLOOKUP('Raw Data'!A4667,References!#REF!,2,FALSE),(VLOOKUP($S4667,References!$B$3:$C$7,2,FALSE))),"")</f>
        <v/>
      </c>
      <c r="W4667" s="74" t="str">
        <f>IFERROR(VLOOKUP($O4667,'Customer List'!$A$1:$J$488,10,FALSE),"")</f>
        <v/>
      </c>
    </row>
    <row r="4668" spans="18:23">
      <c r="R4668" s="127">
        <f t="shared" si="221"/>
        <v>0</v>
      </c>
      <c r="T4668" s="128">
        <f t="shared" si="220"/>
        <v>0</v>
      </c>
      <c r="U4668" s="129" t="str">
        <f>IFERROR(IF(#REF!="S",VLOOKUP('Raw Data'!A4668,References!#REF!,2,FALSE),(VLOOKUP($S4668,References!$B$3:$C$7,2,FALSE))),"")</f>
        <v/>
      </c>
      <c r="W4668" s="74" t="str">
        <f>IFERROR(VLOOKUP($O4668,'Customer List'!$A$1:$J$488,10,FALSE),"")</f>
        <v/>
      </c>
    </row>
    <row r="4669" spans="18:23">
      <c r="R4669" s="127">
        <f t="shared" si="221"/>
        <v>0</v>
      </c>
      <c r="T4669" s="128">
        <f t="shared" si="220"/>
        <v>0</v>
      </c>
      <c r="U4669" s="129" t="str">
        <f>IFERROR(IF(#REF!="S",VLOOKUP('Raw Data'!A4669,References!#REF!,2,FALSE),(VLOOKUP($S4669,References!$B$3:$C$7,2,FALSE))),"")</f>
        <v/>
      </c>
      <c r="W4669" s="74" t="str">
        <f>IFERROR(VLOOKUP($O4669,'Customer List'!$A$1:$J$488,10,FALSE),"")</f>
        <v/>
      </c>
    </row>
    <row r="4670" spans="18:23">
      <c r="R4670" s="127">
        <f t="shared" si="221"/>
        <v>0</v>
      </c>
      <c r="T4670" s="128">
        <f t="shared" si="220"/>
        <v>0</v>
      </c>
      <c r="U4670" s="129" t="str">
        <f>IFERROR(IF(#REF!="S",VLOOKUP('Raw Data'!A4670,References!#REF!,2,FALSE),(VLOOKUP($S4670,References!$B$3:$C$7,2,FALSE))),"")</f>
        <v/>
      </c>
      <c r="W4670" s="74" t="str">
        <f>IFERROR(VLOOKUP($O4670,'Customer List'!$A$1:$J$488,10,FALSE),"")</f>
        <v/>
      </c>
    </row>
    <row r="4671" spans="18:23">
      <c r="R4671" s="127">
        <f t="shared" si="221"/>
        <v>0</v>
      </c>
      <c r="T4671" s="128">
        <f t="shared" si="220"/>
        <v>0</v>
      </c>
      <c r="U4671" s="129" t="str">
        <f>IFERROR(IF(#REF!="S",VLOOKUP('Raw Data'!A4671,References!#REF!,2,FALSE),(VLOOKUP($S4671,References!$B$3:$C$7,2,FALSE))),"")</f>
        <v/>
      </c>
      <c r="W4671" s="74" t="str">
        <f>IFERROR(VLOOKUP($O4671,'Customer List'!$A$1:$J$488,10,FALSE),"")</f>
        <v/>
      </c>
    </row>
    <row r="4672" spans="18:23">
      <c r="R4672" s="127">
        <f t="shared" si="221"/>
        <v>0</v>
      </c>
      <c r="T4672" s="128">
        <f t="shared" si="220"/>
        <v>0</v>
      </c>
      <c r="U4672" s="129" t="str">
        <f>IFERROR(IF(#REF!="S",VLOOKUP('Raw Data'!A4672,References!#REF!,2,FALSE),(VLOOKUP($S4672,References!$B$3:$C$7,2,FALSE))),"")</f>
        <v/>
      </c>
      <c r="W4672" s="74" t="str">
        <f>IFERROR(VLOOKUP($O4672,'Customer List'!$A$1:$J$488,10,FALSE),"")</f>
        <v/>
      </c>
    </row>
    <row r="4673" spans="18:23">
      <c r="R4673" s="127">
        <f t="shared" si="221"/>
        <v>0</v>
      </c>
      <c r="T4673" s="128">
        <f t="shared" si="220"/>
        <v>0</v>
      </c>
      <c r="U4673" s="129" t="str">
        <f>IFERROR(IF(#REF!="S",VLOOKUP('Raw Data'!A4673,References!#REF!,2,FALSE),(VLOOKUP($S4673,References!$B$3:$C$7,2,FALSE))),"")</f>
        <v/>
      </c>
      <c r="W4673" s="74" t="str">
        <f>IFERROR(VLOOKUP($O4673,'Customer List'!$A$1:$J$488,10,FALSE),"")</f>
        <v/>
      </c>
    </row>
    <row r="4674" spans="18:23">
      <c r="R4674" s="127">
        <f t="shared" si="221"/>
        <v>0</v>
      </c>
      <c r="T4674" s="128">
        <f t="shared" si="220"/>
        <v>0</v>
      </c>
      <c r="U4674" s="129" t="str">
        <f>IFERROR(IF(#REF!="S",VLOOKUP('Raw Data'!A4674,References!#REF!,2,FALSE),(VLOOKUP($S4674,References!$B$3:$C$7,2,FALSE))),"")</f>
        <v/>
      </c>
      <c r="W4674" s="74" t="str">
        <f>IFERROR(VLOOKUP($O4674,'Customer List'!$A$1:$J$488,10,FALSE),"")</f>
        <v/>
      </c>
    </row>
    <row r="4675" spans="18:23">
      <c r="R4675" s="127">
        <f t="shared" si="221"/>
        <v>0</v>
      </c>
      <c r="T4675" s="128">
        <f t="shared" si="220"/>
        <v>0</v>
      </c>
      <c r="U4675" s="129" t="str">
        <f>IFERROR(IF(#REF!="S",VLOOKUP('Raw Data'!A4675,References!#REF!,2,FALSE),(VLOOKUP($S4675,References!$B$3:$C$7,2,FALSE))),"")</f>
        <v/>
      </c>
      <c r="W4675" s="74" t="str">
        <f>IFERROR(VLOOKUP($O4675,'Customer List'!$A$1:$J$488,10,FALSE),"")</f>
        <v/>
      </c>
    </row>
    <row r="4676" spans="18:23">
      <c r="R4676" s="127">
        <f t="shared" si="221"/>
        <v>0</v>
      </c>
      <c r="T4676" s="128">
        <f t="shared" si="220"/>
        <v>0</v>
      </c>
      <c r="U4676" s="129" t="str">
        <f>IFERROR(IF(#REF!="S",VLOOKUP('Raw Data'!A4676,References!#REF!,2,FALSE),(VLOOKUP($S4676,References!$B$3:$C$7,2,FALSE))),"")</f>
        <v/>
      </c>
      <c r="W4676" s="74" t="str">
        <f>IFERROR(VLOOKUP($O4676,'Customer List'!$A$1:$J$488,10,FALSE),"")</f>
        <v/>
      </c>
    </row>
    <row r="4677" spans="18:23">
      <c r="R4677" s="127">
        <f t="shared" si="221"/>
        <v>0</v>
      </c>
      <c r="T4677" s="128">
        <f t="shared" si="220"/>
        <v>0</v>
      </c>
      <c r="U4677" s="129" t="str">
        <f>IFERROR(IF(#REF!="S",VLOOKUP('Raw Data'!A4677,References!#REF!,2,FALSE),(VLOOKUP($S4677,References!$B$3:$C$7,2,FALSE))),"")</f>
        <v/>
      </c>
      <c r="W4677" s="74" t="str">
        <f>IFERROR(VLOOKUP($O4677,'Customer List'!$A$1:$J$488,10,FALSE),"")</f>
        <v/>
      </c>
    </row>
    <row r="4678" spans="18:23">
      <c r="R4678" s="127">
        <f t="shared" si="221"/>
        <v>0</v>
      </c>
      <c r="T4678" s="128">
        <f t="shared" si="220"/>
        <v>0</v>
      </c>
      <c r="U4678" s="129" t="str">
        <f>IFERROR(IF(#REF!="S",VLOOKUP('Raw Data'!A4678,References!#REF!,2,FALSE),(VLOOKUP($S4678,References!$B$3:$C$7,2,FALSE))),"")</f>
        <v/>
      </c>
      <c r="W4678" s="74" t="str">
        <f>IFERROR(VLOOKUP($O4678,'Customer List'!$A$1:$J$488,10,FALSE),"")</f>
        <v/>
      </c>
    </row>
    <row r="4679" spans="18:23">
      <c r="R4679" s="127">
        <f t="shared" si="221"/>
        <v>0</v>
      </c>
      <c r="T4679" s="128">
        <f t="shared" si="220"/>
        <v>0</v>
      </c>
      <c r="U4679" s="129" t="str">
        <f>IFERROR(IF(#REF!="S",VLOOKUP('Raw Data'!A4679,References!#REF!,2,FALSE),(VLOOKUP($S4679,References!$B$3:$C$7,2,FALSE))),"")</f>
        <v/>
      </c>
      <c r="W4679" s="74" t="str">
        <f>IFERROR(VLOOKUP($O4679,'Customer List'!$A$1:$J$488,10,FALSE),"")</f>
        <v/>
      </c>
    </row>
    <row r="4680" spans="18:23">
      <c r="R4680" s="127">
        <f t="shared" si="221"/>
        <v>0</v>
      </c>
      <c r="T4680" s="128">
        <f t="shared" si="220"/>
        <v>0</v>
      </c>
      <c r="U4680" s="129" t="str">
        <f>IFERROR(IF(#REF!="S",VLOOKUP('Raw Data'!A4680,References!#REF!,2,FALSE),(VLOOKUP($S4680,References!$B$3:$C$7,2,FALSE))),"")</f>
        <v/>
      </c>
      <c r="W4680" s="74" t="str">
        <f>IFERROR(VLOOKUP($O4680,'Customer List'!$A$1:$J$488,10,FALSE),"")</f>
        <v/>
      </c>
    </row>
    <row r="4681" spans="18:23">
      <c r="R4681" s="127">
        <f t="shared" si="221"/>
        <v>0</v>
      </c>
      <c r="T4681" s="128">
        <f t="shared" si="220"/>
        <v>0</v>
      </c>
      <c r="U4681" s="129" t="str">
        <f>IFERROR(IF(#REF!="S",VLOOKUP('Raw Data'!A4681,References!#REF!,2,FALSE),(VLOOKUP($S4681,References!$B$3:$C$7,2,FALSE))),"")</f>
        <v/>
      </c>
      <c r="W4681" s="74" t="str">
        <f>IFERROR(VLOOKUP($O4681,'Customer List'!$A$1:$J$488,10,FALSE),"")</f>
        <v/>
      </c>
    </row>
    <row r="4682" spans="18:23">
      <c r="R4682" s="127">
        <f t="shared" si="221"/>
        <v>0</v>
      </c>
      <c r="T4682" s="128">
        <f t="shared" ref="T4682:T4745" si="222">IF(S4682="50 - Cleaning Fee",1,HOUR($R4682)+MINUTE(R4682)/60)</f>
        <v>0</v>
      </c>
      <c r="U4682" s="129" t="str">
        <f>IFERROR(IF(#REF!="S",VLOOKUP('Raw Data'!A4682,References!#REF!,2,FALSE),(VLOOKUP($S4682,References!$B$3:$C$7,2,FALSE))),"")</f>
        <v/>
      </c>
      <c r="W4682" s="74" t="str">
        <f>IFERROR(VLOOKUP($O4682,'Customer List'!$A$1:$J$488,10,FALSE),"")</f>
        <v/>
      </c>
    </row>
    <row r="4683" spans="18:23">
      <c r="R4683" s="127">
        <f t="shared" si="221"/>
        <v>0</v>
      </c>
      <c r="T4683" s="128">
        <f t="shared" si="222"/>
        <v>0</v>
      </c>
      <c r="U4683" s="129" t="str">
        <f>IFERROR(IF(#REF!="S",VLOOKUP('Raw Data'!A4683,References!#REF!,2,FALSE),(VLOOKUP($S4683,References!$B$3:$C$7,2,FALSE))),"")</f>
        <v/>
      </c>
      <c r="W4683" s="74" t="str">
        <f>IFERROR(VLOOKUP($O4683,'Customer List'!$A$1:$J$488,10,FALSE),"")</f>
        <v/>
      </c>
    </row>
    <row r="4684" spans="18:23">
      <c r="R4684" s="127">
        <f t="shared" si="221"/>
        <v>0</v>
      </c>
      <c r="T4684" s="128">
        <f t="shared" si="222"/>
        <v>0</v>
      </c>
      <c r="U4684" s="129" t="str">
        <f>IFERROR(IF(#REF!="S",VLOOKUP('Raw Data'!A4684,References!#REF!,2,FALSE),(VLOOKUP($S4684,References!$B$3:$C$7,2,FALSE))),"")</f>
        <v/>
      </c>
      <c r="W4684" s="74" t="str">
        <f>IFERROR(VLOOKUP($O4684,'Customer List'!$A$1:$J$488,10,FALSE),"")</f>
        <v/>
      </c>
    </row>
    <row r="4685" spans="18:23">
      <c r="R4685" s="127">
        <f t="shared" si="221"/>
        <v>0</v>
      </c>
      <c r="T4685" s="128">
        <f t="shared" si="222"/>
        <v>0</v>
      </c>
      <c r="U4685" s="129" t="str">
        <f>IFERROR(IF(#REF!="S",VLOOKUP('Raw Data'!A4685,References!#REF!,2,FALSE),(VLOOKUP($S4685,References!$B$3:$C$7,2,FALSE))),"")</f>
        <v/>
      </c>
      <c r="W4685" s="74" t="str">
        <f>IFERROR(VLOOKUP($O4685,'Customer List'!$A$1:$J$488,10,FALSE),"")</f>
        <v/>
      </c>
    </row>
    <row r="4686" spans="18:23">
      <c r="R4686" s="127">
        <f t="shared" si="221"/>
        <v>0</v>
      </c>
      <c r="T4686" s="128">
        <f t="shared" si="222"/>
        <v>0</v>
      </c>
      <c r="U4686" s="129" t="str">
        <f>IFERROR(IF(#REF!="S",VLOOKUP('Raw Data'!A4686,References!#REF!,2,FALSE),(VLOOKUP($S4686,References!$B$3:$C$7,2,FALSE))),"")</f>
        <v/>
      </c>
      <c r="W4686" s="74" t="str">
        <f>IFERROR(VLOOKUP($O4686,'Customer List'!$A$1:$J$488,10,FALSE),"")</f>
        <v/>
      </c>
    </row>
    <row r="4687" spans="18:23">
      <c r="R4687" s="127">
        <f t="shared" si="221"/>
        <v>0</v>
      </c>
      <c r="T4687" s="128">
        <f t="shared" si="222"/>
        <v>0</v>
      </c>
      <c r="U4687" s="129" t="str">
        <f>IFERROR(IF(#REF!="S",VLOOKUP('Raw Data'!A4687,References!#REF!,2,FALSE),(VLOOKUP($S4687,References!$B$3:$C$7,2,FALSE))),"")</f>
        <v/>
      </c>
      <c r="W4687" s="74" t="str">
        <f>IFERROR(VLOOKUP($O4687,'Customer List'!$A$1:$J$488,10,FALSE),"")</f>
        <v/>
      </c>
    </row>
    <row r="4688" spans="18:23">
      <c r="R4688" s="127">
        <f t="shared" si="221"/>
        <v>0</v>
      </c>
      <c r="T4688" s="128">
        <f t="shared" si="222"/>
        <v>0</v>
      </c>
      <c r="U4688" s="129" t="str">
        <f>IFERROR(IF(#REF!="S",VLOOKUP('Raw Data'!A4688,References!#REF!,2,FALSE),(VLOOKUP($S4688,References!$B$3:$C$7,2,FALSE))),"")</f>
        <v/>
      </c>
      <c r="W4688" s="74" t="str">
        <f>IFERROR(VLOOKUP($O4688,'Customer List'!$A$1:$J$488,10,FALSE),"")</f>
        <v/>
      </c>
    </row>
    <row r="4689" spans="18:23">
      <c r="R4689" s="127">
        <f t="shared" si="221"/>
        <v>0</v>
      </c>
      <c r="T4689" s="128">
        <f t="shared" si="222"/>
        <v>0</v>
      </c>
      <c r="U4689" s="129" t="str">
        <f>IFERROR(IF(#REF!="S",VLOOKUP('Raw Data'!A4689,References!#REF!,2,FALSE),(VLOOKUP($S4689,References!$B$3:$C$7,2,FALSE))),"")</f>
        <v/>
      </c>
      <c r="W4689" s="74" t="str">
        <f>IFERROR(VLOOKUP($O4689,'Customer List'!$A$1:$J$488,10,FALSE),"")</f>
        <v/>
      </c>
    </row>
    <row r="4690" spans="18:23">
      <c r="R4690" s="127">
        <f t="shared" si="221"/>
        <v>0</v>
      </c>
      <c r="T4690" s="128">
        <f t="shared" si="222"/>
        <v>0</v>
      </c>
      <c r="U4690" s="129" t="str">
        <f>IFERROR(IF(#REF!="S",VLOOKUP('Raw Data'!A4690,References!#REF!,2,FALSE),(VLOOKUP($S4690,References!$B$3:$C$7,2,FALSE))),"")</f>
        <v/>
      </c>
      <c r="W4690" s="74" t="str">
        <f>IFERROR(VLOOKUP($O4690,'Customer List'!$A$1:$J$488,10,FALSE),"")</f>
        <v/>
      </c>
    </row>
    <row r="4691" spans="18:23">
      <c r="R4691" s="127">
        <f t="shared" si="221"/>
        <v>0</v>
      </c>
      <c r="T4691" s="128">
        <f t="shared" si="222"/>
        <v>0</v>
      </c>
      <c r="U4691" s="129" t="str">
        <f>IFERROR(IF(#REF!="S",VLOOKUP('Raw Data'!A4691,References!#REF!,2,FALSE),(VLOOKUP($S4691,References!$B$3:$C$7,2,FALSE))),"")</f>
        <v/>
      </c>
      <c r="W4691" s="74" t="str">
        <f>IFERROR(VLOOKUP($O4691,'Customer List'!$A$1:$J$488,10,FALSE),"")</f>
        <v/>
      </c>
    </row>
    <row r="4692" spans="18:23">
      <c r="R4692" s="127">
        <f t="shared" si="221"/>
        <v>0</v>
      </c>
      <c r="T4692" s="128">
        <f t="shared" si="222"/>
        <v>0</v>
      </c>
      <c r="U4692" s="129" t="str">
        <f>IFERROR(IF(#REF!="S",VLOOKUP('Raw Data'!A4692,References!#REF!,2,FALSE),(VLOOKUP($S4692,References!$B$3:$C$7,2,FALSE))),"")</f>
        <v/>
      </c>
      <c r="W4692" s="74" t="str">
        <f>IFERROR(VLOOKUP($O4692,'Customer List'!$A$1:$J$488,10,FALSE),"")</f>
        <v/>
      </c>
    </row>
    <row r="4693" spans="18:23">
      <c r="R4693" s="127">
        <f t="shared" si="221"/>
        <v>0</v>
      </c>
      <c r="T4693" s="128">
        <f t="shared" si="222"/>
        <v>0</v>
      </c>
      <c r="U4693" s="129" t="str">
        <f>IFERROR(IF(#REF!="S",VLOOKUP('Raw Data'!A4693,References!#REF!,2,FALSE),(VLOOKUP($S4693,References!$B$3:$C$7,2,FALSE))),"")</f>
        <v/>
      </c>
      <c r="W4693" s="74" t="str">
        <f>IFERROR(VLOOKUP($O4693,'Customer List'!$A$1:$J$488,10,FALSE),"")</f>
        <v/>
      </c>
    </row>
    <row r="4694" spans="18:23">
      <c r="R4694" s="127">
        <f t="shared" si="221"/>
        <v>0</v>
      </c>
      <c r="T4694" s="128">
        <f t="shared" si="222"/>
        <v>0</v>
      </c>
      <c r="U4694" s="129" t="str">
        <f>IFERROR(IF(#REF!="S",VLOOKUP('Raw Data'!A4694,References!#REF!,2,FALSE),(VLOOKUP($S4694,References!$B$3:$C$7,2,FALSE))),"")</f>
        <v/>
      </c>
      <c r="W4694" s="74" t="str">
        <f>IFERROR(VLOOKUP($O4694,'Customer List'!$A$1:$J$488,10,FALSE),"")</f>
        <v/>
      </c>
    </row>
    <row r="4695" spans="18:23">
      <c r="R4695" s="127">
        <f t="shared" si="221"/>
        <v>0</v>
      </c>
      <c r="T4695" s="128">
        <f t="shared" si="222"/>
        <v>0</v>
      </c>
      <c r="U4695" s="129" t="str">
        <f>IFERROR(IF(#REF!="S",VLOOKUP('Raw Data'!A4695,References!#REF!,2,FALSE),(VLOOKUP($S4695,References!$B$3:$C$7,2,FALSE))),"")</f>
        <v/>
      </c>
      <c r="W4695" s="74" t="str">
        <f>IFERROR(VLOOKUP($O4695,'Customer List'!$A$1:$J$488,10,FALSE),"")</f>
        <v/>
      </c>
    </row>
    <row r="4696" spans="18:23">
      <c r="R4696" s="127">
        <f t="shared" si="221"/>
        <v>0</v>
      </c>
      <c r="T4696" s="128">
        <f t="shared" si="222"/>
        <v>0</v>
      </c>
      <c r="U4696" s="129" t="str">
        <f>IFERROR(IF(#REF!="S",VLOOKUP('Raw Data'!A4696,References!#REF!,2,FALSE),(VLOOKUP($S4696,References!$B$3:$C$7,2,FALSE))),"")</f>
        <v/>
      </c>
      <c r="W4696" s="74" t="str">
        <f>IFERROR(VLOOKUP($O4696,'Customer List'!$A$1:$J$488,10,FALSE),"")</f>
        <v/>
      </c>
    </row>
    <row r="4697" spans="18:23">
      <c r="R4697" s="127">
        <f t="shared" si="221"/>
        <v>0</v>
      </c>
      <c r="T4697" s="128">
        <f t="shared" si="222"/>
        <v>0</v>
      </c>
      <c r="U4697" s="129" t="str">
        <f>IFERROR(IF(#REF!="S",VLOOKUP('Raw Data'!A4697,References!#REF!,2,FALSE),(VLOOKUP($S4697,References!$B$3:$C$7,2,FALSE))),"")</f>
        <v/>
      </c>
      <c r="W4697" s="74" t="str">
        <f>IFERROR(VLOOKUP($O4697,'Customer List'!$A$1:$J$488,10,FALSE),"")</f>
        <v/>
      </c>
    </row>
    <row r="4698" spans="18:23">
      <c r="R4698" s="127">
        <f t="shared" si="221"/>
        <v>0</v>
      </c>
      <c r="T4698" s="128">
        <f t="shared" si="222"/>
        <v>0</v>
      </c>
      <c r="U4698" s="129" t="str">
        <f>IFERROR(IF(#REF!="S",VLOOKUP('Raw Data'!A4698,References!#REF!,2,FALSE),(VLOOKUP($S4698,References!$B$3:$C$7,2,FALSE))),"")</f>
        <v/>
      </c>
      <c r="W4698" s="74" t="str">
        <f>IFERROR(VLOOKUP($O4698,'Customer List'!$A$1:$J$488,10,FALSE),"")</f>
        <v/>
      </c>
    </row>
    <row r="4699" spans="18:23">
      <c r="R4699" s="127">
        <f t="shared" si="221"/>
        <v>0</v>
      </c>
      <c r="T4699" s="128">
        <f t="shared" si="222"/>
        <v>0</v>
      </c>
      <c r="U4699" s="129" t="str">
        <f>IFERROR(IF(#REF!="S",VLOOKUP('Raw Data'!A4699,References!#REF!,2,FALSE),(VLOOKUP($S4699,References!$B$3:$C$7,2,FALSE))),"")</f>
        <v/>
      </c>
      <c r="W4699" s="74" t="str">
        <f>IFERROR(VLOOKUP($O4699,'Customer List'!$A$1:$J$488,10,FALSE),"")</f>
        <v/>
      </c>
    </row>
    <row r="4700" spans="18:23">
      <c r="R4700" s="127">
        <f t="shared" si="221"/>
        <v>0</v>
      </c>
      <c r="T4700" s="128">
        <f t="shared" si="222"/>
        <v>0</v>
      </c>
      <c r="U4700" s="129" t="str">
        <f>IFERROR(IF(#REF!="S",VLOOKUP('Raw Data'!A4700,References!#REF!,2,FALSE),(VLOOKUP($S4700,References!$B$3:$C$7,2,FALSE))),"")</f>
        <v/>
      </c>
      <c r="W4700" s="74" t="str">
        <f>IFERROR(VLOOKUP($O4700,'Customer List'!$A$1:$J$488,10,FALSE),"")</f>
        <v/>
      </c>
    </row>
    <row r="4701" spans="18:23">
      <c r="R4701" s="127">
        <f t="shared" si="221"/>
        <v>0</v>
      </c>
      <c r="T4701" s="128">
        <f t="shared" si="222"/>
        <v>0</v>
      </c>
      <c r="U4701" s="129" t="str">
        <f>IFERROR(IF(#REF!="S",VLOOKUP('Raw Data'!A4701,References!#REF!,2,FALSE),(VLOOKUP($S4701,References!$B$3:$C$7,2,FALSE))),"")</f>
        <v/>
      </c>
      <c r="W4701" s="74" t="str">
        <f>IFERROR(VLOOKUP($O4701,'Customer List'!$A$1:$J$488,10,FALSE),"")</f>
        <v/>
      </c>
    </row>
    <row r="4702" spans="18:23">
      <c r="R4702" s="127">
        <f t="shared" si="221"/>
        <v>0</v>
      </c>
      <c r="T4702" s="128">
        <f t="shared" si="222"/>
        <v>0</v>
      </c>
      <c r="U4702" s="129" t="str">
        <f>IFERROR(IF(#REF!="S",VLOOKUP('Raw Data'!A4702,References!#REF!,2,FALSE),(VLOOKUP($S4702,References!$B$3:$C$7,2,FALSE))),"")</f>
        <v/>
      </c>
      <c r="W4702" s="74" t="str">
        <f>IFERROR(VLOOKUP($O4702,'Customer List'!$A$1:$J$488,10,FALSE),"")</f>
        <v/>
      </c>
    </row>
    <row r="4703" spans="18:23">
      <c r="R4703" s="127">
        <f t="shared" si="221"/>
        <v>0</v>
      </c>
      <c r="T4703" s="128">
        <f t="shared" si="222"/>
        <v>0</v>
      </c>
      <c r="U4703" s="129" t="str">
        <f>IFERROR(IF(#REF!="S",VLOOKUP('Raw Data'!A4703,References!#REF!,2,FALSE),(VLOOKUP($S4703,References!$B$3:$C$7,2,FALSE))),"")</f>
        <v/>
      </c>
      <c r="W4703" s="74" t="str">
        <f>IFERROR(VLOOKUP($O4703,'Customer List'!$A$1:$J$488,10,FALSE),"")</f>
        <v/>
      </c>
    </row>
    <row r="4704" spans="18:23">
      <c r="R4704" s="127">
        <f t="shared" si="221"/>
        <v>0</v>
      </c>
      <c r="T4704" s="128">
        <f t="shared" si="222"/>
        <v>0</v>
      </c>
      <c r="U4704" s="129" t="str">
        <f>IFERROR(IF(#REF!="S",VLOOKUP('Raw Data'!A4704,References!#REF!,2,FALSE),(VLOOKUP($S4704,References!$B$3:$C$7,2,FALSE))),"")</f>
        <v/>
      </c>
      <c r="W4704" s="74" t="str">
        <f>IFERROR(VLOOKUP($O4704,'Customer List'!$A$1:$J$488,10,FALSE),"")</f>
        <v/>
      </c>
    </row>
    <row r="4705" spans="18:23">
      <c r="R4705" s="127">
        <f t="shared" si="221"/>
        <v>0</v>
      </c>
      <c r="T4705" s="128">
        <f t="shared" si="222"/>
        <v>0</v>
      </c>
      <c r="U4705" s="129" t="str">
        <f>IFERROR(IF(#REF!="S",VLOOKUP('Raw Data'!A4705,References!#REF!,2,FALSE),(VLOOKUP($S4705,References!$B$3:$C$7,2,FALSE))),"")</f>
        <v/>
      </c>
      <c r="W4705" s="74" t="str">
        <f>IFERROR(VLOOKUP($O4705,'Customer List'!$A$1:$J$488,10,FALSE),"")</f>
        <v/>
      </c>
    </row>
    <row r="4706" spans="18:23">
      <c r="R4706" s="127">
        <f t="shared" ref="R4706:R4769" si="223">L4706-K4706</f>
        <v>0</v>
      </c>
      <c r="T4706" s="128">
        <f t="shared" si="222"/>
        <v>0</v>
      </c>
      <c r="U4706" s="129" t="str">
        <f>IFERROR(IF(#REF!="S",VLOOKUP('Raw Data'!A4706,References!#REF!,2,FALSE),(VLOOKUP($S4706,References!$B$3:$C$7,2,FALSE))),"")</f>
        <v/>
      </c>
      <c r="W4706" s="74" t="str">
        <f>IFERROR(VLOOKUP($O4706,'Customer List'!$A$1:$J$488,10,FALSE),"")</f>
        <v/>
      </c>
    </row>
    <row r="4707" spans="18:23">
      <c r="R4707" s="127">
        <f t="shared" si="223"/>
        <v>0</v>
      </c>
      <c r="T4707" s="128">
        <f t="shared" si="222"/>
        <v>0</v>
      </c>
      <c r="U4707" s="129" t="str">
        <f>IFERROR(IF(#REF!="S",VLOOKUP('Raw Data'!A4707,References!#REF!,2,FALSE),(VLOOKUP($S4707,References!$B$3:$C$7,2,FALSE))),"")</f>
        <v/>
      </c>
      <c r="W4707" s="74" t="str">
        <f>IFERROR(VLOOKUP($O4707,'Customer List'!$A$1:$J$488,10,FALSE),"")</f>
        <v/>
      </c>
    </row>
    <row r="4708" spans="18:23">
      <c r="R4708" s="127">
        <f t="shared" si="223"/>
        <v>0</v>
      </c>
      <c r="T4708" s="128">
        <f t="shared" si="222"/>
        <v>0</v>
      </c>
      <c r="U4708" s="129" t="str">
        <f>IFERROR(IF(#REF!="S",VLOOKUP('Raw Data'!A4708,References!#REF!,2,FALSE),(VLOOKUP($S4708,References!$B$3:$C$7,2,FALSE))),"")</f>
        <v/>
      </c>
      <c r="W4708" s="74" t="str">
        <f>IFERROR(VLOOKUP($O4708,'Customer List'!$A$1:$J$488,10,FALSE),"")</f>
        <v/>
      </c>
    </row>
    <row r="4709" spans="18:23">
      <c r="R4709" s="127">
        <f t="shared" si="223"/>
        <v>0</v>
      </c>
      <c r="T4709" s="128">
        <f t="shared" si="222"/>
        <v>0</v>
      </c>
      <c r="U4709" s="129" t="str">
        <f>IFERROR(IF(#REF!="S",VLOOKUP('Raw Data'!A4709,References!#REF!,2,FALSE),(VLOOKUP($S4709,References!$B$3:$C$7,2,FALSE))),"")</f>
        <v/>
      </c>
      <c r="W4709" s="74" t="str">
        <f>IFERROR(VLOOKUP($O4709,'Customer List'!$A$1:$J$488,10,FALSE),"")</f>
        <v/>
      </c>
    </row>
    <row r="4710" spans="18:23">
      <c r="R4710" s="127">
        <f t="shared" si="223"/>
        <v>0</v>
      </c>
      <c r="T4710" s="128">
        <f t="shared" si="222"/>
        <v>0</v>
      </c>
      <c r="U4710" s="129" t="str">
        <f>IFERROR(IF(#REF!="S",VLOOKUP('Raw Data'!A4710,References!#REF!,2,FALSE),(VLOOKUP($S4710,References!$B$3:$C$7,2,FALSE))),"")</f>
        <v/>
      </c>
      <c r="W4710" s="74" t="str">
        <f>IFERROR(VLOOKUP($O4710,'Customer List'!$A$1:$J$488,10,FALSE),"")</f>
        <v/>
      </c>
    </row>
    <row r="4711" spans="18:23">
      <c r="R4711" s="127">
        <f t="shared" si="223"/>
        <v>0</v>
      </c>
      <c r="T4711" s="128">
        <f t="shared" si="222"/>
        <v>0</v>
      </c>
      <c r="U4711" s="129" t="str">
        <f>IFERROR(IF(#REF!="S",VLOOKUP('Raw Data'!A4711,References!#REF!,2,FALSE),(VLOOKUP($S4711,References!$B$3:$C$7,2,FALSE))),"")</f>
        <v/>
      </c>
      <c r="W4711" s="74" t="str">
        <f>IFERROR(VLOOKUP($O4711,'Customer List'!$A$1:$J$488,10,FALSE),"")</f>
        <v/>
      </c>
    </row>
    <row r="4712" spans="18:23">
      <c r="R4712" s="127">
        <f t="shared" si="223"/>
        <v>0</v>
      </c>
      <c r="T4712" s="128">
        <f t="shared" si="222"/>
        <v>0</v>
      </c>
      <c r="U4712" s="129" t="str">
        <f>IFERROR(IF(#REF!="S",VLOOKUP('Raw Data'!A4712,References!#REF!,2,FALSE),(VLOOKUP($S4712,References!$B$3:$C$7,2,FALSE))),"")</f>
        <v/>
      </c>
      <c r="W4712" s="74" t="str">
        <f>IFERROR(VLOOKUP($O4712,'Customer List'!$A$1:$J$488,10,FALSE),"")</f>
        <v/>
      </c>
    </row>
    <row r="4713" spans="18:23">
      <c r="R4713" s="127">
        <f t="shared" si="223"/>
        <v>0</v>
      </c>
      <c r="T4713" s="128">
        <f t="shared" si="222"/>
        <v>0</v>
      </c>
      <c r="U4713" s="129" t="str">
        <f>IFERROR(IF(#REF!="S",VLOOKUP('Raw Data'!A4713,References!#REF!,2,FALSE),(VLOOKUP($S4713,References!$B$3:$C$7,2,FALSE))),"")</f>
        <v/>
      </c>
      <c r="W4713" s="74" t="str">
        <f>IFERROR(VLOOKUP($O4713,'Customer List'!$A$1:$J$488,10,FALSE),"")</f>
        <v/>
      </c>
    </row>
    <row r="4714" spans="18:23">
      <c r="R4714" s="127">
        <f t="shared" si="223"/>
        <v>0</v>
      </c>
      <c r="T4714" s="128">
        <f t="shared" si="222"/>
        <v>0</v>
      </c>
      <c r="U4714" s="129" t="str">
        <f>IFERROR(IF(#REF!="S",VLOOKUP('Raw Data'!A4714,References!#REF!,2,FALSE),(VLOOKUP($S4714,References!$B$3:$C$7,2,FALSE))),"")</f>
        <v/>
      </c>
      <c r="W4714" s="74" t="str">
        <f>IFERROR(VLOOKUP($O4714,'Customer List'!$A$1:$J$488,10,FALSE),"")</f>
        <v/>
      </c>
    </row>
    <row r="4715" spans="18:23">
      <c r="R4715" s="127">
        <f t="shared" si="223"/>
        <v>0</v>
      </c>
      <c r="T4715" s="128">
        <f t="shared" si="222"/>
        <v>0</v>
      </c>
      <c r="U4715" s="129" t="str">
        <f>IFERROR(IF(#REF!="S",VLOOKUP('Raw Data'!A4715,References!#REF!,2,FALSE),(VLOOKUP($S4715,References!$B$3:$C$7,2,FALSE))),"")</f>
        <v/>
      </c>
      <c r="W4715" s="74" t="str">
        <f>IFERROR(VLOOKUP($O4715,'Customer List'!$A$1:$J$488,10,FALSE),"")</f>
        <v/>
      </c>
    </row>
    <row r="4716" spans="18:23">
      <c r="R4716" s="127">
        <f t="shared" si="223"/>
        <v>0</v>
      </c>
      <c r="T4716" s="128">
        <f t="shared" si="222"/>
        <v>0</v>
      </c>
      <c r="U4716" s="129" t="str">
        <f>IFERROR(IF(#REF!="S",VLOOKUP('Raw Data'!A4716,References!#REF!,2,FALSE),(VLOOKUP($S4716,References!$B$3:$C$7,2,FALSE))),"")</f>
        <v/>
      </c>
      <c r="W4716" s="74" t="str">
        <f>IFERROR(VLOOKUP($O4716,'Customer List'!$A$1:$J$488,10,FALSE),"")</f>
        <v/>
      </c>
    </row>
    <row r="4717" spans="18:23">
      <c r="R4717" s="127">
        <f t="shared" si="223"/>
        <v>0</v>
      </c>
      <c r="T4717" s="128">
        <f t="shared" si="222"/>
        <v>0</v>
      </c>
      <c r="U4717" s="129" t="str">
        <f>IFERROR(IF(#REF!="S",VLOOKUP('Raw Data'!A4717,References!#REF!,2,FALSE),(VLOOKUP($S4717,References!$B$3:$C$7,2,FALSE))),"")</f>
        <v/>
      </c>
      <c r="W4717" s="74" t="str">
        <f>IFERROR(VLOOKUP($O4717,'Customer List'!$A$1:$J$488,10,FALSE),"")</f>
        <v/>
      </c>
    </row>
    <row r="4718" spans="18:23">
      <c r="R4718" s="127">
        <f t="shared" si="223"/>
        <v>0</v>
      </c>
      <c r="T4718" s="128">
        <f t="shared" si="222"/>
        <v>0</v>
      </c>
      <c r="U4718" s="129" t="str">
        <f>IFERROR(IF(#REF!="S",VLOOKUP('Raw Data'!A4718,References!#REF!,2,FALSE),(VLOOKUP($S4718,References!$B$3:$C$7,2,FALSE))),"")</f>
        <v/>
      </c>
      <c r="W4718" s="74" t="str">
        <f>IFERROR(VLOOKUP($O4718,'Customer List'!$A$1:$J$488,10,FALSE),"")</f>
        <v/>
      </c>
    </row>
    <row r="4719" spans="18:23">
      <c r="R4719" s="127">
        <f t="shared" si="223"/>
        <v>0</v>
      </c>
      <c r="T4719" s="128">
        <f t="shared" si="222"/>
        <v>0</v>
      </c>
      <c r="U4719" s="129" t="str">
        <f>IFERROR(IF(#REF!="S",VLOOKUP('Raw Data'!A4719,References!#REF!,2,FALSE),(VLOOKUP($S4719,References!$B$3:$C$7,2,FALSE))),"")</f>
        <v/>
      </c>
      <c r="W4719" s="74" t="str">
        <f>IFERROR(VLOOKUP($O4719,'Customer List'!$A$1:$J$488,10,FALSE),"")</f>
        <v/>
      </c>
    </row>
    <row r="4720" spans="18:23">
      <c r="R4720" s="127">
        <f t="shared" si="223"/>
        <v>0</v>
      </c>
      <c r="T4720" s="128">
        <f t="shared" si="222"/>
        <v>0</v>
      </c>
      <c r="U4720" s="129" t="str">
        <f>IFERROR(IF(#REF!="S",VLOOKUP('Raw Data'!A4720,References!#REF!,2,FALSE),(VLOOKUP($S4720,References!$B$3:$C$7,2,FALSE))),"")</f>
        <v/>
      </c>
      <c r="W4720" s="74" t="str">
        <f>IFERROR(VLOOKUP($O4720,'Customer List'!$A$1:$J$488,10,FALSE),"")</f>
        <v/>
      </c>
    </row>
    <row r="4721" spans="18:23">
      <c r="R4721" s="127">
        <f t="shared" si="223"/>
        <v>0</v>
      </c>
      <c r="T4721" s="128">
        <f t="shared" si="222"/>
        <v>0</v>
      </c>
      <c r="U4721" s="129" t="str">
        <f>IFERROR(IF(#REF!="S",VLOOKUP('Raw Data'!A4721,References!#REF!,2,FALSE),(VLOOKUP($S4721,References!$B$3:$C$7,2,FALSE))),"")</f>
        <v/>
      </c>
      <c r="W4721" s="74" t="str">
        <f>IFERROR(VLOOKUP($O4721,'Customer List'!$A$1:$J$488,10,FALSE),"")</f>
        <v/>
      </c>
    </row>
    <row r="4722" spans="18:23">
      <c r="R4722" s="127">
        <f t="shared" si="223"/>
        <v>0</v>
      </c>
      <c r="T4722" s="128">
        <f t="shared" si="222"/>
        <v>0</v>
      </c>
      <c r="U4722" s="129" t="str">
        <f>IFERROR(IF(#REF!="S",VLOOKUP('Raw Data'!A4722,References!#REF!,2,FALSE),(VLOOKUP($S4722,References!$B$3:$C$7,2,FALSE))),"")</f>
        <v/>
      </c>
      <c r="W4722" s="74" t="str">
        <f>IFERROR(VLOOKUP($O4722,'Customer List'!$A$1:$J$488,10,FALSE),"")</f>
        <v/>
      </c>
    </row>
    <row r="4723" spans="18:23">
      <c r="R4723" s="127">
        <f t="shared" si="223"/>
        <v>0</v>
      </c>
      <c r="T4723" s="128">
        <f t="shared" si="222"/>
        <v>0</v>
      </c>
      <c r="U4723" s="129" t="str">
        <f>IFERROR(IF(#REF!="S",VLOOKUP('Raw Data'!A4723,References!#REF!,2,FALSE),(VLOOKUP($S4723,References!$B$3:$C$7,2,FALSE))),"")</f>
        <v/>
      </c>
      <c r="W4723" s="74" t="str">
        <f>IFERROR(VLOOKUP($O4723,'Customer List'!$A$1:$J$488,10,FALSE),"")</f>
        <v/>
      </c>
    </row>
    <row r="4724" spans="18:23">
      <c r="R4724" s="127">
        <f t="shared" si="223"/>
        <v>0</v>
      </c>
      <c r="T4724" s="128">
        <f t="shared" si="222"/>
        <v>0</v>
      </c>
      <c r="U4724" s="129" t="str">
        <f>IFERROR(IF(#REF!="S",VLOOKUP('Raw Data'!A4724,References!#REF!,2,FALSE),(VLOOKUP($S4724,References!$B$3:$C$7,2,FALSE))),"")</f>
        <v/>
      </c>
      <c r="W4724" s="74" t="str">
        <f>IFERROR(VLOOKUP($O4724,'Customer List'!$A$1:$J$488,10,FALSE),"")</f>
        <v/>
      </c>
    </row>
    <row r="4725" spans="18:23">
      <c r="R4725" s="127">
        <f t="shared" si="223"/>
        <v>0</v>
      </c>
      <c r="T4725" s="128">
        <f t="shared" si="222"/>
        <v>0</v>
      </c>
      <c r="U4725" s="129" t="str">
        <f>IFERROR(IF(#REF!="S",VLOOKUP('Raw Data'!A4725,References!#REF!,2,FALSE),(VLOOKUP($S4725,References!$B$3:$C$7,2,FALSE))),"")</f>
        <v/>
      </c>
      <c r="W4725" s="74" t="str">
        <f>IFERROR(VLOOKUP($O4725,'Customer List'!$A$1:$J$488,10,FALSE),"")</f>
        <v/>
      </c>
    </row>
    <row r="4726" spans="18:23">
      <c r="R4726" s="127">
        <f t="shared" si="223"/>
        <v>0</v>
      </c>
      <c r="T4726" s="128">
        <f t="shared" si="222"/>
        <v>0</v>
      </c>
      <c r="U4726" s="129" t="str">
        <f>IFERROR(IF(#REF!="S",VLOOKUP('Raw Data'!A4726,References!#REF!,2,FALSE),(VLOOKUP($S4726,References!$B$3:$C$7,2,FALSE))),"")</f>
        <v/>
      </c>
      <c r="W4726" s="74" t="str">
        <f>IFERROR(VLOOKUP($O4726,'Customer List'!$A$1:$J$488,10,FALSE),"")</f>
        <v/>
      </c>
    </row>
    <row r="4727" spans="18:23">
      <c r="R4727" s="127">
        <f t="shared" si="223"/>
        <v>0</v>
      </c>
      <c r="T4727" s="128">
        <f t="shared" si="222"/>
        <v>0</v>
      </c>
      <c r="U4727" s="129" t="str">
        <f>IFERROR(IF(#REF!="S",VLOOKUP('Raw Data'!A4727,References!#REF!,2,FALSE),(VLOOKUP($S4727,References!$B$3:$C$7,2,FALSE))),"")</f>
        <v/>
      </c>
      <c r="W4727" s="74" t="str">
        <f>IFERROR(VLOOKUP($O4727,'Customer List'!$A$1:$J$488,10,FALSE),"")</f>
        <v/>
      </c>
    </row>
    <row r="4728" spans="18:23">
      <c r="R4728" s="127">
        <f t="shared" si="223"/>
        <v>0</v>
      </c>
      <c r="T4728" s="128">
        <f t="shared" si="222"/>
        <v>0</v>
      </c>
      <c r="U4728" s="129" t="str">
        <f>IFERROR(IF(#REF!="S",VLOOKUP('Raw Data'!A4728,References!#REF!,2,FALSE),(VLOOKUP($S4728,References!$B$3:$C$7,2,FALSE))),"")</f>
        <v/>
      </c>
      <c r="W4728" s="74" t="str">
        <f>IFERROR(VLOOKUP($O4728,'Customer List'!$A$1:$J$488,10,FALSE),"")</f>
        <v/>
      </c>
    </row>
    <row r="4729" spans="18:23">
      <c r="R4729" s="127">
        <f t="shared" si="223"/>
        <v>0</v>
      </c>
      <c r="T4729" s="128">
        <f t="shared" si="222"/>
        <v>0</v>
      </c>
      <c r="U4729" s="129" t="str">
        <f>IFERROR(IF(#REF!="S",VLOOKUP('Raw Data'!A4729,References!#REF!,2,FALSE),(VLOOKUP($S4729,References!$B$3:$C$7,2,FALSE))),"")</f>
        <v/>
      </c>
      <c r="W4729" s="74" t="str">
        <f>IFERROR(VLOOKUP($O4729,'Customer List'!$A$1:$J$488,10,FALSE),"")</f>
        <v/>
      </c>
    </row>
    <row r="4730" spans="18:23">
      <c r="R4730" s="127">
        <f t="shared" si="223"/>
        <v>0</v>
      </c>
      <c r="T4730" s="128">
        <f t="shared" si="222"/>
        <v>0</v>
      </c>
      <c r="U4730" s="129" t="str">
        <f>IFERROR(IF(#REF!="S",VLOOKUP('Raw Data'!A4730,References!#REF!,2,FALSE),(VLOOKUP($S4730,References!$B$3:$C$7,2,FALSE))),"")</f>
        <v/>
      </c>
      <c r="W4730" s="74" t="str">
        <f>IFERROR(VLOOKUP($O4730,'Customer List'!$A$1:$J$488,10,FALSE),"")</f>
        <v/>
      </c>
    </row>
    <row r="4731" spans="18:23">
      <c r="R4731" s="127">
        <f t="shared" si="223"/>
        <v>0</v>
      </c>
      <c r="T4731" s="128">
        <f t="shared" si="222"/>
        <v>0</v>
      </c>
      <c r="U4731" s="129" t="str">
        <f>IFERROR(IF(#REF!="S",VLOOKUP('Raw Data'!A4731,References!#REF!,2,FALSE),(VLOOKUP($S4731,References!$B$3:$C$7,2,FALSE))),"")</f>
        <v/>
      </c>
      <c r="W4731" s="74" t="str">
        <f>IFERROR(VLOOKUP($O4731,'Customer List'!$A$1:$J$488,10,FALSE),"")</f>
        <v/>
      </c>
    </row>
    <row r="4732" spans="18:23">
      <c r="R4732" s="127">
        <f t="shared" si="223"/>
        <v>0</v>
      </c>
      <c r="T4732" s="128">
        <f t="shared" si="222"/>
        <v>0</v>
      </c>
      <c r="U4732" s="129" t="str">
        <f>IFERROR(IF(#REF!="S",VLOOKUP('Raw Data'!A4732,References!#REF!,2,FALSE),(VLOOKUP($S4732,References!$B$3:$C$7,2,FALSE))),"")</f>
        <v/>
      </c>
      <c r="W4732" s="74" t="str">
        <f>IFERROR(VLOOKUP($O4732,'Customer List'!$A$1:$J$488,10,FALSE),"")</f>
        <v/>
      </c>
    </row>
    <row r="4733" spans="18:23">
      <c r="R4733" s="127">
        <f t="shared" si="223"/>
        <v>0</v>
      </c>
      <c r="T4733" s="128">
        <f t="shared" si="222"/>
        <v>0</v>
      </c>
      <c r="U4733" s="129" t="str">
        <f>IFERROR(IF(#REF!="S",VLOOKUP('Raw Data'!A4733,References!#REF!,2,FALSE),(VLOOKUP($S4733,References!$B$3:$C$7,2,FALSE))),"")</f>
        <v/>
      </c>
      <c r="W4733" s="74" t="str">
        <f>IFERROR(VLOOKUP($O4733,'Customer List'!$A$1:$J$488,10,FALSE),"")</f>
        <v/>
      </c>
    </row>
    <row r="4734" spans="18:23">
      <c r="R4734" s="127">
        <f t="shared" si="223"/>
        <v>0</v>
      </c>
      <c r="T4734" s="128">
        <f t="shared" si="222"/>
        <v>0</v>
      </c>
      <c r="U4734" s="129" t="str">
        <f>IFERROR(IF(#REF!="S",VLOOKUP('Raw Data'!A4734,References!#REF!,2,FALSE),(VLOOKUP($S4734,References!$B$3:$C$7,2,FALSE))),"")</f>
        <v/>
      </c>
      <c r="W4734" s="74" t="str">
        <f>IFERROR(VLOOKUP($O4734,'Customer List'!$A$1:$J$488,10,FALSE),"")</f>
        <v/>
      </c>
    </row>
    <row r="4735" spans="18:23">
      <c r="R4735" s="127">
        <f t="shared" si="223"/>
        <v>0</v>
      </c>
      <c r="T4735" s="128">
        <f t="shared" si="222"/>
        <v>0</v>
      </c>
      <c r="U4735" s="129" t="str">
        <f>IFERROR(IF(#REF!="S",VLOOKUP('Raw Data'!A4735,References!#REF!,2,FALSE),(VLOOKUP($S4735,References!$B$3:$C$7,2,FALSE))),"")</f>
        <v/>
      </c>
      <c r="W4735" s="74" t="str">
        <f>IFERROR(VLOOKUP($O4735,'Customer List'!$A$1:$J$488,10,FALSE),"")</f>
        <v/>
      </c>
    </row>
    <row r="4736" spans="18:23">
      <c r="R4736" s="127">
        <f t="shared" si="223"/>
        <v>0</v>
      </c>
      <c r="T4736" s="128">
        <f t="shared" si="222"/>
        <v>0</v>
      </c>
      <c r="U4736" s="129" t="str">
        <f>IFERROR(IF(#REF!="S",VLOOKUP('Raw Data'!A4736,References!#REF!,2,FALSE),(VLOOKUP($S4736,References!$B$3:$C$7,2,FALSE))),"")</f>
        <v/>
      </c>
      <c r="W4736" s="74" t="str">
        <f>IFERROR(VLOOKUP($O4736,'Customer List'!$A$1:$J$488,10,FALSE),"")</f>
        <v/>
      </c>
    </row>
    <row r="4737" spans="18:23">
      <c r="R4737" s="127">
        <f t="shared" si="223"/>
        <v>0</v>
      </c>
      <c r="T4737" s="128">
        <f t="shared" si="222"/>
        <v>0</v>
      </c>
      <c r="U4737" s="129" t="str">
        <f>IFERROR(IF(#REF!="S",VLOOKUP('Raw Data'!A4737,References!#REF!,2,FALSE),(VLOOKUP($S4737,References!$B$3:$C$7,2,FALSE))),"")</f>
        <v/>
      </c>
      <c r="W4737" s="74" t="str">
        <f>IFERROR(VLOOKUP($O4737,'Customer List'!$A$1:$J$488,10,FALSE),"")</f>
        <v/>
      </c>
    </row>
    <row r="4738" spans="18:23">
      <c r="R4738" s="127">
        <f t="shared" si="223"/>
        <v>0</v>
      </c>
      <c r="T4738" s="128">
        <f t="shared" si="222"/>
        <v>0</v>
      </c>
      <c r="U4738" s="129" t="str">
        <f>IFERROR(IF(#REF!="S",VLOOKUP('Raw Data'!A4738,References!#REF!,2,FALSE),(VLOOKUP($S4738,References!$B$3:$C$7,2,FALSE))),"")</f>
        <v/>
      </c>
      <c r="W4738" s="74" t="str">
        <f>IFERROR(VLOOKUP($O4738,'Customer List'!$A$1:$J$488,10,FALSE),"")</f>
        <v/>
      </c>
    </row>
    <row r="4739" spans="18:23">
      <c r="R4739" s="127">
        <f t="shared" si="223"/>
        <v>0</v>
      </c>
      <c r="T4739" s="128">
        <f t="shared" si="222"/>
        <v>0</v>
      </c>
      <c r="U4739" s="129" t="str">
        <f>IFERROR(IF(#REF!="S",VLOOKUP('Raw Data'!A4739,References!#REF!,2,FALSE),(VLOOKUP($S4739,References!$B$3:$C$7,2,FALSE))),"")</f>
        <v/>
      </c>
      <c r="W4739" s="74" t="str">
        <f>IFERROR(VLOOKUP($O4739,'Customer List'!$A$1:$J$488,10,FALSE),"")</f>
        <v/>
      </c>
    </row>
    <row r="4740" spans="18:23">
      <c r="R4740" s="127">
        <f t="shared" si="223"/>
        <v>0</v>
      </c>
      <c r="T4740" s="128">
        <f t="shared" si="222"/>
        <v>0</v>
      </c>
      <c r="U4740" s="129" t="str">
        <f>IFERROR(IF(#REF!="S",VLOOKUP('Raw Data'!A4740,References!#REF!,2,FALSE),(VLOOKUP($S4740,References!$B$3:$C$7,2,FALSE))),"")</f>
        <v/>
      </c>
      <c r="W4740" s="74" t="str">
        <f>IFERROR(VLOOKUP($O4740,'Customer List'!$A$1:$J$488,10,FALSE),"")</f>
        <v/>
      </c>
    </row>
    <row r="4741" spans="18:23">
      <c r="R4741" s="127">
        <f t="shared" si="223"/>
        <v>0</v>
      </c>
      <c r="T4741" s="128">
        <f t="shared" si="222"/>
        <v>0</v>
      </c>
      <c r="U4741" s="129" t="str">
        <f>IFERROR(IF(#REF!="S",VLOOKUP('Raw Data'!A4741,References!#REF!,2,FALSE),(VLOOKUP($S4741,References!$B$3:$C$7,2,FALSE))),"")</f>
        <v/>
      </c>
      <c r="W4741" s="74" t="str">
        <f>IFERROR(VLOOKUP($O4741,'Customer List'!$A$1:$J$488,10,FALSE),"")</f>
        <v/>
      </c>
    </row>
    <row r="4742" spans="18:23">
      <c r="R4742" s="127">
        <f t="shared" si="223"/>
        <v>0</v>
      </c>
      <c r="T4742" s="128">
        <f t="shared" si="222"/>
        <v>0</v>
      </c>
      <c r="U4742" s="129" t="str">
        <f>IFERROR(IF(#REF!="S",VLOOKUP('Raw Data'!A4742,References!#REF!,2,FALSE),(VLOOKUP($S4742,References!$B$3:$C$7,2,FALSE))),"")</f>
        <v/>
      </c>
      <c r="W4742" s="74" t="str">
        <f>IFERROR(VLOOKUP($O4742,'Customer List'!$A$1:$J$488,10,FALSE),"")</f>
        <v/>
      </c>
    </row>
    <row r="4743" spans="18:23">
      <c r="R4743" s="127">
        <f t="shared" si="223"/>
        <v>0</v>
      </c>
      <c r="T4743" s="128">
        <f t="shared" si="222"/>
        <v>0</v>
      </c>
      <c r="U4743" s="129" t="str">
        <f>IFERROR(IF(#REF!="S",VLOOKUP('Raw Data'!A4743,References!#REF!,2,FALSE),(VLOOKUP($S4743,References!$B$3:$C$7,2,FALSE))),"")</f>
        <v/>
      </c>
      <c r="W4743" s="74" t="str">
        <f>IFERROR(VLOOKUP($O4743,'Customer List'!$A$1:$J$488,10,FALSE),"")</f>
        <v/>
      </c>
    </row>
    <row r="4744" spans="18:23">
      <c r="R4744" s="127">
        <f t="shared" si="223"/>
        <v>0</v>
      </c>
      <c r="T4744" s="128">
        <f t="shared" si="222"/>
        <v>0</v>
      </c>
      <c r="U4744" s="129" t="str">
        <f>IFERROR(IF(#REF!="S",VLOOKUP('Raw Data'!A4744,References!#REF!,2,FALSE),(VLOOKUP($S4744,References!$B$3:$C$7,2,FALSE))),"")</f>
        <v/>
      </c>
      <c r="W4744" s="74" t="str">
        <f>IFERROR(VLOOKUP($O4744,'Customer List'!$A$1:$J$488,10,FALSE),"")</f>
        <v/>
      </c>
    </row>
    <row r="4745" spans="18:23">
      <c r="R4745" s="127">
        <f t="shared" si="223"/>
        <v>0</v>
      </c>
      <c r="T4745" s="128">
        <f t="shared" si="222"/>
        <v>0</v>
      </c>
      <c r="U4745" s="129" t="str">
        <f>IFERROR(IF(#REF!="S",VLOOKUP('Raw Data'!A4745,References!#REF!,2,FALSE),(VLOOKUP($S4745,References!$B$3:$C$7,2,FALSE))),"")</f>
        <v/>
      </c>
      <c r="W4745" s="74" t="str">
        <f>IFERROR(VLOOKUP($O4745,'Customer List'!$A$1:$J$488,10,FALSE),"")</f>
        <v/>
      </c>
    </row>
    <row r="4746" spans="18:23">
      <c r="R4746" s="127">
        <f t="shared" si="223"/>
        <v>0</v>
      </c>
      <c r="T4746" s="128">
        <f t="shared" ref="T4746:T4809" si="224">IF(S4746="50 - Cleaning Fee",1,HOUR($R4746)+MINUTE(R4746)/60)</f>
        <v>0</v>
      </c>
      <c r="U4746" s="129" t="str">
        <f>IFERROR(IF(#REF!="S",VLOOKUP('Raw Data'!A4746,References!#REF!,2,FALSE),(VLOOKUP($S4746,References!$B$3:$C$7,2,FALSE))),"")</f>
        <v/>
      </c>
      <c r="W4746" s="74" t="str">
        <f>IFERROR(VLOOKUP($O4746,'Customer List'!$A$1:$J$488,10,FALSE),"")</f>
        <v/>
      </c>
    </row>
    <row r="4747" spans="18:23">
      <c r="R4747" s="127">
        <f t="shared" si="223"/>
        <v>0</v>
      </c>
      <c r="T4747" s="128">
        <f t="shared" si="224"/>
        <v>0</v>
      </c>
      <c r="U4747" s="129" t="str">
        <f>IFERROR(IF(#REF!="S",VLOOKUP('Raw Data'!A4747,References!#REF!,2,FALSE),(VLOOKUP($S4747,References!$B$3:$C$7,2,FALSE))),"")</f>
        <v/>
      </c>
      <c r="W4747" s="74" t="str">
        <f>IFERROR(VLOOKUP($O4747,'Customer List'!$A$1:$J$488,10,FALSE),"")</f>
        <v/>
      </c>
    </row>
    <row r="4748" spans="18:23">
      <c r="R4748" s="127">
        <f t="shared" si="223"/>
        <v>0</v>
      </c>
      <c r="T4748" s="128">
        <f t="shared" si="224"/>
        <v>0</v>
      </c>
      <c r="U4748" s="129" t="str">
        <f>IFERROR(IF(#REF!="S",VLOOKUP('Raw Data'!A4748,References!#REF!,2,FALSE),(VLOOKUP($S4748,References!$B$3:$C$7,2,FALSE))),"")</f>
        <v/>
      </c>
      <c r="W4748" s="74" t="str">
        <f>IFERROR(VLOOKUP($O4748,'Customer List'!$A$1:$J$488,10,FALSE),"")</f>
        <v/>
      </c>
    </row>
    <row r="4749" spans="18:23">
      <c r="R4749" s="127">
        <f t="shared" si="223"/>
        <v>0</v>
      </c>
      <c r="T4749" s="128">
        <f t="shared" si="224"/>
        <v>0</v>
      </c>
      <c r="U4749" s="129" t="str">
        <f>IFERROR(IF(#REF!="S",VLOOKUP('Raw Data'!A4749,References!#REF!,2,FALSE),(VLOOKUP($S4749,References!$B$3:$C$7,2,FALSE))),"")</f>
        <v/>
      </c>
      <c r="W4749" s="74" t="str">
        <f>IFERROR(VLOOKUP($O4749,'Customer List'!$A$1:$J$488,10,FALSE),"")</f>
        <v/>
      </c>
    </row>
    <row r="4750" spans="18:23">
      <c r="R4750" s="127">
        <f t="shared" si="223"/>
        <v>0</v>
      </c>
      <c r="T4750" s="128">
        <f t="shared" si="224"/>
        <v>0</v>
      </c>
      <c r="U4750" s="129" t="str">
        <f>IFERROR(IF(#REF!="S",VLOOKUP('Raw Data'!A4750,References!#REF!,2,FALSE),(VLOOKUP($S4750,References!$B$3:$C$7,2,FALSE))),"")</f>
        <v/>
      </c>
      <c r="W4750" s="74" t="str">
        <f>IFERROR(VLOOKUP($O4750,'Customer List'!$A$1:$J$488,10,FALSE),"")</f>
        <v/>
      </c>
    </row>
    <row r="4751" spans="18:23">
      <c r="R4751" s="127">
        <f t="shared" si="223"/>
        <v>0</v>
      </c>
      <c r="T4751" s="128">
        <f t="shared" si="224"/>
        <v>0</v>
      </c>
      <c r="U4751" s="129" t="str">
        <f>IFERROR(IF(#REF!="S",VLOOKUP('Raw Data'!A4751,References!#REF!,2,FALSE),(VLOOKUP($S4751,References!$B$3:$C$7,2,FALSE))),"")</f>
        <v/>
      </c>
      <c r="W4751" s="74" t="str">
        <f>IFERROR(VLOOKUP($O4751,'Customer List'!$A$1:$J$488,10,FALSE),"")</f>
        <v/>
      </c>
    </row>
    <row r="4752" spans="18:23">
      <c r="R4752" s="127">
        <f t="shared" si="223"/>
        <v>0</v>
      </c>
      <c r="T4752" s="128">
        <f t="shared" si="224"/>
        <v>0</v>
      </c>
      <c r="U4752" s="129" t="str">
        <f>IFERROR(IF(#REF!="S",VLOOKUP('Raw Data'!A4752,References!#REF!,2,FALSE),(VLOOKUP($S4752,References!$B$3:$C$7,2,FALSE))),"")</f>
        <v/>
      </c>
      <c r="W4752" s="74" t="str">
        <f>IFERROR(VLOOKUP($O4752,'Customer List'!$A$1:$J$488,10,FALSE),"")</f>
        <v/>
      </c>
    </row>
    <row r="4753" spans="18:23">
      <c r="R4753" s="127">
        <f t="shared" si="223"/>
        <v>0</v>
      </c>
      <c r="T4753" s="128">
        <f t="shared" si="224"/>
        <v>0</v>
      </c>
      <c r="U4753" s="129" t="str">
        <f>IFERROR(IF(#REF!="S",VLOOKUP('Raw Data'!A4753,References!#REF!,2,FALSE),(VLOOKUP($S4753,References!$B$3:$C$7,2,FALSE))),"")</f>
        <v/>
      </c>
      <c r="W4753" s="74" t="str">
        <f>IFERROR(VLOOKUP($O4753,'Customer List'!$A$1:$J$488,10,FALSE),"")</f>
        <v/>
      </c>
    </row>
    <row r="4754" spans="18:23">
      <c r="R4754" s="127">
        <f t="shared" si="223"/>
        <v>0</v>
      </c>
      <c r="T4754" s="128">
        <f t="shared" si="224"/>
        <v>0</v>
      </c>
      <c r="U4754" s="129" t="str">
        <f>IFERROR(IF(#REF!="S",VLOOKUP('Raw Data'!A4754,References!#REF!,2,FALSE),(VLOOKUP($S4754,References!$B$3:$C$7,2,FALSE))),"")</f>
        <v/>
      </c>
      <c r="W4754" s="74" t="str">
        <f>IFERROR(VLOOKUP($O4754,'Customer List'!$A$1:$J$488,10,FALSE),"")</f>
        <v/>
      </c>
    </row>
    <row r="4755" spans="18:23">
      <c r="R4755" s="127">
        <f t="shared" si="223"/>
        <v>0</v>
      </c>
      <c r="T4755" s="128">
        <f t="shared" si="224"/>
        <v>0</v>
      </c>
      <c r="U4755" s="129" t="str">
        <f>IFERROR(IF(#REF!="S",VLOOKUP('Raw Data'!A4755,References!#REF!,2,FALSE),(VLOOKUP($S4755,References!$B$3:$C$7,2,FALSE))),"")</f>
        <v/>
      </c>
      <c r="W4755" s="74" t="str">
        <f>IFERROR(VLOOKUP($O4755,'Customer List'!$A$1:$J$488,10,FALSE),"")</f>
        <v/>
      </c>
    </row>
    <row r="4756" spans="18:23">
      <c r="R4756" s="127">
        <f t="shared" si="223"/>
        <v>0</v>
      </c>
      <c r="T4756" s="128">
        <f t="shared" si="224"/>
        <v>0</v>
      </c>
      <c r="U4756" s="129" t="str">
        <f>IFERROR(IF(#REF!="S",VLOOKUP('Raw Data'!A4756,References!#REF!,2,FALSE),(VLOOKUP($S4756,References!$B$3:$C$7,2,FALSE))),"")</f>
        <v/>
      </c>
      <c r="W4756" s="74" t="str">
        <f>IFERROR(VLOOKUP($O4756,'Customer List'!$A$1:$J$488,10,FALSE),"")</f>
        <v/>
      </c>
    </row>
    <row r="4757" spans="18:23">
      <c r="R4757" s="127">
        <f t="shared" si="223"/>
        <v>0</v>
      </c>
      <c r="T4757" s="128">
        <f t="shared" si="224"/>
        <v>0</v>
      </c>
      <c r="U4757" s="129" t="str">
        <f>IFERROR(IF(#REF!="S",VLOOKUP('Raw Data'!A4757,References!#REF!,2,FALSE),(VLOOKUP($S4757,References!$B$3:$C$7,2,FALSE))),"")</f>
        <v/>
      </c>
      <c r="W4757" s="74" t="str">
        <f>IFERROR(VLOOKUP($O4757,'Customer List'!$A$1:$J$488,10,FALSE),"")</f>
        <v/>
      </c>
    </row>
    <row r="4758" spans="18:23">
      <c r="R4758" s="127">
        <f t="shared" si="223"/>
        <v>0</v>
      </c>
      <c r="T4758" s="128">
        <f t="shared" si="224"/>
        <v>0</v>
      </c>
      <c r="U4758" s="129" t="str">
        <f>IFERROR(IF(#REF!="S",VLOOKUP('Raw Data'!A4758,References!#REF!,2,FALSE),(VLOOKUP($S4758,References!$B$3:$C$7,2,FALSE))),"")</f>
        <v/>
      </c>
      <c r="W4758" s="74" t="str">
        <f>IFERROR(VLOOKUP($O4758,'Customer List'!$A$1:$J$488,10,FALSE),"")</f>
        <v/>
      </c>
    </row>
    <row r="4759" spans="18:23">
      <c r="R4759" s="127">
        <f t="shared" si="223"/>
        <v>0</v>
      </c>
      <c r="T4759" s="128">
        <f t="shared" si="224"/>
        <v>0</v>
      </c>
      <c r="U4759" s="129" t="str">
        <f>IFERROR(IF(#REF!="S",VLOOKUP('Raw Data'!A4759,References!#REF!,2,FALSE),(VLOOKUP($S4759,References!$B$3:$C$7,2,FALSE))),"")</f>
        <v/>
      </c>
      <c r="W4759" s="74" t="str">
        <f>IFERROR(VLOOKUP($O4759,'Customer List'!$A$1:$J$488,10,FALSE),"")</f>
        <v/>
      </c>
    </row>
    <row r="4760" spans="18:23">
      <c r="R4760" s="127">
        <f t="shared" si="223"/>
        <v>0</v>
      </c>
      <c r="T4760" s="128">
        <f t="shared" si="224"/>
        <v>0</v>
      </c>
      <c r="U4760" s="129" t="str">
        <f>IFERROR(IF(#REF!="S",VLOOKUP('Raw Data'!A4760,References!#REF!,2,FALSE),(VLOOKUP($S4760,References!$B$3:$C$7,2,FALSE))),"")</f>
        <v/>
      </c>
      <c r="W4760" s="74" t="str">
        <f>IFERROR(VLOOKUP($O4760,'Customer List'!$A$1:$J$488,10,FALSE),"")</f>
        <v/>
      </c>
    </row>
    <row r="4761" spans="18:23">
      <c r="R4761" s="127">
        <f t="shared" si="223"/>
        <v>0</v>
      </c>
      <c r="T4761" s="128">
        <f t="shared" si="224"/>
        <v>0</v>
      </c>
      <c r="U4761" s="129" t="str">
        <f>IFERROR(IF(#REF!="S",VLOOKUP('Raw Data'!A4761,References!#REF!,2,FALSE),(VLOOKUP($S4761,References!$B$3:$C$7,2,FALSE))),"")</f>
        <v/>
      </c>
      <c r="W4761" s="74" t="str">
        <f>IFERROR(VLOOKUP($O4761,'Customer List'!$A$1:$J$488,10,FALSE),"")</f>
        <v/>
      </c>
    </row>
    <row r="4762" spans="18:23">
      <c r="R4762" s="127">
        <f t="shared" si="223"/>
        <v>0</v>
      </c>
      <c r="T4762" s="128">
        <f t="shared" si="224"/>
        <v>0</v>
      </c>
      <c r="U4762" s="129" t="str">
        <f>IFERROR(IF(#REF!="S",VLOOKUP('Raw Data'!A4762,References!#REF!,2,FALSE),(VLOOKUP($S4762,References!$B$3:$C$7,2,FALSE))),"")</f>
        <v/>
      </c>
      <c r="W4762" s="74" t="str">
        <f>IFERROR(VLOOKUP($O4762,'Customer List'!$A$1:$J$488,10,FALSE),"")</f>
        <v/>
      </c>
    </row>
    <row r="4763" spans="18:23">
      <c r="R4763" s="127">
        <f t="shared" si="223"/>
        <v>0</v>
      </c>
      <c r="T4763" s="128">
        <f t="shared" si="224"/>
        <v>0</v>
      </c>
      <c r="U4763" s="129" t="str">
        <f>IFERROR(IF(#REF!="S",VLOOKUP('Raw Data'!A4763,References!#REF!,2,FALSE),(VLOOKUP($S4763,References!$B$3:$C$7,2,FALSE))),"")</f>
        <v/>
      </c>
      <c r="W4763" s="74" t="str">
        <f>IFERROR(VLOOKUP($O4763,'Customer List'!$A$1:$J$488,10,FALSE),"")</f>
        <v/>
      </c>
    </row>
    <row r="4764" spans="18:23">
      <c r="R4764" s="127">
        <f t="shared" si="223"/>
        <v>0</v>
      </c>
      <c r="T4764" s="128">
        <f t="shared" si="224"/>
        <v>0</v>
      </c>
      <c r="U4764" s="129" t="str">
        <f>IFERROR(IF(#REF!="S",VLOOKUP('Raw Data'!A4764,References!#REF!,2,FALSE),(VLOOKUP($S4764,References!$B$3:$C$7,2,FALSE))),"")</f>
        <v/>
      </c>
      <c r="W4764" s="74" t="str">
        <f>IFERROR(VLOOKUP($O4764,'Customer List'!$A$1:$J$488,10,FALSE),"")</f>
        <v/>
      </c>
    </row>
    <row r="4765" spans="18:23">
      <c r="R4765" s="127">
        <f t="shared" si="223"/>
        <v>0</v>
      </c>
      <c r="T4765" s="128">
        <f t="shared" si="224"/>
        <v>0</v>
      </c>
      <c r="U4765" s="129" t="str">
        <f>IFERROR(IF(#REF!="S",VLOOKUP('Raw Data'!A4765,References!#REF!,2,FALSE),(VLOOKUP($S4765,References!$B$3:$C$7,2,FALSE))),"")</f>
        <v/>
      </c>
      <c r="W4765" s="74" t="str">
        <f>IFERROR(VLOOKUP($O4765,'Customer List'!$A$1:$J$488,10,FALSE),"")</f>
        <v/>
      </c>
    </row>
    <row r="4766" spans="18:23">
      <c r="R4766" s="127">
        <f t="shared" si="223"/>
        <v>0</v>
      </c>
      <c r="T4766" s="128">
        <f t="shared" si="224"/>
        <v>0</v>
      </c>
      <c r="U4766" s="129" t="str">
        <f>IFERROR(IF(#REF!="S",VLOOKUP('Raw Data'!A4766,References!#REF!,2,FALSE),(VLOOKUP($S4766,References!$B$3:$C$7,2,FALSE))),"")</f>
        <v/>
      </c>
      <c r="W4766" s="74" t="str">
        <f>IFERROR(VLOOKUP($O4766,'Customer List'!$A$1:$J$488,10,FALSE),"")</f>
        <v/>
      </c>
    </row>
    <row r="4767" spans="18:23">
      <c r="R4767" s="127">
        <f t="shared" si="223"/>
        <v>0</v>
      </c>
      <c r="T4767" s="128">
        <f t="shared" si="224"/>
        <v>0</v>
      </c>
      <c r="U4767" s="129" t="str">
        <f>IFERROR(IF(#REF!="S",VLOOKUP('Raw Data'!A4767,References!#REF!,2,FALSE),(VLOOKUP($S4767,References!$B$3:$C$7,2,FALSE))),"")</f>
        <v/>
      </c>
      <c r="W4767" s="74" t="str">
        <f>IFERROR(VLOOKUP($O4767,'Customer List'!$A$1:$J$488,10,FALSE),"")</f>
        <v/>
      </c>
    </row>
    <row r="4768" spans="18:23">
      <c r="R4768" s="127">
        <f t="shared" si="223"/>
        <v>0</v>
      </c>
      <c r="T4768" s="128">
        <f t="shared" si="224"/>
        <v>0</v>
      </c>
      <c r="U4768" s="129" t="str">
        <f>IFERROR(IF(#REF!="S",VLOOKUP('Raw Data'!A4768,References!#REF!,2,FALSE),(VLOOKUP($S4768,References!$B$3:$C$7,2,FALSE))),"")</f>
        <v/>
      </c>
      <c r="W4768" s="74" t="str">
        <f>IFERROR(VLOOKUP($O4768,'Customer List'!$A$1:$J$488,10,FALSE),"")</f>
        <v/>
      </c>
    </row>
    <row r="4769" spans="18:23">
      <c r="R4769" s="127">
        <f t="shared" si="223"/>
        <v>0</v>
      </c>
      <c r="T4769" s="128">
        <f t="shared" si="224"/>
        <v>0</v>
      </c>
      <c r="U4769" s="129" t="str">
        <f>IFERROR(IF(#REF!="S",VLOOKUP('Raw Data'!A4769,References!#REF!,2,FALSE),(VLOOKUP($S4769,References!$B$3:$C$7,2,FALSE))),"")</f>
        <v/>
      </c>
      <c r="W4769" s="74" t="str">
        <f>IFERROR(VLOOKUP($O4769,'Customer List'!$A$1:$J$488,10,FALSE),"")</f>
        <v/>
      </c>
    </row>
    <row r="4770" spans="18:23">
      <c r="R4770" s="127">
        <f t="shared" ref="R4770:R4833" si="225">L4770-K4770</f>
        <v>0</v>
      </c>
      <c r="T4770" s="128">
        <f t="shared" si="224"/>
        <v>0</v>
      </c>
      <c r="U4770" s="129" t="str">
        <f>IFERROR(IF(#REF!="S",VLOOKUP('Raw Data'!A4770,References!#REF!,2,FALSE),(VLOOKUP($S4770,References!$B$3:$C$7,2,FALSE))),"")</f>
        <v/>
      </c>
      <c r="W4770" s="74" t="str">
        <f>IFERROR(VLOOKUP($O4770,'Customer List'!$A$1:$J$488,10,FALSE),"")</f>
        <v/>
      </c>
    </row>
    <row r="4771" spans="18:23">
      <c r="R4771" s="127">
        <f t="shared" si="225"/>
        <v>0</v>
      </c>
      <c r="T4771" s="128">
        <f t="shared" si="224"/>
        <v>0</v>
      </c>
      <c r="U4771" s="129" t="str">
        <f>IFERROR(IF(#REF!="S",VLOOKUP('Raw Data'!A4771,References!#REF!,2,FALSE),(VLOOKUP($S4771,References!$B$3:$C$7,2,FALSE))),"")</f>
        <v/>
      </c>
      <c r="W4771" s="74" t="str">
        <f>IFERROR(VLOOKUP($O4771,'Customer List'!$A$1:$J$488,10,FALSE),"")</f>
        <v/>
      </c>
    </row>
    <row r="4772" spans="18:23">
      <c r="R4772" s="127">
        <f t="shared" si="225"/>
        <v>0</v>
      </c>
      <c r="T4772" s="128">
        <f t="shared" si="224"/>
        <v>0</v>
      </c>
      <c r="U4772" s="129" t="str">
        <f>IFERROR(IF(#REF!="S",VLOOKUP('Raw Data'!A4772,References!#REF!,2,FALSE),(VLOOKUP($S4772,References!$B$3:$C$7,2,FALSE))),"")</f>
        <v/>
      </c>
      <c r="W4772" s="74" t="str">
        <f>IFERROR(VLOOKUP($O4772,'Customer List'!$A$1:$J$488,10,FALSE),"")</f>
        <v/>
      </c>
    </row>
    <row r="4773" spans="18:23">
      <c r="R4773" s="127">
        <f t="shared" si="225"/>
        <v>0</v>
      </c>
      <c r="T4773" s="128">
        <f t="shared" si="224"/>
        <v>0</v>
      </c>
      <c r="U4773" s="129" t="str">
        <f>IFERROR(IF(#REF!="S",VLOOKUP('Raw Data'!A4773,References!#REF!,2,FALSE),(VLOOKUP($S4773,References!$B$3:$C$7,2,FALSE))),"")</f>
        <v/>
      </c>
      <c r="W4773" s="74" t="str">
        <f>IFERROR(VLOOKUP($O4773,'Customer List'!$A$1:$J$488,10,FALSE),"")</f>
        <v/>
      </c>
    </row>
    <row r="4774" spans="18:23">
      <c r="R4774" s="127">
        <f t="shared" si="225"/>
        <v>0</v>
      </c>
      <c r="T4774" s="128">
        <f t="shared" si="224"/>
        <v>0</v>
      </c>
      <c r="U4774" s="129" t="str">
        <f>IFERROR(IF(#REF!="S",VLOOKUP('Raw Data'!A4774,References!#REF!,2,FALSE),(VLOOKUP($S4774,References!$B$3:$C$7,2,FALSE))),"")</f>
        <v/>
      </c>
      <c r="W4774" s="74" t="str">
        <f>IFERROR(VLOOKUP($O4774,'Customer List'!$A$1:$J$488,10,FALSE),"")</f>
        <v/>
      </c>
    </row>
    <row r="4775" spans="18:23">
      <c r="R4775" s="127">
        <f t="shared" si="225"/>
        <v>0</v>
      </c>
      <c r="T4775" s="128">
        <f t="shared" si="224"/>
        <v>0</v>
      </c>
      <c r="U4775" s="129" t="str">
        <f>IFERROR(IF(#REF!="S",VLOOKUP('Raw Data'!A4775,References!#REF!,2,FALSE),(VLOOKUP($S4775,References!$B$3:$C$7,2,FALSE))),"")</f>
        <v/>
      </c>
      <c r="W4775" s="74" t="str">
        <f>IFERROR(VLOOKUP($O4775,'Customer List'!$A$1:$J$488,10,FALSE),"")</f>
        <v/>
      </c>
    </row>
    <row r="4776" spans="18:23">
      <c r="R4776" s="127">
        <f t="shared" si="225"/>
        <v>0</v>
      </c>
      <c r="T4776" s="128">
        <f t="shared" si="224"/>
        <v>0</v>
      </c>
      <c r="U4776" s="129" t="str">
        <f>IFERROR(IF(#REF!="S",VLOOKUP('Raw Data'!A4776,References!#REF!,2,FALSE),(VLOOKUP($S4776,References!$B$3:$C$7,2,FALSE))),"")</f>
        <v/>
      </c>
      <c r="W4776" s="74" t="str">
        <f>IFERROR(VLOOKUP($O4776,'Customer List'!$A$1:$J$488,10,FALSE),"")</f>
        <v/>
      </c>
    </row>
    <row r="4777" spans="18:23">
      <c r="R4777" s="127">
        <f t="shared" si="225"/>
        <v>0</v>
      </c>
      <c r="T4777" s="128">
        <f t="shared" si="224"/>
        <v>0</v>
      </c>
      <c r="U4777" s="129" t="str">
        <f>IFERROR(IF(#REF!="S",VLOOKUP('Raw Data'!A4777,References!#REF!,2,FALSE),(VLOOKUP($S4777,References!$B$3:$C$7,2,FALSE))),"")</f>
        <v/>
      </c>
      <c r="W4777" s="74" t="str">
        <f>IFERROR(VLOOKUP($O4777,'Customer List'!$A$1:$J$488,10,FALSE),"")</f>
        <v/>
      </c>
    </row>
    <row r="4778" spans="18:23">
      <c r="R4778" s="127">
        <f t="shared" si="225"/>
        <v>0</v>
      </c>
      <c r="T4778" s="128">
        <f t="shared" si="224"/>
        <v>0</v>
      </c>
      <c r="U4778" s="129" t="str">
        <f>IFERROR(IF(#REF!="S",VLOOKUP('Raw Data'!A4778,References!#REF!,2,FALSE),(VLOOKUP($S4778,References!$B$3:$C$7,2,FALSE))),"")</f>
        <v/>
      </c>
      <c r="W4778" s="74" t="str">
        <f>IFERROR(VLOOKUP($O4778,'Customer List'!$A$1:$J$488,10,FALSE),"")</f>
        <v/>
      </c>
    </row>
    <row r="4779" spans="18:23">
      <c r="R4779" s="127">
        <f t="shared" si="225"/>
        <v>0</v>
      </c>
      <c r="T4779" s="128">
        <f t="shared" si="224"/>
        <v>0</v>
      </c>
      <c r="U4779" s="129" t="str">
        <f>IFERROR(IF(#REF!="S",VLOOKUP('Raw Data'!A4779,References!#REF!,2,FALSE),(VLOOKUP($S4779,References!$B$3:$C$7,2,FALSE))),"")</f>
        <v/>
      </c>
      <c r="W4779" s="74" t="str">
        <f>IFERROR(VLOOKUP($O4779,'Customer List'!$A$1:$J$488,10,FALSE),"")</f>
        <v/>
      </c>
    </row>
    <row r="4780" spans="18:23">
      <c r="R4780" s="127">
        <f t="shared" si="225"/>
        <v>0</v>
      </c>
      <c r="T4780" s="128">
        <f t="shared" si="224"/>
        <v>0</v>
      </c>
      <c r="U4780" s="129" t="str">
        <f>IFERROR(IF(#REF!="S",VLOOKUP('Raw Data'!A4780,References!#REF!,2,FALSE),(VLOOKUP($S4780,References!$B$3:$C$7,2,FALSE))),"")</f>
        <v/>
      </c>
      <c r="W4780" s="74" t="str">
        <f>IFERROR(VLOOKUP($O4780,'Customer List'!$A$1:$J$488,10,FALSE),"")</f>
        <v/>
      </c>
    </row>
    <row r="4781" spans="18:23">
      <c r="R4781" s="127">
        <f t="shared" si="225"/>
        <v>0</v>
      </c>
      <c r="T4781" s="128">
        <f t="shared" si="224"/>
        <v>0</v>
      </c>
      <c r="U4781" s="129" t="str">
        <f>IFERROR(IF(#REF!="S",VLOOKUP('Raw Data'!A4781,References!#REF!,2,FALSE),(VLOOKUP($S4781,References!$B$3:$C$7,2,FALSE))),"")</f>
        <v/>
      </c>
      <c r="W4781" s="74" t="str">
        <f>IFERROR(VLOOKUP($O4781,'Customer List'!$A$1:$J$488,10,FALSE),"")</f>
        <v/>
      </c>
    </row>
    <row r="4782" spans="18:23">
      <c r="R4782" s="127">
        <f t="shared" si="225"/>
        <v>0</v>
      </c>
      <c r="T4782" s="128">
        <f t="shared" si="224"/>
        <v>0</v>
      </c>
      <c r="U4782" s="129" t="str">
        <f>IFERROR(IF(#REF!="S",VLOOKUP('Raw Data'!A4782,References!#REF!,2,FALSE),(VLOOKUP($S4782,References!$B$3:$C$7,2,FALSE))),"")</f>
        <v/>
      </c>
      <c r="W4782" s="74" t="str">
        <f>IFERROR(VLOOKUP($O4782,'Customer List'!$A$1:$J$488,10,FALSE),"")</f>
        <v/>
      </c>
    </row>
    <row r="4783" spans="18:23">
      <c r="R4783" s="127">
        <f t="shared" si="225"/>
        <v>0</v>
      </c>
      <c r="T4783" s="128">
        <f t="shared" si="224"/>
        <v>0</v>
      </c>
      <c r="U4783" s="129" t="str">
        <f>IFERROR(IF(#REF!="S",VLOOKUP('Raw Data'!A4783,References!#REF!,2,FALSE),(VLOOKUP($S4783,References!$B$3:$C$7,2,FALSE))),"")</f>
        <v/>
      </c>
      <c r="W4783" s="74" t="str">
        <f>IFERROR(VLOOKUP($O4783,'Customer List'!$A$1:$J$488,10,FALSE),"")</f>
        <v/>
      </c>
    </row>
    <row r="4784" spans="18:23">
      <c r="R4784" s="127">
        <f t="shared" si="225"/>
        <v>0</v>
      </c>
      <c r="T4784" s="128">
        <f t="shared" si="224"/>
        <v>0</v>
      </c>
      <c r="U4784" s="129" t="str">
        <f>IFERROR(IF(#REF!="S",VLOOKUP('Raw Data'!A4784,References!#REF!,2,FALSE),(VLOOKUP($S4784,References!$B$3:$C$7,2,FALSE))),"")</f>
        <v/>
      </c>
      <c r="W4784" s="74" t="str">
        <f>IFERROR(VLOOKUP($O4784,'Customer List'!$A$1:$J$488,10,FALSE),"")</f>
        <v/>
      </c>
    </row>
    <row r="4785" spans="18:23">
      <c r="R4785" s="127">
        <f t="shared" si="225"/>
        <v>0</v>
      </c>
      <c r="T4785" s="128">
        <f t="shared" si="224"/>
        <v>0</v>
      </c>
      <c r="U4785" s="129" t="str">
        <f>IFERROR(IF(#REF!="S",VLOOKUP('Raw Data'!A4785,References!#REF!,2,FALSE),(VLOOKUP($S4785,References!$B$3:$C$7,2,FALSE))),"")</f>
        <v/>
      </c>
      <c r="W4785" s="74" t="str">
        <f>IFERROR(VLOOKUP($O4785,'Customer List'!$A$1:$J$488,10,FALSE),"")</f>
        <v/>
      </c>
    </row>
    <row r="4786" spans="18:23">
      <c r="R4786" s="127">
        <f t="shared" si="225"/>
        <v>0</v>
      </c>
      <c r="T4786" s="128">
        <f t="shared" si="224"/>
        <v>0</v>
      </c>
      <c r="U4786" s="129" t="str">
        <f>IFERROR(IF(#REF!="S",VLOOKUP('Raw Data'!A4786,References!#REF!,2,FALSE),(VLOOKUP($S4786,References!$B$3:$C$7,2,FALSE))),"")</f>
        <v/>
      </c>
      <c r="W4786" s="74" t="str">
        <f>IFERROR(VLOOKUP($O4786,'Customer List'!$A$1:$J$488,10,FALSE),"")</f>
        <v/>
      </c>
    </row>
    <row r="4787" spans="18:23">
      <c r="R4787" s="127">
        <f t="shared" si="225"/>
        <v>0</v>
      </c>
      <c r="T4787" s="128">
        <f t="shared" si="224"/>
        <v>0</v>
      </c>
      <c r="U4787" s="129" t="str">
        <f>IFERROR(IF(#REF!="S",VLOOKUP('Raw Data'!A4787,References!#REF!,2,FALSE),(VLOOKUP($S4787,References!$B$3:$C$7,2,FALSE))),"")</f>
        <v/>
      </c>
      <c r="W4787" s="74" t="str">
        <f>IFERROR(VLOOKUP($O4787,'Customer List'!$A$1:$J$488,10,FALSE),"")</f>
        <v/>
      </c>
    </row>
    <row r="4788" spans="18:23">
      <c r="R4788" s="127">
        <f t="shared" si="225"/>
        <v>0</v>
      </c>
      <c r="T4788" s="128">
        <f t="shared" si="224"/>
        <v>0</v>
      </c>
      <c r="U4788" s="129" t="str">
        <f>IFERROR(IF(#REF!="S",VLOOKUP('Raw Data'!A4788,References!#REF!,2,FALSE),(VLOOKUP($S4788,References!$B$3:$C$7,2,FALSE))),"")</f>
        <v/>
      </c>
      <c r="W4788" s="74" t="str">
        <f>IFERROR(VLOOKUP($O4788,'Customer List'!$A$1:$J$488,10,FALSE),"")</f>
        <v/>
      </c>
    </row>
    <row r="4789" spans="18:23">
      <c r="R4789" s="127">
        <f t="shared" si="225"/>
        <v>0</v>
      </c>
      <c r="T4789" s="128">
        <f t="shared" si="224"/>
        <v>0</v>
      </c>
      <c r="U4789" s="129" t="str">
        <f>IFERROR(IF(#REF!="S",VLOOKUP('Raw Data'!A4789,References!#REF!,2,FALSE),(VLOOKUP($S4789,References!$B$3:$C$7,2,FALSE))),"")</f>
        <v/>
      </c>
      <c r="W4789" s="74" t="str">
        <f>IFERROR(VLOOKUP($O4789,'Customer List'!$A$1:$J$488,10,FALSE),"")</f>
        <v/>
      </c>
    </row>
    <row r="4790" spans="18:23">
      <c r="R4790" s="127">
        <f t="shared" si="225"/>
        <v>0</v>
      </c>
      <c r="T4790" s="128">
        <f t="shared" si="224"/>
        <v>0</v>
      </c>
      <c r="U4790" s="129" t="str">
        <f>IFERROR(IF(#REF!="S",VLOOKUP('Raw Data'!A4790,References!#REF!,2,FALSE),(VLOOKUP($S4790,References!$B$3:$C$7,2,FALSE))),"")</f>
        <v/>
      </c>
      <c r="W4790" s="74" t="str">
        <f>IFERROR(VLOOKUP($O4790,'Customer List'!$A$1:$J$488,10,FALSE),"")</f>
        <v/>
      </c>
    </row>
    <row r="4791" spans="18:23">
      <c r="R4791" s="127">
        <f t="shared" si="225"/>
        <v>0</v>
      </c>
      <c r="T4791" s="128">
        <f t="shared" si="224"/>
        <v>0</v>
      </c>
      <c r="U4791" s="129" t="str">
        <f>IFERROR(IF(#REF!="S",VLOOKUP('Raw Data'!A4791,References!#REF!,2,FALSE),(VLOOKUP($S4791,References!$B$3:$C$7,2,FALSE))),"")</f>
        <v/>
      </c>
      <c r="W4791" s="74" t="str">
        <f>IFERROR(VLOOKUP($O4791,'Customer List'!$A$1:$J$488,10,FALSE),"")</f>
        <v/>
      </c>
    </row>
    <row r="4792" spans="18:23">
      <c r="R4792" s="127">
        <f t="shared" si="225"/>
        <v>0</v>
      </c>
      <c r="T4792" s="128">
        <f t="shared" si="224"/>
        <v>0</v>
      </c>
      <c r="U4792" s="129" t="str">
        <f>IFERROR(IF(#REF!="S",VLOOKUP('Raw Data'!A4792,References!#REF!,2,FALSE),(VLOOKUP($S4792,References!$B$3:$C$7,2,FALSE))),"")</f>
        <v/>
      </c>
      <c r="W4792" s="74" t="str">
        <f>IFERROR(VLOOKUP($O4792,'Customer List'!$A$1:$J$488,10,FALSE),"")</f>
        <v/>
      </c>
    </row>
    <row r="4793" spans="18:23">
      <c r="R4793" s="127">
        <f t="shared" si="225"/>
        <v>0</v>
      </c>
      <c r="T4793" s="128">
        <f t="shared" si="224"/>
        <v>0</v>
      </c>
      <c r="U4793" s="129" t="str">
        <f>IFERROR(IF(#REF!="S",VLOOKUP('Raw Data'!A4793,References!#REF!,2,FALSE),(VLOOKUP($S4793,References!$B$3:$C$7,2,FALSE))),"")</f>
        <v/>
      </c>
      <c r="W4793" s="74" t="str">
        <f>IFERROR(VLOOKUP($O4793,'Customer List'!$A$1:$J$488,10,FALSE),"")</f>
        <v/>
      </c>
    </row>
    <row r="4794" spans="18:23">
      <c r="R4794" s="127">
        <f t="shared" si="225"/>
        <v>0</v>
      </c>
      <c r="T4794" s="128">
        <f t="shared" si="224"/>
        <v>0</v>
      </c>
      <c r="U4794" s="129" t="str">
        <f>IFERROR(IF(#REF!="S",VLOOKUP('Raw Data'!A4794,References!#REF!,2,FALSE),(VLOOKUP($S4794,References!$B$3:$C$7,2,FALSE))),"")</f>
        <v/>
      </c>
      <c r="W4794" s="74" t="str">
        <f>IFERROR(VLOOKUP($O4794,'Customer List'!$A$1:$J$488,10,FALSE),"")</f>
        <v/>
      </c>
    </row>
    <row r="4795" spans="18:23">
      <c r="R4795" s="127">
        <f t="shared" si="225"/>
        <v>0</v>
      </c>
      <c r="T4795" s="128">
        <f t="shared" si="224"/>
        <v>0</v>
      </c>
      <c r="U4795" s="129" t="str">
        <f>IFERROR(IF(#REF!="S",VLOOKUP('Raw Data'!A4795,References!#REF!,2,FALSE),(VLOOKUP($S4795,References!$B$3:$C$7,2,FALSE))),"")</f>
        <v/>
      </c>
      <c r="W4795" s="74" t="str">
        <f>IFERROR(VLOOKUP($O4795,'Customer List'!$A$1:$J$488,10,FALSE),"")</f>
        <v/>
      </c>
    </row>
    <row r="4796" spans="18:23">
      <c r="R4796" s="127">
        <f t="shared" si="225"/>
        <v>0</v>
      </c>
      <c r="T4796" s="128">
        <f t="shared" si="224"/>
        <v>0</v>
      </c>
      <c r="U4796" s="129" t="str">
        <f>IFERROR(IF(#REF!="S",VLOOKUP('Raw Data'!A4796,References!#REF!,2,FALSE),(VLOOKUP($S4796,References!$B$3:$C$7,2,FALSE))),"")</f>
        <v/>
      </c>
      <c r="W4796" s="74" t="str">
        <f>IFERROR(VLOOKUP($O4796,'Customer List'!$A$1:$J$488,10,FALSE),"")</f>
        <v/>
      </c>
    </row>
    <row r="4797" spans="18:23">
      <c r="R4797" s="127">
        <f t="shared" si="225"/>
        <v>0</v>
      </c>
      <c r="T4797" s="128">
        <f t="shared" si="224"/>
        <v>0</v>
      </c>
      <c r="U4797" s="129" t="str">
        <f>IFERROR(IF(#REF!="S",VLOOKUP('Raw Data'!A4797,References!#REF!,2,FALSE),(VLOOKUP($S4797,References!$B$3:$C$7,2,FALSE))),"")</f>
        <v/>
      </c>
      <c r="W4797" s="74" t="str">
        <f>IFERROR(VLOOKUP($O4797,'Customer List'!$A$1:$J$488,10,FALSE),"")</f>
        <v/>
      </c>
    </row>
    <row r="4798" spans="18:23">
      <c r="R4798" s="127">
        <f t="shared" si="225"/>
        <v>0</v>
      </c>
      <c r="T4798" s="128">
        <f t="shared" si="224"/>
        <v>0</v>
      </c>
      <c r="U4798" s="129" t="str">
        <f>IFERROR(IF(#REF!="S",VLOOKUP('Raw Data'!A4798,References!#REF!,2,FALSE),(VLOOKUP($S4798,References!$B$3:$C$7,2,FALSE))),"")</f>
        <v/>
      </c>
      <c r="W4798" s="74" t="str">
        <f>IFERROR(VLOOKUP($O4798,'Customer List'!$A$1:$J$488,10,FALSE),"")</f>
        <v/>
      </c>
    </row>
    <row r="4799" spans="18:23">
      <c r="R4799" s="127">
        <f t="shared" si="225"/>
        <v>0</v>
      </c>
      <c r="T4799" s="128">
        <f t="shared" si="224"/>
        <v>0</v>
      </c>
      <c r="U4799" s="129" t="str">
        <f>IFERROR(IF(#REF!="S",VLOOKUP('Raw Data'!A4799,References!#REF!,2,FALSE),(VLOOKUP($S4799,References!$B$3:$C$7,2,FALSE))),"")</f>
        <v/>
      </c>
      <c r="W4799" s="74" t="str">
        <f>IFERROR(VLOOKUP($O4799,'Customer List'!$A$1:$J$488,10,FALSE),"")</f>
        <v/>
      </c>
    </row>
    <row r="4800" spans="18:23">
      <c r="R4800" s="127">
        <f t="shared" si="225"/>
        <v>0</v>
      </c>
      <c r="T4800" s="128">
        <f t="shared" si="224"/>
        <v>0</v>
      </c>
      <c r="U4800" s="129" t="str">
        <f>IFERROR(IF(#REF!="S",VLOOKUP('Raw Data'!A4800,References!#REF!,2,FALSE),(VLOOKUP($S4800,References!$B$3:$C$7,2,FALSE))),"")</f>
        <v/>
      </c>
      <c r="W4800" s="74" t="str">
        <f>IFERROR(VLOOKUP($O4800,'Customer List'!$A$1:$J$488,10,FALSE),"")</f>
        <v/>
      </c>
    </row>
    <row r="4801" spans="18:23">
      <c r="R4801" s="127">
        <f t="shared" si="225"/>
        <v>0</v>
      </c>
      <c r="T4801" s="128">
        <f t="shared" si="224"/>
        <v>0</v>
      </c>
      <c r="U4801" s="129" t="str">
        <f>IFERROR(IF(#REF!="S",VLOOKUP('Raw Data'!A4801,References!#REF!,2,FALSE),(VLOOKUP($S4801,References!$B$3:$C$7,2,FALSE))),"")</f>
        <v/>
      </c>
      <c r="W4801" s="74" t="str">
        <f>IFERROR(VLOOKUP($O4801,'Customer List'!$A$1:$J$488,10,FALSE),"")</f>
        <v/>
      </c>
    </row>
    <row r="4802" spans="18:23">
      <c r="R4802" s="127">
        <f t="shared" si="225"/>
        <v>0</v>
      </c>
      <c r="T4802" s="128">
        <f t="shared" si="224"/>
        <v>0</v>
      </c>
      <c r="U4802" s="129" t="str">
        <f>IFERROR(IF(#REF!="S",VLOOKUP('Raw Data'!A4802,References!#REF!,2,FALSE),(VLOOKUP($S4802,References!$B$3:$C$7,2,FALSE))),"")</f>
        <v/>
      </c>
      <c r="W4802" s="74" t="str">
        <f>IFERROR(VLOOKUP($O4802,'Customer List'!$A$1:$J$488,10,FALSE),"")</f>
        <v/>
      </c>
    </row>
    <row r="4803" spans="18:23">
      <c r="R4803" s="127">
        <f t="shared" si="225"/>
        <v>0</v>
      </c>
      <c r="T4803" s="128">
        <f t="shared" si="224"/>
        <v>0</v>
      </c>
      <c r="U4803" s="129" t="str">
        <f>IFERROR(IF(#REF!="S",VLOOKUP('Raw Data'!A4803,References!#REF!,2,FALSE),(VLOOKUP($S4803,References!$B$3:$C$7,2,FALSE))),"")</f>
        <v/>
      </c>
      <c r="W4803" s="74" t="str">
        <f>IFERROR(VLOOKUP($O4803,'Customer List'!$A$1:$J$488,10,FALSE),"")</f>
        <v/>
      </c>
    </row>
    <row r="4804" spans="18:23">
      <c r="R4804" s="127">
        <f t="shared" si="225"/>
        <v>0</v>
      </c>
      <c r="T4804" s="128">
        <f t="shared" si="224"/>
        <v>0</v>
      </c>
      <c r="U4804" s="129" t="str">
        <f>IFERROR(IF(#REF!="S",VLOOKUP('Raw Data'!A4804,References!#REF!,2,FALSE),(VLOOKUP($S4804,References!$B$3:$C$7,2,FALSE))),"")</f>
        <v/>
      </c>
      <c r="W4804" s="74" t="str">
        <f>IFERROR(VLOOKUP($O4804,'Customer List'!$A$1:$J$488,10,FALSE),"")</f>
        <v/>
      </c>
    </row>
    <row r="4805" spans="18:23">
      <c r="R4805" s="127">
        <f t="shared" si="225"/>
        <v>0</v>
      </c>
      <c r="T4805" s="128">
        <f t="shared" si="224"/>
        <v>0</v>
      </c>
      <c r="U4805" s="129" t="str">
        <f>IFERROR(IF(#REF!="S",VLOOKUP('Raw Data'!A4805,References!#REF!,2,FALSE),(VLOOKUP($S4805,References!$B$3:$C$7,2,FALSE))),"")</f>
        <v/>
      </c>
      <c r="W4805" s="74" t="str">
        <f>IFERROR(VLOOKUP($O4805,'Customer List'!$A$1:$J$488,10,FALSE),"")</f>
        <v/>
      </c>
    </row>
    <row r="4806" spans="18:23">
      <c r="R4806" s="127">
        <f t="shared" si="225"/>
        <v>0</v>
      </c>
      <c r="T4806" s="128">
        <f t="shared" si="224"/>
        <v>0</v>
      </c>
      <c r="U4806" s="129" t="str">
        <f>IFERROR(IF(#REF!="S",VLOOKUP('Raw Data'!A4806,References!#REF!,2,FALSE),(VLOOKUP($S4806,References!$B$3:$C$7,2,FALSE))),"")</f>
        <v/>
      </c>
      <c r="W4806" s="74" t="str">
        <f>IFERROR(VLOOKUP($O4806,'Customer List'!$A$1:$J$488,10,FALSE),"")</f>
        <v/>
      </c>
    </row>
    <row r="4807" spans="18:23">
      <c r="R4807" s="127">
        <f t="shared" si="225"/>
        <v>0</v>
      </c>
      <c r="T4807" s="128">
        <f t="shared" si="224"/>
        <v>0</v>
      </c>
      <c r="U4807" s="129" t="str">
        <f>IFERROR(IF(#REF!="S",VLOOKUP('Raw Data'!A4807,References!#REF!,2,FALSE),(VLOOKUP($S4807,References!$B$3:$C$7,2,FALSE))),"")</f>
        <v/>
      </c>
      <c r="W4807" s="74" t="str">
        <f>IFERROR(VLOOKUP($O4807,'Customer List'!$A$1:$J$488,10,FALSE),"")</f>
        <v/>
      </c>
    </row>
    <row r="4808" spans="18:23">
      <c r="R4808" s="127">
        <f t="shared" si="225"/>
        <v>0</v>
      </c>
      <c r="T4808" s="128">
        <f t="shared" si="224"/>
        <v>0</v>
      </c>
      <c r="U4808" s="129" t="str">
        <f>IFERROR(IF(#REF!="S",VLOOKUP('Raw Data'!A4808,References!#REF!,2,FALSE),(VLOOKUP($S4808,References!$B$3:$C$7,2,FALSE))),"")</f>
        <v/>
      </c>
      <c r="W4808" s="74" t="str">
        <f>IFERROR(VLOOKUP($O4808,'Customer List'!$A$1:$J$488,10,FALSE),"")</f>
        <v/>
      </c>
    </row>
    <row r="4809" spans="18:23">
      <c r="R4809" s="127">
        <f t="shared" si="225"/>
        <v>0</v>
      </c>
      <c r="T4809" s="128">
        <f t="shared" si="224"/>
        <v>0</v>
      </c>
      <c r="U4809" s="129" t="str">
        <f>IFERROR(IF(#REF!="S",VLOOKUP('Raw Data'!A4809,References!#REF!,2,FALSE),(VLOOKUP($S4809,References!$B$3:$C$7,2,FALSE))),"")</f>
        <v/>
      </c>
      <c r="W4809" s="74" t="str">
        <f>IFERROR(VLOOKUP($O4809,'Customer List'!$A$1:$J$488,10,FALSE),"")</f>
        <v/>
      </c>
    </row>
    <row r="4810" spans="18:23">
      <c r="R4810" s="127">
        <f t="shared" si="225"/>
        <v>0</v>
      </c>
      <c r="T4810" s="128">
        <f t="shared" ref="T4810:T4873" si="226">IF(S4810="50 - Cleaning Fee",1,HOUR($R4810)+MINUTE(R4810)/60)</f>
        <v>0</v>
      </c>
      <c r="U4810" s="129" t="str">
        <f>IFERROR(IF(#REF!="S",VLOOKUP('Raw Data'!A4810,References!#REF!,2,FALSE),(VLOOKUP($S4810,References!$B$3:$C$7,2,FALSE))),"")</f>
        <v/>
      </c>
      <c r="W4810" s="74" t="str">
        <f>IFERROR(VLOOKUP($O4810,'Customer List'!$A$1:$J$488,10,FALSE),"")</f>
        <v/>
      </c>
    </row>
    <row r="4811" spans="18:23">
      <c r="R4811" s="127">
        <f t="shared" si="225"/>
        <v>0</v>
      </c>
      <c r="T4811" s="128">
        <f t="shared" si="226"/>
        <v>0</v>
      </c>
      <c r="U4811" s="129" t="str">
        <f>IFERROR(IF(#REF!="S",VLOOKUP('Raw Data'!A4811,References!#REF!,2,FALSE),(VLOOKUP($S4811,References!$B$3:$C$7,2,FALSE))),"")</f>
        <v/>
      </c>
      <c r="W4811" s="74" t="str">
        <f>IFERROR(VLOOKUP($O4811,'Customer List'!$A$1:$J$488,10,FALSE),"")</f>
        <v/>
      </c>
    </row>
    <row r="4812" spans="18:23">
      <c r="R4812" s="127">
        <f t="shared" si="225"/>
        <v>0</v>
      </c>
      <c r="T4812" s="128">
        <f t="shared" si="226"/>
        <v>0</v>
      </c>
      <c r="U4812" s="129" t="str">
        <f>IFERROR(IF(#REF!="S",VLOOKUP('Raw Data'!A4812,References!#REF!,2,FALSE),(VLOOKUP($S4812,References!$B$3:$C$7,2,FALSE))),"")</f>
        <v/>
      </c>
      <c r="W4812" s="74" t="str">
        <f>IFERROR(VLOOKUP($O4812,'Customer List'!$A$1:$J$488,10,FALSE),"")</f>
        <v/>
      </c>
    </row>
    <row r="4813" spans="18:23">
      <c r="R4813" s="127">
        <f t="shared" si="225"/>
        <v>0</v>
      </c>
      <c r="T4813" s="128">
        <f t="shared" si="226"/>
        <v>0</v>
      </c>
      <c r="U4813" s="129" t="str">
        <f>IFERROR(IF(#REF!="S",VLOOKUP('Raw Data'!A4813,References!#REF!,2,FALSE),(VLOOKUP($S4813,References!$B$3:$C$7,2,FALSE))),"")</f>
        <v/>
      </c>
      <c r="W4813" s="74" t="str">
        <f>IFERROR(VLOOKUP($O4813,'Customer List'!$A$1:$J$488,10,FALSE),"")</f>
        <v/>
      </c>
    </row>
    <row r="4814" spans="18:23">
      <c r="R4814" s="127">
        <f t="shared" si="225"/>
        <v>0</v>
      </c>
      <c r="T4814" s="128">
        <f t="shared" si="226"/>
        <v>0</v>
      </c>
      <c r="U4814" s="129" t="str">
        <f>IFERROR(IF(#REF!="S",VLOOKUP('Raw Data'!A4814,References!#REF!,2,FALSE),(VLOOKUP($S4814,References!$B$3:$C$7,2,FALSE))),"")</f>
        <v/>
      </c>
      <c r="W4814" s="74" t="str">
        <f>IFERROR(VLOOKUP($O4814,'Customer List'!$A$1:$J$488,10,FALSE),"")</f>
        <v/>
      </c>
    </row>
    <row r="4815" spans="18:23">
      <c r="R4815" s="127">
        <f t="shared" si="225"/>
        <v>0</v>
      </c>
      <c r="T4815" s="128">
        <f t="shared" si="226"/>
        <v>0</v>
      </c>
      <c r="U4815" s="129" t="str">
        <f>IFERROR(IF(#REF!="S",VLOOKUP('Raw Data'!A4815,References!#REF!,2,FALSE),(VLOOKUP($S4815,References!$B$3:$C$7,2,FALSE))),"")</f>
        <v/>
      </c>
      <c r="W4815" s="74" t="str">
        <f>IFERROR(VLOOKUP($O4815,'Customer List'!$A$1:$J$488,10,FALSE),"")</f>
        <v/>
      </c>
    </row>
    <row r="4816" spans="18:23">
      <c r="R4816" s="127">
        <f t="shared" si="225"/>
        <v>0</v>
      </c>
      <c r="T4816" s="128">
        <f t="shared" si="226"/>
        <v>0</v>
      </c>
      <c r="U4816" s="129" t="str">
        <f>IFERROR(IF(#REF!="S",VLOOKUP('Raw Data'!A4816,References!#REF!,2,FALSE),(VLOOKUP($S4816,References!$B$3:$C$7,2,FALSE))),"")</f>
        <v/>
      </c>
      <c r="W4816" s="74" t="str">
        <f>IFERROR(VLOOKUP($O4816,'Customer List'!$A$1:$J$488,10,FALSE),"")</f>
        <v/>
      </c>
    </row>
    <row r="4817" spans="18:23">
      <c r="R4817" s="127">
        <f t="shared" si="225"/>
        <v>0</v>
      </c>
      <c r="T4817" s="128">
        <f t="shared" si="226"/>
        <v>0</v>
      </c>
      <c r="U4817" s="129" t="str">
        <f>IFERROR(IF(#REF!="S",VLOOKUP('Raw Data'!A4817,References!#REF!,2,FALSE),(VLOOKUP($S4817,References!$B$3:$C$7,2,FALSE))),"")</f>
        <v/>
      </c>
      <c r="W4817" s="74" t="str">
        <f>IFERROR(VLOOKUP($O4817,'Customer List'!$A$1:$J$488,10,FALSE),"")</f>
        <v/>
      </c>
    </row>
    <row r="4818" spans="18:23">
      <c r="R4818" s="127">
        <f t="shared" si="225"/>
        <v>0</v>
      </c>
      <c r="T4818" s="128">
        <f t="shared" si="226"/>
        <v>0</v>
      </c>
      <c r="U4818" s="129" t="str">
        <f>IFERROR(IF(#REF!="S",VLOOKUP('Raw Data'!A4818,References!#REF!,2,FALSE),(VLOOKUP($S4818,References!$B$3:$C$7,2,FALSE))),"")</f>
        <v/>
      </c>
      <c r="W4818" s="74" t="str">
        <f>IFERROR(VLOOKUP($O4818,'Customer List'!$A$1:$J$488,10,FALSE),"")</f>
        <v/>
      </c>
    </row>
    <row r="4819" spans="18:23">
      <c r="R4819" s="127">
        <f t="shared" si="225"/>
        <v>0</v>
      </c>
      <c r="T4819" s="128">
        <f t="shared" si="226"/>
        <v>0</v>
      </c>
      <c r="U4819" s="129" t="str">
        <f>IFERROR(IF(#REF!="S",VLOOKUP('Raw Data'!A4819,References!#REF!,2,FALSE),(VLOOKUP($S4819,References!$B$3:$C$7,2,FALSE))),"")</f>
        <v/>
      </c>
      <c r="W4819" s="74" t="str">
        <f>IFERROR(VLOOKUP($O4819,'Customer List'!$A$1:$J$488,10,FALSE),"")</f>
        <v/>
      </c>
    </row>
    <row r="4820" spans="18:23">
      <c r="R4820" s="127">
        <f t="shared" si="225"/>
        <v>0</v>
      </c>
      <c r="T4820" s="128">
        <f t="shared" si="226"/>
        <v>0</v>
      </c>
      <c r="U4820" s="129" t="str">
        <f>IFERROR(IF(#REF!="S",VLOOKUP('Raw Data'!A4820,References!#REF!,2,FALSE),(VLOOKUP($S4820,References!$B$3:$C$7,2,FALSE))),"")</f>
        <v/>
      </c>
      <c r="W4820" s="74" t="str">
        <f>IFERROR(VLOOKUP($O4820,'Customer List'!$A$1:$J$488,10,FALSE),"")</f>
        <v/>
      </c>
    </row>
    <row r="4821" spans="18:23">
      <c r="R4821" s="127">
        <f t="shared" si="225"/>
        <v>0</v>
      </c>
      <c r="T4821" s="128">
        <f t="shared" si="226"/>
        <v>0</v>
      </c>
      <c r="U4821" s="129" t="str">
        <f>IFERROR(IF(#REF!="S",VLOOKUP('Raw Data'!A4821,References!#REF!,2,FALSE),(VLOOKUP($S4821,References!$B$3:$C$7,2,FALSE))),"")</f>
        <v/>
      </c>
      <c r="W4821" s="74" t="str">
        <f>IFERROR(VLOOKUP($O4821,'Customer List'!$A$1:$J$488,10,FALSE),"")</f>
        <v/>
      </c>
    </row>
    <row r="4822" spans="18:23">
      <c r="R4822" s="127">
        <f t="shared" si="225"/>
        <v>0</v>
      </c>
      <c r="T4822" s="128">
        <f t="shared" si="226"/>
        <v>0</v>
      </c>
      <c r="U4822" s="129" t="str">
        <f>IFERROR(IF(#REF!="S",VLOOKUP('Raw Data'!A4822,References!#REF!,2,FALSE),(VLOOKUP($S4822,References!$B$3:$C$7,2,FALSE))),"")</f>
        <v/>
      </c>
      <c r="W4822" s="74" t="str">
        <f>IFERROR(VLOOKUP($O4822,'Customer List'!$A$1:$J$488,10,FALSE),"")</f>
        <v/>
      </c>
    </row>
    <row r="4823" spans="18:23">
      <c r="R4823" s="127">
        <f t="shared" si="225"/>
        <v>0</v>
      </c>
      <c r="T4823" s="128">
        <f t="shared" si="226"/>
        <v>0</v>
      </c>
      <c r="U4823" s="129" t="str">
        <f>IFERROR(IF(#REF!="S",VLOOKUP('Raw Data'!A4823,References!#REF!,2,FALSE),(VLOOKUP($S4823,References!$B$3:$C$7,2,FALSE))),"")</f>
        <v/>
      </c>
      <c r="W4823" s="74" t="str">
        <f>IFERROR(VLOOKUP($O4823,'Customer List'!$A$1:$J$488,10,FALSE),"")</f>
        <v/>
      </c>
    </row>
    <row r="4824" spans="18:23">
      <c r="R4824" s="127">
        <f t="shared" si="225"/>
        <v>0</v>
      </c>
      <c r="T4824" s="128">
        <f t="shared" si="226"/>
        <v>0</v>
      </c>
      <c r="U4824" s="129" t="str">
        <f>IFERROR(IF(#REF!="S",VLOOKUP('Raw Data'!A4824,References!#REF!,2,FALSE),(VLOOKUP($S4824,References!$B$3:$C$7,2,FALSE))),"")</f>
        <v/>
      </c>
      <c r="W4824" s="74" t="str">
        <f>IFERROR(VLOOKUP($O4824,'Customer List'!$A$1:$J$488,10,FALSE),"")</f>
        <v/>
      </c>
    </row>
    <row r="4825" spans="18:23">
      <c r="R4825" s="127">
        <f t="shared" si="225"/>
        <v>0</v>
      </c>
      <c r="T4825" s="128">
        <f t="shared" si="226"/>
        <v>0</v>
      </c>
      <c r="U4825" s="129" t="str">
        <f>IFERROR(IF(#REF!="S",VLOOKUP('Raw Data'!A4825,References!#REF!,2,FALSE),(VLOOKUP($S4825,References!$B$3:$C$7,2,FALSE))),"")</f>
        <v/>
      </c>
      <c r="W4825" s="74" t="str">
        <f>IFERROR(VLOOKUP($O4825,'Customer List'!$A$1:$J$488,10,FALSE),"")</f>
        <v/>
      </c>
    </row>
    <row r="4826" spans="18:23">
      <c r="R4826" s="127">
        <f t="shared" si="225"/>
        <v>0</v>
      </c>
      <c r="T4826" s="128">
        <f t="shared" si="226"/>
        <v>0</v>
      </c>
      <c r="U4826" s="129" t="str">
        <f>IFERROR(IF(#REF!="S",VLOOKUP('Raw Data'!A4826,References!#REF!,2,FALSE),(VLOOKUP($S4826,References!$B$3:$C$7,2,FALSE))),"")</f>
        <v/>
      </c>
      <c r="W4826" s="74" t="str">
        <f>IFERROR(VLOOKUP($O4826,'Customer List'!$A$1:$J$488,10,FALSE),"")</f>
        <v/>
      </c>
    </row>
    <row r="4827" spans="18:23">
      <c r="R4827" s="127">
        <f t="shared" si="225"/>
        <v>0</v>
      </c>
      <c r="T4827" s="128">
        <f t="shared" si="226"/>
        <v>0</v>
      </c>
      <c r="U4827" s="129" t="str">
        <f>IFERROR(IF(#REF!="S",VLOOKUP('Raw Data'!A4827,References!#REF!,2,FALSE),(VLOOKUP($S4827,References!$B$3:$C$7,2,FALSE))),"")</f>
        <v/>
      </c>
      <c r="W4827" s="74" t="str">
        <f>IFERROR(VLOOKUP($O4827,'Customer List'!$A$1:$J$488,10,FALSE),"")</f>
        <v/>
      </c>
    </row>
    <row r="4828" spans="18:23">
      <c r="R4828" s="127">
        <f t="shared" si="225"/>
        <v>0</v>
      </c>
      <c r="T4828" s="128">
        <f t="shared" si="226"/>
        <v>0</v>
      </c>
      <c r="U4828" s="129" t="str">
        <f>IFERROR(IF(#REF!="S",VLOOKUP('Raw Data'!A4828,References!#REF!,2,FALSE),(VLOOKUP($S4828,References!$B$3:$C$7,2,FALSE))),"")</f>
        <v/>
      </c>
      <c r="W4828" s="74" t="str">
        <f>IFERROR(VLOOKUP($O4828,'Customer List'!$A$1:$J$488,10,FALSE),"")</f>
        <v/>
      </c>
    </row>
    <row r="4829" spans="18:23">
      <c r="R4829" s="127">
        <f t="shared" si="225"/>
        <v>0</v>
      </c>
      <c r="T4829" s="128">
        <f t="shared" si="226"/>
        <v>0</v>
      </c>
      <c r="U4829" s="129" t="str">
        <f>IFERROR(IF(#REF!="S",VLOOKUP('Raw Data'!A4829,References!#REF!,2,FALSE),(VLOOKUP($S4829,References!$B$3:$C$7,2,FALSE))),"")</f>
        <v/>
      </c>
      <c r="W4829" s="74" t="str">
        <f>IFERROR(VLOOKUP($O4829,'Customer List'!$A$1:$J$488,10,FALSE),"")</f>
        <v/>
      </c>
    </row>
    <row r="4830" spans="18:23">
      <c r="R4830" s="127">
        <f t="shared" si="225"/>
        <v>0</v>
      </c>
      <c r="T4830" s="128">
        <f t="shared" si="226"/>
        <v>0</v>
      </c>
      <c r="U4830" s="129" t="str">
        <f>IFERROR(IF(#REF!="S",VLOOKUP('Raw Data'!A4830,References!#REF!,2,FALSE),(VLOOKUP($S4830,References!$B$3:$C$7,2,FALSE))),"")</f>
        <v/>
      </c>
      <c r="W4830" s="74" t="str">
        <f>IFERROR(VLOOKUP($O4830,'Customer List'!$A$1:$J$488,10,FALSE),"")</f>
        <v/>
      </c>
    </row>
    <row r="4831" spans="18:23">
      <c r="R4831" s="127">
        <f t="shared" si="225"/>
        <v>0</v>
      </c>
      <c r="T4831" s="128">
        <f t="shared" si="226"/>
        <v>0</v>
      </c>
      <c r="U4831" s="129" t="str">
        <f>IFERROR(IF(#REF!="S",VLOOKUP('Raw Data'!A4831,References!#REF!,2,FALSE),(VLOOKUP($S4831,References!$B$3:$C$7,2,FALSE))),"")</f>
        <v/>
      </c>
      <c r="W4831" s="74" t="str">
        <f>IFERROR(VLOOKUP($O4831,'Customer List'!$A$1:$J$488,10,FALSE),"")</f>
        <v/>
      </c>
    </row>
    <row r="4832" spans="18:23">
      <c r="R4832" s="127">
        <f t="shared" si="225"/>
        <v>0</v>
      </c>
      <c r="T4832" s="128">
        <f t="shared" si="226"/>
        <v>0</v>
      </c>
      <c r="U4832" s="129" t="str">
        <f>IFERROR(IF(#REF!="S",VLOOKUP('Raw Data'!A4832,References!#REF!,2,FALSE),(VLOOKUP($S4832,References!$B$3:$C$7,2,FALSE))),"")</f>
        <v/>
      </c>
      <c r="W4832" s="74" t="str">
        <f>IFERROR(VLOOKUP($O4832,'Customer List'!$A$1:$J$488,10,FALSE),"")</f>
        <v/>
      </c>
    </row>
    <row r="4833" spans="18:23">
      <c r="R4833" s="127">
        <f t="shared" si="225"/>
        <v>0</v>
      </c>
      <c r="T4833" s="128">
        <f t="shared" si="226"/>
        <v>0</v>
      </c>
      <c r="U4833" s="129" t="str">
        <f>IFERROR(IF(#REF!="S",VLOOKUP('Raw Data'!A4833,References!#REF!,2,FALSE),(VLOOKUP($S4833,References!$B$3:$C$7,2,FALSE))),"")</f>
        <v/>
      </c>
      <c r="W4833" s="74" t="str">
        <f>IFERROR(VLOOKUP($O4833,'Customer List'!$A$1:$J$488,10,FALSE),"")</f>
        <v/>
      </c>
    </row>
    <row r="4834" spans="18:23">
      <c r="R4834" s="127">
        <f t="shared" ref="R4834:R4897" si="227">L4834-K4834</f>
        <v>0</v>
      </c>
      <c r="T4834" s="128">
        <f t="shared" si="226"/>
        <v>0</v>
      </c>
      <c r="U4834" s="129" t="str">
        <f>IFERROR(IF(#REF!="S",VLOOKUP('Raw Data'!A4834,References!#REF!,2,FALSE),(VLOOKUP($S4834,References!$B$3:$C$7,2,FALSE))),"")</f>
        <v/>
      </c>
      <c r="W4834" s="74" t="str">
        <f>IFERROR(VLOOKUP($O4834,'Customer List'!$A$1:$J$488,10,FALSE),"")</f>
        <v/>
      </c>
    </row>
    <row r="4835" spans="18:23">
      <c r="R4835" s="127">
        <f t="shared" si="227"/>
        <v>0</v>
      </c>
      <c r="T4835" s="128">
        <f t="shared" si="226"/>
        <v>0</v>
      </c>
      <c r="U4835" s="129" t="str">
        <f>IFERROR(IF(#REF!="S",VLOOKUP('Raw Data'!A4835,References!#REF!,2,FALSE),(VLOOKUP($S4835,References!$B$3:$C$7,2,FALSE))),"")</f>
        <v/>
      </c>
      <c r="W4835" s="74" t="str">
        <f>IFERROR(VLOOKUP($O4835,'Customer List'!$A$1:$J$488,10,FALSE),"")</f>
        <v/>
      </c>
    </row>
    <row r="4836" spans="18:23">
      <c r="R4836" s="127">
        <f t="shared" si="227"/>
        <v>0</v>
      </c>
      <c r="T4836" s="128">
        <f t="shared" si="226"/>
        <v>0</v>
      </c>
      <c r="U4836" s="129" t="str">
        <f>IFERROR(IF(#REF!="S",VLOOKUP('Raw Data'!A4836,References!#REF!,2,FALSE),(VLOOKUP($S4836,References!$B$3:$C$7,2,FALSE))),"")</f>
        <v/>
      </c>
      <c r="W4836" s="74" t="str">
        <f>IFERROR(VLOOKUP($O4836,'Customer List'!$A$1:$J$488,10,FALSE),"")</f>
        <v/>
      </c>
    </row>
    <row r="4837" spans="18:23">
      <c r="R4837" s="127">
        <f t="shared" si="227"/>
        <v>0</v>
      </c>
      <c r="T4837" s="128">
        <f t="shared" si="226"/>
        <v>0</v>
      </c>
      <c r="U4837" s="129" t="str">
        <f>IFERROR(IF(#REF!="S",VLOOKUP('Raw Data'!A4837,References!#REF!,2,FALSE),(VLOOKUP($S4837,References!$B$3:$C$7,2,FALSE))),"")</f>
        <v/>
      </c>
      <c r="W4837" s="74" t="str">
        <f>IFERROR(VLOOKUP($O4837,'Customer List'!$A$1:$J$488,10,FALSE),"")</f>
        <v/>
      </c>
    </row>
    <row r="4838" spans="18:23">
      <c r="R4838" s="127">
        <f t="shared" si="227"/>
        <v>0</v>
      </c>
      <c r="T4838" s="128">
        <f t="shared" si="226"/>
        <v>0</v>
      </c>
      <c r="U4838" s="129" t="str">
        <f>IFERROR(IF(#REF!="S",VLOOKUP('Raw Data'!A4838,References!#REF!,2,FALSE),(VLOOKUP($S4838,References!$B$3:$C$7,2,FALSE))),"")</f>
        <v/>
      </c>
      <c r="W4838" s="74" t="str">
        <f>IFERROR(VLOOKUP($O4838,'Customer List'!$A$1:$J$488,10,FALSE),"")</f>
        <v/>
      </c>
    </row>
    <row r="4839" spans="18:23">
      <c r="R4839" s="127">
        <f t="shared" si="227"/>
        <v>0</v>
      </c>
      <c r="T4839" s="128">
        <f t="shared" si="226"/>
        <v>0</v>
      </c>
      <c r="U4839" s="129" t="str">
        <f>IFERROR(IF(#REF!="S",VLOOKUP('Raw Data'!A4839,References!#REF!,2,FALSE),(VLOOKUP($S4839,References!$B$3:$C$7,2,FALSE))),"")</f>
        <v/>
      </c>
      <c r="W4839" s="74" t="str">
        <f>IFERROR(VLOOKUP($O4839,'Customer List'!$A$1:$J$488,10,FALSE),"")</f>
        <v/>
      </c>
    </row>
    <row r="4840" spans="18:23">
      <c r="R4840" s="127">
        <f t="shared" si="227"/>
        <v>0</v>
      </c>
      <c r="T4840" s="128">
        <f t="shared" si="226"/>
        <v>0</v>
      </c>
      <c r="U4840" s="129" t="str">
        <f>IFERROR(IF(#REF!="S",VLOOKUP('Raw Data'!A4840,References!#REF!,2,FALSE),(VLOOKUP($S4840,References!$B$3:$C$7,2,FALSE))),"")</f>
        <v/>
      </c>
      <c r="W4840" s="74" t="str">
        <f>IFERROR(VLOOKUP($O4840,'Customer List'!$A$1:$J$488,10,FALSE),"")</f>
        <v/>
      </c>
    </row>
    <row r="4841" spans="18:23">
      <c r="R4841" s="127">
        <f t="shared" si="227"/>
        <v>0</v>
      </c>
      <c r="T4841" s="128">
        <f t="shared" si="226"/>
        <v>0</v>
      </c>
      <c r="U4841" s="129" t="str">
        <f>IFERROR(IF(#REF!="S",VLOOKUP('Raw Data'!A4841,References!#REF!,2,FALSE),(VLOOKUP($S4841,References!$B$3:$C$7,2,FALSE))),"")</f>
        <v/>
      </c>
      <c r="W4841" s="74" t="str">
        <f>IFERROR(VLOOKUP($O4841,'Customer List'!$A$1:$J$488,10,FALSE),"")</f>
        <v/>
      </c>
    </row>
    <row r="4842" spans="18:23">
      <c r="R4842" s="127">
        <f t="shared" si="227"/>
        <v>0</v>
      </c>
      <c r="T4842" s="128">
        <f t="shared" si="226"/>
        <v>0</v>
      </c>
      <c r="U4842" s="129" t="str">
        <f>IFERROR(IF(#REF!="S",VLOOKUP('Raw Data'!A4842,References!#REF!,2,FALSE),(VLOOKUP($S4842,References!$B$3:$C$7,2,FALSE))),"")</f>
        <v/>
      </c>
      <c r="W4842" s="74" t="str">
        <f>IFERROR(VLOOKUP($O4842,'Customer List'!$A$1:$J$488,10,FALSE),"")</f>
        <v/>
      </c>
    </row>
    <row r="4843" spans="18:23">
      <c r="R4843" s="127">
        <f t="shared" si="227"/>
        <v>0</v>
      </c>
      <c r="T4843" s="128">
        <f t="shared" si="226"/>
        <v>0</v>
      </c>
      <c r="U4843" s="129" t="str">
        <f>IFERROR(IF(#REF!="S",VLOOKUP('Raw Data'!A4843,References!#REF!,2,FALSE),(VLOOKUP($S4843,References!$B$3:$C$7,2,FALSE))),"")</f>
        <v/>
      </c>
      <c r="W4843" s="74" t="str">
        <f>IFERROR(VLOOKUP($O4843,'Customer List'!$A$1:$J$488,10,FALSE),"")</f>
        <v/>
      </c>
    </row>
    <row r="4844" spans="18:23">
      <c r="R4844" s="127">
        <f t="shared" si="227"/>
        <v>0</v>
      </c>
      <c r="T4844" s="128">
        <f t="shared" si="226"/>
        <v>0</v>
      </c>
      <c r="U4844" s="129" t="str">
        <f>IFERROR(IF(#REF!="S",VLOOKUP('Raw Data'!A4844,References!#REF!,2,FALSE),(VLOOKUP($S4844,References!$B$3:$C$7,2,FALSE))),"")</f>
        <v/>
      </c>
      <c r="W4844" s="74" t="str">
        <f>IFERROR(VLOOKUP($O4844,'Customer List'!$A$1:$J$488,10,FALSE),"")</f>
        <v/>
      </c>
    </row>
    <row r="4845" spans="18:23">
      <c r="R4845" s="127">
        <f t="shared" si="227"/>
        <v>0</v>
      </c>
      <c r="T4845" s="128">
        <f t="shared" si="226"/>
        <v>0</v>
      </c>
      <c r="U4845" s="129" t="str">
        <f>IFERROR(IF(#REF!="S",VLOOKUP('Raw Data'!A4845,References!#REF!,2,FALSE),(VLOOKUP($S4845,References!$B$3:$C$7,2,FALSE))),"")</f>
        <v/>
      </c>
      <c r="W4845" s="74" t="str">
        <f>IFERROR(VLOOKUP($O4845,'Customer List'!$A$1:$J$488,10,FALSE),"")</f>
        <v/>
      </c>
    </row>
    <row r="4846" spans="18:23">
      <c r="R4846" s="127">
        <f t="shared" si="227"/>
        <v>0</v>
      </c>
      <c r="T4846" s="128">
        <f t="shared" si="226"/>
        <v>0</v>
      </c>
      <c r="U4846" s="129" t="str">
        <f>IFERROR(IF(#REF!="S",VLOOKUP('Raw Data'!A4846,References!#REF!,2,FALSE),(VLOOKUP($S4846,References!$B$3:$C$7,2,FALSE))),"")</f>
        <v/>
      </c>
      <c r="W4846" s="74" t="str">
        <f>IFERROR(VLOOKUP($O4846,'Customer List'!$A$1:$J$488,10,FALSE),"")</f>
        <v/>
      </c>
    </row>
    <row r="4847" spans="18:23">
      <c r="R4847" s="127">
        <f t="shared" si="227"/>
        <v>0</v>
      </c>
      <c r="T4847" s="128">
        <f t="shared" si="226"/>
        <v>0</v>
      </c>
      <c r="U4847" s="129" t="str">
        <f>IFERROR(IF(#REF!="S",VLOOKUP('Raw Data'!A4847,References!#REF!,2,FALSE),(VLOOKUP($S4847,References!$B$3:$C$7,2,FALSE))),"")</f>
        <v/>
      </c>
      <c r="W4847" s="74" t="str">
        <f>IFERROR(VLOOKUP($O4847,'Customer List'!$A$1:$J$488,10,FALSE),"")</f>
        <v/>
      </c>
    </row>
    <row r="4848" spans="18:23">
      <c r="R4848" s="127">
        <f t="shared" si="227"/>
        <v>0</v>
      </c>
      <c r="T4848" s="128">
        <f t="shared" si="226"/>
        <v>0</v>
      </c>
      <c r="U4848" s="129" t="str">
        <f>IFERROR(IF(#REF!="S",VLOOKUP('Raw Data'!A4848,References!#REF!,2,FALSE),(VLOOKUP($S4848,References!$B$3:$C$7,2,FALSE))),"")</f>
        <v/>
      </c>
      <c r="W4848" s="74" t="str">
        <f>IFERROR(VLOOKUP($O4848,'Customer List'!$A$1:$J$488,10,FALSE),"")</f>
        <v/>
      </c>
    </row>
    <row r="4849" spans="18:23">
      <c r="R4849" s="127">
        <f t="shared" si="227"/>
        <v>0</v>
      </c>
      <c r="T4849" s="128">
        <f t="shared" si="226"/>
        <v>0</v>
      </c>
      <c r="U4849" s="129" t="str">
        <f>IFERROR(IF(#REF!="S",VLOOKUP('Raw Data'!A4849,References!#REF!,2,FALSE),(VLOOKUP($S4849,References!$B$3:$C$7,2,FALSE))),"")</f>
        <v/>
      </c>
      <c r="W4849" s="74" t="str">
        <f>IFERROR(VLOOKUP($O4849,'Customer List'!$A$1:$J$488,10,FALSE),"")</f>
        <v/>
      </c>
    </row>
    <row r="4850" spans="18:23">
      <c r="R4850" s="127">
        <f t="shared" si="227"/>
        <v>0</v>
      </c>
      <c r="T4850" s="128">
        <f t="shared" si="226"/>
        <v>0</v>
      </c>
      <c r="U4850" s="129" t="str">
        <f>IFERROR(IF(#REF!="S",VLOOKUP('Raw Data'!A4850,References!#REF!,2,FALSE),(VLOOKUP($S4850,References!$B$3:$C$7,2,FALSE))),"")</f>
        <v/>
      </c>
      <c r="W4850" s="74" t="str">
        <f>IFERROR(VLOOKUP($O4850,'Customer List'!$A$1:$J$488,10,FALSE),"")</f>
        <v/>
      </c>
    </row>
    <row r="4851" spans="18:23">
      <c r="R4851" s="127">
        <f t="shared" si="227"/>
        <v>0</v>
      </c>
      <c r="T4851" s="128">
        <f t="shared" si="226"/>
        <v>0</v>
      </c>
      <c r="U4851" s="129" t="str">
        <f>IFERROR(IF(#REF!="S",VLOOKUP('Raw Data'!A4851,References!#REF!,2,FALSE),(VLOOKUP($S4851,References!$B$3:$C$7,2,FALSE))),"")</f>
        <v/>
      </c>
      <c r="W4851" s="74" t="str">
        <f>IFERROR(VLOOKUP($O4851,'Customer List'!$A$1:$J$488,10,FALSE),"")</f>
        <v/>
      </c>
    </row>
    <row r="4852" spans="18:23">
      <c r="R4852" s="127">
        <f t="shared" si="227"/>
        <v>0</v>
      </c>
      <c r="T4852" s="128">
        <f t="shared" si="226"/>
        <v>0</v>
      </c>
      <c r="U4852" s="129" t="str">
        <f>IFERROR(IF(#REF!="S",VLOOKUP('Raw Data'!A4852,References!#REF!,2,FALSE),(VLOOKUP($S4852,References!$B$3:$C$7,2,FALSE))),"")</f>
        <v/>
      </c>
      <c r="W4852" s="74" t="str">
        <f>IFERROR(VLOOKUP($O4852,'Customer List'!$A$1:$J$488,10,FALSE),"")</f>
        <v/>
      </c>
    </row>
    <row r="4853" spans="18:23">
      <c r="R4853" s="127">
        <f t="shared" si="227"/>
        <v>0</v>
      </c>
      <c r="T4853" s="128">
        <f t="shared" si="226"/>
        <v>0</v>
      </c>
      <c r="U4853" s="129" t="str">
        <f>IFERROR(IF(#REF!="S",VLOOKUP('Raw Data'!A4853,References!#REF!,2,FALSE),(VLOOKUP($S4853,References!$B$3:$C$7,2,FALSE))),"")</f>
        <v/>
      </c>
      <c r="W4853" s="74" t="str">
        <f>IFERROR(VLOOKUP($O4853,'Customer List'!$A$1:$J$488,10,FALSE),"")</f>
        <v/>
      </c>
    </row>
    <row r="4854" spans="18:23">
      <c r="R4854" s="127">
        <f t="shared" si="227"/>
        <v>0</v>
      </c>
      <c r="T4854" s="128">
        <f t="shared" si="226"/>
        <v>0</v>
      </c>
      <c r="U4854" s="129" t="str">
        <f>IFERROR(IF(#REF!="S",VLOOKUP('Raw Data'!A4854,References!#REF!,2,FALSE),(VLOOKUP($S4854,References!$B$3:$C$7,2,FALSE))),"")</f>
        <v/>
      </c>
      <c r="W4854" s="74" t="str">
        <f>IFERROR(VLOOKUP($O4854,'Customer List'!$A$1:$J$488,10,FALSE),"")</f>
        <v/>
      </c>
    </row>
    <row r="4855" spans="18:23">
      <c r="R4855" s="127">
        <f t="shared" si="227"/>
        <v>0</v>
      </c>
      <c r="T4855" s="128">
        <f t="shared" si="226"/>
        <v>0</v>
      </c>
      <c r="U4855" s="129" t="str">
        <f>IFERROR(IF(#REF!="S",VLOOKUP('Raw Data'!A4855,References!#REF!,2,FALSE),(VLOOKUP($S4855,References!$B$3:$C$7,2,FALSE))),"")</f>
        <v/>
      </c>
      <c r="W4855" s="74" t="str">
        <f>IFERROR(VLOOKUP($O4855,'Customer List'!$A$1:$J$488,10,FALSE),"")</f>
        <v/>
      </c>
    </row>
    <row r="4856" spans="18:23">
      <c r="R4856" s="127">
        <f t="shared" si="227"/>
        <v>0</v>
      </c>
      <c r="T4856" s="128">
        <f t="shared" si="226"/>
        <v>0</v>
      </c>
      <c r="U4856" s="129" t="str">
        <f>IFERROR(IF(#REF!="S",VLOOKUP('Raw Data'!A4856,References!#REF!,2,FALSE),(VLOOKUP($S4856,References!$B$3:$C$7,2,FALSE))),"")</f>
        <v/>
      </c>
      <c r="W4856" s="74" t="str">
        <f>IFERROR(VLOOKUP($O4856,'Customer List'!$A$1:$J$488,10,FALSE),"")</f>
        <v/>
      </c>
    </row>
    <row r="4857" spans="18:23">
      <c r="R4857" s="127">
        <f t="shared" si="227"/>
        <v>0</v>
      </c>
      <c r="T4857" s="128">
        <f t="shared" si="226"/>
        <v>0</v>
      </c>
      <c r="U4857" s="129" t="str">
        <f>IFERROR(IF(#REF!="S",VLOOKUP('Raw Data'!A4857,References!#REF!,2,FALSE),(VLOOKUP($S4857,References!$B$3:$C$7,2,FALSE))),"")</f>
        <v/>
      </c>
      <c r="W4857" s="74" t="str">
        <f>IFERROR(VLOOKUP($O4857,'Customer List'!$A$1:$J$488,10,FALSE),"")</f>
        <v/>
      </c>
    </row>
    <row r="4858" spans="18:23">
      <c r="R4858" s="127">
        <f t="shared" si="227"/>
        <v>0</v>
      </c>
      <c r="T4858" s="128">
        <f t="shared" si="226"/>
        <v>0</v>
      </c>
      <c r="U4858" s="129" t="str">
        <f>IFERROR(IF(#REF!="S",VLOOKUP('Raw Data'!A4858,References!#REF!,2,FALSE),(VLOOKUP($S4858,References!$B$3:$C$7,2,FALSE))),"")</f>
        <v/>
      </c>
      <c r="W4858" s="74" t="str">
        <f>IFERROR(VLOOKUP($O4858,'Customer List'!$A$1:$J$488,10,FALSE),"")</f>
        <v/>
      </c>
    </row>
    <row r="4859" spans="18:23">
      <c r="R4859" s="127">
        <f t="shared" si="227"/>
        <v>0</v>
      </c>
      <c r="T4859" s="128">
        <f t="shared" si="226"/>
        <v>0</v>
      </c>
      <c r="U4859" s="129" t="str">
        <f>IFERROR(IF(#REF!="S",VLOOKUP('Raw Data'!A4859,References!#REF!,2,FALSE),(VLOOKUP($S4859,References!$B$3:$C$7,2,FALSE))),"")</f>
        <v/>
      </c>
      <c r="W4859" s="74" t="str">
        <f>IFERROR(VLOOKUP($O4859,'Customer List'!$A$1:$J$488,10,FALSE),"")</f>
        <v/>
      </c>
    </row>
    <row r="4860" spans="18:23">
      <c r="R4860" s="127">
        <f t="shared" si="227"/>
        <v>0</v>
      </c>
      <c r="T4860" s="128">
        <f t="shared" si="226"/>
        <v>0</v>
      </c>
      <c r="U4860" s="129" t="str">
        <f>IFERROR(IF(#REF!="S",VLOOKUP('Raw Data'!A4860,References!#REF!,2,FALSE),(VLOOKUP($S4860,References!$B$3:$C$7,2,FALSE))),"")</f>
        <v/>
      </c>
      <c r="W4860" s="74" t="str">
        <f>IFERROR(VLOOKUP($O4860,'Customer List'!$A$1:$J$488,10,FALSE),"")</f>
        <v/>
      </c>
    </row>
    <row r="4861" spans="18:23">
      <c r="R4861" s="127">
        <f t="shared" si="227"/>
        <v>0</v>
      </c>
      <c r="T4861" s="128">
        <f t="shared" si="226"/>
        <v>0</v>
      </c>
      <c r="U4861" s="129" t="str">
        <f>IFERROR(IF(#REF!="S",VLOOKUP('Raw Data'!A4861,References!#REF!,2,FALSE),(VLOOKUP($S4861,References!$B$3:$C$7,2,FALSE))),"")</f>
        <v/>
      </c>
      <c r="W4861" s="74" t="str">
        <f>IFERROR(VLOOKUP($O4861,'Customer List'!$A$1:$J$488,10,FALSE),"")</f>
        <v/>
      </c>
    </row>
    <row r="4862" spans="18:23">
      <c r="R4862" s="127">
        <f t="shared" si="227"/>
        <v>0</v>
      </c>
      <c r="T4862" s="128">
        <f t="shared" si="226"/>
        <v>0</v>
      </c>
      <c r="U4862" s="129" t="str">
        <f>IFERROR(IF(#REF!="S",VLOOKUP('Raw Data'!A4862,References!#REF!,2,FALSE),(VLOOKUP($S4862,References!$B$3:$C$7,2,FALSE))),"")</f>
        <v/>
      </c>
      <c r="W4862" s="74" t="str">
        <f>IFERROR(VLOOKUP($O4862,'Customer List'!$A$1:$J$488,10,FALSE),"")</f>
        <v/>
      </c>
    </row>
    <row r="4863" spans="18:23">
      <c r="R4863" s="127">
        <f t="shared" si="227"/>
        <v>0</v>
      </c>
      <c r="T4863" s="128">
        <f t="shared" si="226"/>
        <v>0</v>
      </c>
      <c r="U4863" s="129" t="str">
        <f>IFERROR(IF(#REF!="S",VLOOKUP('Raw Data'!A4863,References!#REF!,2,FALSE),(VLOOKUP($S4863,References!$B$3:$C$7,2,FALSE))),"")</f>
        <v/>
      </c>
      <c r="W4863" s="74" t="str">
        <f>IFERROR(VLOOKUP($O4863,'Customer List'!$A$1:$J$488,10,FALSE),"")</f>
        <v/>
      </c>
    </row>
    <row r="4864" spans="18:23">
      <c r="R4864" s="127">
        <f t="shared" si="227"/>
        <v>0</v>
      </c>
      <c r="T4864" s="128">
        <f t="shared" si="226"/>
        <v>0</v>
      </c>
      <c r="U4864" s="129" t="str">
        <f>IFERROR(IF(#REF!="S",VLOOKUP('Raw Data'!A4864,References!#REF!,2,FALSE),(VLOOKUP($S4864,References!$B$3:$C$7,2,FALSE))),"")</f>
        <v/>
      </c>
      <c r="W4864" s="74" t="str">
        <f>IFERROR(VLOOKUP($O4864,'Customer List'!$A$1:$J$488,10,FALSE),"")</f>
        <v/>
      </c>
    </row>
    <row r="4865" spans="18:23">
      <c r="R4865" s="127">
        <f t="shared" si="227"/>
        <v>0</v>
      </c>
      <c r="T4865" s="128">
        <f t="shared" si="226"/>
        <v>0</v>
      </c>
      <c r="U4865" s="129" t="str">
        <f>IFERROR(IF(#REF!="S",VLOOKUP('Raw Data'!A4865,References!#REF!,2,FALSE),(VLOOKUP($S4865,References!$B$3:$C$7,2,FALSE))),"")</f>
        <v/>
      </c>
      <c r="W4865" s="74" t="str">
        <f>IFERROR(VLOOKUP($O4865,'Customer List'!$A$1:$J$488,10,FALSE),"")</f>
        <v/>
      </c>
    </row>
    <row r="4866" spans="18:23">
      <c r="R4866" s="127">
        <f t="shared" si="227"/>
        <v>0</v>
      </c>
      <c r="T4866" s="128">
        <f t="shared" si="226"/>
        <v>0</v>
      </c>
      <c r="U4866" s="129" t="str">
        <f>IFERROR(IF(#REF!="S",VLOOKUP('Raw Data'!A4866,References!#REF!,2,FALSE),(VLOOKUP($S4866,References!$B$3:$C$7,2,FALSE))),"")</f>
        <v/>
      </c>
      <c r="W4866" s="74" t="str">
        <f>IFERROR(VLOOKUP($O4866,'Customer List'!$A$1:$J$488,10,FALSE),"")</f>
        <v/>
      </c>
    </row>
    <row r="4867" spans="18:23">
      <c r="R4867" s="127">
        <f t="shared" si="227"/>
        <v>0</v>
      </c>
      <c r="T4867" s="128">
        <f t="shared" si="226"/>
        <v>0</v>
      </c>
      <c r="U4867" s="129" t="str">
        <f>IFERROR(IF(#REF!="S",VLOOKUP('Raw Data'!A4867,References!#REF!,2,FALSE),(VLOOKUP($S4867,References!$B$3:$C$7,2,FALSE))),"")</f>
        <v/>
      </c>
      <c r="W4867" s="74" t="str">
        <f>IFERROR(VLOOKUP($O4867,'Customer List'!$A$1:$J$488,10,FALSE),"")</f>
        <v/>
      </c>
    </row>
    <row r="4868" spans="18:23">
      <c r="R4868" s="127">
        <f t="shared" si="227"/>
        <v>0</v>
      </c>
      <c r="T4868" s="128">
        <f t="shared" si="226"/>
        <v>0</v>
      </c>
      <c r="U4868" s="129" t="str">
        <f>IFERROR(IF(#REF!="S",VLOOKUP('Raw Data'!A4868,References!#REF!,2,FALSE),(VLOOKUP($S4868,References!$B$3:$C$7,2,FALSE))),"")</f>
        <v/>
      </c>
      <c r="W4868" s="74" t="str">
        <f>IFERROR(VLOOKUP($O4868,'Customer List'!$A$1:$J$488,10,FALSE),"")</f>
        <v/>
      </c>
    </row>
    <row r="4869" spans="18:23">
      <c r="R4869" s="127">
        <f t="shared" si="227"/>
        <v>0</v>
      </c>
      <c r="T4869" s="128">
        <f t="shared" si="226"/>
        <v>0</v>
      </c>
      <c r="U4869" s="129" t="str">
        <f>IFERROR(IF(#REF!="S",VLOOKUP('Raw Data'!A4869,References!#REF!,2,FALSE),(VLOOKUP($S4869,References!$B$3:$C$7,2,FALSE))),"")</f>
        <v/>
      </c>
      <c r="W4869" s="74" t="str">
        <f>IFERROR(VLOOKUP($O4869,'Customer List'!$A$1:$J$488,10,FALSE),"")</f>
        <v/>
      </c>
    </row>
    <row r="4870" spans="18:23">
      <c r="R4870" s="127">
        <f t="shared" si="227"/>
        <v>0</v>
      </c>
      <c r="T4870" s="128">
        <f t="shared" si="226"/>
        <v>0</v>
      </c>
      <c r="U4870" s="129" t="str">
        <f>IFERROR(IF(#REF!="S",VLOOKUP('Raw Data'!A4870,References!#REF!,2,FALSE),(VLOOKUP($S4870,References!$B$3:$C$7,2,FALSE))),"")</f>
        <v/>
      </c>
      <c r="W4870" s="74" t="str">
        <f>IFERROR(VLOOKUP($O4870,'Customer List'!$A$1:$J$488,10,FALSE),"")</f>
        <v/>
      </c>
    </row>
    <row r="4871" spans="18:23">
      <c r="R4871" s="127">
        <f t="shared" si="227"/>
        <v>0</v>
      </c>
      <c r="T4871" s="128">
        <f t="shared" si="226"/>
        <v>0</v>
      </c>
      <c r="U4871" s="129" t="str">
        <f>IFERROR(IF(#REF!="S",VLOOKUP('Raw Data'!A4871,References!#REF!,2,FALSE),(VLOOKUP($S4871,References!$B$3:$C$7,2,FALSE))),"")</f>
        <v/>
      </c>
      <c r="W4871" s="74" t="str">
        <f>IFERROR(VLOOKUP($O4871,'Customer List'!$A$1:$J$488,10,FALSE),"")</f>
        <v/>
      </c>
    </row>
    <row r="4872" spans="18:23">
      <c r="R4872" s="127">
        <f t="shared" si="227"/>
        <v>0</v>
      </c>
      <c r="T4872" s="128">
        <f t="shared" si="226"/>
        <v>0</v>
      </c>
      <c r="U4872" s="129" t="str">
        <f>IFERROR(IF(#REF!="S",VLOOKUP('Raw Data'!A4872,References!#REF!,2,FALSE),(VLOOKUP($S4872,References!$B$3:$C$7,2,FALSE))),"")</f>
        <v/>
      </c>
      <c r="W4872" s="74" t="str">
        <f>IFERROR(VLOOKUP($O4872,'Customer List'!$A$1:$J$488,10,FALSE),"")</f>
        <v/>
      </c>
    </row>
    <row r="4873" spans="18:23">
      <c r="R4873" s="127">
        <f t="shared" si="227"/>
        <v>0</v>
      </c>
      <c r="T4873" s="128">
        <f t="shared" si="226"/>
        <v>0</v>
      </c>
      <c r="U4873" s="129" t="str">
        <f>IFERROR(IF(#REF!="S",VLOOKUP('Raw Data'!A4873,References!#REF!,2,FALSE),(VLOOKUP($S4873,References!$B$3:$C$7,2,FALSE))),"")</f>
        <v/>
      </c>
      <c r="W4873" s="74" t="str">
        <f>IFERROR(VLOOKUP($O4873,'Customer List'!$A$1:$J$488,10,FALSE),"")</f>
        <v/>
      </c>
    </row>
    <row r="4874" spans="18:23">
      <c r="R4874" s="127">
        <f t="shared" si="227"/>
        <v>0</v>
      </c>
      <c r="T4874" s="128">
        <f t="shared" ref="T4874:T4937" si="228">IF(S4874="50 - Cleaning Fee",1,HOUR($R4874)+MINUTE(R4874)/60)</f>
        <v>0</v>
      </c>
      <c r="U4874" s="129" t="str">
        <f>IFERROR(IF(#REF!="S",VLOOKUP('Raw Data'!A4874,References!#REF!,2,FALSE),(VLOOKUP($S4874,References!$B$3:$C$7,2,FALSE))),"")</f>
        <v/>
      </c>
      <c r="W4874" s="74" t="str">
        <f>IFERROR(VLOOKUP($O4874,'Customer List'!$A$1:$J$488,10,FALSE),"")</f>
        <v/>
      </c>
    </row>
    <row r="4875" spans="18:23">
      <c r="R4875" s="127">
        <f t="shared" si="227"/>
        <v>0</v>
      </c>
      <c r="T4875" s="128">
        <f t="shared" si="228"/>
        <v>0</v>
      </c>
      <c r="U4875" s="129" t="str">
        <f>IFERROR(IF(#REF!="S",VLOOKUP('Raw Data'!A4875,References!#REF!,2,FALSE),(VLOOKUP($S4875,References!$B$3:$C$7,2,FALSE))),"")</f>
        <v/>
      </c>
      <c r="W4875" s="74" t="str">
        <f>IFERROR(VLOOKUP($O4875,'Customer List'!$A$1:$J$488,10,FALSE),"")</f>
        <v/>
      </c>
    </row>
    <row r="4876" spans="18:23">
      <c r="R4876" s="127">
        <f t="shared" si="227"/>
        <v>0</v>
      </c>
      <c r="T4876" s="128">
        <f t="shared" si="228"/>
        <v>0</v>
      </c>
      <c r="U4876" s="129" t="str">
        <f>IFERROR(IF(#REF!="S",VLOOKUP('Raw Data'!A4876,References!#REF!,2,FALSE),(VLOOKUP($S4876,References!$B$3:$C$7,2,FALSE))),"")</f>
        <v/>
      </c>
      <c r="W4876" s="74" t="str">
        <f>IFERROR(VLOOKUP($O4876,'Customer List'!$A$1:$J$488,10,FALSE),"")</f>
        <v/>
      </c>
    </row>
    <row r="4877" spans="18:23">
      <c r="R4877" s="127">
        <f t="shared" si="227"/>
        <v>0</v>
      </c>
      <c r="T4877" s="128">
        <f t="shared" si="228"/>
        <v>0</v>
      </c>
      <c r="U4877" s="129" t="str">
        <f>IFERROR(IF(#REF!="S",VLOOKUP('Raw Data'!A4877,References!#REF!,2,FALSE),(VLOOKUP($S4877,References!$B$3:$C$7,2,FALSE))),"")</f>
        <v/>
      </c>
      <c r="W4877" s="74" t="str">
        <f>IFERROR(VLOOKUP($O4877,'Customer List'!$A$1:$J$488,10,FALSE),"")</f>
        <v/>
      </c>
    </row>
    <row r="4878" spans="18:23">
      <c r="R4878" s="127">
        <f t="shared" si="227"/>
        <v>0</v>
      </c>
      <c r="T4878" s="128">
        <f t="shared" si="228"/>
        <v>0</v>
      </c>
      <c r="U4878" s="129" t="str">
        <f>IFERROR(IF(#REF!="S",VLOOKUP('Raw Data'!A4878,References!#REF!,2,FALSE),(VLOOKUP($S4878,References!$B$3:$C$7,2,FALSE))),"")</f>
        <v/>
      </c>
      <c r="W4878" s="74" t="str">
        <f>IFERROR(VLOOKUP($O4878,'Customer List'!$A$1:$J$488,10,FALSE),"")</f>
        <v/>
      </c>
    </row>
    <row r="4879" spans="18:23">
      <c r="R4879" s="127">
        <f t="shared" si="227"/>
        <v>0</v>
      </c>
      <c r="T4879" s="128">
        <f t="shared" si="228"/>
        <v>0</v>
      </c>
      <c r="U4879" s="129" t="str">
        <f>IFERROR(IF(#REF!="S",VLOOKUP('Raw Data'!A4879,References!#REF!,2,FALSE),(VLOOKUP($S4879,References!$B$3:$C$7,2,FALSE))),"")</f>
        <v/>
      </c>
      <c r="W4879" s="74" t="str">
        <f>IFERROR(VLOOKUP($O4879,'Customer List'!$A$1:$J$488,10,FALSE),"")</f>
        <v/>
      </c>
    </row>
    <row r="4880" spans="18:23">
      <c r="R4880" s="127">
        <f t="shared" si="227"/>
        <v>0</v>
      </c>
      <c r="T4880" s="128">
        <f t="shared" si="228"/>
        <v>0</v>
      </c>
      <c r="U4880" s="129" t="str">
        <f>IFERROR(IF(#REF!="S",VLOOKUP('Raw Data'!A4880,References!#REF!,2,FALSE),(VLOOKUP($S4880,References!$B$3:$C$7,2,FALSE))),"")</f>
        <v/>
      </c>
      <c r="W4880" s="74" t="str">
        <f>IFERROR(VLOOKUP($O4880,'Customer List'!$A$1:$J$488,10,FALSE),"")</f>
        <v/>
      </c>
    </row>
    <row r="4881" spans="18:23">
      <c r="R4881" s="127">
        <f t="shared" si="227"/>
        <v>0</v>
      </c>
      <c r="T4881" s="128">
        <f t="shared" si="228"/>
        <v>0</v>
      </c>
      <c r="U4881" s="129" t="str">
        <f>IFERROR(IF(#REF!="S",VLOOKUP('Raw Data'!A4881,References!#REF!,2,FALSE),(VLOOKUP($S4881,References!$B$3:$C$7,2,FALSE))),"")</f>
        <v/>
      </c>
      <c r="W4881" s="74" t="str">
        <f>IFERROR(VLOOKUP($O4881,'Customer List'!$A$1:$J$488,10,FALSE),"")</f>
        <v/>
      </c>
    </row>
    <row r="4882" spans="18:23">
      <c r="R4882" s="127">
        <f t="shared" si="227"/>
        <v>0</v>
      </c>
      <c r="T4882" s="128">
        <f t="shared" si="228"/>
        <v>0</v>
      </c>
      <c r="U4882" s="129" t="str">
        <f>IFERROR(IF(#REF!="S",VLOOKUP('Raw Data'!A4882,References!#REF!,2,FALSE),(VLOOKUP($S4882,References!$B$3:$C$7,2,FALSE))),"")</f>
        <v/>
      </c>
      <c r="W4882" s="74" t="str">
        <f>IFERROR(VLOOKUP($O4882,'Customer List'!$A$1:$J$488,10,FALSE),"")</f>
        <v/>
      </c>
    </row>
    <row r="4883" spans="18:23">
      <c r="R4883" s="127">
        <f t="shared" si="227"/>
        <v>0</v>
      </c>
      <c r="T4883" s="128">
        <f t="shared" si="228"/>
        <v>0</v>
      </c>
      <c r="U4883" s="129" t="str">
        <f>IFERROR(IF(#REF!="S",VLOOKUP('Raw Data'!A4883,References!#REF!,2,FALSE),(VLOOKUP($S4883,References!$B$3:$C$7,2,FALSE))),"")</f>
        <v/>
      </c>
      <c r="W4883" s="74" t="str">
        <f>IFERROR(VLOOKUP($O4883,'Customer List'!$A$1:$J$488,10,FALSE),"")</f>
        <v/>
      </c>
    </row>
    <row r="4884" spans="18:23">
      <c r="R4884" s="127">
        <f t="shared" si="227"/>
        <v>0</v>
      </c>
      <c r="T4884" s="128">
        <f t="shared" si="228"/>
        <v>0</v>
      </c>
      <c r="U4884" s="129" t="str">
        <f>IFERROR(IF(#REF!="S",VLOOKUP('Raw Data'!A4884,References!#REF!,2,FALSE),(VLOOKUP($S4884,References!$B$3:$C$7,2,FALSE))),"")</f>
        <v/>
      </c>
      <c r="W4884" s="74" t="str">
        <f>IFERROR(VLOOKUP($O4884,'Customer List'!$A$1:$J$488,10,FALSE),"")</f>
        <v/>
      </c>
    </row>
    <row r="4885" spans="18:23">
      <c r="R4885" s="127">
        <f t="shared" si="227"/>
        <v>0</v>
      </c>
      <c r="T4885" s="128">
        <f t="shared" si="228"/>
        <v>0</v>
      </c>
      <c r="U4885" s="129" t="str">
        <f>IFERROR(IF(#REF!="S",VLOOKUP('Raw Data'!A4885,References!#REF!,2,FALSE),(VLOOKUP($S4885,References!$B$3:$C$7,2,FALSE))),"")</f>
        <v/>
      </c>
      <c r="W4885" s="74" t="str">
        <f>IFERROR(VLOOKUP($O4885,'Customer List'!$A$1:$J$488,10,FALSE),"")</f>
        <v/>
      </c>
    </row>
    <row r="4886" spans="18:23">
      <c r="R4886" s="127">
        <f t="shared" si="227"/>
        <v>0</v>
      </c>
      <c r="T4886" s="128">
        <f t="shared" si="228"/>
        <v>0</v>
      </c>
      <c r="U4886" s="129" t="str">
        <f>IFERROR(IF(#REF!="S",VLOOKUP('Raw Data'!A4886,References!#REF!,2,FALSE),(VLOOKUP($S4886,References!$B$3:$C$7,2,FALSE))),"")</f>
        <v/>
      </c>
      <c r="W4886" s="74" t="str">
        <f>IFERROR(VLOOKUP($O4886,'Customer List'!$A$1:$J$488,10,FALSE),"")</f>
        <v/>
      </c>
    </row>
    <row r="4887" spans="18:23">
      <c r="R4887" s="127">
        <f t="shared" si="227"/>
        <v>0</v>
      </c>
      <c r="T4887" s="128">
        <f t="shared" si="228"/>
        <v>0</v>
      </c>
      <c r="U4887" s="129" t="str">
        <f>IFERROR(IF(#REF!="S",VLOOKUP('Raw Data'!A4887,References!#REF!,2,FALSE),(VLOOKUP($S4887,References!$B$3:$C$7,2,FALSE))),"")</f>
        <v/>
      </c>
      <c r="W4887" s="74" t="str">
        <f>IFERROR(VLOOKUP($O4887,'Customer List'!$A$1:$J$488,10,FALSE),"")</f>
        <v/>
      </c>
    </row>
    <row r="4888" spans="18:23">
      <c r="R4888" s="127">
        <f t="shared" si="227"/>
        <v>0</v>
      </c>
      <c r="T4888" s="128">
        <f t="shared" si="228"/>
        <v>0</v>
      </c>
      <c r="U4888" s="129" t="str">
        <f>IFERROR(IF(#REF!="S",VLOOKUP('Raw Data'!A4888,References!#REF!,2,FALSE),(VLOOKUP($S4888,References!$B$3:$C$7,2,FALSE))),"")</f>
        <v/>
      </c>
      <c r="W4888" s="74" t="str">
        <f>IFERROR(VLOOKUP($O4888,'Customer List'!$A$1:$J$488,10,FALSE),"")</f>
        <v/>
      </c>
    </row>
    <row r="4889" spans="18:23">
      <c r="R4889" s="127">
        <f t="shared" si="227"/>
        <v>0</v>
      </c>
      <c r="T4889" s="128">
        <f t="shared" si="228"/>
        <v>0</v>
      </c>
      <c r="U4889" s="129" t="str">
        <f>IFERROR(IF(#REF!="S",VLOOKUP('Raw Data'!A4889,References!#REF!,2,FALSE),(VLOOKUP($S4889,References!$B$3:$C$7,2,FALSE))),"")</f>
        <v/>
      </c>
      <c r="W4889" s="74" t="str">
        <f>IFERROR(VLOOKUP($O4889,'Customer List'!$A$1:$J$488,10,FALSE),"")</f>
        <v/>
      </c>
    </row>
    <row r="4890" spans="18:23">
      <c r="R4890" s="127">
        <f t="shared" si="227"/>
        <v>0</v>
      </c>
      <c r="T4890" s="128">
        <f t="shared" si="228"/>
        <v>0</v>
      </c>
      <c r="U4890" s="129" t="str">
        <f>IFERROR(IF(#REF!="S",VLOOKUP('Raw Data'!A4890,References!#REF!,2,FALSE),(VLOOKUP($S4890,References!$B$3:$C$7,2,FALSE))),"")</f>
        <v/>
      </c>
      <c r="W4890" s="74" t="str">
        <f>IFERROR(VLOOKUP($O4890,'Customer List'!$A$1:$J$488,10,FALSE),"")</f>
        <v/>
      </c>
    </row>
    <row r="4891" spans="18:23">
      <c r="R4891" s="127">
        <f t="shared" si="227"/>
        <v>0</v>
      </c>
      <c r="T4891" s="128">
        <f t="shared" si="228"/>
        <v>0</v>
      </c>
      <c r="U4891" s="129" t="str">
        <f>IFERROR(IF(#REF!="S",VLOOKUP('Raw Data'!A4891,References!#REF!,2,FALSE),(VLOOKUP($S4891,References!$B$3:$C$7,2,FALSE))),"")</f>
        <v/>
      </c>
      <c r="W4891" s="74" t="str">
        <f>IFERROR(VLOOKUP($O4891,'Customer List'!$A$1:$J$488,10,FALSE),"")</f>
        <v/>
      </c>
    </row>
    <row r="4892" spans="18:23">
      <c r="R4892" s="127">
        <f t="shared" si="227"/>
        <v>0</v>
      </c>
      <c r="T4892" s="128">
        <f t="shared" si="228"/>
        <v>0</v>
      </c>
      <c r="U4892" s="129" t="str">
        <f>IFERROR(IF(#REF!="S",VLOOKUP('Raw Data'!A4892,References!#REF!,2,FALSE),(VLOOKUP($S4892,References!$B$3:$C$7,2,FALSE))),"")</f>
        <v/>
      </c>
      <c r="W4892" s="74" t="str">
        <f>IFERROR(VLOOKUP($O4892,'Customer List'!$A$1:$J$488,10,FALSE),"")</f>
        <v/>
      </c>
    </row>
    <row r="4893" spans="18:23">
      <c r="R4893" s="127">
        <f t="shared" si="227"/>
        <v>0</v>
      </c>
      <c r="T4893" s="128">
        <f t="shared" si="228"/>
        <v>0</v>
      </c>
      <c r="U4893" s="129" t="str">
        <f>IFERROR(IF(#REF!="S",VLOOKUP('Raw Data'!A4893,References!#REF!,2,FALSE),(VLOOKUP($S4893,References!$B$3:$C$7,2,FALSE))),"")</f>
        <v/>
      </c>
      <c r="W4893" s="74" t="str">
        <f>IFERROR(VLOOKUP($O4893,'Customer List'!$A$1:$J$488,10,FALSE),"")</f>
        <v/>
      </c>
    </row>
    <row r="4894" spans="18:23">
      <c r="R4894" s="127">
        <f t="shared" si="227"/>
        <v>0</v>
      </c>
      <c r="T4894" s="128">
        <f t="shared" si="228"/>
        <v>0</v>
      </c>
      <c r="U4894" s="129" t="str">
        <f>IFERROR(IF(#REF!="S",VLOOKUP('Raw Data'!A4894,References!#REF!,2,FALSE),(VLOOKUP($S4894,References!$B$3:$C$7,2,FALSE))),"")</f>
        <v/>
      </c>
      <c r="W4894" s="74" t="str">
        <f>IFERROR(VLOOKUP($O4894,'Customer List'!$A$1:$J$488,10,FALSE),"")</f>
        <v/>
      </c>
    </row>
    <row r="4895" spans="18:23">
      <c r="R4895" s="127">
        <f t="shared" si="227"/>
        <v>0</v>
      </c>
      <c r="T4895" s="128">
        <f t="shared" si="228"/>
        <v>0</v>
      </c>
      <c r="U4895" s="129" t="str">
        <f>IFERROR(IF(#REF!="S",VLOOKUP('Raw Data'!A4895,References!#REF!,2,FALSE),(VLOOKUP($S4895,References!$B$3:$C$7,2,FALSE))),"")</f>
        <v/>
      </c>
      <c r="W4895" s="74" t="str">
        <f>IFERROR(VLOOKUP($O4895,'Customer List'!$A$1:$J$488,10,FALSE),"")</f>
        <v/>
      </c>
    </row>
    <row r="4896" spans="18:23">
      <c r="R4896" s="127">
        <f t="shared" si="227"/>
        <v>0</v>
      </c>
      <c r="T4896" s="128">
        <f t="shared" si="228"/>
        <v>0</v>
      </c>
      <c r="U4896" s="129" t="str">
        <f>IFERROR(IF(#REF!="S",VLOOKUP('Raw Data'!A4896,References!#REF!,2,FALSE),(VLOOKUP($S4896,References!$B$3:$C$7,2,FALSE))),"")</f>
        <v/>
      </c>
      <c r="W4896" s="74" t="str">
        <f>IFERROR(VLOOKUP($O4896,'Customer List'!$A$1:$J$488,10,FALSE),"")</f>
        <v/>
      </c>
    </row>
    <row r="4897" spans="18:23">
      <c r="R4897" s="127">
        <f t="shared" si="227"/>
        <v>0</v>
      </c>
      <c r="T4897" s="128">
        <f t="shared" si="228"/>
        <v>0</v>
      </c>
      <c r="U4897" s="129" t="str">
        <f>IFERROR(IF(#REF!="S",VLOOKUP('Raw Data'!A4897,References!#REF!,2,FALSE),(VLOOKUP($S4897,References!$B$3:$C$7,2,FALSE))),"")</f>
        <v/>
      </c>
      <c r="W4897" s="74" t="str">
        <f>IFERROR(VLOOKUP($O4897,'Customer List'!$A$1:$J$488,10,FALSE),"")</f>
        <v/>
      </c>
    </row>
    <row r="4898" spans="18:23">
      <c r="R4898" s="127">
        <f t="shared" ref="R4898:R4961" si="229">L4898-K4898</f>
        <v>0</v>
      </c>
      <c r="T4898" s="128">
        <f t="shared" si="228"/>
        <v>0</v>
      </c>
      <c r="U4898" s="129" t="str">
        <f>IFERROR(IF(#REF!="S",VLOOKUP('Raw Data'!A4898,References!#REF!,2,FALSE),(VLOOKUP($S4898,References!$B$3:$C$7,2,FALSE))),"")</f>
        <v/>
      </c>
      <c r="W4898" s="74" t="str">
        <f>IFERROR(VLOOKUP($O4898,'Customer List'!$A$1:$J$488,10,FALSE),"")</f>
        <v/>
      </c>
    </row>
    <row r="4899" spans="18:23">
      <c r="R4899" s="127">
        <f t="shared" si="229"/>
        <v>0</v>
      </c>
      <c r="T4899" s="128">
        <f t="shared" si="228"/>
        <v>0</v>
      </c>
      <c r="U4899" s="129" t="str">
        <f>IFERROR(IF(#REF!="S",VLOOKUP('Raw Data'!A4899,References!#REF!,2,FALSE),(VLOOKUP($S4899,References!$B$3:$C$7,2,FALSE))),"")</f>
        <v/>
      </c>
      <c r="W4899" s="74" t="str">
        <f>IFERROR(VLOOKUP($O4899,'Customer List'!$A$1:$J$488,10,FALSE),"")</f>
        <v/>
      </c>
    </row>
    <row r="4900" spans="18:23">
      <c r="R4900" s="127">
        <f t="shared" si="229"/>
        <v>0</v>
      </c>
      <c r="T4900" s="128">
        <f t="shared" si="228"/>
        <v>0</v>
      </c>
      <c r="U4900" s="129" t="str">
        <f>IFERROR(IF(#REF!="S",VLOOKUP('Raw Data'!A4900,References!#REF!,2,FALSE),(VLOOKUP($S4900,References!$B$3:$C$7,2,FALSE))),"")</f>
        <v/>
      </c>
      <c r="W4900" s="74" t="str">
        <f>IFERROR(VLOOKUP($O4900,'Customer List'!$A$1:$J$488,10,FALSE),"")</f>
        <v/>
      </c>
    </row>
    <row r="4901" spans="18:23">
      <c r="R4901" s="127">
        <f t="shared" si="229"/>
        <v>0</v>
      </c>
      <c r="T4901" s="128">
        <f t="shared" si="228"/>
        <v>0</v>
      </c>
      <c r="U4901" s="129" t="str">
        <f>IFERROR(IF(#REF!="S",VLOOKUP('Raw Data'!A4901,References!#REF!,2,FALSE),(VLOOKUP($S4901,References!$B$3:$C$7,2,FALSE))),"")</f>
        <v/>
      </c>
      <c r="W4901" s="74" t="str">
        <f>IFERROR(VLOOKUP($O4901,'Customer List'!$A$1:$J$488,10,FALSE),"")</f>
        <v/>
      </c>
    </row>
    <row r="4902" spans="18:23">
      <c r="R4902" s="127">
        <f t="shared" si="229"/>
        <v>0</v>
      </c>
      <c r="T4902" s="128">
        <f t="shared" si="228"/>
        <v>0</v>
      </c>
      <c r="U4902" s="129" t="str">
        <f>IFERROR(IF(#REF!="S",VLOOKUP('Raw Data'!A4902,References!#REF!,2,FALSE),(VLOOKUP($S4902,References!$B$3:$C$7,2,FALSE))),"")</f>
        <v/>
      </c>
      <c r="W4902" s="74" t="str">
        <f>IFERROR(VLOOKUP($O4902,'Customer List'!$A$1:$J$488,10,FALSE),"")</f>
        <v/>
      </c>
    </row>
    <row r="4903" spans="18:23">
      <c r="R4903" s="127">
        <f t="shared" si="229"/>
        <v>0</v>
      </c>
      <c r="T4903" s="128">
        <f t="shared" si="228"/>
        <v>0</v>
      </c>
      <c r="U4903" s="129" t="str">
        <f>IFERROR(IF(#REF!="S",VLOOKUP('Raw Data'!A4903,References!#REF!,2,FALSE),(VLOOKUP($S4903,References!$B$3:$C$7,2,FALSE))),"")</f>
        <v/>
      </c>
      <c r="W4903" s="74" t="str">
        <f>IFERROR(VLOOKUP($O4903,'Customer List'!$A$1:$J$488,10,FALSE),"")</f>
        <v/>
      </c>
    </row>
    <row r="4904" spans="18:23">
      <c r="R4904" s="127">
        <f t="shared" si="229"/>
        <v>0</v>
      </c>
      <c r="T4904" s="128">
        <f t="shared" si="228"/>
        <v>0</v>
      </c>
      <c r="U4904" s="129" t="str">
        <f>IFERROR(IF(#REF!="S",VLOOKUP('Raw Data'!A4904,References!#REF!,2,FALSE),(VLOOKUP($S4904,References!$B$3:$C$7,2,FALSE))),"")</f>
        <v/>
      </c>
      <c r="W4904" s="74" t="str">
        <f>IFERROR(VLOOKUP($O4904,'Customer List'!$A$1:$J$488,10,FALSE),"")</f>
        <v/>
      </c>
    </row>
    <row r="4905" spans="18:23">
      <c r="R4905" s="127">
        <f t="shared" si="229"/>
        <v>0</v>
      </c>
      <c r="T4905" s="128">
        <f t="shared" si="228"/>
        <v>0</v>
      </c>
      <c r="U4905" s="129" t="str">
        <f>IFERROR(IF(#REF!="S",VLOOKUP('Raw Data'!A4905,References!#REF!,2,FALSE),(VLOOKUP($S4905,References!$B$3:$C$7,2,FALSE))),"")</f>
        <v/>
      </c>
      <c r="W4905" s="74" t="str">
        <f>IFERROR(VLOOKUP($O4905,'Customer List'!$A$1:$J$488,10,FALSE),"")</f>
        <v/>
      </c>
    </row>
    <row r="4906" spans="18:23">
      <c r="R4906" s="127">
        <f t="shared" si="229"/>
        <v>0</v>
      </c>
      <c r="T4906" s="128">
        <f t="shared" si="228"/>
        <v>0</v>
      </c>
      <c r="U4906" s="129" t="str">
        <f>IFERROR(IF(#REF!="S",VLOOKUP('Raw Data'!A4906,References!#REF!,2,FALSE),(VLOOKUP($S4906,References!$B$3:$C$7,2,FALSE))),"")</f>
        <v/>
      </c>
      <c r="W4906" s="74" t="str">
        <f>IFERROR(VLOOKUP($O4906,'Customer List'!$A$1:$J$488,10,FALSE),"")</f>
        <v/>
      </c>
    </row>
    <row r="4907" spans="18:23">
      <c r="R4907" s="127">
        <f t="shared" si="229"/>
        <v>0</v>
      </c>
      <c r="T4907" s="128">
        <f t="shared" si="228"/>
        <v>0</v>
      </c>
      <c r="U4907" s="129" t="str">
        <f>IFERROR(IF(#REF!="S",VLOOKUP('Raw Data'!A4907,References!#REF!,2,FALSE),(VLOOKUP($S4907,References!$B$3:$C$7,2,FALSE))),"")</f>
        <v/>
      </c>
      <c r="W4907" s="74" t="str">
        <f>IFERROR(VLOOKUP($O4907,'Customer List'!$A$1:$J$488,10,FALSE),"")</f>
        <v/>
      </c>
    </row>
    <row r="4908" spans="18:23">
      <c r="R4908" s="127">
        <f t="shared" si="229"/>
        <v>0</v>
      </c>
      <c r="T4908" s="128">
        <f t="shared" si="228"/>
        <v>0</v>
      </c>
      <c r="U4908" s="129" t="str">
        <f>IFERROR(IF(#REF!="S",VLOOKUP('Raw Data'!A4908,References!#REF!,2,FALSE),(VLOOKUP($S4908,References!$B$3:$C$7,2,FALSE))),"")</f>
        <v/>
      </c>
      <c r="W4908" s="74" t="str">
        <f>IFERROR(VLOOKUP($O4908,'Customer List'!$A$1:$J$488,10,FALSE),"")</f>
        <v/>
      </c>
    </row>
    <row r="4909" spans="18:23">
      <c r="R4909" s="127">
        <f t="shared" si="229"/>
        <v>0</v>
      </c>
      <c r="T4909" s="128">
        <f t="shared" si="228"/>
        <v>0</v>
      </c>
      <c r="U4909" s="129" t="str">
        <f>IFERROR(IF(#REF!="S",VLOOKUP('Raw Data'!A4909,References!#REF!,2,FALSE),(VLOOKUP($S4909,References!$B$3:$C$7,2,FALSE))),"")</f>
        <v/>
      </c>
      <c r="W4909" s="74" t="str">
        <f>IFERROR(VLOOKUP($O4909,'Customer List'!$A$1:$J$488,10,FALSE),"")</f>
        <v/>
      </c>
    </row>
    <row r="4910" spans="18:23">
      <c r="R4910" s="127">
        <f t="shared" si="229"/>
        <v>0</v>
      </c>
      <c r="T4910" s="128">
        <f t="shared" si="228"/>
        <v>0</v>
      </c>
      <c r="U4910" s="129" t="str">
        <f>IFERROR(IF(#REF!="S",VLOOKUP('Raw Data'!A4910,References!#REF!,2,FALSE),(VLOOKUP($S4910,References!$B$3:$C$7,2,FALSE))),"")</f>
        <v/>
      </c>
      <c r="W4910" s="74" t="str">
        <f>IFERROR(VLOOKUP($O4910,'Customer List'!$A$1:$J$488,10,FALSE),"")</f>
        <v/>
      </c>
    </row>
    <row r="4911" spans="18:23">
      <c r="R4911" s="127">
        <f t="shared" si="229"/>
        <v>0</v>
      </c>
      <c r="T4911" s="128">
        <f t="shared" si="228"/>
        <v>0</v>
      </c>
      <c r="U4911" s="129" t="str">
        <f>IFERROR(IF(#REF!="S",VLOOKUP('Raw Data'!A4911,References!#REF!,2,FALSE),(VLOOKUP($S4911,References!$B$3:$C$7,2,FALSE))),"")</f>
        <v/>
      </c>
      <c r="W4911" s="74" t="str">
        <f>IFERROR(VLOOKUP($O4911,'Customer List'!$A$1:$J$488,10,FALSE),"")</f>
        <v/>
      </c>
    </row>
    <row r="4912" spans="18:23">
      <c r="R4912" s="127">
        <f t="shared" si="229"/>
        <v>0</v>
      </c>
      <c r="T4912" s="128">
        <f t="shared" si="228"/>
        <v>0</v>
      </c>
      <c r="U4912" s="129" t="str">
        <f>IFERROR(IF(#REF!="S",VLOOKUP('Raw Data'!A4912,References!#REF!,2,FALSE),(VLOOKUP($S4912,References!$B$3:$C$7,2,FALSE))),"")</f>
        <v/>
      </c>
      <c r="W4912" s="74" t="str">
        <f>IFERROR(VLOOKUP($O4912,'Customer List'!$A$1:$J$488,10,FALSE),"")</f>
        <v/>
      </c>
    </row>
    <row r="4913" spans="18:23">
      <c r="R4913" s="127">
        <f t="shared" si="229"/>
        <v>0</v>
      </c>
      <c r="T4913" s="128">
        <f t="shared" si="228"/>
        <v>0</v>
      </c>
      <c r="U4913" s="129" t="str">
        <f>IFERROR(IF(#REF!="S",VLOOKUP('Raw Data'!A4913,References!#REF!,2,FALSE),(VLOOKUP($S4913,References!$B$3:$C$7,2,FALSE))),"")</f>
        <v/>
      </c>
      <c r="W4913" s="74" t="str">
        <f>IFERROR(VLOOKUP($O4913,'Customer List'!$A$1:$J$488,10,FALSE),"")</f>
        <v/>
      </c>
    </row>
    <row r="4914" spans="18:23">
      <c r="R4914" s="127">
        <f t="shared" si="229"/>
        <v>0</v>
      </c>
      <c r="T4914" s="128">
        <f t="shared" si="228"/>
        <v>0</v>
      </c>
      <c r="U4914" s="129" t="str">
        <f>IFERROR(IF(#REF!="S",VLOOKUP('Raw Data'!A4914,References!#REF!,2,FALSE),(VLOOKUP($S4914,References!$B$3:$C$7,2,FALSE))),"")</f>
        <v/>
      </c>
      <c r="W4914" s="74" t="str">
        <f>IFERROR(VLOOKUP($O4914,'Customer List'!$A$1:$J$488,10,FALSE),"")</f>
        <v/>
      </c>
    </row>
    <row r="4915" spans="18:23">
      <c r="R4915" s="127">
        <f t="shared" si="229"/>
        <v>0</v>
      </c>
      <c r="T4915" s="128">
        <f t="shared" si="228"/>
        <v>0</v>
      </c>
      <c r="U4915" s="129" t="str">
        <f>IFERROR(IF(#REF!="S",VLOOKUP('Raw Data'!A4915,References!#REF!,2,FALSE),(VLOOKUP($S4915,References!$B$3:$C$7,2,FALSE))),"")</f>
        <v/>
      </c>
      <c r="W4915" s="74" t="str">
        <f>IFERROR(VLOOKUP($O4915,'Customer List'!$A$1:$J$488,10,FALSE),"")</f>
        <v/>
      </c>
    </row>
    <row r="4916" spans="18:23">
      <c r="R4916" s="127">
        <f t="shared" si="229"/>
        <v>0</v>
      </c>
      <c r="T4916" s="128">
        <f t="shared" si="228"/>
        <v>0</v>
      </c>
      <c r="U4916" s="129" t="str">
        <f>IFERROR(IF(#REF!="S",VLOOKUP('Raw Data'!A4916,References!#REF!,2,FALSE),(VLOOKUP($S4916,References!$B$3:$C$7,2,FALSE))),"")</f>
        <v/>
      </c>
      <c r="W4916" s="74" t="str">
        <f>IFERROR(VLOOKUP($O4916,'Customer List'!$A$1:$J$488,10,FALSE),"")</f>
        <v/>
      </c>
    </row>
    <row r="4917" spans="18:23">
      <c r="R4917" s="127">
        <f t="shared" si="229"/>
        <v>0</v>
      </c>
      <c r="T4917" s="128">
        <f t="shared" si="228"/>
        <v>0</v>
      </c>
      <c r="U4917" s="129" t="str">
        <f>IFERROR(IF(#REF!="S",VLOOKUP('Raw Data'!A4917,References!#REF!,2,FALSE),(VLOOKUP($S4917,References!$B$3:$C$7,2,FALSE))),"")</f>
        <v/>
      </c>
      <c r="W4917" s="74" t="str">
        <f>IFERROR(VLOOKUP($O4917,'Customer List'!$A$1:$J$488,10,FALSE),"")</f>
        <v/>
      </c>
    </row>
    <row r="4918" spans="18:23">
      <c r="R4918" s="127">
        <f t="shared" si="229"/>
        <v>0</v>
      </c>
      <c r="T4918" s="128">
        <f t="shared" si="228"/>
        <v>0</v>
      </c>
      <c r="U4918" s="129" t="str">
        <f>IFERROR(IF(#REF!="S",VLOOKUP('Raw Data'!A4918,References!#REF!,2,FALSE),(VLOOKUP($S4918,References!$B$3:$C$7,2,FALSE))),"")</f>
        <v/>
      </c>
      <c r="W4918" s="74" t="str">
        <f>IFERROR(VLOOKUP($O4918,'Customer List'!$A$1:$J$488,10,FALSE),"")</f>
        <v/>
      </c>
    </row>
    <row r="4919" spans="18:23">
      <c r="R4919" s="127">
        <f t="shared" si="229"/>
        <v>0</v>
      </c>
      <c r="T4919" s="128">
        <f t="shared" si="228"/>
        <v>0</v>
      </c>
      <c r="U4919" s="129" t="str">
        <f>IFERROR(IF(#REF!="S",VLOOKUP('Raw Data'!A4919,References!#REF!,2,FALSE),(VLOOKUP($S4919,References!$B$3:$C$7,2,FALSE))),"")</f>
        <v/>
      </c>
      <c r="W4919" s="74" t="str">
        <f>IFERROR(VLOOKUP($O4919,'Customer List'!$A$1:$J$488,10,FALSE),"")</f>
        <v/>
      </c>
    </row>
    <row r="4920" spans="18:23">
      <c r="R4920" s="127">
        <f t="shared" si="229"/>
        <v>0</v>
      </c>
      <c r="T4920" s="128">
        <f t="shared" si="228"/>
        <v>0</v>
      </c>
      <c r="U4920" s="129" t="str">
        <f>IFERROR(IF(#REF!="S",VLOOKUP('Raw Data'!A4920,References!#REF!,2,FALSE),(VLOOKUP($S4920,References!$B$3:$C$7,2,FALSE))),"")</f>
        <v/>
      </c>
      <c r="W4920" s="74" t="str">
        <f>IFERROR(VLOOKUP($O4920,'Customer List'!$A$1:$J$488,10,FALSE),"")</f>
        <v/>
      </c>
    </row>
    <row r="4921" spans="18:23">
      <c r="R4921" s="127">
        <f t="shared" si="229"/>
        <v>0</v>
      </c>
      <c r="T4921" s="128">
        <f t="shared" si="228"/>
        <v>0</v>
      </c>
      <c r="U4921" s="129" t="str">
        <f>IFERROR(IF(#REF!="S",VLOOKUP('Raw Data'!A4921,References!#REF!,2,FALSE),(VLOOKUP($S4921,References!$B$3:$C$7,2,FALSE))),"")</f>
        <v/>
      </c>
      <c r="W4921" s="74" t="str">
        <f>IFERROR(VLOOKUP($O4921,'Customer List'!$A$1:$J$488,10,FALSE),"")</f>
        <v/>
      </c>
    </row>
    <row r="4922" spans="18:23">
      <c r="R4922" s="127">
        <f t="shared" si="229"/>
        <v>0</v>
      </c>
      <c r="T4922" s="128">
        <f t="shared" si="228"/>
        <v>0</v>
      </c>
      <c r="U4922" s="129" t="str">
        <f>IFERROR(IF(#REF!="S",VLOOKUP('Raw Data'!A4922,References!#REF!,2,FALSE),(VLOOKUP($S4922,References!$B$3:$C$7,2,FALSE))),"")</f>
        <v/>
      </c>
      <c r="W4922" s="74" t="str">
        <f>IFERROR(VLOOKUP($O4922,'Customer List'!$A$1:$J$488,10,FALSE),"")</f>
        <v/>
      </c>
    </row>
    <row r="4923" spans="18:23">
      <c r="R4923" s="127">
        <f t="shared" si="229"/>
        <v>0</v>
      </c>
      <c r="T4923" s="128">
        <f t="shared" si="228"/>
        <v>0</v>
      </c>
      <c r="U4923" s="129" t="str">
        <f>IFERROR(IF(#REF!="S",VLOOKUP('Raw Data'!A4923,References!#REF!,2,FALSE),(VLOOKUP($S4923,References!$B$3:$C$7,2,FALSE))),"")</f>
        <v/>
      </c>
      <c r="W4923" s="74" t="str">
        <f>IFERROR(VLOOKUP($O4923,'Customer List'!$A$1:$J$488,10,FALSE),"")</f>
        <v/>
      </c>
    </row>
    <row r="4924" spans="18:23">
      <c r="R4924" s="127">
        <f t="shared" si="229"/>
        <v>0</v>
      </c>
      <c r="T4924" s="128">
        <f t="shared" si="228"/>
        <v>0</v>
      </c>
      <c r="U4924" s="129" t="str">
        <f>IFERROR(IF(#REF!="S",VLOOKUP('Raw Data'!A4924,References!#REF!,2,FALSE),(VLOOKUP($S4924,References!$B$3:$C$7,2,FALSE))),"")</f>
        <v/>
      </c>
      <c r="W4924" s="74" t="str">
        <f>IFERROR(VLOOKUP($O4924,'Customer List'!$A$1:$J$488,10,FALSE),"")</f>
        <v/>
      </c>
    </row>
    <row r="4925" spans="18:23">
      <c r="R4925" s="127">
        <f t="shared" si="229"/>
        <v>0</v>
      </c>
      <c r="T4925" s="128">
        <f t="shared" si="228"/>
        <v>0</v>
      </c>
      <c r="U4925" s="129" t="str">
        <f>IFERROR(IF(#REF!="S",VLOOKUP('Raw Data'!A4925,References!#REF!,2,FALSE),(VLOOKUP($S4925,References!$B$3:$C$7,2,FALSE))),"")</f>
        <v/>
      </c>
      <c r="W4925" s="74" t="str">
        <f>IFERROR(VLOOKUP($O4925,'Customer List'!$A$1:$J$488,10,FALSE),"")</f>
        <v/>
      </c>
    </row>
    <row r="4926" spans="18:23">
      <c r="R4926" s="127">
        <f t="shared" si="229"/>
        <v>0</v>
      </c>
      <c r="T4926" s="128">
        <f t="shared" si="228"/>
        <v>0</v>
      </c>
      <c r="U4926" s="129" t="str">
        <f>IFERROR(IF(#REF!="S",VLOOKUP('Raw Data'!A4926,References!#REF!,2,FALSE),(VLOOKUP($S4926,References!$B$3:$C$7,2,FALSE))),"")</f>
        <v/>
      </c>
      <c r="W4926" s="74" t="str">
        <f>IFERROR(VLOOKUP($O4926,'Customer List'!$A$1:$J$488,10,FALSE),"")</f>
        <v/>
      </c>
    </row>
    <row r="4927" spans="18:23">
      <c r="R4927" s="127">
        <f t="shared" si="229"/>
        <v>0</v>
      </c>
      <c r="T4927" s="128">
        <f t="shared" si="228"/>
        <v>0</v>
      </c>
      <c r="U4927" s="129" t="str">
        <f>IFERROR(IF(#REF!="S",VLOOKUP('Raw Data'!A4927,References!#REF!,2,FALSE),(VLOOKUP($S4927,References!$B$3:$C$7,2,FALSE))),"")</f>
        <v/>
      </c>
      <c r="W4927" s="74" t="str">
        <f>IFERROR(VLOOKUP($O4927,'Customer List'!$A$1:$J$488,10,FALSE),"")</f>
        <v/>
      </c>
    </row>
    <row r="4928" spans="18:23">
      <c r="R4928" s="127">
        <f t="shared" si="229"/>
        <v>0</v>
      </c>
      <c r="T4928" s="128">
        <f t="shared" si="228"/>
        <v>0</v>
      </c>
      <c r="U4928" s="129" t="str">
        <f>IFERROR(IF(#REF!="S",VLOOKUP('Raw Data'!A4928,References!#REF!,2,FALSE),(VLOOKUP($S4928,References!$B$3:$C$7,2,FALSE))),"")</f>
        <v/>
      </c>
      <c r="W4928" s="74" t="str">
        <f>IFERROR(VLOOKUP($O4928,'Customer List'!$A$1:$J$488,10,FALSE),"")</f>
        <v/>
      </c>
    </row>
    <row r="4929" spans="18:23">
      <c r="R4929" s="127">
        <f t="shared" si="229"/>
        <v>0</v>
      </c>
      <c r="T4929" s="128">
        <f t="shared" si="228"/>
        <v>0</v>
      </c>
      <c r="U4929" s="129" t="str">
        <f>IFERROR(IF(#REF!="S",VLOOKUP('Raw Data'!A4929,References!#REF!,2,FALSE),(VLOOKUP($S4929,References!$B$3:$C$7,2,FALSE))),"")</f>
        <v/>
      </c>
      <c r="W4929" s="74" t="str">
        <f>IFERROR(VLOOKUP($O4929,'Customer List'!$A$1:$J$488,10,FALSE),"")</f>
        <v/>
      </c>
    </row>
    <row r="4930" spans="18:23">
      <c r="R4930" s="127">
        <f t="shared" si="229"/>
        <v>0</v>
      </c>
      <c r="T4930" s="128">
        <f t="shared" si="228"/>
        <v>0</v>
      </c>
      <c r="U4930" s="129" t="str">
        <f>IFERROR(IF(#REF!="S",VLOOKUP('Raw Data'!A4930,References!#REF!,2,FALSE),(VLOOKUP($S4930,References!$B$3:$C$7,2,FALSE))),"")</f>
        <v/>
      </c>
      <c r="W4930" s="74" t="str">
        <f>IFERROR(VLOOKUP($O4930,'Customer List'!$A$1:$J$488,10,FALSE),"")</f>
        <v/>
      </c>
    </row>
    <row r="4931" spans="18:23">
      <c r="R4931" s="127">
        <f t="shared" si="229"/>
        <v>0</v>
      </c>
      <c r="T4931" s="128">
        <f t="shared" si="228"/>
        <v>0</v>
      </c>
      <c r="U4931" s="129" t="str">
        <f>IFERROR(IF(#REF!="S",VLOOKUP('Raw Data'!A4931,References!#REF!,2,FALSE),(VLOOKUP($S4931,References!$B$3:$C$7,2,FALSE))),"")</f>
        <v/>
      </c>
      <c r="W4931" s="74" t="str">
        <f>IFERROR(VLOOKUP($O4931,'Customer List'!$A$1:$J$488,10,FALSE),"")</f>
        <v/>
      </c>
    </row>
    <row r="4932" spans="18:23">
      <c r="R4932" s="127">
        <f t="shared" si="229"/>
        <v>0</v>
      </c>
      <c r="T4932" s="128">
        <f t="shared" si="228"/>
        <v>0</v>
      </c>
      <c r="U4932" s="129" t="str">
        <f>IFERROR(IF(#REF!="S",VLOOKUP('Raw Data'!A4932,References!#REF!,2,FALSE),(VLOOKUP($S4932,References!$B$3:$C$7,2,FALSE))),"")</f>
        <v/>
      </c>
      <c r="W4932" s="74" t="str">
        <f>IFERROR(VLOOKUP($O4932,'Customer List'!$A$1:$J$488,10,FALSE),"")</f>
        <v/>
      </c>
    </row>
    <row r="4933" spans="18:23">
      <c r="R4933" s="127">
        <f t="shared" si="229"/>
        <v>0</v>
      </c>
      <c r="T4933" s="128">
        <f t="shared" si="228"/>
        <v>0</v>
      </c>
      <c r="U4933" s="129" t="str">
        <f>IFERROR(IF(#REF!="S",VLOOKUP('Raw Data'!A4933,References!#REF!,2,FALSE),(VLOOKUP($S4933,References!$B$3:$C$7,2,FALSE))),"")</f>
        <v/>
      </c>
      <c r="W4933" s="74" t="str">
        <f>IFERROR(VLOOKUP($O4933,'Customer List'!$A$1:$J$488,10,FALSE),"")</f>
        <v/>
      </c>
    </row>
    <row r="4934" spans="18:23">
      <c r="R4934" s="127">
        <f t="shared" si="229"/>
        <v>0</v>
      </c>
      <c r="T4934" s="128">
        <f t="shared" si="228"/>
        <v>0</v>
      </c>
      <c r="U4934" s="129" t="str">
        <f>IFERROR(IF(#REF!="S",VLOOKUP('Raw Data'!A4934,References!#REF!,2,FALSE),(VLOOKUP($S4934,References!$B$3:$C$7,2,FALSE))),"")</f>
        <v/>
      </c>
      <c r="W4934" s="74" t="str">
        <f>IFERROR(VLOOKUP($O4934,'Customer List'!$A$1:$J$488,10,FALSE),"")</f>
        <v/>
      </c>
    </row>
    <row r="4935" spans="18:23">
      <c r="R4935" s="127">
        <f t="shared" si="229"/>
        <v>0</v>
      </c>
      <c r="T4935" s="128">
        <f t="shared" si="228"/>
        <v>0</v>
      </c>
      <c r="U4935" s="129" t="str">
        <f>IFERROR(IF(#REF!="S",VLOOKUP('Raw Data'!A4935,References!#REF!,2,FALSE),(VLOOKUP($S4935,References!$B$3:$C$7,2,FALSE))),"")</f>
        <v/>
      </c>
      <c r="W4935" s="74" t="str">
        <f>IFERROR(VLOOKUP($O4935,'Customer List'!$A$1:$J$488,10,FALSE),"")</f>
        <v/>
      </c>
    </row>
    <row r="4936" spans="18:23">
      <c r="R4936" s="127">
        <f t="shared" si="229"/>
        <v>0</v>
      </c>
      <c r="T4936" s="128">
        <f t="shared" si="228"/>
        <v>0</v>
      </c>
      <c r="U4936" s="129" t="str">
        <f>IFERROR(IF(#REF!="S",VLOOKUP('Raw Data'!A4936,References!#REF!,2,FALSE),(VLOOKUP($S4936,References!$B$3:$C$7,2,FALSE))),"")</f>
        <v/>
      </c>
      <c r="W4936" s="74" t="str">
        <f>IFERROR(VLOOKUP($O4936,'Customer List'!$A$1:$J$488,10,FALSE),"")</f>
        <v/>
      </c>
    </row>
    <row r="4937" spans="18:23">
      <c r="R4937" s="127">
        <f t="shared" si="229"/>
        <v>0</v>
      </c>
      <c r="T4937" s="128">
        <f t="shared" si="228"/>
        <v>0</v>
      </c>
      <c r="U4937" s="129" t="str">
        <f>IFERROR(IF(#REF!="S",VLOOKUP('Raw Data'!A4937,References!#REF!,2,FALSE),(VLOOKUP($S4937,References!$B$3:$C$7,2,FALSE))),"")</f>
        <v/>
      </c>
      <c r="W4937" s="74" t="str">
        <f>IFERROR(VLOOKUP($O4937,'Customer List'!$A$1:$J$488,10,FALSE),"")</f>
        <v/>
      </c>
    </row>
    <row r="4938" spans="18:23">
      <c r="R4938" s="127">
        <f t="shared" si="229"/>
        <v>0</v>
      </c>
      <c r="T4938" s="128">
        <f t="shared" ref="T4938:T5001" si="230">IF(S4938="50 - Cleaning Fee",1,HOUR($R4938)+MINUTE(R4938)/60)</f>
        <v>0</v>
      </c>
      <c r="U4938" s="129" t="str">
        <f>IFERROR(IF(#REF!="S",VLOOKUP('Raw Data'!A4938,References!#REF!,2,FALSE),(VLOOKUP($S4938,References!$B$3:$C$7,2,FALSE))),"")</f>
        <v/>
      </c>
      <c r="W4938" s="74" t="str">
        <f>IFERROR(VLOOKUP($O4938,'Customer List'!$A$1:$J$488,10,FALSE),"")</f>
        <v/>
      </c>
    </row>
    <row r="4939" spans="18:23">
      <c r="R4939" s="127">
        <f t="shared" si="229"/>
        <v>0</v>
      </c>
      <c r="T4939" s="128">
        <f t="shared" si="230"/>
        <v>0</v>
      </c>
      <c r="U4939" s="129" t="str">
        <f>IFERROR(IF(#REF!="S",VLOOKUP('Raw Data'!A4939,References!#REF!,2,FALSE),(VLOOKUP($S4939,References!$B$3:$C$7,2,FALSE))),"")</f>
        <v/>
      </c>
      <c r="W4939" s="74" t="str">
        <f>IFERROR(VLOOKUP($O4939,'Customer List'!$A$1:$J$488,10,FALSE),"")</f>
        <v/>
      </c>
    </row>
    <row r="4940" spans="18:23">
      <c r="R4940" s="127">
        <f t="shared" si="229"/>
        <v>0</v>
      </c>
      <c r="T4940" s="128">
        <f t="shared" si="230"/>
        <v>0</v>
      </c>
      <c r="U4940" s="129" t="str">
        <f>IFERROR(IF(#REF!="S",VLOOKUP('Raw Data'!A4940,References!#REF!,2,FALSE),(VLOOKUP($S4940,References!$B$3:$C$7,2,FALSE))),"")</f>
        <v/>
      </c>
      <c r="W4940" s="74" t="str">
        <f>IFERROR(VLOOKUP($O4940,'Customer List'!$A$1:$J$488,10,FALSE),"")</f>
        <v/>
      </c>
    </row>
    <row r="4941" spans="18:23">
      <c r="R4941" s="127">
        <f t="shared" si="229"/>
        <v>0</v>
      </c>
      <c r="T4941" s="128">
        <f t="shared" si="230"/>
        <v>0</v>
      </c>
      <c r="U4941" s="129" t="str">
        <f>IFERROR(IF(#REF!="S",VLOOKUP('Raw Data'!A4941,References!#REF!,2,FALSE),(VLOOKUP($S4941,References!$B$3:$C$7,2,FALSE))),"")</f>
        <v/>
      </c>
      <c r="W4941" s="74" t="str">
        <f>IFERROR(VLOOKUP($O4941,'Customer List'!$A$1:$J$488,10,FALSE),"")</f>
        <v/>
      </c>
    </row>
    <row r="4942" spans="18:23">
      <c r="R4942" s="127">
        <f t="shared" si="229"/>
        <v>0</v>
      </c>
      <c r="T4942" s="128">
        <f t="shared" si="230"/>
        <v>0</v>
      </c>
      <c r="U4942" s="129" t="str">
        <f>IFERROR(IF(#REF!="S",VLOOKUP('Raw Data'!A4942,References!#REF!,2,FALSE),(VLOOKUP($S4942,References!$B$3:$C$7,2,FALSE))),"")</f>
        <v/>
      </c>
      <c r="W4942" s="74" t="str">
        <f>IFERROR(VLOOKUP($O4942,'Customer List'!$A$1:$J$488,10,FALSE),"")</f>
        <v/>
      </c>
    </row>
    <row r="4943" spans="18:23">
      <c r="R4943" s="127">
        <f t="shared" si="229"/>
        <v>0</v>
      </c>
      <c r="T4943" s="128">
        <f t="shared" si="230"/>
        <v>0</v>
      </c>
      <c r="U4943" s="129" t="str">
        <f>IFERROR(IF(#REF!="S",VLOOKUP('Raw Data'!A4943,References!#REF!,2,FALSE),(VLOOKUP($S4943,References!$B$3:$C$7,2,FALSE))),"")</f>
        <v/>
      </c>
      <c r="W4943" s="74" t="str">
        <f>IFERROR(VLOOKUP($O4943,'Customer List'!$A$1:$J$488,10,FALSE),"")</f>
        <v/>
      </c>
    </row>
    <row r="4944" spans="18:23">
      <c r="R4944" s="127">
        <f t="shared" si="229"/>
        <v>0</v>
      </c>
      <c r="T4944" s="128">
        <f t="shared" si="230"/>
        <v>0</v>
      </c>
      <c r="U4944" s="129" t="str">
        <f>IFERROR(IF(#REF!="S",VLOOKUP('Raw Data'!A4944,References!#REF!,2,FALSE),(VLOOKUP($S4944,References!$B$3:$C$7,2,FALSE))),"")</f>
        <v/>
      </c>
      <c r="W4944" s="74" t="str">
        <f>IFERROR(VLOOKUP($O4944,'Customer List'!$A$1:$J$488,10,FALSE),"")</f>
        <v/>
      </c>
    </row>
    <row r="4945" spans="18:23">
      <c r="R4945" s="127">
        <f t="shared" si="229"/>
        <v>0</v>
      </c>
      <c r="T4945" s="128">
        <f t="shared" si="230"/>
        <v>0</v>
      </c>
      <c r="U4945" s="129" t="str">
        <f>IFERROR(IF(#REF!="S",VLOOKUP('Raw Data'!A4945,References!#REF!,2,FALSE),(VLOOKUP($S4945,References!$B$3:$C$7,2,FALSE))),"")</f>
        <v/>
      </c>
      <c r="W4945" s="74" t="str">
        <f>IFERROR(VLOOKUP($O4945,'Customer List'!$A$1:$J$488,10,FALSE),"")</f>
        <v/>
      </c>
    </row>
    <row r="4946" spans="18:23">
      <c r="R4946" s="127">
        <f t="shared" si="229"/>
        <v>0</v>
      </c>
      <c r="T4946" s="128">
        <f t="shared" si="230"/>
        <v>0</v>
      </c>
      <c r="U4946" s="129" t="str">
        <f>IFERROR(IF(#REF!="S",VLOOKUP('Raw Data'!A4946,References!#REF!,2,FALSE),(VLOOKUP($S4946,References!$B$3:$C$7,2,FALSE))),"")</f>
        <v/>
      </c>
      <c r="W4946" s="74" t="str">
        <f>IFERROR(VLOOKUP($O4946,'Customer List'!$A$1:$J$488,10,FALSE),"")</f>
        <v/>
      </c>
    </row>
    <row r="4947" spans="18:23">
      <c r="R4947" s="127">
        <f t="shared" si="229"/>
        <v>0</v>
      </c>
      <c r="T4947" s="128">
        <f t="shared" si="230"/>
        <v>0</v>
      </c>
      <c r="U4947" s="129" t="str">
        <f>IFERROR(IF(#REF!="S",VLOOKUP('Raw Data'!A4947,References!#REF!,2,FALSE),(VLOOKUP($S4947,References!$B$3:$C$7,2,FALSE))),"")</f>
        <v/>
      </c>
      <c r="W4947" s="74" t="str">
        <f>IFERROR(VLOOKUP($O4947,'Customer List'!$A$1:$J$488,10,FALSE),"")</f>
        <v/>
      </c>
    </row>
    <row r="4948" spans="18:23">
      <c r="R4948" s="127">
        <f t="shared" si="229"/>
        <v>0</v>
      </c>
      <c r="T4948" s="128">
        <f t="shared" si="230"/>
        <v>0</v>
      </c>
      <c r="U4948" s="129" t="str">
        <f>IFERROR(IF(#REF!="S",VLOOKUP('Raw Data'!A4948,References!#REF!,2,FALSE),(VLOOKUP($S4948,References!$B$3:$C$7,2,FALSE))),"")</f>
        <v/>
      </c>
      <c r="W4948" s="74" t="str">
        <f>IFERROR(VLOOKUP($O4948,'Customer List'!$A$1:$J$488,10,FALSE),"")</f>
        <v/>
      </c>
    </row>
    <row r="4949" spans="18:23">
      <c r="R4949" s="127">
        <f t="shared" si="229"/>
        <v>0</v>
      </c>
      <c r="T4949" s="128">
        <f t="shared" si="230"/>
        <v>0</v>
      </c>
      <c r="U4949" s="129" t="str">
        <f>IFERROR(IF(#REF!="S",VLOOKUP('Raw Data'!A4949,References!#REF!,2,FALSE),(VLOOKUP($S4949,References!$B$3:$C$7,2,FALSE))),"")</f>
        <v/>
      </c>
      <c r="W4949" s="74" t="str">
        <f>IFERROR(VLOOKUP($O4949,'Customer List'!$A$1:$J$488,10,FALSE),"")</f>
        <v/>
      </c>
    </row>
    <row r="4950" spans="18:23">
      <c r="R4950" s="127">
        <f t="shared" si="229"/>
        <v>0</v>
      </c>
      <c r="T4950" s="128">
        <f t="shared" si="230"/>
        <v>0</v>
      </c>
      <c r="U4950" s="129" t="str">
        <f>IFERROR(IF(#REF!="S",VLOOKUP('Raw Data'!A4950,References!#REF!,2,FALSE),(VLOOKUP($S4950,References!$B$3:$C$7,2,FALSE))),"")</f>
        <v/>
      </c>
      <c r="W4950" s="74" t="str">
        <f>IFERROR(VLOOKUP($O4950,'Customer List'!$A$1:$J$488,10,FALSE),"")</f>
        <v/>
      </c>
    </row>
    <row r="4951" spans="18:23">
      <c r="R4951" s="127">
        <f t="shared" si="229"/>
        <v>0</v>
      </c>
      <c r="T4951" s="128">
        <f t="shared" si="230"/>
        <v>0</v>
      </c>
      <c r="U4951" s="129" t="str">
        <f>IFERROR(IF(#REF!="S",VLOOKUP('Raw Data'!A4951,References!#REF!,2,FALSE),(VLOOKUP($S4951,References!$B$3:$C$7,2,FALSE))),"")</f>
        <v/>
      </c>
      <c r="W4951" s="74" t="str">
        <f>IFERROR(VLOOKUP($O4951,'Customer List'!$A$1:$J$488,10,FALSE),"")</f>
        <v/>
      </c>
    </row>
    <row r="4952" spans="18:23">
      <c r="R4952" s="127">
        <f t="shared" si="229"/>
        <v>0</v>
      </c>
      <c r="T4952" s="128">
        <f t="shared" si="230"/>
        <v>0</v>
      </c>
      <c r="U4952" s="129" t="str">
        <f>IFERROR(IF(#REF!="S",VLOOKUP('Raw Data'!A4952,References!#REF!,2,FALSE),(VLOOKUP($S4952,References!$B$3:$C$7,2,FALSE))),"")</f>
        <v/>
      </c>
      <c r="W4952" s="74" t="str">
        <f>IFERROR(VLOOKUP($O4952,'Customer List'!$A$1:$J$488,10,FALSE),"")</f>
        <v/>
      </c>
    </row>
    <row r="4953" spans="18:23">
      <c r="R4953" s="127">
        <f t="shared" si="229"/>
        <v>0</v>
      </c>
      <c r="T4953" s="128">
        <f t="shared" si="230"/>
        <v>0</v>
      </c>
      <c r="U4953" s="129" t="str">
        <f>IFERROR(IF(#REF!="S",VLOOKUP('Raw Data'!A4953,References!#REF!,2,FALSE),(VLOOKUP($S4953,References!$B$3:$C$7,2,FALSE))),"")</f>
        <v/>
      </c>
      <c r="W4953" s="74" t="str">
        <f>IFERROR(VLOOKUP($O4953,'Customer List'!$A$1:$J$488,10,FALSE),"")</f>
        <v/>
      </c>
    </row>
    <row r="4954" spans="18:23">
      <c r="R4954" s="127">
        <f t="shared" si="229"/>
        <v>0</v>
      </c>
      <c r="T4954" s="128">
        <f t="shared" si="230"/>
        <v>0</v>
      </c>
      <c r="U4954" s="129" t="str">
        <f>IFERROR(IF(#REF!="S",VLOOKUP('Raw Data'!A4954,References!#REF!,2,FALSE),(VLOOKUP($S4954,References!$B$3:$C$7,2,FALSE))),"")</f>
        <v/>
      </c>
      <c r="W4954" s="74" t="str">
        <f>IFERROR(VLOOKUP($O4954,'Customer List'!$A$1:$J$488,10,FALSE),"")</f>
        <v/>
      </c>
    </row>
    <row r="4955" spans="18:23">
      <c r="R4955" s="127">
        <f t="shared" si="229"/>
        <v>0</v>
      </c>
      <c r="T4955" s="128">
        <f t="shared" si="230"/>
        <v>0</v>
      </c>
      <c r="U4955" s="129" t="str">
        <f>IFERROR(IF(#REF!="S",VLOOKUP('Raw Data'!A4955,References!#REF!,2,FALSE),(VLOOKUP($S4955,References!$B$3:$C$7,2,FALSE))),"")</f>
        <v/>
      </c>
      <c r="W4955" s="74" t="str">
        <f>IFERROR(VLOOKUP($O4955,'Customer List'!$A$1:$J$488,10,FALSE),"")</f>
        <v/>
      </c>
    </row>
    <row r="4956" spans="18:23">
      <c r="R4956" s="127">
        <f t="shared" si="229"/>
        <v>0</v>
      </c>
      <c r="T4956" s="128">
        <f t="shared" si="230"/>
        <v>0</v>
      </c>
      <c r="U4956" s="129" t="str">
        <f>IFERROR(IF(#REF!="S",VLOOKUP('Raw Data'!A4956,References!#REF!,2,FALSE),(VLOOKUP($S4956,References!$B$3:$C$7,2,FALSE))),"")</f>
        <v/>
      </c>
      <c r="W4956" s="74" t="str">
        <f>IFERROR(VLOOKUP($O4956,'Customer List'!$A$1:$J$488,10,FALSE),"")</f>
        <v/>
      </c>
    </row>
    <row r="4957" spans="18:23">
      <c r="R4957" s="127">
        <f t="shared" si="229"/>
        <v>0</v>
      </c>
      <c r="T4957" s="128">
        <f t="shared" si="230"/>
        <v>0</v>
      </c>
      <c r="U4957" s="129" t="str">
        <f>IFERROR(IF(#REF!="S",VLOOKUP('Raw Data'!A4957,References!#REF!,2,FALSE),(VLOOKUP($S4957,References!$B$3:$C$7,2,FALSE))),"")</f>
        <v/>
      </c>
      <c r="W4957" s="74" t="str">
        <f>IFERROR(VLOOKUP($O4957,'Customer List'!$A$1:$J$488,10,FALSE),"")</f>
        <v/>
      </c>
    </row>
    <row r="4958" spans="18:23">
      <c r="R4958" s="127">
        <f t="shared" si="229"/>
        <v>0</v>
      </c>
      <c r="T4958" s="128">
        <f t="shared" si="230"/>
        <v>0</v>
      </c>
      <c r="U4958" s="129" t="str">
        <f>IFERROR(IF(#REF!="S",VLOOKUP('Raw Data'!A4958,References!#REF!,2,FALSE),(VLOOKUP($S4958,References!$B$3:$C$7,2,FALSE))),"")</f>
        <v/>
      </c>
      <c r="W4958" s="74" t="str">
        <f>IFERROR(VLOOKUP($O4958,'Customer List'!$A$1:$J$488,10,FALSE),"")</f>
        <v/>
      </c>
    </row>
    <row r="4959" spans="18:23">
      <c r="R4959" s="127">
        <f t="shared" si="229"/>
        <v>0</v>
      </c>
      <c r="T4959" s="128">
        <f t="shared" si="230"/>
        <v>0</v>
      </c>
      <c r="U4959" s="129" t="str">
        <f>IFERROR(IF(#REF!="S",VLOOKUP('Raw Data'!A4959,References!#REF!,2,FALSE),(VLOOKUP($S4959,References!$B$3:$C$7,2,FALSE))),"")</f>
        <v/>
      </c>
      <c r="W4959" s="74" t="str">
        <f>IFERROR(VLOOKUP($O4959,'Customer List'!$A$1:$J$488,10,FALSE),"")</f>
        <v/>
      </c>
    </row>
    <row r="4960" spans="18:23">
      <c r="R4960" s="127">
        <f t="shared" si="229"/>
        <v>0</v>
      </c>
      <c r="T4960" s="128">
        <f t="shared" si="230"/>
        <v>0</v>
      </c>
      <c r="U4960" s="129" t="str">
        <f>IFERROR(IF(#REF!="S",VLOOKUP('Raw Data'!A4960,References!#REF!,2,FALSE),(VLOOKUP($S4960,References!$B$3:$C$7,2,FALSE))),"")</f>
        <v/>
      </c>
      <c r="W4960" s="74" t="str">
        <f>IFERROR(VLOOKUP($O4960,'Customer List'!$A$1:$J$488,10,FALSE),"")</f>
        <v/>
      </c>
    </row>
    <row r="4961" spans="18:23">
      <c r="R4961" s="127">
        <f t="shared" si="229"/>
        <v>0</v>
      </c>
      <c r="T4961" s="128">
        <f t="shared" si="230"/>
        <v>0</v>
      </c>
      <c r="U4961" s="129" t="str">
        <f>IFERROR(IF(#REF!="S",VLOOKUP('Raw Data'!A4961,References!#REF!,2,FALSE),(VLOOKUP($S4961,References!$B$3:$C$7,2,FALSE))),"")</f>
        <v/>
      </c>
      <c r="W4961" s="74" t="str">
        <f>IFERROR(VLOOKUP($O4961,'Customer List'!$A$1:$J$488,10,FALSE),"")</f>
        <v/>
      </c>
    </row>
    <row r="4962" spans="18:23">
      <c r="R4962" s="127">
        <f t="shared" ref="R4962:R5025" si="231">L4962-K4962</f>
        <v>0</v>
      </c>
      <c r="T4962" s="128">
        <f t="shared" si="230"/>
        <v>0</v>
      </c>
      <c r="U4962" s="129" t="str">
        <f>IFERROR(IF(#REF!="S",VLOOKUP('Raw Data'!A4962,References!#REF!,2,FALSE),(VLOOKUP($S4962,References!$B$3:$C$7,2,FALSE))),"")</f>
        <v/>
      </c>
      <c r="W4962" s="74" t="str">
        <f>IFERROR(VLOOKUP($O4962,'Customer List'!$A$1:$J$488,10,FALSE),"")</f>
        <v/>
      </c>
    </row>
    <row r="4963" spans="18:23">
      <c r="R4963" s="127">
        <f t="shared" si="231"/>
        <v>0</v>
      </c>
      <c r="T4963" s="128">
        <f t="shared" si="230"/>
        <v>0</v>
      </c>
      <c r="U4963" s="129" t="str">
        <f>IFERROR(IF(#REF!="S",VLOOKUP('Raw Data'!A4963,References!#REF!,2,FALSE),(VLOOKUP($S4963,References!$B$3:$C$7,2,FALSE))),"")</f>
        <v/>
      </c>
      <c r="W4963" s="74" t="str">
        <f>IFERROR(VLOOKUP($O4963,'Customer List'!$A$1:$J$488,10,FALSE),"")</f>
        <v/>
      </c>
    </row>
    <row r="4964" spans="18:23">
      <c r="R4964" s="127">
        <f t="shared" si="231"/>
        <v>0</v>
      </c>
      <c r="T4964" s="128">
        <f t="shared" si="230"/>
        <v>0</v>
      </c>
      <c r="U4964" s="129" t="str">
        <f>IFERROR(IF(#REF!="S",VLOOKUP('Raw Data'!A4964,References!#REF!,2,FALSE),(VLOOKUP($S4964,References!$B$3:$C$7,2,FALSE))),"")</f>
        <v/>
      </c>
      <c r="W4964" s="74" t="str">
        <f>IFERROR(VLOOKUP($O4964,'Customer List'!$A$1:$J$488,10,FALSE),"")</f>
        <v/>
      </c>
    </row>
    <row r="4965" spans="18:23">
      <c r="R4965" s="127">
        <f t="shared" si="231"/>
        <v>0</v>
      </c>
      <c r="T4965" s="128">
        <f t="shared" si="230"/>
        <v>0</v>
      </c>
      <c r="U4965" s="129" t="str">
        <f>IFERROR(IF(#REF!="S",VLOOKUP('Raw Data'!A4965,References!#REF!,2,FALSE),(VLOOKUP($S4965,References!$B$3:$C$7,2,FALSE))),"")</f>
        <v/>
      </c>
      <c r="W4965" s="74" t="str">
        <f>IFERROR(VLOOKUP($O4965,'Customer List'!$A$1:$J$488,10,FALSE),"")</f>
        <v/>
      </c>
    </row>
    <row r="4966" spans="18:23">
      <c r="R4966" s="127">
        <f t="shared" si="231"/>
        <v>0</v>
      </c>
      <c r="T4966" s="128">
        <f t="shared" si="230"/>
        <v>0</v>
      </c>
      <c r="U4966" s="129" t="str">
        <f>IFERROR(IF(#REF!="S",VLOOKUP('Raw Data'!A4966,References!#REF!,2,FALSE),(VLOOKUP($S4966,References!$B$3:$C$7,2,FALSE))),"")</f>
        <v/>
      </c>
      <c r="W4966" s="74" t="str">
        <f>IFERROR(VLOOKUP($O4966,'Customer List'!$A$1:$J$488,10,FALSE),"")</f>
        <v/>
      </c>
    </row>
    <row r="4967" spans="18:23">
      <c r="R4967" s="127">
        <f t="shared" si="231"/>
        <v>0</v>
      </c>
      <c r="T4967" s="128">
        <f t="shared" si="230"/>
        <v>0</v>
      </c>
      <c r="U4967" s="129" t="str">
        <f>IFERROR(IF(#REF!="S",VLOOKUP('Raw Data'!A4967,References!#REF!,2,FALSE),(VLOOKUP($S4967,References!$B$3:$C$7,2,FALSE))),"")</f>
        <v/>
      </c>
      <c r="W4967" s="74" t="str">
        <f>IFERROR(VLOOKUP($O4967,'Customer List'!$A$1:$J$488,10,FALSE),"")</f>
        <v/>
      </c>
    </row>
    <row r="4968" spans="18:23">
      <c r="R4968" s="127">
        <f t="shared" si="231"/>
        <v>0</v>
      </c>
      <c r="T4968" s="128">
        <f t="shared" si="230"/>
        <v>0</v>
      </c>
      <c r="U4968" s="129" t="str">
        <f>IFERROR(IF(#REF!="S",VLOOKUP('Raw Data'!A4968,References!#REF!,2,FALSE),(VLOOKUP($S4968,References!$B$3:$C$7,2,FALSE))),"")</f>
        <v/>
      </c>
      <c r="W4968" s="74" t="str">
        <f>IFERROR(VLOOKUP($O4968,'Customer List'!$A$1:$J$488,10,FALSE),"")</f>
        <v/>
      </c>
    </row>
    <row r="4969" spans="18:23">
      <c r="R4969" s="127">
        <f t="shared" si="231"/>
        <v>0</v>
      </c>
      <c r="T4969" s="128">
        <f t="shared" si="230"/>
        <v>0</v>
      </c>
      <c r="U4969" s="129" t="str">
        <f>IFERROR(IF(#REF!="S",VLOOKUP('Raw Data'!A4969,References!#REF!,2,FALSE),(VLOOKUP($S4969,References!$B$3:$C$7,2,FALSE))),"")</f>
        <v/>
      </c>
      <c r="W4969" s="74" t="str">
        <f>IFERROR(VLOOKUP($O4969,'Customer List'!$A$1:$J$488,10,FALSE),"")</f>
        <v/>
      </c>
    </row>
    <row r="4970" spans="18:23">
      <c r="R4970" s="127">
        <f t="shared" si="231"/>
        <v>0</v>
      </c>
      <c r="T4970" s="128">
        <f t="shared" si="230"/>
        <v>0</v>
      </c>
      <c r="U4970" s="129" t="str">
        <f>IFERROR(IF(#REF!="S",VLOOKUP('Raw Data'!A4970,References!#REF!,2,FALSE),(VLOOKUP($S4970,References!$B$3:$C$7,2,FALSE))),"")</f>
        <v/>
      </c>
      <c r="W4970" s="74" t="str">
        <f>IFERROR(VLOOKUP($O4970,'Customer List'!$A$1:$J$488,10,FALSE),"")</f>
        <v/>
      </c>
    </row>
    <row r="4971" spans="18:23">
      <c r="R4971" s="127">
        <f t="shared" si="231"/>
        <v>0</v>
      </c>
      <c r="T4971" s="128">
        <f t="shared" si="230"/>
        <v>0</v>
      </c>
      <c r="U4971" s="129" t="str">
        <f>IFERROR(IF(#REF!="S",VLOOKUP('Raw Data'!A4971,References!#REF!,2,FALSE),(VLOOKUP($S4971,References!$B$3:$C$7,2,FALSE))),"")</f>
        <v/>
      </c>
      <c r="W4971" s="74" t="str">
        <f>IFERROR(VLOOKUP($O4971,'Customer List'!$A$1:$J$488,10,FALSE),"")</f>
        <v/>
      </c>
    </row>
    <row r="4972" spans="18:23">
      <c r="R4972" s="127">
        <f t="shared" si="231"/>
        <v>0</v>
      </c>
      <c r="T4972" s="128">
        <f t="shared" si="230"/>
        <v>0</v>
      </c>
      <c r="U4972" s="129" t="str">
        <f>IFERROR(IF(#REF!="S",VLOOKUP('Raw Data'!A4972,References!#REF!,2,FALSE),(VLOOKUP($S4972,References!$B$3:$C$7,2,FALSE))),"")</f>
        <v/>
      </c>
      <c r="W4972" s="74" t="str">
        <f>IFERROR(VLOOKUP($O4972,'Customer List'!$A$1:$J$488,10,FALSE),"")</f>
        <v/>
      </c>
    </row>
    <row r="4973" spans="18:23">
      <c r="R4973" s="127">
        <f t="shared" si="231"/>
        <v>0</v>
      </c>
      <c r="T4973" s="128">
        <f t="shared" si="230"/>
        <v>0</v>
      </c>
      <c r="U4973" s="129" t="str">
        <f>IFERROR(IF(#REF!="S",VLOOKUP('Raw Data'!A4973,References!#REF!,2,FALSE),(VLOOKUP($S4973,References!$B$3:$C$7,2,FALSE))),"")</f>
        <v/>
      </c>
      <c r="W4973" s="74" t="str">
        <f>IFERROR(VLOOKUP($O4973,'Customer List'!$A$1:$J$488,10,FALSE),"")</f>
        <v/>
      </c>
    </row>
    <row r="4974" spans="18:23">
      <c r="R4974" s="127">
        <f t="shared" si="231"/>
        <v>0</v>
      </c>
      <c r="T4974" s="128">
        <f t="shared" si="230"/>
        <v>0</v>
      </c>
      <c r="U4974" s="129" t="str">
        <f>IFERROR(IF(#REF!="S",VLOOKUP('Raw Data'!A4974,References!#REF!,2,FALSE),(VLOOKUP($S4974,References!$B$3:$C$7,2,FALSE))),"")</f>
        <v/>
      </c>
      <c r="W4974" s="74" t="str">
        <f>IFERROR(VLOOKUP($O4974,'Customer List'!$A$1:$J$488,10,FALSE),"")</f>
        <v/>
      </c>
    </row>
    <row r="4975" spans="18:23">
      <c r="R4975" s="127">
        <f t="shared" si="231"/>
        <v>0</v>
      </c>
      <c r="T4975" s="128">
        <f t="shared" si="230"/>
        <v>0</v>
      </c>
      <c r="U4975" s="129" t="str">
        <f>IFERROR(IF(#REF!="S",VLOOKUP('Raw Data'!A4975,References!#REF!,2,FALSE),(VLOOKUP($S4975,References!$B$3:$C$7,2,FALSE))),"")</f>
        <v/>
      </c>
      <c r="W4975" s="74" t="str">
        <f>IFERROR(VLOOKUP($O4975,'Customer List'!$A$1:$J$488,10,FALSE),"")</f>
        <v/>
      </c>
    </row>
    <row r="4976" spans="18:23">
      <c r="R4976" s="127">
        <f t="shared" si="231"/>
        <v>0</v>
      </c>
      <c r="T4976" s="128">
        <f t="shared" si="230"/>
        <v>0</v>
      </c>
      <c r="U4976" s="129" t="str">
        <f>IFERROR(IF(#REF!="S",VLOOKUP('Raw Data'!A4976,References!#REF!,2,FALSE),(VLOOKUP($S4976,References!$B$3:$C$7,2,FALSE))),"")</f>
        <v/>
      </c>
      <c r="W4976" s="74" t="str">
        <f>IFERROR(VLOOKUP($O4976,'Customer List'!$A$1:$J$488,10,FALSE),"")</f>
        <v/>
      </c>
    </row>
    <row r="4977" spans="18:23">
      <c r="R4977" s="127">
        <f t="shared" si="231"/>
        <v>0</v>
      </c>
      <c r="T4977" s="128">
        <f t="shared" si="230"/>
        <v>0</v>
      </c>
      <c r="U4977" s="129" t="str">
        <f>IFERROR(IF(#REF!="S",VLOOKUP('Raw Data'!A4977,References!#REF!,2,FALSE),(VLOOKUP($S4977,References!$B$3:$C$7,2,FALSE))),"")</f>
        <v/>
      </c>
      <c r="W4977" s="74" t="str">
        <f>IFERROR(VLOOKUP($O4977,'Customer List'!$A$1:$J$488,10,FALSE),"")</f>
        <v/>
      </c>
    </row>
    <row r="4978" spans="18:23">
      <c r="R4978" s="127">
        <f t="shared" si="231"/>
        <v>0</v>
      </c>
      <c r="T4978" s="128">
        <f t="shared" si="230"/>
        <v>0</v>
      </c>
      <c r="U4978" s="129" t="str">
        <f>IFERROR(IF(#REF!="S",VLOOKUP('Raw Data'!A4978,References!#REF!,2,FALSE),(VLOOKUP($S4978,References!$B$3:$C$7,2,FALSE))),"")</f>
        <v/>
      </c>
      <c r="W4978" s="74" t="str">
        <f>IFERROR(VLOOKUP($O4978,'Customer List'!$A$1:$J$488,10,FALSE),"")</f>
        <v/>
      </c>
    </row>
    <row r="4979" spans="18:23">
      <c r="R4979" s="127">
        <f t="shared" si="231"/>
        <v>0</v>
      </c>
      <c r="T4979" s="128">
        <f t="shared" si="230"/>
        <v>0</v>
      </c>
      <c r="U4979" s="129" t="str">
        <f>IFERROR(IF(#REF!="S",VLOOKUP('Raw Data'!A4979,References!#REF!,2,FALSE),(VLOOKUP($S4979,References!$B$3:$C$7,2,FALSE))),"")</f>
        <v/>
      </c>
      <c r="W4979" s="74" t="str">
        <f>IFERROR(VLOOKUP($O4979,'Customer List'!$A$1:$J$488,10,FALSE),"")</f>
        <v/>
      </c>
    </row>
    <row r="4980" spans="18:23">
      <c r="R4980" s="127">
        <f t="shared" si="231"/>
        <v>0</v>
      </c>
      <c r="T4980" s="128">
        <f t="shared" si="230"/>
        <v>0</v>
      </c>
      <c r="U4980" s="129" t="str">
        <f>IFERROR(IF(#REF!="S",VLOOKUP('Raw Data'!A4980,References!#REF!,2,FALSE),(VLOOKUP($S4980,References!$B$3:$C$7,2,FALSE))),"")</f>
        <v/>
      </c>
      <c r="W4980" s="74" t="str">
        <f>IFERROR(VLOOKUP($O4980,'Customer List'!$A$1:$J$488,10,FALSE),"")</f>
        <v/>
      </c>
    </row>
    <row r="4981" spans="18:23">
      <c r="R4981" s="127">
        <f t="shared" si="231"/>
        <v>0</v>
      </c>
      <c r="T4981" s="128">
        <f t="shared" si="230"/>
        <v>0</v>
      </c>
      <c r="U4981" s="129" t="str">
        <f>IFERROR(IF(#REF!="S",VLOOKUP('Raw Data'!A4981,References!#REF!,2,FALSE),(VLOOKUP($S4981,References!$B$3:$C$7,2,FALSE))),"")</f>
        <v/>
      </c>
      <c r="W4981" s="74" t="str">
        <f>IFERROR(VLOOKUP($O4981,'Customer List'!$A$1:$J$488,10,FALSE),"")</f>
        <v/>
      </c>
    </row>
    <row r="4982" spans="18:23">
      <c r="R4982" s="127">
        <f t="shared" si="231"/>
        <v>0</v>
      </c>
      <c r="T4982" s="128">
        <f t="shared" si="230"/>
        <v>0</v>
      </c>
      <c r="U4982" s="129" t="str">
        <f>IFERROR(IF(#REF!="S",VLOOKUP('Raw Data'!A4982,References!#REF!,2,FALSE),(VLOOKUP($S4982,References!$B$3:$C$7,2,FALSE))),"")</f>
        <v/>
      </c>
      <c r="W4982" s="74" t="str">
        <f>IFERROR(VLOOKUP($O4982,'Customer List'!$A$1:$J$488,10,FALSE),"")</f>
        <v/>
      </c>
    </row>
    <row r="4983" spans="18:23">
      <c r="R4983" s="127">
        <f t="shared" si="231"/>
        <v>0</v>
      </c>
      <c r="T4983" s="128">
        <f t="shared" si="230"/>
        <v>0</v>
      </c>
      <c r="U4983" s="129" t="str">
        <f>IFERROR(IF(#REF!="S",VLOOKUP('Raw Data'!A4983,References!#REF!,2,FALSE),(VLOOKUP($S4983,References!$B$3:$C$7,2,FALSE))),"")</f>
        <v/>
      </c>
      <c r="W4983" s="74" t="str">
        <f>IFERROR(VLOOKUP($O4983,'Customer List'!$A$1:$J$488,10,FALSE),"")</f>
        <v/>
      </c>
    </row>
    <row r="4984" spans="18:23">
      <c r="R4984" s="127">
        <f t="shared" si="231"/>
        <v>0</v>
      </c>
      <c r="T4984" s="128">
        <f t="shared" si="230"/>
        <v>0</v>
      </c>
      <c r="U4984" s="129" t="str">
        <f>IFERROR(IF(#REF!="S",VLOOKUP('Raw Data'!A4984,References!#REF!,2,FALSE),(VLOOKUP($S4984,References!$B$3:$C$7,2,FALSE))),"")</f>
        <v/>
      </c>
      <c r="W4984" s="74" t="str">
        <f>IFERROR(VLOOKUP($O4984,'Customer List'!$A$1:$J$488,10,FALSE),"")</f>
        <v/>
      </c>
    </row>
    <row r="4985" spans="18:23">
      <c r="R4985" s="127">
        <f t="shared" si="231"/>
        <v>0</v>
      </c>
      <c r="T4985" s="128">
        <f t="shared" si="230"/>
        <v>0</v>
      </c>
      <c r="U4985" s="129" t="str">
        <f>IFERROR(IF(#REF!="S",VLOOKUP('Raw Data'!A4985,References!#REF!,2,FALSE),(VLOOKUP($S4985,References!$B$3:$C$7,2,FALSE))),"")</f>
        <v/>
      </c>
      <c r="W4985" s="74" t="str">
        <f>IFERROR(VLOOKUP($O4985,'Customer List'!$A$1:$J$488,10,FALSE),"")</f>
        <v/>
      </c>
    </row>
    <row r="4986" spans="18:23">
      <c r="R4986" s="127">
        <f t="shared" si="231"/>
        <v>0</v>
      </c>
      <c r="T4986" s="128">
        <f t="shared" si="230"/>
        <v>0</v>
      </c>
      <c r="U4986" s="129" t="str">
        <f>IFERROR(IF(#REF!="S",VLOOKUP('Raw Data'!A4986,References!#REF!,2,FALSE),(VLOOKUP($S4986,References!$B$3:$C$7,2,FALSE))),"")</f>
        <v/>
      </c>
      <c r="W4986" s="74" t="str">
        <f>IFERROR(VLOOKUP($O4986,'Customer List'!$A$1:$J$488,10,FALSE),"")</f>
        <v/>
      </c>
    </row>
    <row r="4987" spans="18:23">
      <c r="R4987" s="127">
        <f t="shared" si="231"/>
        <v>0</v>
      </c>
      <c r="T4987" s="128">
        <f t="shared" si="230"/>
        <v>0</v>
      </c>
      <c r="U4987" s="129" t="str">
        <f>IFERROR(IF(#REF!="S",VLOOKUP('Raw Data'!A4987,References!#REF!,2,FALSE),(VLOOKUP($S4987,References!$B$3:$C$7,2,FALSE))),"")</f>
        <v/>
      </c>
      <c r="W4987" s="74" t="str">
        <f>IFERROR(VLOOKUP($O4987,'Customer List'!$A$1:$J$488,10,FALSE),"")</f>
        <v/>
      </c>
    </row>
    <row r="4988" spans="18:23">
      <c r="R4988" s="127">
        <f t="shared" si="231"/>
        <v>0</v>
      </c>
      <c r="T4988" s="128">
        <f t="shared" si="230"/>
        <v>0</v>
      </c>
      <c r="U4988" s="129" t="str">
        <f>IFERROR(IF(#REF!="S",VLOOKUP('Raw Data'!A4988,References!#REF!,2,FALSE),(VLOOKUP($S4988,References!$B$3:$C$7,2,FALSE))),"")</f>
        <v/>
      </c>
      <c r="W4988" s="74" t="str">
        <f>IFERROR(VLOOKUP($O4988,'Customer List'!$A$1:$J$488,10,FALSE),"")</f>
        <v/>
      </c>
    </row>
    <row r="4989" spans="18:23">
      <c r="R4989" s="127">
        <f t="shared" si="231"/>
        <v>0</v>
      </c>
      <c r="T4989" s="128">
        <f t="shared" si="230"/>
        <v>0</v>
      </c>
      <c r="U4989" s="129" t="str">
        <f>IFERROR(IF(#REF!="S",VLOOKUP('Raw Data'!A4989,References!#REF!,2,FALSE),(VLOOKUP($S4989,References!$B$3:$C$7,2,FALSE))),"")</f>
        <v/>
      </c>
      <c r="W4989" s="74" t="str">
        <f>IFERROR(VLOOKUP($O4989,'Customer List'!$A$1:$J$488,10,FALSE),"")</f>
        <v/>
      </c>
    </row>
    <row r="4990" spans="18:23">
      <c r="R4990" s="127">
        <f t="shared" si="231"/>
        <v>0</v>
      </c>
      <c r="T4990" s="128">
        <f t="shared" si="230"/>
        <v>0</v>
      </c>
      <c r="U4990" s="129" t="str">
        <f>IFERROR(IF(#REF!="S",VLOOKUP('Raw Data'!A4990,References!#REF!,2,FALSE),(VLOOKUP($S4990,References!$B$3:$C$7,2,FALSE))),"")</f>
        <v/>
      </c>
      <c r="W4990" s="74" t="str">
        <f>IFERROR(VLOOKUP($O4990,'Customer List'!$A$1:$J$488,10,FALSE),"")</f>
        <v/>
      </c>
    </row>
    <row r="4991" spans="18:23">
      <c r="R4991" s="127">
        <f t="shared" si="231"/>
        <v>0</v>
      </c>
      <c r="T4991" s="128">
        <f t="shared" si="230"/>
        <v>0</v>
      </c>
      <c r="U4991" s="129" t="str">
        <f>IFERROR(IF(#REF!="S",VLOOKUP('Raw Data'!A4991,References!#REF!,2,FALSE),(VLOOKUP($S4991,References!$B$3:$C$7,2,FALSE))),"")</f>
        <v/>
      </c>
      <c r="W4991" s="74" t="str">
        <f>IFERROR(VLOOKUP($O4991,'Customer List'!$A$1:$J$488,10,FALSE),"")</f>
        <v/>
      </c>
    </row>
    <row r="4992" spans="18:23">
      <c r="R4992" s="127">
        <f t="shared" si="231"/>
        <v>0</v>
      </c>
      <c r="T4992" s="128">
        <f t="shared" si="230"/>
        <v>0</v>
      </c>
      <c r="U4992" s="129" t="str">
        <f>IFERROR(IF(#REF!="S",VLOOKUP('Raw Data'!A4992,References!#REF!,2,FALSE),(VLOOKUP($S4992,References!$B$3:$C$7,2,FALSE))),"")</f>
        <v/>
      </c>
      <c r="W4992" s="74" t="str">
        <f>IFERROR(VLOOKUP($O4992,'Customer List'!$A$1:$J$488,10,FALSE),"")</f>
        <v/>
      </c>
    </row>
    <row r="4993" spans="18:23">
      <c r="R4993" s="127">
        <f t="shared" si="231"/>
        <v>0</v>
      </c>
      <c r="T4993" s="128">
        <f t="shared" si="230"/>
        <v>0</v>
      </c>
      <c r="U4993" s="129" t="str">
        <f>IFERROR(IF(#REF!="S",VLOOKUP('Raw Data'!A4993,References!#REF!,2,FALSE),(VLOOKUP($S4993,References!$B$3:$C$7,2,FALSE))),"")</f>
        <v/>
      </c>
      <c r="W4993" s="74" t="str">
        <f>IFERROR(VLOOKUP($O4993,'Customer List'!$A$1:$J$488,10,FALSE),"")</f>
        <v/>
      </c>
    </row>
    <row r="4994" spans="18:23">
      <c r="R4994" s="127">
        <f t="shared" si="231"/>
        <v>0</v>
      </c>
      <c r="T4994" s="128">
        <f t="shared" si="230"/>
        <v>0</v>
      </c>
      <c r="U4994" s="129" t="str">
        <f>IFERROR(IF(#REF!="S",VLOOKUP('Raw Data'!A4994,References!#REF!,2,FALSE),(VLOOKUP($S4994,References!$B$3:$C$7,2,FALSE))),"")</f>
        <v/>
      </c>
      <c r="W4994" s="74" t="str">
        <f>IFERROR(VLOOKUP($O4994,'Customer List'!$A$1:$J$488,10,FALSE),"")</f>
        <v/>
      </c>
    </row>
    <row r="4995" spans="18:23">
      <c r="R4995" s="127">
        <f t="shared" si="231"/>
        <v>0</v>
      </c>
      <c r="T4995" s="128">
        <f t="shared" si="230"/>
        <v>0</v>
      </c>
      <c r="U4995" s="129" t="str">
        <f>IFERROR(IF(#REF!="S",VLOOKUP('Raw Data'!A4995,References!#REF!,2,FALSE),(VLOOKUP($S4995,References!$B$3:$C$7,2,FALSE))),"")</f>
        <v/>
      </c>
      <c r="W4995" s="74" t="str">
        <f>IFERROR(VLOOKUP($O4995,'Customer List'!$A$1:$J$488,10,FALSE),"")</f>
        <v/>
      </c>
    </row>
    <row r="4996" spans="18:23">
      <c r="R4996" s="127">
        <f t="shared" si="231"/>
        <v>0</v>
      </c>
      <c r="T4996" s="128">
        <f t="shared" si="230"/>
        <v>0</v>
      </c>
      <c r="U4996" s="129" t="str">
        <f>IFERROR(IF(#REF!="S",VLOOKUP('Raw Data'!A4996,References!#REF!,2,FALSE),(VLOOKUP($S4996,References!$B$3:$C$7,2,FALSE))),"")</f>
        <v/>
      </c>
      <c r="W4996" s="74" t="str">
        <f>IFERROR(VLOOKUP($O4996,'Customer List'!$A$1:$J$488,10,FALSE),"")</f>
        <v/>
      </c>
    </row>
    <row r="4997" spans="18:23">
      <c r="R4997" s="127">
        <f t="shared" si="231"/>
        <v>0</v>
      </c>
      <c r="T4997" s="128">
        <f t="shared" si="230"/>
        <v>0</v>
      </c>
      <c r="U4997" s="129" t="str">
        <f>IFERROR(IF(#REF!="S",VLOOKUP('Raw Data'!A4997,References!#REF!,2,FALSE),(VLOOKUP($S4997,References!$B$3:$C$7,2,FALSE))),"")</f>
        <v/>
      </c>
      <c r="W4997" s="74" t="str">
        <f>IFERROR(VLOOKUP($O4997,'Customer List'!$A$1:$J$488,10,FALSE),"")</f>
        <v/>
      </c>
    </row>
    <row r="4998" spans="18:23">
      <c r="R4998" s="127">
        <f t="shared" si="231"/>
        <v>0</v>
      </c>
      <c r="T4998" s="128">
        <f t="shared" si="230"/>
        <v>0</v>
      </c>
      <c r="U4998" s="129" t="str">
        <f>IFERROR(IF(#REF!="S",VLOOKUP('Raw Data'!A4998,References!#REF!,2,FALSE),(VLOOKUP($S4998,References!$B$3:$C$7,2,FALSE))),"")</f>
        <v/>
      </c>
      <c r="W4998" s="74" t="str">
        <f>IFERROR(VLOOKUP($O4998,'Customer List'!$A$1:$J$488,10,FALSE),"")</f>
        <v/>
      </c>
    </row>
    <row r="4999" spans="18:23">
      <c r="R4999" s="127">
        <f t="shared" si="231"/>
        <v>0</v>
      </c>
      <c r="T4999" s="128">
        <f t="shared" si="230"/>
        <v>0</v>
      </c>
      <c r="U4999" s="129" t="str">
        <f>IFERROR(IF(#REF!="S",VLOOKUP('Raw Data'!A4999,References!#REF!,2,FALSE),(VLOOKUP($S4999,References!$B$3:$C$7,2,FALSE))),"")</f>
        <v/>
      </c>
      <c r="W4999" s="74" t="str">
        <f>IFERROR(VLOOKUP($O4999,'Customer List'!$A$1:$J$488,10,FALSE),"")</f>
        <v/>
      </c>
    </row>
    <row r="5000" spans="18:23">
      <c r="R5000" s="127">
        <f t="shared" si="231"/>
        <v>0</v>
      </c>
      <c r="T5000" s="128">
        <f t="shared" si="230"/>
        <v>0</v>
      </c>
      <c r="U5000" s="129" t="str">
        <f>IFERROR(IF(#REF!="S",VLOOKUP('Raw Data'!A5000,References!#REF!,2,FALSE),(VLOOKUP($S5000,References!$B$3:$C$7,2,FALSE))),"")</f>
        <v/>
      </c>
      <c r="W5000" s="74" t="str">
        <f>IFERROR(VLOOKUP($O5000,'Customer List'!$A$1:$J$488,10,FALSE),"")</f>
        <v/>
      </c>
    </row>
    <row r="5001" spans="18:23">
      <c r="R5001" s="127">
        <f t="shared" si="231"/>
        <v>0</v>
      </c>
      <c r="T5001" s="128">
        <f t="shared" si="230"/>
        <v>0</v>
      </c>
      <c r="U5001" s="129" t="str">
        <f>IFERROR(IF(#REF!="S",VLOOKUP('Raw Data'!A5001,References!#REF!,2,FALSE),(VLOOKUP($S5001,References!$B$3:$C$7,2,FALSE))),"")</f>
        <v/>
      </c>
      <c r="W5001" s="74" t="str">
        <f>IFERROR(VLOOKUP($O5001,'Customer List'!$A$1:$J$488,10,FALSE),"")</f>
        <v/>
      </c>
    </row>
    <row r="5002" spans="18:23">
      <c r="R5002" s="127">
        <f t="shared" si="231"/>
        <v>0</v>
      </c>
      <c r="T5002" s="128">
        <f t="shared" ref="T5002:T5065" si="232">IF(S5002="50 - Cleaning Fee",1,HOUR($R5002)+MINUTE(R5002)/60)</f>
        <v>0</v>
      </c>
      <c r="U5002" s="129" t="str">
        <f>IFERROR(IF(#REF!="S",VLOOKUP('Raw Data'!A5002,References!#REF!,2,FALSE),(VLOOKUP($S5002,References!$B$3:$C$7,2,FALSE))),"")</f>
        <v/>
      </c>
      <c r="W5002" s="74" t="str">
        <f>IFERROR(VLOOKUP($O5002,'Customer List'!$A$1:$J$488,10,FALSE),"")</f>
        <v/>
      </c>
    </row>
    <row r="5003" spans="18:23">
      <c r="R5003" s="127">
        <f t="shared" si="231"/>
        <v>0</v>
      </c>
      <c r="T5003" s="128">
        <f t="shared" si="232"/>
        <v>0</v>
      </c>
      <c r="U5003" s="129" t="str">
        <f>IFERROR(IF(#REF!="S",VLOOKUP('Raw Data'!A5003,References!#REF!,2,FALSE),(VLOOKUP($S5003,References!$B$3:$C$7,2,FALSE))),"")</f>
        <v/>
      </c>
      <c r="W5003" s="74" t="str">
        <f>IFERROR(VLOOKUP($O5003,'Customer List'!$A$1:$J$488,10,FALSE),"")</f>
        <v/>
      </c>
    </row>
    <row r="5004" spans="18:23">
      <c r="R5004" s="127">
        <f t="shared" si="231"/>
        <v>0</v>
      </c>
      <c r="T5004" s="128">
        <f t="shared" si="232"/>
        <v>0</v>
      </c>
      <c r="U5004" s="129" t="str">
        <f>IFERROR(IF(#REF!="S",VLOOKUP('Raw Data'!A5004,References!#REF!,2,FALSE),(VLOOKUP($S5004,References!$B$3:$C$7,2,FALSE))),"")</f>
        <v/>
      </c>
      <c r="W5004" s="74" t="str">
        <f>IFERROR(VLOOKUP($O5004,'Customer List'!$A$1:$J$488,10,FALSE),"")</f>
        <v/>
      </c>
    </row>
    <row r="5005" spans="18:23">
      <c r="R5005" s="127">
        <f t="shared" si="231"/>
        <v>0</v>
      </c>
      <c r="T5005" s="128">
        <f t="shared" si="232"/>
        <v>0</v>
      </c>
      <c r="U5005" s="129" t="str">
        <f>IFERROR(IF(#REF!="S",VLOOKUP('Raw Data'!A5005,References!#REF!,2,FALSE),(VLOOKUP($S5005,References!$B$3:$C$7,2,FALSE))),"")</f>
        <v/>
      </c>
      <c r="W5005" s="74" t="str">
        <f>IFERROR(VLOOKUP($O5005,'Customer List'!$A$1:$J$488,10,FALSE),"")</f>
        <v/>
      </c>
    </row>
    <row r="5006" spans="18:23">
      <c r="R5006" s="127">
        <f t="shared" si="231"/>
        <v>0</v>
      </c>
      <c r="T5006" s="128">
        <f t="shared" si="232"/>
        <v>0</v>
      </c>
      <c r="U5006" s="129" t="str">
        <f>IFERROR(IF(#REF!="S",VLOOKUP('Raw Data'!A5006,References!#REF!,2,FALSE),(VLOOKUP($S5006,References!$B$3:$C$7,2,FALSE))),"")</f>
        <v/>
      </c>
      <c r="W5006" s="74" t="str">
        <f>IFERROR(VLOOKUP($O5006,'Customer List'!$A$1:$J$488,10,FALSE),"")</f>
        <v/>
      </c>
    </row>
    <row r="5007" spans="18:23">
      <c r="R5007" s="127">
        <f t="shared" si="231"/>
        <v>0</v>
      </c>
      <c r="T5007" s="128">
        <f t="shared" si="232"/>
        <v>0</v>
      </c>
      <c r="U5007" s="129" t="str">
        <f>IFERROR(IF(#REF!="S",VLOOKUP('Raw Data'!A5007,References!#REF!,2,FALSE),(VLOOKUP($S5007,References!$B$3:$C$7,2,FALSE))),"")</f>
        <v/>
      </c>
      <c r="W5007" s="74" t="str">
        <f>IFERROR(VLOOKUP($O5007,'Customer List'!$A$1:$J$488,10,FALSE),"")</f>
        <v/>
      </c>
    </row>
    <row r="5008" spans="18:23">
      <c r="R5008" s="127">
        <f t="shared" si="231"/>
        <v>0</v>
      </c>
      <c r="T5008" s="128">
        <f t="shared" si="232"/>
        <v>0</v>
      </c>
      <c r="U5008" s="129" t="str">
        <f>IFERROR(IF(#REF!="S",VLOOKUP('Raw Data'!A5008,References!#REF!,2,FALSE),(VLOOKUP($S5008,References!$B$3:$C$7,2,FALSE))),"")</f>
        <v/>
      </c>
      <c r="W5008" s="74" t="str">
        <f>IFERROR(VLOOKUP($O5008,'Customer List'!$A$1:$J$488,10,FALSE),"")</f>
        <v/>
      </c>
    </row>
    <row r="5009" spans="18:23">
      <c r="R5009" s="127">
        <f t="shared" si="231"/>
        <v>0</v>
      </c>
      <c r="T5009" s="128">
        <f t="shared" si="232"/>
        <v>0</v>
      </c>
      <c r="U5009" s="129" t="str">
        <f>IFERROR(IF(#REF!="S",VLOOKUP('Raw Data'!A5009,References!#REF!,2,FALSE),(VLOOKUP($S5009,References!$B$3:$C$7,2,FALSE))),"")</f>
        <v/>
      </c>
      <c r="W5009" s="74" t="str">
        <f>IFERROR(VLOOKUP($O5009,'Customer List'!$A$1:$J$488,10,FALSE),"")</f>
        <v/>
      </c>
    </row>
    <row r="5010" spans="18:23">
      <c r="R5010" s="127">
        <f t="shared" si="231"/>
        <v>0</v>
      </c>
      <c r="T5010" s="128">
        <f t="shared" si="232"/>
        <v>0</v>
      </c>
      <c r="U5010" s="129" t="str">
        <f>IFERROR(IF(#REF!="S",VLOOKUP('Raw Data'!A5010,References!#REF!,2,FALSE),(VLOOKUP($S5010,References!$B$3:$C$7,2,FALSE))),"")</f>
        <v/>
      </c>
      <c r="W5010" s="74" t="str">
        <f>IFERROR(VLOOKUP($O5010,'Customer List'!$A$1:$J$488,10,FALSE),"")</f>
        <v/>
      </c>
    </row>
    <row r="5011" spans="18:23">
      <c r="R5011" s="127">
        <f t="shared" si="231"/>
        <v>0</v>
      </c>
      <c r="T5011" s="128">
        <f t="shared" si="232"/>
        <v>0</v>
      </c>
      <c r="U5011" s="129" t="str">
        <f>IFERROR(IF(#REF!="S",VLOOKUP('Raw Data'!A5011,References!#REF!,2,FALSE),(VLOOKUP($S5011,References!$B$3:$C$7,2,FALSE))),"")</f>
        <v/>
      </c>
      <c r="W5011" s="74" t="str">
        <f>IFERROR(VLOOKUP($O5011,'Customer List'!$A$1:$J$488,10,FALSE),"")</f>
        <v/>
      </c>
    </row>
    <row r="5012" spans="18:23">
      <c r="R5012" s="127">
        <f t="shared" si="231"/>
        <v>0</v>
      </c>
      <c r="T5012" s="128">
        <f t="shared" si="232"/>
        <v>0</v>
      </c>
      <c r="U5012" s="129" t="str">
        <f>IFERROR(IF(#REF!="S",VLOOKUP('Raw Data'!A5012,References!#REF!,2,FALSE),(VLOOKUP($S5012,References!$B$3:$C$7,2,FALSE))),"")</f>
        <v/>
      </c>
      <c r="W5012" s="74" t="str">
        <f>IFERROR(VLOOKUP($O5012,'Customer List'!$A$1:$J$488,10,FALSE),"")</f>
        <v/>
      </c>
    </row>
    <row r="5013" spans="18:23">
      <c r="R5013" s="127">
        <f t="shared" si="231"/>
        <v>0</v>
      </c>
      <c r="T5013" s="128">
        <f t="shared" si="232"/>
        <v>0</v>
      </c>
      <c r="U5013" s="129" t="str">
        <f>IFERROR(IF(#REF!="S",VLOOKUP('Raw Data'!A5013,References!#REF!,2,FALSE),(VLOOKUP($S5013,References!$B$3:$C$7,2,FALSE))),"")</f>
        <v/>
      </c>
      <c r="W5013" s="74" t="str">
        <f>IFERROR(VLOOKUP($O5013,'Customer List'!$A$1:$J$488,10,FALSE),"")</f>
        <v/>
      </c>
    </row>
    <row r="5014" spans="18:23">
      <c r="R5014" s="127">
        <f t="shared" si="231"/>
        <v>0</v>
      </c>
      <c r="T5014" s="128">
        <f t="shared" si="232"/>
        <v>0</v>
      </c>
      <c r="U5014" s="129" t="str">
        <f>IFERROR(IF(#REF!="S",VLOOKUP('Raw Data'!A5014,References!#REF!,2,FALSE),(VLOOKUP($S5014,References!$B$3:$C$7,2,FALSE))),"")</f>
        <v/>
      </c>
      <c r="W5014" s="74" t="str">
        <f>IFERROR(VLOOKUP($O5014,'Customer List'!$A$1:$J$488,10,FALSE),"")</f>
        <v/>
      </c>
    </row>
    <row r="5015" spans="18:23">
      <c r="R5015" s="127">
        <f t="shared" si="231"/>
        <v>0</v>
      </c>
      <c r="T5015" s="128">
        <f t="shared" si="232"/>
        <v>0</v>
      </c>
      <c r="U5015" s="129" t="str">
        <f>IFERROR(IF(#REF!="S",VLOOKUP('Raw Data'!A5015,References!#REF!,2,FALSE),(VLOOKUP($S5015,References!$B$3:$C$7,2,FALSE))),"")</f>
        <v/>
      </c>
      <c r="W5015" s="74" t="str">
        <f>IFERROR(VLOOKUP($O5015,'Customer List'!$A$1:$J$488,10,FALSE),"")</f>
        <v/>
      </c>
    </row>
    <row r="5016" spans="18:23">
      <c r="R5016" s="127">
        <f t="shared" si="231"/>
        <v>0</v>
      </c>
      <c r="T5016" s="128">
        <f t="shared" si="232"/>
        <v>0</v>
      </c>
      <c r="U5016" s="129" t="str">
        <f>IFERROR(IF(#REF!="S",VLOOKUP('Raw Data'!A5016,References!#REF!,2,FALSE),(VLOOKUP($S5016,References!$B$3:$C$7,2,FALSE))),"")</f>
        <v/>
      </c>
      <c r="W5016" s="74" t="str">
        <f>IFERROR(VLOOKUP($O5016,'Customer List'!$A$1:$J$488,10,FALSE),"")</f>
        <v/>
      </c>
    </row>
    <row r="5017" spans="18:23">
      <c r="R5017" s="127">
        <f t="shared" si="231"/>
        <v>0</v>
      </c>
      <c r="T5017" s="128">
        <f t="shared" si="232"/>
        <v>0</v>
      </c>
      <c r="U5017" s="129" t="str">
        <f>IFERROR(IF(#REF!="S",VLOOKUP('Raw Data'!A5017,References!#REF!,2,FALSE),(VLOOKUP($S5017,References!$B$3:$C$7,2,FALSE))),"")</f>
        <v/>
      </c>
      <c r="W5017" s="74" t="str">
        <f>IFERROR(VLOOKUP($O5017,'Customer List'!$A$1:$J$488,10,FALSE),"")</f>
        <v/>
      </c>
    </row>
    <row r="5018" spans="18:23">
      <c r="R5018" s="127">
        <f t="shared" si="231"/>
        <v>0</v>
      </c>
      <c r="T5018" s="128">
        <f t="shared" si="232"/>
        <v>0</v>
      </c>
      <c r="U5018" s="129" t="str">
        <f>IFERROR(IF(#REF!="S",VLOOKUP('Raw Data'!A5018,References!#REF!,2,FALSE),(VLOOKUP($S5018,References!$B$3:$C$7,2,FALSE))),"")</f>
        <v/>
      </c>
      <c r="W5018" s="74" t="str">
        <f>IFERROR(VLOOKUP($O5018,'Customer List'!$A$1:$J$488,10,FALSE),"")</f>
        <v/>
      </c>
    </row>
    <row r="5019" spans="18:23">
      <c r="R5019" s="127">
        <f t="shared" si="231"/>
        <v>0</v>
      </c>
      <c r="T5019" s="128">
        <f t="shared" si="232"/>
        <v>0</v>
      </c>
      <c r="U5019" s="129" t="str">
        <f>IFERROR(IF(#REF!="S",VLOOKUP('Raw Data'!A5019,References!#REF!,2,FALSE),(VLOOKUP($S5019,References!$B$3:$C$7,2,FALSE))),"")</f>
        <v/>
      </c>
      <c r="W5019" s="74" t="str">
        <f>IFERROR(VLOOKUP($O5019,'Customer List'!$A$1:$J$488,10,FALSE),"")</f>
        <v/>
      </c>
    </row>
    <row r="5020" spans="18:23">
      <c r="R5020" s="127">
        <f t="shared" si="231"/>
        <v>0</v>
      </c>
      <c r="T5020" s="128">
        <f t="shared" si="232"/>
        <v>0</v>
      </c>
      <c r="U5020" s="129" t="str">
        <f>IFERROR(IF(#REF!="S",VLOOKUP('Raw Data'!A5020,References!#REF!,2,FALSE),(VLOOKUP($S5020,References!$B$3:$C$7,2,FALSE))),"")</f>
        <v/>
      </c>
      <c r="W5020" s="74" t="str">
        <f>IFERROR(VLOOKUP($O5020,'Customer List'!$A$1:$J$488,10,FALSE),"")</f>
        <v/>
      </c>
    </row>
    <row r="5021" spans="18:23">
      <c r="R5021" s="127">
        <f t="shared" si="231"/>
        <v>0</v>
      </c>
      <c r="T5021" s="128">
        <f t="shared" si="232"/>
        <v>0</v>
      </c>
      <c r="U5021" s="129" t="str">
        <f>IFERROR(IF(#REF!="S",VLOOKUP('Raw Data'!A5021,References!#REF!,2,FALSE),(VLOOKUP($S5021,References!$B$3:$C$7,2,FALSE))),"")</f>
        <v/>
      </c>
      <c r="W5021" s="74" t="str">
        <f>IFERROR(VLOOKUP($O5021,'Customer List'!$A$1:$J$488,10,FALSE),"")</f>
        <v/>
      </c>
    </row>
    <row r="5022" spans="18:23">
      <c r="R5022" s="127">
        <f t="shared" si="231"/>
        <v>0</v>
      </c>
      <c r="T5022" s="128">
        <f t="shared" si="232"/>
        <v>0</v>
      </c>
      <c r="U5022" s="129" t="str">
        <f>IFERROR(IF(#REF!="S",VLOOKUP('Raw Data'!A5022,References!#REF!,2,FALSE),(VLOOKUP($S5022,References!$B$3:$C$7,2,FALSE))),"")</f>
        <v/>
      </c>
      <c r="W5022" s="74" t="str">
        <f>IFERROR(VLOOKUP($O5022,'Customer List'!$A$1:$J$488,10,FALSE),"")</f>
        <v/>
      </c>
    </row>
    <row r="5023" spans="18:23">
      <c r="R5023" s="127">
        <f t="shared" si="231"/>
        <v>0</v>
      </c>
      <c r="T5023" s="128">
        <f t="shared" si="232"/>
        <v>0</v>
      </c>
      <c r="U5023" s="129" t="str">
        <f>IFERROR(IF(#REF!="S",VLOOKUP('Raw Data'!A5023,References!#REF!,2,FALSE),(VLOOKUP($S5023,References!$B$3:$C$7,2,FALSE))),"")</f>
        <v/>
      </c>
      <c r="W5023" s="74" t="str">
        <f>IFERROR(VLOOKUP($O5023,'Customer List'!$A$1:$J$488,10,FALSE),"")</f>
        <v/>
      </c>
    </row>
    <row r="5024" spans="18:23">
      <c r="R5024" s="127">
        <f t="shared" si="231"/>
        <v>0</v>
      </c>
      <c r="T5024" s="128">
        <f t="shared" si="232"/>
        <v>0</v>
      </c>
      <c r="U5024" s="129" t="str">
        <f>IFERROR(IF(#REF!="S",VLOOKUP('Raw Data'!A5024,References!#REF!,2,FALSE),(VLOOKUP($S5024,References!$B$3:$C$7,2,FALSE))),"")</f>
        <v/>
      </c>
      <c r="W5024" s="74" t="str">
        <f>IFERROR(VLOOKUP($O5024,'Customer List'!$A$1:$J$488,10,FALSE),"")</f>
        <v/>
      </c>
    </row>
    <row r="5025" spans="18:23">
      <c r="R5025" s="127">
        <f t="shared" si="231"/>
        <v>0</v>
      </c>
      <c r="T5025" s="128">
        <f t="shared" si="232"/>
        <v>0</v>
      </c>
      <c r="U5025" s="129" t="str">
        <f>IFERROR(IF(#REF!="S",VLOOKUP('Raw Data'!A5025,References!#REF!,2,FALSE),(VLOOKUP($S5025,References!$B$3:$C$7,2,FALSE))),"")</f>
        <v/>
      </c>
      <c r="W5025" s="74" t="str">
        <f>IFERROR(VLOOKUP($O5025,'Customer List'!$A$1:$J$488,10,FALSE),"")</f>
        <v/>
      </c>
    </row>
    <row r="5026" spans="18:23">
      <c r="R5026" s="127">
        <f t="shared" ref="R5026:R5089" si="233">L5026-K5026</f>
        <v>0</v>
      </c>
      <c r="T5026" s="128">
        <f t="shared" si="232"/>
        <v>0</v>
      </c>
      <c r="U5026" s="129" t="str">
        <f>IFERROR(IF(#REF!="S",VLOOKUP('Raw Data'!A5026,References!#REF!,2,FALSE),(VLOOKUP($S5026,References!$B$3:$C$7,2,FALSE))),"")</f>
        <v/>
      </c>
      <c r="W5026" s="74" t="str">
        <f>IFERROR(VLOOKUP($O5026,'Customer List'!$A$1:$J$488,10,FALSE),"")</f>
        <v/>
      </c>
    </row>
    <row r="5027" spans="18:23">
      <c r="R5027" s="127">
        <f t="shared" si="233"/>
        <v>0</v>
      </c>
      <c r="T5027" s="128">
        <f t="shared" si="232"/>
        <v>0</v>
      </c>
      <c r="U5027" s="129" t="str">
        <f>IFERROR(IF(#REF!="S",VLOOKUP('Raw Data'!A5027,References!#REF!,2,FALSE),(VLOOKUP($S5027,References!$B$3:$C$7,2,FALSE))),"")</f>
        <v/>
      </c>
      <c r="W5027" s="74" t="str">
        <f>IFERROR(VLOOKUP($O5027,'Customer List'!$A$1:$J$488,10,FALSE),"")</f>
        <v/>
      </c>
    </row>
    <row r="5028" spans="18:23">
      <c r="R5028" s="127">
        <f t="shared" si="233"/>
        <v>0</v>
      </c>
      <c r="T5028" s="128">
        <f t="shared" si="232"/>
        <v>0</v>
      </c>
      <c r="U5028" s="129" t="str">
        <f>IFERROR(IF(#REF!="S",VLOOKUP('Raw Data'!A5028,References!#REF!,2,FALSE),(VLOOKUP($S5028,References!$B$3:$C$7,2,FALSE))),"")</f>
        <v/>
      </c>
      <c r="W5028" s="74" t="str">
        <f>IFERROR(VLOOKUP($O5028,'Customer List'!$A$1:$J$488,10,FALSE),"")</f>
        <v/>
      </c>
    </row>
    <row r="5029" spans="18:23">
      <c r="R5029" s="127">
        <f t="shared" si="233"/>
        <v>0</v>
      </c>
      <c r="T5029" s="128">
        <f t="shared" si="232"/>
        <v>0</v>
      </c>
      <c r="U5029" s="129" t="str">
        <f>IFERROR(IF(#REF!="S",VLOOKUP('Raw Data'!A5029,References!#REF!,2,FALSE),(VLOOKUP($S5029,References!$B$3:$C$7,2,FALSE))),"")</f>
        <v/>
      </c>
      <c r="W5029" s="74" t="str">
        <f>IFERROR(VLOOKUP($O5029,'Customer List'!$A$1:$J$488,10,FALSE),"")</f>
        <v/>
      </c>
    </row>
    <row r="5030" spans="18:23">
      <c r="R5030" s="127">
        <f t="shared" si="233"/>
        <v>0</v>
      </c>
      <c r="T5030" s="128">
        <f t="shared" si="232"/>
        <v>0</v>
      </c>
      <c r="U5030" s="129" t="str">
        <f>IFERROR(IF(#REF!="S",VLOOKUP('Raw Data'!A5030,References!#REF!,2,FALSE),(VLOOKUP($S5030,References!$B$3:$C$7,2,FALSE))),"")</f>
        <v/>
      </c>
      <c r="W5030" s="74" t="str">
        <f>IFERROR(VLOOKUP($O5030,'Customer List'!$A$1:$J$488,10,FALSE),"")</f>
        <v/>
      </c>
    </row>
    <row r="5031" spans="18:23">
      <c r="R5031" s="127">
        <f t="shared" si="233"/>
        <v>0</v>
      </c>
      <c r="T5031" s="128">
        <f t="shared" si="232"/>
        <v>0</v>
      </c>
      <c r="U5031" s="129" t="str">
        <f>IFERROR(IF(#REF!="S",VLOOKUP('Raw Data'!A5031,References!#REF!,2,FALSE),(VLOOKUP($S5031,References!$B$3:$C$7,2,FALSE))),"")</f>
        <v/>
      </c>
      <c r="W5031" s="74" t="str">
        <f>IFERROR(VLOOKUP($O5031,'Customer List'!$A$1:$J$488,10,FALSE),"")</f>
        <v/>
      </c>
    </row>
    <row r="5032" spans="18:23">
      <c r="R5032" s="127">
        <f t="shared" si="233"/>
        <v>0</v>
      </c>
      <c r="T5032" s="128">
        <f t="shared" si="232"/>
        <v>0</v>
      </c>
      <c r="U5032" s="129" t="str">
        <f>IFERROR(IF(#REF!="S",VLOOKUP('Raw Data'!A5032,References!#REF!,2,FALSE),(VLOOKUP($S5032,References!$B$3:$C$7,2,FALSE))),"")</f>
        <v/>
      </c>
      <c r="W5032" s="74" t="str">
        <f>IFERROR(VLOOKUP($O5032,'Customer List'!$A$1:$J$488,10,FALSE),"")</f>
        <v/>
      </c>
    </row>
    <row r="5033" spans="18:23">
      <c r="R5033" s="127">
        <f t="shared" si="233"/>
        <v>0</v>
      </c>
      <c r="T5033" s="128">
        <f t="shared" si="232"/>
        <v>0</v>
      </c>
      <c r="U5033" s="129" t="str">
        <f>IFERROR(IF(#REF!="S",VLOOKUP('Raw Data'!A5033,References!#REF!,2,FALSE),(VLOOKUP($S5033,References!$B$3:$C$7,2,FALSE))),"")</f>
        <v/>
      </c>
      <c r="W5033" s="74" t="str">
        <f>IFERROR(VLOOKUP($O5033,'Customer List'!$A$1:$J$488,10,FALSE),"")</f>
        <v/>
      </c>
    </row>
    <row r="5034" spans="18:23">
      <c r="R5034" s="127">
        <f t="shared" si="233"/>
        <v>0</v>
      </c>
      <c r="T5034" s="128">
        <f t="shared" si="232"/>
        <v>0</v>
      </c>
      <c r="U5034" s="129" t="str">
        <f>IFERROR(IF(#REF!="S",VLOOKUP('Raw Data'!A5034,References!#REF!,2,FALSE),(VLOOKUP($S5034,References!$B$3:$C$7,2,FALSE))),"")</f>
        <v/>
      </c>
      <c r="W5034" s="74" t="str">
        <f>IFERROR(VLOOKUP($O5034,'Customer List'!$A$1:$J$488,10,FALSE),"")</f>
        <v/>
      </c>
    </row>
    <row r="5035" spans="18:23">
      <c r="R5035" s="127">
        <f t="shared" si="233"/>
        <v>0</v>
      </c>
      <c r="T5035" s="128">
        <f t="shared" si="232"/>
        <v>0</v>
      </c>
      <c r="U5035" s="129" t="str">
        <f>IFERROR(IF(#REF!="S",VLOOKUP('Raw Data'!A5035,References!#REF!,2,FALSE),(VLOOKUP($S5035,References!$B$3:$C$7,2,FALSE))),"")</f>
        <v/>
      </c>
      <c r="W5035" s="74" t="str">
        <f>IFERROR(VLOOKUP($O5035,'Customer List'!$A$1:$J$488,10,FALSE),"")</f>
        <v/>
      </c>
    </row>
    <row r="5036" spans="18:23">
      <c r="R5036" s="127">
        <f t="shared" si="233"/>
        <v>0</v>
      </c>
      <c r="T5036" s="128">
        <f t="shared" si="232"/>
        <v>0</v>
      </c>
      <c r="U5036" s="129" t="str">
        <f>IFERROR(IF(#REF!="S",VLOOKUP('Raw Data'!A5036,References!#REF!,2,FALSE),(VLOOKUP($S5036,References!$B$3:$C$7,2,FALSE))),"")</f>
        <v/>
      </c>
      <c r="W5036" s="74" t="str">
        <f>IFERROR(VLOOKUP($O5036,'Customer List'!$A$1:$J$488,10,FALSE),"")</f>
        <v/>
      </c>
    </row>
    <row r="5037" spans="18:23">
      <c r="R5037" s="127">
        <f t="shared" si="233"/>
        <v>0</v>
      </c>
      <c r="T5037" s="128">
        <f t="shared" si="232"/>
        <v>0</v>
      </c>
      <c r="U5037" s="129" t="str">
        <f>IFERROR(IF(#REF!="S",VLOOKUP('Raw Data'!A5037,References!#REF!,2,FALSE),(VLOOKUP($S5037,References!$B$3:$C$7,2,FALSE))),"")</f>
        <v/>
      </c>
      <c r="W5037" s="74" t="str">
        <f>IFERROR(VLOOKUP($O5037,'Customer List'!$A$1:$J$488,10,FALSE),"")</f>
        <v/>
      </c>
    </row>
    <row r="5038" spans="18:23">
      <c r="R5038" s="127">
        <f t="shared" si="233"/>
        <v>0</v>
      </c>
      <c r="T5038" s="128">
        <f t="shared" si="232"/>
        <v>0</v>
      </c>
      <c r="U5038" s="129" t="str">
        <f>IFERROR(IF(#REF!="S",VLOOKUP('Raw Data'!A5038,References!#REF!,2,FALSE),(VLOOKUP($S5038,References!$B$3:$C$7,2,FALSE))),"")</f>
        <v/>
      </c>
      <c r="W5038" s="74" t="str">
        <f>IFERROR(VLOOKUP($O5038,'Customer List'!$A$1:$J$488,10,FALSE),"")</f>
        <v/>
      </c>
    </row>
    <row r="5039" spans="18:23">
      <c r="R5039" s="127">
        <f t="shared" si="233"/>
        <v>0</v>
      </c>
      <c r="T5039" s="128">
        <f t="shared" si="232"/>
        <v>0</v>
      </c>
      <c r="U5039" s="129" t="str">
        <f>IFERROR(IF(#REF!="S",VLOOKUP('Raw Data'!A5039,References!#REF!,2,FALSE),(VLOOKUP($S5039,References!$B$3:$C$7,2,FALSE))),"")</f>
        <v/>
      </c>
      <c r="W5039" s="74" t="str">
        <f>IFERROR(VLOOKUP($O5039,'Customer List'!$A$1:$J$488,10,FALSE),"")</f>
        <v/>
      </c>
    </row>
    <row r="5040" spans="18:23">
      <c r="R5040" s="127">
        <f t="shared" si="233"/>
        <v>0</v>
      </c>
      <c r="T5040" s="128">
        <f t="shared" si="232"/>
        <v>0</v>
      </c>
      <c r="U5040" s="129" t="str">
        <f>IFERROR(IF(#REF!="S",VLOOKUP('Raw Data'!A5040,References!#REF!,2,FALSE),(VLOOKUP($S5040,References!$B$3:$C$7,2,FALSE))),"")</f>
        <v/>
      </c>
      <c r="W5040" s="74" t="str">
        <f>IFERROR(VLOOKUP($O5040,'Customer List'!$A$1:$J$488,10,FALSE),"")</f>
        <v/>
      </c>
    </row>
    <row r="5041" spans="18:23">
      <c r="R5041" s="127">
        <f t="shared" si="233"/>
        <v>0</v>
      </c>
      <c r="T5041" s="128">
        <f t="shared" si="232"/>
        <v>0</v>
      </c>
      <c r="U5041" s="129" t="str">
        <f>IFERROR(IF(#REF!="S",VLOOKUP('Raw Data'!A5041,References!#REF!,2,FALSE),(VLOOKUP($S5041,References!$B$3:$C$7,2,FALSE))),"")</f>
        <v/>
      </c>
      <c r="W5041" s="74" t="str">
        <f>IFERROR(VLOOKUP($O5041,'Customer List'!$A$1:$J$488,10,FALSE),"")</f>
        <v/>
      </c>
    </row>
    <row r="5042" spans="18:23">
      <c r="R5042" s="127">
        <f t="shared" si="233"/>
        <v>0</v>
      </c>
      <c r="T5042" s="128">
        <f t="shared" si="232"/>
        <v>0</v>
      </c>
      <c r="U5042" s="129" t="str">
        <f>IFERROR(IF(#REF!="S",VLOOKUP('Raw Data'!A5042,References!#REF!,2,FALSE),(VLOOKUP($S5042,References!$B$3:$C$7,2,FALSE))),"")</f>
        <v/>
      </c>
      <c r="W5042" s="74" t="str">
        <f>IFERROR(VLOOKUP($O5042,'Customer List'!$A$1:$J$488,10,FALSE),"")</f>
        <v/>
      </c>
    </row>
    <row r="5043" spans="18:23">
      <c r="R5043" s="127">
        <f t="shared" si="233"/>
        <v>0</v>
      </c>
      <c r="T5043" s="128">
        <f t="shared" si="232"/>
        <v>0</v>
      </c>
      <c r="U5043" s="129" t="str">
        <f>IFERROR(IF(#REF!="S",VLOOKUP('Raw Data'!A5043,References!#REF!,2,FALSE),(VLOOKUP($S5043,References!$B$3:$C$7,2,FALSE))),"")</f>
        <v/>
      </c>
      <c r="W5043" s="74" t="str">
        <f>IFERROR(VLOOKUP($O5043,'Customer List'!$A$1:$J$488,10,FALSE),"")</f>
        <v/>
      </c>
    </row>
    <row r="5044" spans="18:23">
      <c r="R5044" s="127">
        <f t="shared" si="233"/>
        <v>0</v>
      </c>
      <c r="T5044" s="128">
        <f t="shared" si="232"/>
        <v>0</v>
      </c>
      <c r="U5044" s="129" t="str">
        <f>IFERROR(IF(#REF!="S",VLOOKUP('Raw Data'!A5044,References!#REF!,2,FALSE),(VLOOKUP($S5044,References!$B$3:$C$7,2,FALSE))),"")</f>
        <v/>
      </c>
      <c r="W5044" s="74" t="str">
        <f>IFERROR(VLOOKUP($O5044,'Customer List'!$A$1:$J$488,10,FALSE),"")</f>
        <v/>
      </c>
    </row>
    <row r="5045" spans="18:23">
      <c r="R5045" s="127">
        <f t="shared" si="233"/>
        <v>0</v>
      </c>
      <c r="T5045" s="128">
        <f t="shared" si="232"/>
        <v>0</v>
      </c>
      <c r="U5045" s="129" t="str">
        <f>IFERROR(IF(#REF!="S",VLOOKUP('Raw Data'!A5045,References!#REF!,2,FALSE),(VLOOKUP($S5045,References!$B$3:$C$7,2,FALSE))),"")</f>
        <v/>
      </c>
      <c r="W5045" s="74" t="str">
        <f>IFERROR(VLOOKUP($O5045,'Customer List'!$A$1:$J$488,10,FALSE),"")</f>
        <v/>
      </c>
    </row>
    <row r="5046" spans="18:23">
      <c r="R5046" s="127">
        <f t="shared" si="233"/>
        <v>0</v>
      </c>
      <c r="T5046" s="128">
        <f t="shared" si="232"/>
        <v>0</v>
      </c>
      <c r="U5046" s="129" t="str">
        <f>IFERROR(IF(#REF!="S",VLOOKUP('Raw Data'!A5046,References!#REF!,2,FALSE),(VLOOKUP($S5046,References!$B$3:$C$7,2,FALSE))),"")</f>
        <v/>
      </c>
      <c r="W5046" s="74" t="str">
        <f>IFERROR(VLOOKUP($O5046,'Customer List'!$A$1:$J$488,10,FALSE),"")</f>
        <v/>
      </c>
    </row>
    <row r="5047" spans="18:23">
      <c r="R5047" s="127">
        <f t="shared" si="233"/>
        <v>0</v>
      </c>
      <c r="T5047" s="128">
        <f t="shared" si="232"/>
        <v>0</v>
      </c>
      <c r="U5047" s="129" t="str">
        <f>IFERROR(IF(#REF!="S",VLOOKUP('Raw Data'!A5047,References!#REF!,2,FALSE),(VLOOKUP($S5047,References!$B$3:$C$7,2,FALSE))),"")</f>
        <v/>
      </c>
      <c r="W5047" s="74" t="str">
        <f>IFERROR(VLOOKUP($O5047,'Customer List'!$A$1:$J$488,10,FALSE),"")</f>
        <v/>
      </c>
    </row>
    <row r="5048" spans="18:23">
      <c r="R5048" s="127">
        <f t="shared" si="233"/>
        <v>0</v>
      </c>
      <c r="T5048" s="128">
        <f t="shared" si="232"/>
        <v>0</v>
      </c>
      <c r="U5048" s="129" t="str">
        <f>IFERROR(IF(#REF!="S",VLOOKUP('Raw Data'!A5048,References!#REF!,2,FALSE),(VLOOKUP($S5048,References!$B$3:$C$7,2,FALSE))),"")</f>
        <v/>
      </c>
      <c r="W5048" s="74" t="str">
        <f>IFERROR(VLOOKUP($O5048,'Customer List'!$A$1:$J$488,10,FALSE),"")</f>
        <v/>
      </c>
    </row>
    <row r="5049" spans="18:23">
      <c r="R5049" s="127">
        <f t="shared" si="233"/>
        <v>0</v>
      </c>
      <c r="T5049" s="128">
        <f t="shared" si="232"/>
        <v>0</v>
      </c>
      <c r="U5049" s="129" t="str">
        <f>IFERROR(IF(#REF!="S",VLOOKUP('Raw Data'!A5049,References!#REF!,2,FALSE),(VLOOKUP($S5049,References!$B$3:$C$7,2,FALSE))),"")</f>
        <v/>
      </c>
      <c r="W5049" s="74" t="str">
        <f>IFERROR(VLOOKUP($O5049,'Customer List'!$A$1:$J$488,10,FALSE),"")</f>
        <v/>
      </c>
    </row>
    <row r="5050" spans="18:23">
      <c r="R5050" s="127">
        <f t="shared" si="233"/>
        <v>0</v>
      </c>
      <c r="T5050" s="128">
        <f t="shared" si="232"/>
        <v>0</v>
      </c>
      <c r="U5050" s="129" t="str">
        <f>IFERROR(IF(#REF!="S",VLOOKUP('Raw Data'!A5050,References!#REF!,2,FALSE),(VLOOKUP($S5050,References!$B$3:$C$7,2,FALSE))),"")</f>
        <v/>
      </c>
      <c r="W5050" s="74" t="str">
        <f>IFERROR(VLOOKUP($O5050,'Customer List'!$A$1:$J$488,10,FALSE),"")</f>
        <v/>
      </c>
    </row>
    <row r="5051" spans="18:23">
      <c r="R5051" s="127">
        <f t="shared" si="233"/>
        <v>0</v>
      </c>
      <c r="T5051" s="128">
        <f t="shared" si="232"/>
        <v>0</v>
      </c>
      <c r="U5051" s="129" t="str">
        <f>IFERROR(IF(#REF!="S",VLOOKUP('Raw Data'!A5051,References!#REF!,2,FALSE),(VLOOKUP($S5051,References!$B$3:$C$7,2,FALSE))),"")</f>
        <v/>
      </c>
      <c r="W5051" s="74" t="str">
        <f>IFERROR(VLOOKUP($O5051,'Customer List'!$A$1:$J$488,10,FALSE),"")</f>
        <v/>
      </c>
    </row>
    <row r="5052" spans="18:23">
      <c r="R5052" s="127">
        <f t="shared" si="233"/>
        <v>0</v>
      </c>
      <c r="T5052" s="128">
        <f t="shared" si="232"/>
        <v>0</v>
      </c>
      <c r="U5052" s="129" t="str">
        <f>IFERROR(IF(#REF!="S",VLOOKUP('Raw Data'!A5052,References!#REF!,2,FALSE),(VLOOKUP($S5052,References!$B$3:$C$7,2,FALSE))),"")</f>
        <v/>
      </c>
      <c r="W5052" s="74" t="str">
        <f>IFERROR(VLOOKUP($O5052,'Customer List'!$A$1:$J$488,10,FALSE),"")</f>
        <v/>
      </c>
    </row>
    <row r="5053" spans="18:23">
      <c r="R5053" s="127">
        <f t="shared" si="233"/>
        <v>0</v>
      </c>
      <c r="T5053" s="128">
        <f t="shared" si="232"/>
        <v>0</v>
      </c>
      <c r="U5053" s="129" t="str">
        <f>IFERROR(IF(#REF!="S",VLOOKUP('Raw Data'!A5053,References!#REF!,2,FALSE),(VLOOKUP($S5053,References!$B$3:$C$7,2,FALSE))),"")</f>
        <v/>
      </c>
      <c r="W5053" s="74" t="str">
        <f>IFERROR(VLOOKUP($O5053,'Customer List'!$A$1:$J$488,10,FALSE),"")</f>
        <v/>
      </c>
    </row>
    <row r="5054" spans="18:23">
      <c r="R5054" s="127">
        <f t="shared" si="233"/>
        <v>0</v>
      </c>
      <c r="T5054" s="128">
        <f t="shared" si="232"/>
        <v>0</v>
      </c>
      <c r="U5054" s="129" t="str">
        <f>IFERROR(IF(#REF!="S",VLOOKUP('Raw Data'!A5054,References!#REF!,2,FALSE),(VLOOKUP($S5054,References!$B$3:$C$7,2,FALSE))),"")</f>
        <v/>
      </c>
      <c r="W5054" s="74" t="str">
        <f>IFERROR(VLOOKUP($O5054,'Customer List'!$A$1:$J$488,10,FALSE),"")</f>
        <v/>
      </c>
    </row>
    <row r="5055" spans="18:23">
      <c r="R5055" s="127">
        <f t="shared" si="233"/>
        <v>0</v>
      </c>
      <c r="T5055" s="128">
        <f t="shared" si="232"/>
        <v>0</v>
      </c>
      <c r="U5055" s="129" t="str">
        <f>IFERROR(IF(#REF!="S",VLOOKUP('Raw Data'!A5055,References!#REF!,2,FALSE),(VLOOKUP($S5055,References!$B$3:$C$7,2,FALSE))),"")</f>
        <v/>
      </c>
      <c r="W5055" s="74" t="str">
        <f>IFERROR(VLOOKUP($O5055,'Customer List'!$A$1:$J$488,10,FALSE),"")</f>
        <v/>
      </c>
    </row>
    <row r="5056" spans="18:23">
      <c r="R5056" s="127">
        <f t="shared" si="233"/>
        <v>0</v>
      </c>
      <c r="T5056" s="128">
        <f t="shared" si="232"/>
        <v>0</v>
      </c>
      <c r="U5056" s="129" t="str">
        <f>IFERROR(IF(#REF!="S",VLOOKUP('Raw Data'!A5056,References!#REF!,2,FALSE),(VLOOKUP($S5056,References!$B$3:$C$7,2,FALSE))),"")</f>
        <v/>
      </c>
      <c r="W5056" s="74" t="str">
        <f>IFERROR(VLOOKUP($O5056,'Customer List'!$A$1:$J$488,10,FALSE),"")</f>
        <v/>
      </c>
    </row>
    <row r="5057" spans="18:23">
      <c r="R5057" s="127">
        <f t="shared" si="233"/>
        <v>0</v>
      </c>
      <c r="T5057" s="128">
        <f t="shared" si="232"/>
        <v>0</v>
      </c>
      <c r="U5057" s="129" t="str">
        <f>IFERROR(IF(#REF!="S",VLOOKUP('Raw Data'!A5057,References!#REF!,2,FALSE),(VLOOKUP($S5057,References!$B$3:$C$7,2,FALSE))),"")</f>
        <v/>
      </c>
      <c r="W5057" s="74" t="str">
        <f>IFERROR(VLOOKUP($O5057,'Customer List'!$A$1:$J$488,10,FALSE),"")</f>
        <v/>
      </c>
    </row>
    <row r="5058" spans="18:23">
      <c r="R5058" s="127">
        <f t="shared" si="233"/>
        <v>0</v>
      </c>
      <c r="T5058" s="128">
        <f t="shared" si="232"/>
        <v>0</v>
      </c>
      <c r="U5058" s="129" t="str">
        <f>IFERROR(IF(#REF!="S",VLOOKUP('Raw Data'!A5058,References!#REF!,2,FALSE),(VLOOKUP($S5058,References!$B$3:$C$7,2,FALSE))),"")</f>
        <v/>
      </c>
      <c r="W5058" s="74" t="str">
        <f>IFERROR(VLOOKUP($O5058,'Customer List'!$A$1:$J$488,10,FALSE),"")</f>
        <v/>
      </c>
    </row>
    <row r="5059" spans="18:23">
      <c r="R5059" s="127">
        <f t="shared" si="233"/>
        <v>0</v>
      </c>
      <c r="T5059" s="128">
        <f t="shared" si="232"/>
        <v>0</v>
      </c>
      <c r="U5059" s="129" t="str">
        <f>IFERROR(IF(#REF!="S",VLOOKUP('Raw Data'!A5059,References!#REF!,2,FALSE),(VLOOKUP($S5059,References!$B$3:$C$7,2,FALSE))),"")</f>
        <v/>
      </c>
      <c r="W5059" s="74" t="str">
        <f>IFERROR(VLOOKUP($O5059,'Customer List'!$A$1:$J$488,10,FALSE),"")</f>
        <v/>
      </c>
    </row>
    <row r="5060" spans="18:23">
      <c r="R5060" s="127">
        <f t="shared" si="233"/>
        <v>0</v>
      </c>
      <c r="T5060" s="128">
        <f t="shared" si="232"/>
        <v>0</v>
      </c>
      <c r="U5060" s="129" t="str">
        <f>IFERROR(IF(#REF!="S",VLOOKUP('Raw Data'!A5060,References!#REF!,2,FALSE),(VLOOKUP($S5060,References!$B$3:$C$7,2,FALSE))),"")</f>
        <v/>
      </c>
      <c r="W5060" s="74" t="str">
        <f>IFERROR(VLOOKUP($O5060,'Customer List'!$A$1:$J$488,10,FALSE),"")</f>
        <v/>
      </c>
    </row>
    <row r="5061" spans="18:23">
      <c r="R5061" s="127">
        <f t="shared" si="233"/>
        <v>0</v>
      </c>
      <c r="T5061" s="128">
        <f t="shared" si="232"/>
        <v>0</v>
      </c>
      <c r="U5061" s="129" t="str">
        <f>IFERROR(IF(#REF!="S",VLOOKUP('Raw Data'!A5061,References!#REF!,2,FALSE),(VLOOKUP($S5061,References!$B$3:$C$7,2,FALSE))),"")</f>
        <v/>
      </c>
      <c r="W5061" s="74" t="str">
        <f>IFERROR(VLOOKUP($O5061,'Customer List'!$A$1:$J$488,10,FALSE),"")</f>
        <v/>
      </c>
    </row>
    <row r="5062" spans="18:23">
      <c r="R5062" s="127">
        <f t="shared" si="233"/>
        <v>0</v>
      </c>
      <c r="T5062" s="128">
        <f t="shared" si="232"/>
        <v>0</v>
      </c>
      <c r="U5062" s="129" t="str">
        <f>IFERROR(IF(#REF!="S",VLOOKUP('Raw Data'!A5062,References!#REF!,2,FALSE),(VLOOKUP($S5062,References!$B$3:$C$7,2,FALSE))),"")</f>
        <v/>
      </c>
      <c r="W5062" s="74" t="str">
        <f>IFERROR(VLOOKUP($O5062,'Customer List'!$A$1:$J$488,10,FALSE),"")</f>
        <v/>
      </c>
    </row>
    <row r="5063" spans="18:23">
      <c r="R5063" s="127">
        <f t="shared" si="233"/>
        <v>0</v>
      </c>
      <c r="T5063" s="128">
        <f t="shared" si="232"/>
        <v>0</v>
      </c>
      <c r="U5063" s="129" t="str">
        <f>IFERROR(IF(#REF!="S",VLOOKUP('Raw Data'!A5063,References!#REF!,2,FALSE),(VLOOKUP($S5063,References!$B$3:$C$7,2,FALSE))),"")</f>
        <v/>
      </c>
      <c r="W5063" s="74" t="str">
        <f>IFERROR(VLOOKUP($O5063,'Customer List'!$A$1:$J$488,10,FALSE),"")</f>
        <v/>
      </c>
    </row>
    <row r="5064" spans="18:23">
      <c r="R5064" s="127">
        <f t="shared" si="233"/>
        <v>0</v>
      </c>
      <c r="T5064" s="128">
        <f t="shared" si="232"/>
        <v>0</v>
      </c>
      <c r="U5064" s="129" t="str">
        <f>IFERROR(IF(#REF!="S",VLOOKUP('Raw Data'!A5064,References!#REF!,2,FALSE),(VLOOKUP($S5064,References!$B$3:$C$7,2,FALSE))),"")</f>
        <v/>
      </c>
      <c r="W5064" s="74" t="str">
        <f>IFERROR(VLOOKUP($O5064,'Customer List'!$A$1:$J$488,10,FALSE),"")</f>
        <v/>
      </c>
    </row>
    <row r="5065" spans="18:23">
      <c r="R5065" s="127">
        <f t="shared" si="233"/>
        <v>0</v>
      </c>
      <c r="T5065" s="128">
        <f t="shared" si="232"/>
        <v>0</v>
      </c>
      <c r="U5065" s="129" t="str">
        <f>IFERROR(IF(#REF!="S",VLOOKUP('Raw Data'!A5065,References!#REF!,2,FALSE),(VLOOKUP($S5065,References!$B$3:$C$7,2,FALSE))),"")</f>
        <v/>
      </c>
      <c r="W5065" s="74" t="str">
        <f>IFERROR(VLOOKUP($O5065,'Customer List'!$A$1:$J$488,10,FALSE),"")</f>
        <v/>
      </c>
    </row>
    <row r="5066" spans="18:23">
      <c r="R5066" s="127">
        <f t="shared" si="233"/>
        <v>0</v>
      </c>
      <c r="T5066" s="128">
        <f t="shared" ref="T5066:T5129" si="234">IF(S5066="50 - Cleaning Fee",1,HOUR($R5066)+MINUTE(R5066)/60)</f>
        <v>0</v>
      </c>
      <c r="U5066" s="129" t="str">
        <f>IFERROR(IF(#REF!="S",VLOOKUP('Raw Data'!A5066,References!#REF!,2,FALSE),(VLOOKUP($S5066,References!$B$3:$C$7,2,FALSE))),"")</f>
        <v/>
      </c>
      <c r="W5066" s="74" t="str">
        <f>IFERROR(VLOOKUP($O5066,'Customer List'!$A$1:$J$488,10,FALSE),"")</f>
        <v/>
      </c>
    </row>
    <row r="5067" spans="18:23">
      <c r="R5067" s="127">
        <f t="shared" si="233"/>
        <v>0</v>
      </c>
      <c r="T5067" s="128">
        <f t="shared" si="234"/>
        <v>0</v>
      </c>
      <c r="U5067" s="129" t="str">
        <f>IFERROR(IF(#REF!="S",VLOOKUP('Raw Data'!A5067,References!#REF!,2,FALSE),(VLOOKUP($S5067,References!$B$3:$C$7,2,FALSE))),"")</f>
        <v/>
      </c>
      <c r="W5067" s="74" t="str">
        <f>IFERROR(VLOOKUP($O5067,'Customer List'!$A$1:$J$488,10,FALSE),"")</f>
        <v/>
      </c>
    </row>
    <row r="5068" spans="18:23">
      <c r="R5068" s="127">
        <f t="shared" si="233"/>
        <v>0</v>
      </c>
      <c r="T5068" s="128">
        <f t="shared" si="234"/>
        <v>0</v>
      </c>
      <c r="U5068" s="129" t="str">
        <f>IFERROR(IF(#REF!="S",VLOOKUP('Raw Data'!A5068,References!#REF!,2,FALSE),(VLOOKUP($S5068,References!$B$3:$C$7,2,FALSE))),"")</f>
        <v/>
      </c>
      <c r="W5068" s="74" t="str">
        <f>IFERROR(VLOOKUP($O5068,'Customer List'!$A$1:$J$488,10,FALSE),"")</f>
        <v/>
      </c>
    </row>
    <row r="5069" spans="18:23">
      <c r="R5069" s="127">
        <f t="shared" si="233"/>
        <v>0</v>
      </c>
      <c r="T5069" s="128">
        <f t="shared" si="234"/>
        <v>0</v>
      </c>
      <c r="U5069" s="129" t="str">
        <f>IFERROR(IF(#REF!="S",VLOOKUP('Raw Data'!A5069,References!#REF!,2,FALSE),(VLOOKUP($S5069,References!$B$3:$C$7,2,FALSE))),"")</f>
        <v/>
      </c>
      <c r="W5069" s="74" t="str">
        <f>IFERROR(VLOOKUP($O5069,'Customer List'!$A$1:$J$488,10,FALSE),"")</f>
        <v/>
      </c>
    </row>
    <row r="5070" spans="18:23">
      <c r="R5070" s="127">
        <f t="shared" si="233"/>
        <v>0</v>
      </c>
      <c r="T5070" s="128">
        <f t="shared" si="234"/>
        <v>0</v>
      </c>
      <c r="U5070" s="129" t="str">
        <f>IFERROR(IF(#REF!="S",VLOOKUP('Raw Data'!A5070,References!#REF!,2,FALSE),(VLOOKUP($S5070,References!$B$3:$C$7,2,FALSE))),"")</f>
        <v/>
      </c>
      <c r="W5070" s="74" t="str">
        <f>IFERROR(VLOOKUP($O5070,'Customer List'!$A$1:$J$488,10,FALSE),"")</f>
        <v/>
      </c>
    </row>
    <row r="5071" spans="18:23">
      <c r="R5071" s="127">
        <f t="shared" si="233"/>
        <v>0</v>
      </c>
      <c r="T5071" s="128">
        <f t="shared" si="234"/>
        <v>0</v>
      </c>
      <c r="U5071" s="129" t="str">
        <f>IFERROR(IF(#REF!="S",VLOOKUP('Raw Data'!A5071,References!#REF!,2,FALSE),(VLOOKUP($S5071,References!$B$3:$C$7,2,FALSE))),"")</f>
        <v/>
      </c>
      <c r="W5071" s="74" t="str">
        <f>IFERROR(VLOOKUP($O5071,'Customer List'!$A$1:$J$488,10,FALSE),"")</f>
        <v/>
      </c>
    </row>
    <row r="5072" spans="18:23">
      <c r="R5072" s="127">
        <f t="shared" si="233"/>
        <v>0</v>
      </c>
      <c r="T5072" s="128">
        <f t="shared" si="234"/>
        <v>0</v>
      </c>
      <c r="U5072" s="129" t="str">
        <f>IFERROR(IF(#REF!="S",VLOOKUP('Raw Data'!A5072,References!#REF!,2,FALSE),(VLOOKUP($S5072,References!$B$3:$C$7,2,FALSE))),"")</f>
        <v/>
      </c>
      <c r="W5072" s="74" t="str">
        <f>IFERROR(VLOOKUP($O5072,'Customer List'!$A$1:$J$488,10,FALSE),"")</f>
        <v/>
      </c>
    </row>
    <row r="5073" spans="18:23">
      <c r="R5073" s="127">
        <f t="shared" si="233"/>
        <v>0</v>
      </c>
      <c r="T5073" s="128">
        <f t="shared" si="234"/>
        <v>0</v>
      </c>
      <c r="U5073" s="129" t="str">
        <f>IFERROR(IF(#REF!="S",VLOOKUP('Raw Data'!A5073,References!#REF!,2,FALSE),(VLOOKUP($S5073,References!$B$3:$C$7,2,FALSE))),"")</f>
        <v/>
      </c>
      <c r="W5073" s="74" t="str">
        <f>IFERROR(VLOOKUP($O5073,'Customer List'!$A$1:$J$488,10,FALSE),"")</f>
        <v/>
      </c>
    </row>
    <row r="5074" spans="18:23">
      <c r="R5074" s="127">
        <f t="shared" si="233"/>
        <v>0</v>
      </c>
      <c r="T5074" s="128">
        <f t="shared" si="234"/>
        <v>0</v>
      </c>
      <c r="U5074" s="129" t="str">
        <f>IFERROR(IF(#REF!="S",VLOOKUP('Raw Data'!A5074,References!#REF!,2,FALSE),(VLOOKUP($S5074,References!$B$3:$C$7,2,FALSE))),"")</f>
        <v/>
      </c>
      <c r="W5074" s="74" t="str">
        <f>IFERROR(VLOOKUP($O5074,'Customer List'!$A$1:$J$488,10,FALSE),"")</f>
        <v/>
      </c>
    </row>
    <row r="5075" spans="18:23">
      <c r="R5075" s="127">
        <f t="shared" si="233"/>
        <v>0</v>
      </c>
      <c r="T5075" s="128">
        <f t="shared" si="234"/>
        <v>0</v>
      </c>
      <c r="U5075" s="129" t="str">
        <f>IFERROR(IF(#REF!="S",VLOOKUP('Raw Data'!A5075,References!#REF!,2,FALSE),(VLOOKUP($S5075,References!$B$3:$C$7,2,FALSE))),"")</f>
        <v/>
      </c>
      <c r="W5075" s="74" t="str">
        <f>IFERROR(VLOOKUP($O5075,'Customer List'!$A$1:$J$488,10,FALSE),"")</f>
        <v/>
      </c>
    </row>
    <row r="5076" spans="18:23">
      <c r="R5076" s="127">
        <f t="shared" si="233"/>
        <v>0</v>
      </c>
      <c r="T5076" s="128">
        <f t="shared" si="234"/>
        <v>0</v>
      </c>
      <c r="U5076" s="129" t="str">
        <f>IFERROR(IF(#REF!="S",VLOOKUP('Raw Data'!A5076,References!#REF!,2,FALSE),(VLOOKUP($S5076,References!$B$3:$C$7,2,FALSE))),"")</f>
        <v/>
      </c>
      <c r="W5076" s="74" t="str">
        <f>IFERROR(VLOOKUP($O5076,'Customer List'!$A$1:$J$488,10,FALSE),"")</f>
        <v/>
      </c>
    </row>
    <row r="5077" spans="18:23">
      <c r="R5077" s="127">
        <f t="shared" si="233"/>
        <v>0</v>
      </c>
      <c r="T5077" s="128">
        <f t="shared" si="234"/>
        <v>0</v>
      </c>
      <c r="U5077" s="129" t="str">
        <f>IFERROR(IF(#REF!="S",VLOOKUP('Raw Data'!A5077,References!#REF!,2,FALSE),(VLOOKUP($S5077,References!$B$3:$C$7,2,FALSE))),"")</f>
        <v/>
      </c>
      <c r="W5077" s="74" t="str">
        <f>IFERROR(VLOOKUP($O5077,'Customer List'!$A$1:$J$488,10,FALSE),"")</f>
        <v/>
      </c>
    </row>
    <row r="5078" spans="18:23">
      <c r="R5078" s="127">
        <f t="shared" si="233"/>
        <v>0</v>
      </c>
      <c r="T5078" s="128">
        <f t="shared" si="234"/>
        <v>0</v>
      </c>
      <c r="U5078" s="129" t="str">
        <f>IFERROR(IF(#REF!="S",VLOOKUP('Raw Data'!A5078,References!#REF!,2,FALSE),(VLOOKUP($S5078,References!$B$3:$C$7,2,FALSE))),"")</f>
        <v/>
      </c>
      <c r="W5078" s="74" t="str">
        <f>IFERROR(VLOOKUP($O5078,'Customer List'!$A$1:$J$488,10,FALSE),"")</f>
        <v/>
      </c>
    </row>
    <row r="5079" spans="18:23">
      <c r="R5079" s="127">
        <f t="shared" si="233"/>
        <v>0</v>
      </c>
      <c r="T5079" s="128">
        <f t="shared" si="234"/>
        <v>0</v>
      </c>
      <c r="U5079" s="129" t="str">
        <f>IFERROR(IF(#REF!="S",VLOOKUP('Raw Data'!A5079,References!#REF!,2,FALSE),(VLOOKUP($S5079,References!$B$3:$C$7,2,FALSE))),"")</f>
        <v/>
      </c>
      <c r="W5079" s="74" t="str">
        <f>IFERROR(VLOOKUP($O5079,'Customer List'!$A$1:$J$488,10,FALSE),"")</f>
        <v/>
      </c>
    </row>
    <row r="5080" spans="18:23">
      <c r="R5080" s="127">
        <f t="shared" si="233"/>
        <v>0</v>
      </c>
      <c r="T5080" s="128">
        <f t="shared" si="234"/>
        <v>0</v>
      </c>
      <c r="U5080" s="129" t="str">
        <f>IFERROR(IF(#REF!="S",VLOOKUP('Raw Data'!A5080,References!#REF!,2,FALSE),(VLOOKUP($S5080,References!$B$3:$C$7,2,FALSE))),"")</f>
        <v/>
      </c>
      <c r="W5080" s="74" t="str">
        <f>IFERROR(VLOOKUP($O5080,'Customer List'!$A$1:$J$488,10,FALSE),"")</f>
        <v/>
      </c>
    </row>
    <row r="5081" spans="18:23">
      <c r="R5081" s="127">
        <f t="shared" si="233"/>
        <v>0</v>
      </c>
      <c r="T5081" s="128">
        <f t="shared" si="234"/>
        <v>0</v>
      </c>
      <c r="U5081" s="129" t="str">
        <f>IFERROR(IF(#REF!="S",VLOOKUP('Raw Data'!A5081,References!#REF!,2,FALSE),(VLOOKUP($S5081,References!$B$3:$C$7,2,FALSE))),"")</f>
        <v/>
      </c>
      <c r="W5081" s="74" t="str">
        <f>IFERROR(VLOOKUP($O5081,'Customer List'!$A$1:$J$488,10,FALSE),"")</f>
        <v/>
      </c>
    </row>
    <row r="5082" spans="18:23">
      <c r="R5082" s="127">
        <f t="shared" si="233"/>
        <v>0</v>
      </c>
      <c r="T5082" s="128">
        <f t="shared" si="234"/>
        <v>0</v>
      </c>
      <c r="U5082" s="129" t="str">
        <f>IFERROR(IF(#REF!="S",VLOOKUP('Raw Data'!A5082,References!#REF!,2,FALSE),(VLOOKUP($S5082,References!$B$3:$C$7,2,FALSE))),"")</f>
        <v/>
      </c>
      <c r="W5082" s="74" t="str">
        <f>IFERROR(VLOOKUP($O5082,'Customer List'!$A$1:$J$488,10,FALSE),"")</f>
        <v/>
      </c>
    </row>
    <row r="5083" spans="18:23">
      <c r="R5083" s="127">
        <f t="shared" si="233"/>
        <v>0</v>
      </c>
      <c r="T5083" s="128">
        <f t="shared" si="234"/>
        <v>0</v>
      </c>
      <c r="U5083" s="129" t="str">
        <f>IFERROR(IF(#REF!="S",VLOOKUP('Raw Data'!A5083,References!#REF!,2,FALSE),(VLOOKUP($S5083,References!$B$3:$C$7,2,FALSE))),"")</f>
        <v/>
      </c>
      <c r="W5083" s="74" t="str">
        <f>IFERROR(VLOOKUP($O5083,'Customer List'!$A$1:$J$488,10,FALSE),"")</f>
        <v/>
      </c>
    </row>
    <row r="5084" spans="18:23">
      <c r="R5084" s="127">
        <f t="shared" si="233"/>
        <v>0</v>
      </c>
      <c r="T5084" s="128">
        <f t="shared" si="234"/>
        <v>0</v>
      </c>
      <c r="U5084" s="129" t="str">
        <f>IFERROR(IF(#REF!="S",VLOOKUP('Raw Data'!A5084,References!#REF!,2,FALSE),(VLOOKUP($S5084,References!$B$3:$C$7,2,FALSE))),"")</f>
        <v/>
      </c>
      <c r="W5084" s="74" t="str">
        <f>IFERROR(VLOOKUP($O5084,'Customer List'!$A$1:$J$488,10,FALSE),"")</f>
        <v/>
      </c>
    </row>
    <row r="5085" spans="18:23">
      <c r="R5085" s="127">
        <f t="shared" si="233"/>
        <v>0</v>
      </c>
      <c r="T5085" s="128">
        <f t="shared" si="234"/>
        <v>0</v>
      </c>
      <c r="U5085" s="129" t="str">
        <f>IFERROR(IF(#REF!="S",VLOOKUP('Raw Data'!A5085,References!#REF!,2,FALSE),(VLOOKUP($S5085,References!$B$3:$C$7,2,FALSE))),"")</f>
        <v/>
      </c>
      <c r="W5085" s="74" t="str">
        <f>IFERROR(VLOOKUP($O5085,'Customer List'!$A$1:$J$488,10,FALSE),"")</f>
        <v/>
      </c>
    </row>
    <row r="5086" spans="18:23">
      <c r="R5086" s="127">
        <f t="shared" si="233"/>
        <v>0</v>
      </c>
      <c r="T5086" s="128">
        <f t="shared" si="234"/>
        <v>0</v>
      </c>
      <c r="U5086" s="129" t="str">
        <f>IFERROR(IF(#REF!="S",VLOOKUP('Raw Data'!A5086,References!#REF!,2,FALSE),(VLOOKUP($S5086,References!$B$3:$C$7,2,FALSE))),"")</f>
        <v/>
      </c>
      <c r="W5086" s="74" t="str">
        <f>IFERROR(VLOOKUP($O5086,'Customer List'!$A$1:$J$488,10,FALSE),"")</f>
        <v/>
      </c>
    </row>
    <row r="5087" spans="18:23">
      <c r="R5087" s="127">
        <f t="shared" si="233"/>
        <v>0</v>
      </c>
      <c r="T5087" s="128">
        <f t="shared" si="234"/>
        <v>0</v>
      </c>
      <c r="U5087" s="129" t="str">
        <f>IFERROR(IF(#REF!="S",VLOOKUP('Raw Data'!A5087,References!#REF!,2,FALSE),(VLOOKUP($S5087,References!$B$3:$C$7,2,FALSE))),"")</f>
        <v/>
      </c>
      <c r="W5087" s="74" t="str">
        <f>IFERROR(VLOOKUP($O5087,'Customer List'!$A$1:$J$488,10,FALSE),"")</f>
        <v/>
      </c>
    </row>
    <row r="5088" spans="18:23">
      <c r="R5088" s="127">
        <f t="shared" si="233"/>
        <v>0</v>
      </c>
      <c r="T5088" s="128">
        <f t="shared" si="234"/>
        <v>0</v>
      </c>
      <c r="U5088" s="129" t="str">
        <f>IFERROR(IF(#REF!="S",VLOOKUP('Raw Data'!A5088,References!#REF!,2,FALSE),(VLOOKUP($S5088,References!$B$3:$C$7,2,FALSE))),"")</f>
        <v/>
      </c>
      <c r="W5088" s="74" t="str">
        <f>IFERROR(VLOOKUP($O5088,'Customer List'!$A$1:$J$488,10,FALSE),"")</f>
        <v/>
      </c>
    </row>
    <row r="5089" spans="18:23">
      <c r="R5089" s="127">
        <f t="shared" si="233"/>
        <v>0</v>
      </c>
      <c r="T5089" s="128">
        <f t="shared" si="234"/>
        <v>0</v>
      </c>
      <c r="U5089" s="129" t="str">
        <f>IFERROR(IF(#REF!="S",VLOOKUP('Raw Data'!A5089,References!#REF!,2,FALSE),(VLOOKUP($S5089,References!$B$3:$C$7,2,FALSE))),"")</f>
        <v/>
      </c>
      <c r="W5089" s="74" t="str">
        <f>IFERROR(VLOOKUP($O5089,'Customer List'!$A$1:$J$488,10,FALSE),"")</f>
        <v/>
      </c>
    </row>
    <row r="5090" spans="18:23">
      <c r="R5090" s="127">
        <f t="shared" ref="R5090:R5153" si="235">L5090-K5090</f>
        <v>0</v>
      </c>
      <c r="T5090" s="128">
        <f t="shared" si="234"/>
        <v>0</v>
      </c>
      <c r="U5090" s="129" t="str">
        <f>IFERROR(IF(#REF!="S",VLOOKUP('Raw Data'!A5090,References!#REF!,2,FALSE),(VLOOKUP($S5090,References!$B$3:$C$7,2,FALSE))),"")</f>
        <v/>
      </c>
      <c r="W5090" s="74" t="str">
        <f>IFERROR(VLOOKUP($O5090,'Customer List'!$A$1:$J$488,10,FALSE),"")</f>
        <v/>
      </c>
    </row>
    <row r="5091" spans="18:23">
      <c r="R5091" s="127">
        <f t="shared" si="235"/>
        <v>0</v>
      </c>
      <c r="T5091" s="128">
        <f t="shared" si="234"/>
        <v>0</v>
      </c>
      <c r="U5091" s="129" t="str">
        <f>IFERROR(IF(#REF!="S",VLOOKUP('Raw Data'!A5091,References!#REF!,2,FALSE),(VLOOKUP($S5091,References!$B$3:$C$7,2,FALSE))),"")</f>
        <v/>
      </c>
      <c r="W5091" s="74" t="str">
        <f>IFERROR(VLOOKUP($O5091,'Customer List'!$A$1:$J$488,10,FALSE),"")</f>
        <v/>
      </c>
    </row>
    <row r="5092" spans="18:23">
      <c r="R5092" s="127">
        <f t="shared" si="235"/>
        <v>0</v>
      </c>
      <c r="T5092" s="128">
        <f t="shared" si="234"/>
        <v>0</v>
      </c>
      <c r="U5092" s="129" t="str">
        <f>IFERROR(IF(#REF!="S",VLOOKUP('Raw Data'!A5092,References!#REF!,2,FALSE),(VLOOKUP($S5092,References!$B$3:$C$7,2,FALSE))),"")</f>
        <v/>
      </c>
      <c r="W5092" s="74" t="str">
        <f>IFERROR(VLOOKUP($O5092,'Customer List'!$A$1:$J$488,10,FALSE),"")</f>
        <v/>
      </c>
    </row>
    <row r="5093" spans="18:23">
      <c r="R5093" s="127">
        <f t="shared" si="235"/>
        <v>0</v>
      </c>
      <c r="T5093" s="128">
        <f t="shared" si="234"/>
        <v>0</v>
      </c>
      <c r="U5093" s="129" t="str">
        <f>IFERROR(IF(#REF!="S",VLOOKUP('Raw Data'!A5093,References!#REF!,2,FALSE),(VLOOKUP($S5093,References!$B$3:$C$7,2,FALSE))),"")</f>
        <v/>
      </c>
      <c r="W5093" s="74" t="str">
        <f>IFERROR(VLOOKUP($O5093,'Customer List'!$A$1:$J$488,10,FALSE),"")</f>
        <v/>
      </c>
    </row>
    <row r="5094" spans="18:23">
      <c r="R5094" s="127">
        <f t="shared" si="235"/>
        <v>0</v>
      </c>
      <c r="T5094" s="128">
        <f t="shared" si="234"/>
        <v>0</v>
      </c>
      <c r="U5094" s="129" t="str">
        <f>IFERROR(IF(#REF!="S",VLOOKUP('Raw Data'!A5094,References!#REF!,2,FALSE),(VLOOKUP($S5094,References!$B$3:$C$7,2,FALSE))),"")</f>
        <v/>
      </c>
      <c r="W5094" s="74" t="str">
        <f>IFERROR(VLOOKUP($O5094,'Customer List'!$A$1:$J$488,10,FALSE),"")</f>
        <v/>
      </c>
    </row>
    <row r="5095" spans="18:23">
      <c r="R5095" s="127">
        <f t="shared" si="235"/>
        <v>0</v>
      </c>
      <c r="T5095" s="128">
        <f t="shared" si="234"/>
        <v>0</v>
      </c>
      <c r="U5095" s="129" t="str">
        <f>IFERROR(IF(#REF!="S",VLOOKUP('Raw Data'!A5095,References!#REF!,2,FALSE),(VLOOKUP($S5095,References!$B$3:$C$7,2,FALSE))),"")</f>
        <v/>
      </c>
      <c r="W5095" s="74" t="str">
        <f>IFERROR(VLOOKUP($O5095,'Customer List'!$A$1:$J$488,10,FALSE),"")</f>
        <v/>
      </c>
    </row>
    <row r="5096" spans="18:23">
      <c r="R5096" s="127">
        <f t="shared" si="235"/>
        <v>0</v>
      </c>
      <c r="T5096" s="128">
        <f t="shared" si="234"/>
        <v>0</v>
      </c>
      <c r="U5096" s="129" t="str">
        <f>IFERROR(IF(#REF!="S",VLOOKUP('Raw Data'!A5096,References!#REF!,2,FALSE),(VLOOKUP($S5096,References!$B$3:$C$7,2,FALSE))),"")</f>
        <v/>
      </c>
      <c r="W5096" s="74" t="str">
        <f>IFERROR(VLOOKUP($O5096,'Customer List'!$A$1:$J$488,10,FALSE),"")</f>
        <v/>
      </c>
    </row>
    <row r="5097" spans="18:23">
      <c r="R5097" s="127">
        <f t="shared" si="235"/>
        <v>0</v>
      </c>
      <c r="T5097" s="128">
        <f t="shared" si="234"/>
        <v>0</v>
      </c>
      <c r="U5097" s="129" t="str">
        <f>IFERROR(IF(#REF!="S",VLOOKUP('Raw Data'!A5097,References!#REF!,2,FALSE),(VLOOKUP($S5097,References!$B$3:$C$7,2,FALSE))),"")</f>
        <v/>
      </c>
      <c r="W5097" s="74" t="str">
        <f>IFERROR(VLOOKUP($O5097,'Customer List'!$A$1:$J$488,10,FALSE),"")</f>
        <v/>
      </c>
    </row>
    <row r="5098" spans="18:23">
      <c r="R5098" s="127">
        <f t="shared" si="235"/>
        <v>0</v>
      </c>
      <c r="T5098" s="128">
        <f t="shared" si="234"/>
        <v>0</v>
      </c>
      <c r="U5098" s="129" t="str">
        <f>IFERROR(IF(#REF!="S",VLOOKUP('Raw Data'!A5098,References!#REF!,2,FALSE),(VLOOKUP($S5098,References!$B$3:$C$7,2,FALSE))),"")</f>
        <v/>
      </c>
      <c r="W5098" s="74" t="str">
        <f>IFERROR(VLOOKUP($O5098,'Customer List'!$A$1:$J$488,10,FALSE),"")</f>
        <v/>
      </c>
    </row>
    <row r="5099" spans="18:23">
      <c r="R5099" s="127">
        <f t="shared" si="235"/>
        <v>0</v>
      </c>
      <c r="T5099" s="128">
        <f t="shared" si="234"/>
        <v>0</v>
      </c>
      <c r="U5099" s="129" t="str">
        <f>IFERROR(IF(#REF!="S",VLOOKUP('Raw Data'!A5099,References!#REF!,2,FALSE),(VLOOKUP($S5099,References!$B$3:$C$7,2,FALSE))),"")</f>
        <v/>
      </c>
      <c r="W5099" s="74" t="str">
        <f>IFERROR(VLOOKUP($O5099,'Customer List'!$A$1:$J$488,10,FALSE),"")</f>
        <v/>
      </c>
    </row>
    <row r="5100" spans="18:23">
      <c r="R5100" s="127">
        <f t="shared" si="235"/>
        <v>0</v>
      </c>
      <c r="T5100" s="128">
        <f t="shared" si="234"/>
        <v>0</v>
      </c>
      <c r="U5100" s="129" t="str">
        <f>IFERROR(IF(#REF!="S",VLOOKUP('Raw Data'!A5100,References!#REF!,2,FALSE),(VLOOKUP($S5100,References!$B$3:$C$7,2,FALSE))),"")</f>
        <v/>
      </c>
      <c r="W5100" s="74" t="str">
        <f>IFERROR(VLOOKUP($O5100,'Customer List'!$A$1:$J$488,10,FALSE),"")</f>
        <v/>
      </c>
    </row>
    <row r="5101" spans="18:23">
      <c r="R5101" s="127">
        <f t="shared" si="235"/>
        <v>0</v>
      </c>
      <c r="T5101" s="128">
        <f t="shared" si="234"/>
        <v>0</v>
      </c>
      <c r="U5101" s="129" t="str">
        <f>IFERROR(IF(#REF!="S",VLOOKUP('Raw Data'!A5101,References!#REF!,2,FALSE),(VLOOKUP($S5101,References!$B$3:$C$7,2,FALSE))),"")</f>
        <v/>
      </c>
      <c r="W5101" s="74" t="str">
        <f>IFERROR(VLOOKUP($O5101,'Customer List'!$A$1:$J$488,10,FALSE),"")</f>
        <v/>
      </c>
    </row>
    <row r="5102" spans="18:23">
      <c r="R5102" s="127">
        <f t="shared" si="235"/>
        <v>0</v>
      </c>
      <c r="T5102" s="128">
        <f t="shared" si="234"/>
        <v>0</v>
      </c>
      <c r="U5102" s="129" t="str">
        <f>IFERROR(IF(#REF!="S",VLOOKUP('Raw Data'!A5102,References!#REF!,2,FALSE),(VLOOKUP($S5102,References!$B$3:$C$7,2,FALSE))),"")</f>
        <v/>
      </c>
      <c r="W5102" s="74" t="str">
        <f>IFERROR(VLOOKUP($O5102,'Customer List'!$A$1:$J$488,10,FALSE),"")</f>
        <v/>
      </c>
    </row>
    <row r="5103" spans="18:23">
      <c r="R5103" s="127">
        <f t="shared" si="235"/>
        <v>0</v>
      </c>
      <c r="T5103" s="128">
        <f t="shared" si="234"/>
        <v>0</v>
      </c>
      <c r="U5103" s="129" t="str">
        <f>IFERROR(IF(#REF!="S",VLOOKUP('Raw Data'!A5103,References!#REF!,2,FALSE),(VLOOKUP($S5103,References!$B$3:$C$7,2,FALSE))),"")</f>
        <v/>
      </c>
      <c r="W5103" s="74" t="str">
        <f>IFERROR(VLOOKUP($O5103,'Customer List'!$A$1:$J$488,10,FALSE),"")</f>
        <v/>
      </c>
    </row>
    <row r="5104" spans="18:23">
      <c r="R5104" s="127">
        <f t="shared" si="235"/>
        <v>0</v>
      </c>
      <c r="T5104" s="128">
        <f t="shared" si="234"/>
        <v>0</v>
      </c>
      <c r="U5104" s="129" t="str">
        <f>IFERROR(IF(#REF!="S",VLOOKUP('Raw Data'!A5104,References!#REF!,2,FALSE),(VLOOKUP($S5104,References!$B$3:$C$7,2,FALSE))),"")</f>
        <v/>
      </c>
      <c r="W5104" s="74" t="str">
        <f>IFERROR(VLOOKUP($O5104,'Customer List'!$A$1:$J$488,10,FALSE),"")</f>
        <v/>
      </c>
    </row>
    <row r="5105" spans="18:23">
      <c r="R5105" s="127">
        <f t="shared" si="235"/>
        <v>0</v>
      </c>
      <c r="T5105" s="128">
        <f t="shared" si="234"/>
        <v>0</v>
      </c>
      <c r="U5105" s="129" t="str">
        <f>IFERROR(IF(#REF!="S",VLOOKUP('Raw Data'!A5105,References!#REF!,2,FALSE),(VLOOKUP($S5105,References!$B$3:$C$7,2,FALSE))),"")</f>
        <v/>
      </c>
      <c r="W5105" s="74" t="str">
        <f>IFERROR(VLOOKUP($O5105,'Customer List'!$A$1:$J$488,10,FALSE),"")</f>
        <v/>
      </c>
    </row>
    <row r="5106" spans="18:23">
      <c r="R5106" s="127">
        <f t="shared" si="235"/>
        <v>0</v>
      </c>
      <c r="T5106" s="128">
        <f t="shared" si="234"/>
        <v>0</v>
      </c>
      <c r="U5106" s="129" t="str">
        <f>IFERROR(IF(#REF!="S",VLOOKUP('Raw Data'!A5106,References!#REF!,2,FALSE),(VLOOKUP($S5106,References!$B$3:$C$7,2,FALSE))),"")</f>
        <v/>
      </c>
      <c r="W5106" s="74" t="str">
        <f>IFERROR(VLOOKUP($O5106,'Customer List'!$A$1:$J$488,10,FALSE),"")</f>
        <v/>
      </c>
    </row>
    <row r="5107" spans="18:23">
      <c r="R5107" s="127">
        <f t="shared" si="235"/>
        <v>0</v>
      </c>
      <c r="T5107" s="128">
        <f t="shared" si="234"/>
        <v>0</v>
      </c>
      <c r="U5107" s="129" t="str">
        <f>IFERROR(IF(#REF!="S",VLOOKUP('Raw Data'!A5107,References!#REF!,2,FALSE),(VLOOKUP($S5107,References!$B$3:$C$7,2,FALSE))),"")</f>
        <v/>
      </c>
      <c r="W5107" s="74" t="str">
        <f>IFERROR(VLOOKUP($O5107,'Customer List'!$A$1:$J$488,10,FALSE),"")</f>
        <v/>
      </c>
    </row>
    <row r="5108" spans="18:23">
      <c r="R5108" s="127">
        <f t="shared" si="235"/>
        <v>0</v>
      </c>
      <c r="T5108" s="128">
        <f t="shared" si="234"/>
        <v>0</v>
      </c>
      <c r="U5108" s="129" t="str">
        <f>IFERROR(IF(#REF!="S",VLOOKUP('Raw Data'!A5108,References!#REF!,2,FALSE),(VLOOKUP($S5108,References!$B$3:$C$7,2,FALSE))),"")</f>
        <v/>
      </c>
      <c r="W5108" s="74" t="str">
        <f>IFERROR(VLOOKUP($O5108,'Customer List'!$A$1:$J$488,10,FALSE),"")</f>
        <v/>
      </c>
    </row>
    <row r="5109" spans="18:23">
      <c r="R5109" s="127">
        <f t="shared" si="235"/>
        <v>0</v>
      </c>
      <c r="T5109" s="128">
        <f t="shared" si="234"/>
        <v>0</v>
      </c>
      <c r="U5109" s="129" t="str">
        <f>IFERROR(IF(#REF!="S",VLOOKUP('Raw Data'!A5109,References!#REF!,2,FALSE),(VLOOKUP($S5109,References!$B$3:$C$7,2,FALSE))),"")</f>
        <v/>
      </c>
      <c r="W5109" s="74" t="str">
        <f>IFERROR(VLOOKUP($O5109,'Customer List'!$A$1:$J$488,10,FALSE),"")</f>
        <v/>
      </c>
    </row>
    <row r="5110" spans="18:23">
      <c r="R5110" s="127">
        <f t="shared" si="235"/>
        <v>0</v>
      </c>
      <c r="T5110" s="128">
        <f t="shared" si="234"/>
        <v>0</v>
      </c>
      <c r="U5110" s="129" t="str">
        <f>IFERROR(IF(#REF!="S",VLOOKUP('Raw Data'!A5110,References!#REF!,2,FALSE),(VLOOKUP($S5110,References!$B$3:$C$7,2,FALSE))),"")</f>
        <v/>
      </c>
      <c r="W5110" s="74" t="str">
        <f>IFERROR(VLOOKUP($O5110,'Customer List'!$A$1:$J$488,10,FALSE),"")</f>
        <v/>
      </c>
    </row>
    <row r="5111" spans="18:23">
      <c r="R5111" s="127">
        <f t="shared" si="235"/>
        <v>0</v>
      </c>
      <c r="T5111" s="128">
        <f t="shared" si="234"/>
        <v>0</v>
      </c>
      <c r="U5111" s="129" t="str">
        <f>IFERROR(IF(#REF!="S",VLOOKUP('Raw Data'!A5111,References!#REF!,2,FALSE),(VLOOKUP($S5111,References!$B$3:$C$7,2,FALSE))),"")</f>
        <v/>
      </c>
      <c r="W5111" s="74" t="str">
        <f>IFERROR(VLOOKUP($O5111,'Customer List'!$A$1:$J$488,10,FALSE),"")</f>
        <v/>
      </c>
    </row>
    <row r="5112" spans="18:23">
      <c r="R5112" s="127">
        <f t="shared" si="235"/>
        <v>0</v>
      </c>
      <c r="T5112" s="128">
        <f t="shared" si="234"/>
        <v>0</v>
      </c>
      <c r="U5112" s="129" t="str">
        <f>IFERROR(IF(#REF!="S",VLOOKUP('Raw Data'!A5112,References!#REF!,2,FALSE),(VLOOKUP($S5112,References!$B$3:$C$7,2,FALSE))),"")</f>
        <v/>
      </c>
      <c r="W5112" s="74" t="str">
        <f>IFERROR(VLOOKUP($O5112,'Customer List'!$A$1:$J$488,10,FALSE),"")</f>
        <v/>
      </c>
    </row>
    <row r="5113" spans="18:23">
      <c r="R5113" s="127">
        <f t="shared" si="235"/>
        <v>0</v>
      </c>
      <c r="T5113" s="128">
        <f t="shared" si="234"/>
        <v>0</v>
      </c>
      <c r="U5113" s="129" t="str">
        <f>IFERROR(IF(#REF!="S",VLOOKUP('Raw Data'!A5113,References!#REF!,2,FALSE),(VLOOKUP($S5113,References!$B$3:$C$7,2,FALSE))),"")</f>
        <v/>
      </c>
      <c r="W5113" s="74" t="str">
        <f>IFERROR(VLOOKUP($O5113,'Customer List'!$A$1:$J$488,10,FALSE),"")</f>
        <v/>
      </c>
    </row>
    <row r="5114" spans="18:23">
      <c r="R5114" s="127">
        <f t="shared" si="235"/>
        <v>0</v>
      </c>
      <c r="T5114" s="128">
        <f t="shared" si="234"/>
        <v>0</v>
      </c>
      <c r="U5114" s="129" t="str">
        <f>IFERROR(IF(#REF!="S",VLOOKUP('Raw Data'!A5114,References!#REF!,2,FALSE),(VLOOKUP($S5114,References!$B$3:$C$7,2,FALSE))),"")</f>
        <v/>
      </c>
      <c r="W5114" s="74" t="str">
        <f>IFERROR(VLOOKUP($O5114,'Customer List'!$A$1:$J$488,10,FALSE),"")</f>
        <v/>
      </c>
    </row>
    <row r="5115" spans="18:23">
      <c r="R5115" s="127">
        <f t="shared" si="235"/>
        <v>0</v>
      </c>
      <c r="T5115" s="128">
        <f t="shared" si="234"/>
        <v>0</v>
      </c>
      <c r="U5115" s="129" t="str">
        <f>IFERROR(IF(#REF!="S",VLOOKUP('Raw Data'!A5115,References!#REF!,2,FALSE),(VLOOKUP($S5115,References!$B$3:$C$7,2,FALSE))),"")</f>
        <v/>
      </c>
      <c r="W5115" s="74" t="str">
        <f>IFERROR(VLOOKUP($O5115,'Customer List'!$A$1:$J$488,10,FALSE),"")</f>
        <v/>
      </c>
    </row>
    <row r="5116" spans="18:23">
      <c r="R5116" s="127">
        <f t="shared" si="235"/>
        <v>0</v>
      </c>
      <c r="T5116" s="128">
        <f t="shared" si="234"/>
        <v>0</v>
      </c>
      <c r="U5116" s="129" t="str">
        <f>IFERROR(IF(#REF!="S",VLOOKUP('Raw Data'!A5116,References!#REF!,2,FALSE),(VLOOKUP($S5116,References!$B$3:$C$7,2,FALSE))),"")</f>
        <v/>
      </c>
      <c r="W5116" s="74" t="str">
        <f>IFERROR(VLOOKUP($O5116,'Customer List'!$A$1:$J$488,10,FALSE),"")</f>
        <v/>
      </c>
    </row>
    <row r="5117" spans="18:23">
      <c r="R5117" s="127">
        <f t="shared" si="235"/>
        <v>0</v>
      </c>
      <c r="T5117" s="128">
        <f t="shared" si="234"/>
        <v>0</v>
      </c>
      <c r="U5117" s="129" t="str">
        <f>IFERROR(IF(#REF!="S",VLOOKUP('Raw Data'!A5117,References!#REF!,2,FALSE),(VLOOKUP($S5117,References!$B$3:$C$7,2,FALSE))),"")</f>
        <v/>
      </c>
      <c r="W5117" s="74" t="str">
        <f>IFERROR(VLOOKUP($O5117,'Customer List'!$A$1:$J$488,10,FALSE),"")</f>
        <v/>
      </c>
    </row>
    <row r="5118" spans="18:23">
      <c r="R5118" s="127">
        <f t="shared" si="235"/>
        <v>0</v>
      </c>
      <c r="T5118" s="128">
        <f t="shared" si="234"/>
        <v>0</v>
      </c>
      <c r="U5118" s="129" t="str">
        <f>IFERROR(IF(#REF!="S",VLOOKUP('Raw Data'!A5118,References!#REF!,2,FALSE),(VLOOKUP($S5118,References!$B$3:$C$7,2,FALSE))),"")</f>
        <v/>
      </c>
      <c r="W5118" s="74" t="str">
        <f>IFERROR(VLOOKUP($O5118,'Customer List'!$A$1:$J$488,10,FALSE),"")</f>
        <v/>
      </c>
    </row>
    <row r="5119" spans="18:23">
      <c r="R5119" s="127">
        <f t="shared" si="235"/>
        <v>0</v>
      </c>
      <c r="T5119" s="128">
        <f t="shared" si="234"/>
        <v>0</v>
      </c>
      <c r="U5119" s="129" t="str">
        <f>IFERROR(IF(#REF!="S",VLOOKUP('Raw Data'!A5119,References!#REF!,2,FALSE),(VLOOKUP($S5119,References!$B$3:$C$7,2,FALSE))),"")</f>
        <v/>
      </c>
      <c r="W5119" s="74" t="str">
        <f>IFERROR(VLOOKUP($O5119,'Customer List'!$A$1:$J$488,10,FALSE),"")</f>
        <v/>
      </c>
    </row>
    <row r="5120" spans="18:23">
      <c r="R5120" s="127">
        <f t="shared" si="235"/>
        <v>0</v>
      </c>
      <c r="T5120" s="128">
        <f t="shared" si="234"/>
        <v>0</v>
      </c>
      <c r="U5120" s="129" t="str">
        <f>IFERROR(IF(#REF!="S",VLOOKUP('Raw Data'!A5120,References!#REF!,2,FALSE),(VLOOKUP($S5120,References!$B$3:$C$7,2,FALSE))),"")</f>
        <v/>
      </c>
      <c r="W5120" s="74" t="str">
        <f>IFERROR(VLOOKUP($O5120,'Customer List'!$A$1:$J$488,10,FALSE),"")</f>
        <v/>
      </c>
    </row>
    <row r="5121" spans="18:23">
      <c r="R5121" s="127">
        <f t="shared" si="235"/>
        <v>0</v>
      </c>
      <c r="T5121" s="128">
        <f t="shared" si="234"/>
        <v>0</v>
      </c>
      <c r="U5121" s="129" t="str">
        <f>IFERROR(IF(#REF!="S",VLOOKUP('Raw Data'!A5121,References!#REF!,2,FALSE),(VLOOKUP($S5121,References!$B$3:$C$7,2,FALSE))),"")</f>
        <v/>
      </c>
      <c r="W5121" s="74" t="str">
        <f>IFERROR(VLOOKUP($O5121,'Customer List'!$A$1:$J$488,10,FALSE),"")</f>
        <v/>
      </c>
    </row>
    <row r="5122" spans="18:23">
      <c r="R5122" s="127">
        <f t="shared" si="235"/>
        <v>0</v>
      </c>
      <c r="T5122" s="128">
        <f t="shared" si="234"/>
        <v>0</v>
      </c>
      <c r="U5122" s="129" t="str">
        <f>IFERROR(IF(#REF!="S",VLOOKUP('Raw Data'!A5122,References!#REF!,2,FALSE),(VLOOKUP($S5122,References!$B$3:$C$7,2,FALSE))),"")</f>
        <v/>
      </c>
      <c r="W5122" s="74" t="str">
        <f>IFERROR(VLOOKUP($O5122,'Customer List'!$A$1:$J$488,10,FALSE),"")</f>
        <v/>
      </c>
    </row>
    <row r="5123" spans="18:23">
      <c r="R5123" s="127">
        <f t="shared" si="235"/>
        <v>0</v>
      </c>
      <c r="T5123" s="128">
        <f t="shared" si="234"/>
        <v>0</v>
      </c>
      <c r="U5123" s="129" t="str">
        <f>IFERROR(IF(#REF!="S",VLOOKUP('Raw Data'!A5123,References!#REF!,2,FALSE),(VLOOKUP($S5123,References!$B$3:$C$7,2,FALSE))),"")</f>
        <v/>
      </c>
      <c r="W5123" s="74" t="str">
        <f>IFERROR(VLOOKUP($O5123,'Customer List'!$A$1:$J$488,10,FALSE),"")</f>
        <v/>
      </c>
    </row>
    <row r="5124" spans="18:23">
      <c r="R5124" s="127">
        <f t="shared" si="235"/>
        <v>0</v>
      </c>
      <c r="T5124" s="128">
        <f t="shared" si="234"/>
        <v>0</v>
      </c>
      <c r="U5124" s="129" t="str">
        <f>IFERROR(IF(#REF!="S",VLOOKUP('Raw Data'!A5124,References!#REF!,2,FALSE),(VLOOKUP($S5124,References!$B$3:$C$7,2,FALSE))),"")</f>
        <v/>
      </c>
      <c r="W5124" s="74" t="str">
        <f>IFERROR(VLOOKUP($O5124,'Customer List'!$A$1:$J$488,10,FALSE),"")</f>
        <v/>
      </c>
    </row>
    <row r="5125" spans="18:23">
      <c r="R5125" s="127">
        <f t="shared" si="235"/>
        <v>0</v>
      </c>
      <c r="T5125" s="128">
        <f t="shared" si="234"/>
        <v>0</v>
      </c>
      <c r="U5125" s="129" t="str">
        <f>IFERROR(IF(#REF!="S",VLOOKUP('Raw Data'!A5125,References!#REF!,2,FALSE),(VLOOKUP($S5125,References!$B$3:$C$7,2,FALSE))),"")</f>
        <v/>
      </c>
      <c r="W5125" s="74" t="str">
        <f>IFERROR(VLOOKUP($O5125,'Customer List'!$A$1:$J$488,10,FALSE),"")</f>
        <v/>
      </c>
    </row>
    <row r="5126" spans="18:23">
      <c r="R5126" s="127">
        <f t="shared" si="235"/>
        <v>0</v>
      </c>
      <c r="T5126" s="128">
        <f t="shared" si="234"/>
        <v>0</v>
      </c>
      <c r="U5126" s="129" t="str">
        <f>IFERROR(IF(#REF!="S",VLOOKUP('Raw Data'!A5126,References!#REF!,2,FALSE),(VLOOKUP($S5126,References!$B$3:$C$7,2,FALSE))),"")</f>
        <v/>
      </c>
      <c r="W5126" s="74" t="str">
        <f>IFERROR(VLOOKUP($O5126,'Customer List'!$A$1:$J$488,10,FALSE),"")</f>
        <v/>
      </c>
    </row>
    <row r="5127" spans="18:23">
      <c r="R5127" s="127">
        <f t="shared" si="235"/>
        <v>0</v>
      </c>
      <c r="T5127" s="128">
        <f t="shared" si="234"/>
        <v>0</v>
      </c>
      <c r="U5127" s="129" t="str">
        <f>IFERROR(IF(#REF!="S",VLOOKUP('Raw Data'!A5127,References!#REF!,2,FALSE),(VLOOKUP($S5127,References!$B$3:$C$7,2,FALSE))),"")</f>
        <v/>
      </c>
      <c r="W5127" s="74" t="str">
        <f>IFERROR(VLOOKUP($O5127,'Customer List'!$A$1:$J$488,10,FALSE),"")</f>
        <v/>
      </c>
    </row>
    <row r="5128" spans="18:23">
      <c r="R5128" s="127">
        <f t="shared" si="235"/>
        <v>0</v>
      </c>
      <c r="T5128" s="128">
        <f t="shared" si="234"/>
        <v>0</v>
      </c>
      <c r="U5128" s="129" t="str">
        <f>IFERROR(IF(#REF!="S",VLOOKUP('Raw Data'!A5128,References!#REF!,2,FALSE),(VLOOKUP($S5128,References!$B$3:$C$7,2,FALSE))),"")</f>
        <v/>
      </c>
      <c r="W5128" s="74" t="str">
        <f>IFERROR(VLOOKUP($O5128,'Customer List'!$A$1:$J$488,10,FALSE),"")</f>
        <v/>
      </c>
    </row>
    <row r="5129" spans="18:23">
      <c r="R5129" s="127">
        <f t="shared" si="235"/>
        <v>0</v>
      </c>
      <c r="T5129" s="128">
        <f t="shared" si="234"/>
        <v>0</v>
      </c>
      <c r="U5129" s="129" t="str">
        <f>IFERROR(IF(#REF!="S",VLOOKUP('Raw Data'!A5129,References!#REF!,2,FALSE),(VLOOKUP($S5129,References!$B$3:$C$7,2,FALSE))),"")</f>
        <v/>
      </c>
      <c r="W5129" s="74" t="str">
        <f>IFERROR(VLOOKUP($O5129,'Customer List'!$A$1:$J$488,10,FALSE),"")</f>
        <v/>
      </c>
    </row>
    <row r="5130" spans="18:23">
      <c r="R5130" s="127">
        <f t="shared" si="235"/>
        <v>0</v>
      </c>
      <c r="T5130" s="128">
        <f t="shared" ref="T5130:T5193" si="236">IF(S5130="50 - Cleaning Fee",1,HOUR($R5130)+MINUTE(R5130)/60)</f>
        <v>0</v>
      </c>
      <c r="U5130" s="129" t="str">
        <f>IFERROR(IF(#REF!="S",VLOOKUP('Raw Data'!A5130,References!#REF!,2,FALSE),(VLOOKUP($S5130,References!$B$3:$C$7,2,FALSE))),"")</f>
        <v/>
      </c>
      <c r="W5130" s="74" t="str">
        <f>IFERROR(VLOOKUP($O5130,'Customer List'!$A$1:$J$488,10,FALSE),"")</f>
        <v/>
      </c>
    </row>
    <row r="5131" spans="18:23">
      <c r="R5131" s="127">
        <f t="shared" si="235"/>
        <v>0</v>
      </c>
      <c r="T5131" s="128">
        <f t="shared" si="236"/>
        <v>0</v>
      </c>
      <c r="U5131" s="129" t="str">
        <f>IFERROR(IF(#REF!="S",VLOOKUP('Raw Data'!A5131,References!#REF!,2,FALSE),(VLOOKUP($S5131,References!$B$3:$C$7,2,FALSE))),"")</f>
        <v/>
      </c>
      <c r="W5131" s="74" t="str">
        <f>IFERROR(VLOOKUP($O5131,'Customer List'!$A$1:$J$488,10,FALSE),"")</f>
        <v/>
      </c>
    </row>
    <row r="5132" spans="18:23">
      <c r="R5132" s="127">
        <f t="shared" si="235"/>
        <v>0</v>
      </c>
      <c r="T5132" s="128">
        <f t="shared" si="236"/>
        <v>0</v>
      </c>
      <c r="U5132" s="129" t="str">
        <f>IFERROR(IF(#REF!="S",VLOOKUP('Raw Data'!A5132,References!#REF!,2,FALSE),(VLOOKUP($S5132,References!$B$3:$C$7,2,FALSE))),"")</f>
        <v/>
      </c>
      <c r="W5132" s="74" t="str">
        <f>IFERROR(VLOOKUP($O5132,'Customer List'!$A$1:$J$488,10,FALSE),"")</f>
        <v/>
      </c>
    </row>
    <row r="5133" spans="18:23">
      <c r="R5133" s="127">
        <f t="shared" si="235"/>
        <v>0</v>
      </c>
      <c r="T5133" s="128">
        <f t="shared" si="236"/>
        <v>0</v>
      </c>
      <c r="U5133" s="129" t="str">
        <f>IFERROR(IF(#REF!="S",VLOOKUP('Raw Data'!A5133,References!#REF!,2,FALSE),(VLOOKUP($S5133,References!$B$3:$C$7,2,FALSE))),"")</f>
        <v/>
      </c>
      <c r="W5133" s="74" t="str">
        <f>IFERROR(VLOOKUP($O5133,'Customer List'!$A$1:$J$488,10,FALSE),"")</f>
        <v/>
      </c>
    </row>
    <row r="5134" spans="18:23">
      <c r="R5134" s="127">
        <f t="shared" si="235"/>
        <v>0</v>
      </c>
      <c r="T5134" s="128">
        <f t="shared" si="236"/>
        <v>0</v>
      </c>
      <c r="U5134" s="129" t="str">
        <f>IFERROR(IF(#REF!="S",VLOOKUP('Raw Data'!A5134,References!#REF!,2,FALSE),(VLOOKUP($S5134,References!$B$3:$C$7,2,FALSE))),"")</f>
        <v/>
      </c>
      <c r="W5134" s="74" t="str">
        <f>IFERROR(VLOOKUP($O5134,'Customer List'!$A$1:$J$488,10,FALSE),"")</f>
        <v/>
      </c>
    </row>
    <row r="5135" spans="18:23">
      <c r="R5135" s="127">
        <f t="shared" si="235"/>
        <v>0</v>
      </c>
      <c r="T5135" s="128">
        <f t="shared" si="236"/>
        <v>0</v>
      </c>
      <c r="U5135" s="129" t="str">
        <f>IFERROR(IF(#REF!="S",VLOOKUP('Raw Data'!A5135,References!#REF!,2,FALSE),(VLOOKUP($S5135,References!$B$3:$C$7,2,FALSE))),"")</f>
        <v/>
      </c>
      <c r="W5135" s="74" t="str">
        <f>IFERROR(VLOOKUP($O5135,'Customer List'!$A$1:$J$488,10,FALSE),"")</f>
        <v/>
      </c>
    </row>
    <row r="5136" spans="18:23">
      <c r="R5136" s="127">
        <f t="shared" si="235"/>
        <v>0</v>
      </c>
      <c r="T5136" s="128">
        <f t="shared" si="236"/>
        <v>0</v>
      </c>
      <c r="U5136" s="129" t="str">
        <f>IFERROR(IF(#REF!="S",VLOOKUP('Raw Data'!A5136,References!#REF!,2,FALSE),(VLOOKUP($S5136,References!$B$3:$C$7,2,FALSE))),"")</f>
        <v/>
      </c>
      <c r="W5136" s="74" t="str">
        <f>IFERROR(VLOOKUP($O5136,'Customer List'!$A$1:$J$488,10,FALSE),"")</f>
        <v/>
      </c>
    </row>
    <row r="5137" spans="18:23">
      <c r="R5137" s="127">
        <f t="shared" si="235"/>
        <v>0</v>
      </c>
      <c r="T5137" s="128">
        <f t="shared" si="236"/>
        <v>0</v>
      </c>
      <c r="U5137" s="129" t="str">
        <f>IFERROR(IF(#REF!="S",VLOOKUP('Raw Data'!A5137,References!#REF!,2,FALSE),(VLOOKUP($S5137,References!$B$3:$C$7,2,FALSE))),"")</f>
        <v/>
      </c>
      <c r="W5137" s="74" t="str">
        <f>IFERROR(VLOOKUP($O5137,'Customer List'!$A$1:$J$488,10,FALSE),"")</f>
        <v/>
      </c>
    </row>
    <row r="5138" spans="18:23">
      <c r="R5138" s="127">
        <f t="shared" si="235"/>
        <v>0</v>
      </c>
      <c r="T5138" s="128">
        <f t="shared" si="236"/>
        <v>0</v>
      </c>
      <c r="U5138" s="129" t="str">
        <f>IFERROR(IF(#REF!="S",VLOOKUP('Raw Data'!A5138,References!#REF!,2,FALSE),(VLOOKUP($S5138,References!$B$3:$C$7,2,FALSE))),"")</f>
        <v/>
      </c>
      <c r="W5138" s="74" t="str">
        <f>IFERROR(VLOOKUP($O5138,'Customer List'!$A$1:$J$488,10,FALSE),"")</f>
        <v/>
      </c>
    </row>
    <row r="5139" spans="18:23">
      <c r="R5139" s="127">
        <f t="shared" si="235"/>
        <v>0</v>
      </c>
      <c r="T5139" s="128">
        <f t="shared" si="236"/>
        <v>0</v>
      </c>
      <c r="U5139" s="129" t="str">
        <f>IFERROR(IF(#REF!="S",VLOOKUP('Raw Data'!A5139,References!#REF!,2,FALSE),(VLOOKUP($S5139,References!$B$3:$C$7,2,FALSE))),"")</f>
        <v/>
      </c>
      <c r="W5139" s="74" t="str">
        <f>IFERROR(VLOOKUP($O5139,'Customer List'!$A$1:$J$488,10,FALSE),"")</f>
        <v/>
      </c>
    </row>
    <row r="5140" spans="18:23">
      <c r="R5140" s="127">
        <f t="shared" si="235"/>
        <v>0</v>
      </c>
      <c r="T5140" s="128">
        <f t="shared" si="236"/>
        <v>0</v>
      </c>
      <c r="U5140" s="129" t="str">
        <f>IFERROR(IF(#REF!="S",VLOOKUP('Raw Data'!A5140,References!#REF!,2,FALSE),(VLOOKUP($S5140,References!$B$3:$C$7,2,FALSE))),"")</f>
        <v/>
      </c>
      <c r="W5140" s="74" t="str">
        <f>IFERROR(VLOOKUP($O5140,'Customer List'!$A$1:$J$488,10,FALSE),"")</f>
        <v/>
      </c>
    </row>
    <row r="5141" spans="18:23">
      <c r="R5141" s="127">
        <f t="shared" si="235"/>
        <v>0</v>
      </c>
      <c r="T5141" s="128">
        <f t="shared" si="236"/>
        <v>0</v>
      </c>
      <c r="U5141" s="129" t="str">
        <f>IFERROR(IF(#REF!="S",VLOOKUP('Raw Data'!A5141,References!#REF!,2,FALSE),(VLOOKUP($S5141,References!$B$3:$C$7,2,FALSE))),"")</f>
        <v/>
      </c>
      <c r="W5141" s="74" t="str">
        <f>IFERROR(VLOOKUP($O5141,'Customer List'!$A$1:$J$488,10,FALSE),"")</f>
        <v/>
      </c>
    </row>
    <row r="5142" spans="18:23">
      <c r="R5142" s="127">
        <f t="shared" si="235"/>
        <v>0</v>
      </c>
      <c r="T5142" s="128">
        <f t="shared" si="236"/>
        <v>0</v>
      </c>
      <c r="U5142" s="129" t="str">
        <f>IFERROR(IF(#REF!="S",VLOOKUP('Raw Data'!A5142,References!#REF!,2,FALSE),(VLOOKUP($S5142,References!$B$3:$C$7,2,FALSE))),"")</f>
        <v/>
      </c>
      <c r="W5142" s="74" t="str">
        <f>IFERROR(VLOOKUP($O5142,'Customer List'!$A$1:$J$488,10,FALSE),"")</f>
        <v/>
      </c>
    </row>
    <row r="5143" spans="18:23">
      <c r="R5143" s="127">
        <f t="shared" si="235"/>
        <v>0</v>
      </c>
      <c r="T5143" s="128">
        <f t="shared" si="236"/>
        <v>0</v>
      </c>
      <c r="U5143" s="129" t="str">
        <f>IFERROR(IF(#REF!="S",VLOOKUP('Raw Data'!A5143,References!#REF!,2,FALSE),(VLOOKUP($S5143,References!$B$3:$C$7,2,FALSE))),"")</f>
        <v/>
      </c>
      <c r="W5143" s="74" t="str">
        <f>IFERROR(VLOOKUP($O5143,'Customer List'!$A$1:$J$488,10,FALSE),"")</f>
        <v/>
      </c>
    </row>
    <row r="5144" spans="18:23">
      <c r="R5144" s="127">
        <f t="shared" si="235"/>
        <v>0</v>
      </c>
      <c r="T5144" s="128">
        <f t="shared" si="236"/>
        <v>0</v>
      </c>
      <c r="U5144" s="129" t="str">
        <f>IFERROR(IF(#REF!="S",VLOOKUP('Raw Data'!A5144,References!#REF!,2,FALSE),(VLOOKUP($S5144,References!$B$3:$C$7,2,FALSE))),"")</f>
        <v/>
      </c>
      <c r="W5144" s="74" t="str">
        <f>IFERROR(VLOOKUP($O5144,'Customer List'!$A$1:$J$488,10,FALSE),"")</f>
        <v/>
      </c>
    </row>
    <row r="5145" spans="18:23">
      <c r="R5145" s="127">
        <f t="shared" si="235"/>
        <v>0</v>
      </c>
      <c r="T5145" s="128">
        <f t="shared" si="236"/>
        <v>0</v>
      </c>
      <c r="U5145" s="129" t="str">
        <f>IFERROR(IF(#REF!="S",VLOOKUP('Raw Data'!A5145,References!#REF!,2,FALSE),(VLOOKUP($S5145,References!$B$3:$C$7,2,FALSE))),"")</f>
        <v/>
      </c>
      <c r="W5145" s="74" t="str">
        <f>IFERROR(VLOOKUP($O5145,'Customer List'!$A$1:$J$488,10,FALSE),"")</f>
        <v/>
      </c>
    </row>
    <row r="5146" spans="18:23">
      <c r="R5146" s="127">
        <f t="shared" si="235"/>
        <v>0</v>
      </c>
      <c r="T5146" s="128">
        <f t="shared" si="236"/>
        <v>0</v>
      </c>
      <c r="U5146" s="129" t="str">
        <f>IFERROR(IF(#REF!="S",VLOOKUP('Raw Data'!A5146,References!#REF!,2,FALSE),(VLOOKUP($S5146,References!$B$3:$C$7,2,FALSE))),"")</f>
        <v/>
      </c>
      <c r="W5146" s="74" t="str">
        <f>IFERROR(VLOOKUP($O5146,'Customer List'!$A$1:$J$488,10,FALSE),"")</f>
        <v/>
      </c>
    </row>
    <row r="5147" spans="18:23">
      <c r="R5147" s="127">
        <f t="shared" si="235"/>
        <v>0</v>
      </c>
      <c r="T5147" s="128">
        <f t="shared" si="236"/>
        <v>0</v>
      </c>
      <c r="U5147" s="129" t="str">
        <f>IFERROR(IF(#REF!="S",VLOOKUP('Raw Data'!A5147,References!#REF!,2,FALSE),(VLOOKUP($S5147,References!$B$3:$C$7,2,FALSE))),"")</f>
        <v/>
      </c>
      <c r="W5147" s="74" t="str">
        <f>IFERROR(VLOOKUP($O5147,'Customer List'!$A$1:$J$488,10,FALSE),"")</f>
        <v/>
      </c>
    </row>
    <row r="5148" spans="18:23">
      <c r="R5148" s="127">
        <f t="shared" si="235"/>
        <v>0</v>
      </c>
      <c r="T5148" s="128">
        <f t="shared" si="236"/>
        <v>0</v>
      </c>
      <c r="U5148" s="129" t="str">
        <f>IFERROR(IF(#REF!="S",VLOOKUP('Raw Data'!A5148,References!#REF!,2,FALSE),(VLOOKUP($S5148,References!$B$3:$C$7,2,FALSE))),"")</f>
        <v/>
      </c>
      <c r="W5148" s="74" t="str">
        <f>IFERROR(VLOOKUP($O5148,'Customer List'!$A$1:$J$488,10,FALSE),"")</f>
        <v/>
      </c>
    </row>
    <row r="5149" spans="18:23">
      <c r="R5149" s="127">
        <f t="shared" si="235"/>
        <v>0</v>
      </c>
      <c r="T5149" s="128">
        <f t="shared" si="236"/>
        <v>0</v>
      </c>
      <c r="U5149" s="129" t="str">
        <f>IFERROR(IF(#REF!="S",VLOOKUP('Raw Data'!A5149,References!#REF!,2,FALSE),(VLOOKUP($S5149,References!$B$3:$C$7,2,FALSE))),"")</f>
        <v/>
      </c>
      <c r="W5149" s="74" t="str">
        <f>IFERROR(VLOOKUP($O5149,'Customer List'!$A$1:$J$488,10,FALSE),"")</f>
        <v/>
      </c>
    </row>
    <row r="5150" spans="18:23">
      <c r="R5150" s="127">
        <f t="shared" si="235"/>
        <v>0</v>
      </c>
      <c r="T5150" s="128">
        <f t="shared" si="236"/>
        <v>0</v>
      </c>
      <c r="U5150" s="129" t="str">
        <f>IFERROR(IF(#REF!="S",VLOOKUP('Raw Data'!A5150,References!#REF!,2,FALSE),(VLOOKUP($S5150,References!$B$3:$C$7,2,FALSE))),"")</f>
        <v/>
      </c>
      <c r="W5150" s="74" t="str">
        <f>IFERROR(VLOOKUP($O5150,'Customer List'!$A$1:$J$488,10,FALSE),"")</f>
        <v/>
      </c>
    </row>
    <row r="5151" spans="18:23">
      <c r="R5151" s="127">
        <f t="shared" si="235"/>
        <v>0</v>
      </c>
      <c r="T5151" s="128">
        <f t="shared" si="236"/>
        <v>0</v>
      </c>
      <c r="U5151" s="129" t="str">
        <f>IFERROR(IF(#REF!="S",VLOOKUP('Raw Data'!A5151,References!#REF!,2,FALSE),(VLOOKUP($S5151,References!$B$3:$C$7,2,FALSE))),"")</f>
        <v/>
      </c>
      <c r="W5151" s="74" t="str">
        <f>IFERROR(VLOOKUP($O5151,'Customer List'!$A$1:$J$488,10,FALSE),"")</f>
        <v/>
      </c>
    </row>
    <row r="5152" spans="18:23">
      <c r="R5152" s="127">
        <f t="shared" si="235"/>
        <v>0</v>
      </c>
      <c r="T5152" s="128">
        <f t="shared" si="236"/>
        <v>0</v>
      </c>
      <c r="U5152" s="129" t="str">
        <f>IFERROR(IF(#REF!="S",VLOOKUP('Raw Data'!A5152,References!#REF!,2,FALSE),(VLOOKUP($S5152,References!$B$3:$C$7,2,FALSE))),"")</f>
        <v/>
      </c>
      <c r="W5152" s="74" t="str">
        <f>IFERROR(VLOOKUP($O5152,'Customer List'!$A$1:$J$488,10,FALSE),"")</f>
        <v/>
      </c>
    </row>
    <row r="5153" spans="18:23">
      <c r="R5153" s="127">
        <f t="shared" si="235"/>
        <v>0</v>
      </c>
      <c r="T5153" s="128">
        <f t="shared" si="236"/>
        <v>0</v>
      </c>
      <c r="U5153" s="129" t="str">
        <f>IFERROR(IF(#REF!="S",VLOOKUP('Raw Data'!A5153,References!#REF!,2,FALSE),(VLOOKUP($S5153,References!$B$3:$C$7,2,FALSE))),"")</f>
        <v/>
      </c>
      <c r="W5153" s="74" t="str">
        <f>IFERROR(VLOOKUP($O5153,'Customer List'!$A$1:$J$488,10,FALSE),"")</f>
        <v/>
      </c>
    </row>
    <row r="5154" spans="18:23">
      <c r="R5154" s="127">
        <f t="shared" ref="R5154:R5217" si="237">L5154-K5154</f>
        <v>0</v>
      </c>
      <c r="T5154" s="128">
        <f t="shared" si="236"/>
        <v>0</v>
      </c>
      <c r="U5154" s="129" t="str">
        <f>IFERROR(IF(#REF!="S",VLOOKUP('Raw Data'!A5154,References!#REF!,2,FALSE),(VLOOKUP($S5154,References!$B$3:$C$7,2,FALSE))),"")</f>
        <v/>
      </c>
      <c r="W5154" s="74" t="str">
        <f>IFERROR(VLOOKUP($O5154,'Customer List'!$A$1:$J$488,10,FALSE),"")</f>
        <v/>
      </c>
    </row>
    <row r="5155" spans="18:23">
      <c r="R5155" s="127">
        <f t="shared" si="237"/>
        <v>0</v>
      </c>
      <c r="T5155" s="128">
        <f t="shared" si="236"/>
        <v>0</v>
      </c>
      <c r="U5155" s="129" t="str">
        <f>IFERROR(IF(#REF!="S",VLOOKUP('Raw Data'!A5155,References!#REF!,2,FALSE),(VLOOKUP($S5155,References!$B$3:$C$7,2,FALSE))),"")</f>
        <v/>
      </c>
      <c r="W5155" s="74" t="str">
        <f>IFERROR(VLOOKUP($O5155,'Customer List'!$A$1:$J$488,10,FALSE),"")</f>
        <v/>
      </c>
    </row>
    <row r="5156" spans="18:23">
      <c r="R5156" s="127">
        <f t="shared" si="237"/>
        <v>0</v>
      </c>
      <c r="T5156" s="128">
        <f t="shared" si="236"/>
        <v>0</v>
      </c>
      <c r="U5156" s="129" t="str">
        <f>IFERROR(IF(#REF!="S",VLOOKUP('Raw Data'!A5156,References!#REF!,2,FALSE),(VLOOKUP($S5156,References!$B$3:$C$7,2,FALSE))),"")</f>
        <v/>
      </c>
      <c r="W5156" s="74" t="str">
        <f>IFERROR(VLOOKUP($O5156,'Customer List'!$A$1:$J$488,10,FALSE),"")</f>
        <v/>
      </c>
    </row>
    <row r="5157" spans="18:23">
      <c r="R5157" s="127">
        <f t="shared" si="237"/>
        <v>0</v>
      </c>
      <c r="T5157" s="128">
        <f t="shared" si="236"/>
        <v>0</v>
      </c>
      <c r="U5157" s="129" t="str">
        <f>IFERROR(IF(#REF!="S",VLOOKUP('Raw Data'!A5157,References!#REF!,2,FALSE),(VLOOKUP($S5157,References!$B$3:$C$7,2,FALSE))),"")</f>
        <v/>
      </c>
      <c r="W5157" s="74" t="str">
        <f>IFERROR(VLOOKUP($O5157,'Customer List'!$A$1:$J$488,10,FALSE),"")</f>
        <v/>
      </c>
    </row>
    <row r="5158" spans="18:23">
      <c r="R5158" s="127">
        <f t="shared" si="237"/>
        <v>0</v>
      </c>
      <c r="T5158" s="128">
        <f t="shared" si="236"/>
        <v>0</v>
      </c>
      <c r="U5158" s="129" t="str">
        <f>IFERROR(IF(#REF!="S",VLOOKUP('Raw Data'!A5158,References!#REF!,2,FALSE),(VLOOKUP($S5158,References!$B$3:$C$7,2,FALSE))),"")</f>
        <v/>
      </c>
      <c r="W5158" s="74" t="str">
        <f>IFERROR(VLOOKUP($O5158,'Customer List'!$A$1:$J$488,10,FALSE),"")</f>
        <v/>
      </c>
    </row>
    <row r="5159" spans="18:23">
      <c r="R5159" s="127">
        <f t="shared" si="237"/>
        <v>0</v>
      </c>
      <c r="T5159" s="128">
        <f t="shared" si="236"/>
        <v>0</v>
      </c>
      <c r="U5159" s="129" t="str">
        <f>IFERROR(IF(#REF!="S",VLOOKUP('Raw Data'!A5159,References!#REF!,2,FALSE),(VLOOKUP($S5159,References!$B$3:$C$7,2,FALSE))),"")</f>
        <v/>
      </c>
      <c r="W5159" s="74" t="str">
        <f>IFERROR(VLOOKUP($O5159,'Customer List'!$A$1:$J$488,10,FALSE),"")</f>
        <v/>
      </c>
    </row>
    <row r="5160" spans="18:23">
      <c r="R5160" s="127">
        <f t="shared" si="237"/>
        <v>0</v>
      </c>
      <c r="T5160" s="128">
        <f t="shared" si="236"/>
        <v>0</v>
      </c>
      <c r="U5160" s="129" t="str">
        <f>IFERROR(IF(#REF!="S",VLOOKUP('Raw Data'!A5160,References!#REF!,2,FALSE),(VLOOKUP($S5160,References!$B$3:$C$7,2,FALSE))),"")</f>
        <v/>
      </c>
      <c r="W5160" s="74" t="str">
        <f>IFERROR(VLOOKUP($O5160,'Customer List'!$A$1:$J$488,10,FALSE),"")</f>
        <v/>
      </c>
    </row>
    <row r="5161" spans="18:23">
      <c r="R5161" s="127">
        <f t="shared" si="237"/>
        <v>0</v>
      </c>
      <c r="T5161" s="128">
        <f t="shared" si="236"/>
        <v>0</v>
      </c>
      <c r="U5161" s="129" t="str">
        <f>IFERROR(IF(#REF!="S",VLOOKUP('Raw Data'!A5161,References!#REF!,2,FALSE),(VLOOKUP($S5161,References!$B$3:$C$7,2,FALSE))),"")</f>
        <v/>
      </c>
      <c r="W5161" s="74" t="str">
        <f>IFERROR(VLOOKUP($O5161,'Customer List'!$A$1:$J$488,10,FALSE),"")</f>
        <v/>
      </c>
    </row>
    <row r="5162" spans="18:23">
      <c r="R5162" s="127">
        <f t="shared" si="237"/>
        <v>0</v>
      </c>
      <c r="T5162" s="128">
        <f t="shared" si="236"/>
        <v>0</v>
      </c>
      <c r="U5162" s="129" t="str">
        <f>IFERROR(IF(#REF!="S",VLOOKUP('Raw Data'!A5162,References!#REF!,2,FALSE),(VLOOKUP($S5162,References!$B$3:$C$7,2,FALSE))),"")</f>
        <v/>
      </c>
      <c r="W5162" s="74" t="str">
        <f>IFERROR(VLOOKUP($O5162,'Customer List'!$A$1:$J$488,10,FALSE),"")</f>
        <v/>
      </c>
    </row>
    <row r="5163" spans="18:23">
      <c r="R5163" s="127">
        <f t="shared" si="237"/>
        <v>0</v>
      </c>
      <c r="T5163" s="128">
        <f t="shared" si="236"/>
        <v>0</v>
      </c>
      <c r="U5163" s="129" t="str">
        <f>IFERROR(IF(#REF!="S",VLOOKUP('Raw Data'!A5163,References!#REF!,2,FALSE),(VLOOKUP($S5163,References!$B$3:$C$7,2,FALSE))),"")</f>
        <v/>
      </c>
      <c r="W5163" s="74" t="str">
        <f>IFERROR(VLOOKUP($O5163,'Customer List'!$A$1:$J$488,10,FALSE),"")</f>
        <v/>
      </c>
    </row>
    <row r="5164" spans="18:23">
      <c r="R5164" s="127">
        <f t="shared" si="237"/>
        <v>0</v>
      </c>
      <c r="T5164" s="128">
        <f t="shared" si="236"/>
        <v>0</v>
      </c>
      <c r="U5164" s="129" t="str">
        <f>IFERROR(IF(#REF!="S",VLOOKUP('Raw Data'!A5164,References!#REF!,2,FALSE),(VLOOKUP($S5164,References!$B$3:$C$7,2,FALSE))),"")</f>
        <v/>
      </c>
      <c r="W5164" s="74" t="str">
        <f>IFERROR(VLOOKUP($O5164,'Customer List'!$A$1:$J$488,10,FALSE),"")</f>
        <v/>
      </c>
    </row>
    <row r="5165" spans="18:23">
      <c r="R5165" s="127">
        <f t="shared" si="237"/>
        <v>0</v>
      </c>
      <c r="T5165" s="128">
        <f t="shared" si="236"/>
        <v>0</v>
      </c>
      <c r="U5165" s="129" t="str">
        <f>IFERROR(IF(#REF!="S",VLOOKUP('Raw Data'!A5165,References!#REF!,2,FALSE),(VLOOKUP($S5165,References!$B$3:$C$7,2,FALSE))),"")</f>
        <v/>
      </c>
      <c r="W5165" s="74" t="str">
        <f>IFERROR(VLOOKUP($O5165,'Customer List'!$A$1:$J$488,10,FALSE),"")</f>
        <v/>
      </c>
    </row>
    <row r="5166" spans="18:23">
      <c r="R5166" s="127">
        <f t="shared" si="237"/>
        <v>0</v>
      </c>
      <c r="T5166" s="128">
        <f t="shared" si="236"/>
        <v>0</v>
      </c>
      <c r="U5166" s="129" t="str">
        <f>IFERROR(IF(#REF!="S",VLOOKUP('Raw Data'!A5166,References!#REF!,2,FALSE),(VLOOKUP($S5166,References!$B$3:$C$7,2,FALSE))),"")</f>
        <v/>
      </c>
      <c r="W5166" s="74" t="str">
        <f>IFERROR(VLOOKUP($O5166,'Customer List'!$A$1:$J$488,10,FALSE),"")</f>
        <v/>
      </c>
    </row>
    <row r="5167" spans="18:23">
      <c r="R5167" s="127">
        <f t="shared" si="237"/>
        <v>0</v>
      </c>
      <c r="T5167" s="128">
        <f t="shared" si="236"/>
        <v>0</v>
      </c>
      <c r="U5167" s="129" t="str">
        <f>IFERROR(IF(#REF!="S",VLOOKUP('Raw Data'!A5167,References!#REF!,2,FALSE),(VLOOKUP($S5167,References!$B$3:$C$7,2,FALSE))),"")</f>
        <v/>
      </c>
      <c r="W5167" s="74" t="str">
        <f>IFERROR(VLOOKUP($O5167,'Customer List'!$A$1:$J$488,10,FALSE),"")</f>
        <v/>
      </c>
    </row>
    <row r="5168" spans="18:23">
      <c r="R5168" s="127">
        <f t="shared" si="237"/>
        <v>0</v>
      </c>
      <c r="T5168" s="128">
        <f t="shared" si="236"/>
        <v>0</v>
      </c>
      <c r="U5168" s="129" t="str">
        <f>IFERROR(IF(#REF!="S",VLOOKUP('Raw Data'!A5168,References!#REF!,2,FALSE),(VLOOKUP($S5168,References!$B$3:$C$7,2,FALSE))),"")</f>
        <v/>
      </c>
      <c r="W5168" s="74" t="str">
        <f>IFERROR(VLOOKUP($O5168,'Customer List'!$A$1:$J$488,10,FALSE),"")</f>
        <v/>
      </c>
    </row>
    <row r="5169" spans="18:23">
      <c r="R5169" s="127">
        <f t="shared" si="237"/>
        <v>0</v>
      </c>
      <c r="T5169" s="128">
        <f t="shared" si="236"/>
        <v>0</v>
      </c>
      <c r="U5169" s="129" t="str">
        <f>IFERROR(IF(#REF!="S",VLOOKUP('Raw Data'!A5169,References!#REF!,2,FALSE),(VLOOKUP($S5169,References!$B$3:$C$7,2,FALSE))),"")</f>
        <v/>
      </c>
      <c r="W5169" s="74" t="str">
        <f>IFERROR(VLOOKUP($O5169,'Customer List'!$A$1:$J$488,10,FALSE),"")</f>
        <v/>
      </c>
    </row>
    <row r="5170" spans="18:23">
      <c r="R5170" s="127">
        <f t="shared" si="237"/>
        <v>0</v>
      </c>
      <c r="T5170" s="128">
        <f t="shared" si="236"/>
        <v>0</v>
      </c>
      <c r="U5170" s="129" t="str">
        <f>IFERROR(IF(#REF!="S",VLOOKUP('Raw Data'!A5170,References!#REF!,2,FALSE),(VLOOKUP($S5170,References!$B$3:$C$7,2,FALSE))),"")</f>
        <v/>
      </c>
      <c r="W5170" s="74" t="str">
        <f>IFERROR(VLOOKUP($O5170,'Customer List'!$A$1:$J$488,10,FALSE),"")</f>
        <v/>
      </c>
    </row>
    <row r="5171" spans="18:23">
      <c r="R5171" s="127">
        <f t="shared" si="237"/>
        <v>0</v>
      </c>
      <c r="T5171" s="128">
        <f t="shared" si="236"/>
        <v>0</v>
      </c>
      <c r="U5171" s="129" t="str">
        <f>IFERROR(IF(#REF!="S",VLOOKUP('Raw Data'!A5171,References!#REF!,2,FALSE),(VLOOKUP($S5171,References!$B$3:$C$7,2,FALSE))),"")</f>
        <v/>
      </c>
      <c r="W5171" s="74" t="str">
        <f>IFERROR(VLOOKUP($O5171,'Customer List'!$A$1:$J$488,10,FALSE),"")</f>
        <v/>
      </c>
    </row>
    <row r="5172" spans="18:23">
      <c r="R5172" s="127">
        <f t="shared" si="237"/>
        <v>0</v>
      </c>
      <c r="T5172" s="128">
        <f t="shared" si="236"/>
        <v>0</v>
      </c>
      <c r="U5172" s="129" t="str">
        <f>IFERROR(IF(#REF!="S",VLOOKUP('Raw Data'!A5172,References!#REF!,2,FALSE),(VLOOKUP($S5172,References!$B$3:$C$7,2,FALSE))),"")</f>
        <v/>
      </c>
      <c r="W5172" s="74" t="str">
        <f>IFERROR(VLOOKUP($O5172,'Customer List'!$A$1:$J$488,10,FALSE),"")</f>
        <v/>
      </c>
    </row>
    <row r="5173" spans="18:23">
      <c r="R5173" s="127">
        <f t="shared" si="237"/>
        <v>0</v>
      </c>
      <c r="T5173" s="128">
        <f t="shared" si="236"/>
        <v>0</v>
      </c>
      <c r="U5173" s="129" t="str">
        <f>IFERROR(IF(#REF!="S",VLOOKUP('Raw Data'!A5173,References!#REF!,2,FALSE),(VLOOKUP($S5173,References!$B$3:$C$7,2,FALSE))),"")</f>
        <v/>
      </c>
      <c r="W5173" s="74" t="str">
        <f>IFERROR(VLOOKUP($O5173,'Customer List'!$A$1:$J$488,10,FALSE),"")</f>
        <v/>
      </c>
    </row>
    <row r="5174" spans="18:23">
      <c r="R5174" s="127">
        <f t="shared" si="237"/>
        <v>0</v>
      </c>
      <c r="T5174" s="128">
        <f t="shared" si="236"/>
        <v>0</v>
      </c>
      <c r="U5174" s="129" t="str">
        <f>IFERROR(IF(#REF!="S",VLOOKUP('Raw Data'!A5174,References!#REF!,2,FALSE),(VLOOKUP($S5174,References!$B$3:$C$7,2,FALSE))),"")</f>
        <v/>
      </c>
      <c r="W5174" s="74" t="str">
        <f>IFERROR(VLOOKUP($O5174,'Customer List'!$A$1:$J$488,10,FALSE),"")</f>
        <v/>
      </c>
    </row>
    <row r="5175" spans="18:23">
      <c r="R5175" s="127">
        <f t="shared" si="237"/>
        <v>0</v>
      </c>
      <c r="T5175" s="128">
        <f t="shared" si="236"/>
        <v>0</v>
      </c>
      <c r="U5175" s="129" t="str">
        <f>IFERROR(IF(#REF!="S",VLOOKUP('Raw Data'!A5175,References!#REF!,2,FALSE),(VLOOKUP($S5175,References!$B$3:$C$7,2,FALSE))),"")</f>
        <v/>
      </c>
      <c r="W5175" s="74" t="str">
        <f>IFERROR(VLOOKUP($O5175,'Customer List'!$A$1:$J$488,10,FALSE),"")</f>
        <v/>
      </c>
    </row>
    <row r="5176" spans="18:23">
      <c r="R5176" s="127">
        <f t="shared" si="237"/>
        <v>0</v>
      </c>
      <c r="T5176" s="128">
        <f t="shared" si="236"/>
        <v>0</v>
      </c>
      <c r="U5176" s="129" t="str">
        <f>IFERROR(IF(#REF!="S",VLOOKUP('Raw Data'!A5176,References!#REF!,2,FALSE),(VLOOKUP($S5176,References!$B$3:$C$7,2,FALSE))),"")</f>
        <v/>
      </c>
      <c r="W5176" s="74" t="str">
        <f>IFERROR(VLOOKUP($O5176,'Customer List'!$A$1:$J$488,10,FALSE),"")</f>
        <v/>
      </c>
    </row>
    <row r="5177" spans="18:23">
      <c r="R5177" s="127">
        <f t="shared" si="237"/>
        <v>0</v>
      </c>
      <c r="T5177" s="128">
        <f t="shared" si="236"/>
        <v>0</v>
      </c>
      <c r="U5177" s="129" t="str">
        <f>IFERROR(IF(#REF!="S",VLOOKUP('Raw Data'!A5177,References!#REF!,2,FALSE),(VLOOKUP($S5177,References!$B$3:$C$7,2,FALSE))),"")</f>
        <v/>
      </c>
      <c r="W5177" s="74" t="str">
        <f>IFERROR(VLOOKUP($O5177,'Customer List'!$A$1:$J$488,10,FALSE),"")</f>
        <v/>
      </c>
    </row>
    <row r="5178" spans="18:23">
      <c r="R5178" s="127">
        <f t="shared" si="237"/>
        <v>0</v>
      </c>
      <c r="T5178" s="128">
        <f t="shared" si="236"/>
        <v>0</v>
      </c>
      <c r="U5178" s="129" t="str">
        <f>IFERROR(IF(#REF!="S",VLOOKUP('Raw Data'!A5178,References!#REF!,2,FALSE),(VLOOKUP($S5178,References!$B$3:$C$7,2,FALSE))),"")</f>
        <v/>
      </c>
      <c r="W5178" s="74" t="str">
        <f>IFERROR(VLOOKUP($O5178,'Customer List'!$A$1:$J$488,10,FALSE),"")</f>
        <v/>
      </c>
    </row>
    <row r="5179" spans="18:23">
      <c r="R5179" s="127">
        <f t="shared" si="237"/>
        <v>0</v>
      </c>
      <c r="T5179" s="128">
        <f t="shared" si="236"/>
        <v>0</v>
      </c>
      <c r="U5179" s="129" t="str">
        <f>IFERROR(IF(#REF!="S",VLOOKUP('Raw Data'!A5179,References!#REF!,2,FALSE),(VLOOKUP($S5179,References!$B$3:$C$7,2,FALSE))),"")</f>
        <v/>
      </c>
      <c r="W5179" s="74" t="str">
        <f>IFERROR(VLOOKUP($O5179,'Customer List'!$A$1:$J$488,10,FALSE),"")</f>
        <v/>
      </c>
    </row>
    <row r="5180" spans="18:23">
      <c r="R5180" s="127">
        <f t="shared" si="237"/>
        <v>0</v>
      </c>
      <c r="T5180" s="128">
        <f t="shared" si="236"/>
        <v>0</v>
      </c>
      <c r="U5180" s="129" t="str">
        <f>IFERROR(IF(#REF!="S",VLOOKUP('Raw Data'!A5180,References!#REF!,2,FALSE),(VLOOKUP($S5180,References!$B$3:$C$7,2,FALSE))),"")</f>
        <v/>
      </c>
      <c r="W5180" s="74" t="str">
        <f>IFERROR(VLOOKUP($O5180,'Customer List'!$A$1:$J$488,10,FALSE),"")</f>
        <v/>
      </c>
    </row>
    <row r="5181" spans="18:23">
      <c r="R5181" s="127">
        <f t="shared" si="237"/>
        <v>0</v>
      </c>
      <c r="T5181" s="128">
        <f t="shared" si="236"/>
        <v>0</v>
      </c>
      <c r="U5181" s="129" t="str">
        <f>IFERROR(IF(#REF!="S",VLOOKUP('Raw Data'!A5181,References!#REF!,2,FALSE),(VLOOKUP($S5181,References!$B$3:$C$7,2,FALSE))),"")</f>
        <v/>
      </c>
      <c r="W5181" s="74" t="str">
        <f>IFERROR(VLOOKUP($O5181,'Customer List'!$A$1:$J$488,10,FALSE),"")</f>
        <v/>
      </c>
    </row>
    <row r="5182" spans="18:23">
      <c r="R5182" s="127">
        <f t="shared" si="237"/>
        <v>0</v>
      </c>
      <c r="T5182" s="128">
        <f t="shared" si="236"/>
        <v>0</v>
      </c>
      <c r="U5182" s="129" t="str">
        <f>IFERROR(IF(#REF!="S",VLOOKUP('Raw Data'!A5182,References!#REF!,2,FALSE),(VLOOKUP($S5182,References!$B$3:$C$7,2,FALSE))),"")</f>
        <v/>
      </c>
      <c r="W5182" s="74" t="str">
        <f>IFERROR(VLOOKUP($O5182,'Customer List'!$A$1:$J$488,10,FALSE),"")</f>
        <v/>
      </c>
    </row>
    <row r="5183" spans="18:23">
      <c r="R5183" s="127">
        <f t="shared" si="237"/>
        <v>0</v>
      </c>
      <c r="T5183" s="128">
        <f t="shared" si="236"/>
        <v>0</v>
      </c>
      <c r="U5183" s="129" t="str">
        <f>IFERROR(IF(#REF!="S",VLOOKUP('Raw Data'!A5183,References!#REF!,2,FALSE),(VLOOKUP($S5183,References!$B$3:$C$7,2,FALSE))),"")</f>
        <v/>
      </c>
      <c r="W5183" s="74" t="str">
        <f>IFERROR(VLOOKUP($O5183,'Customer List'!$A$1:$J$488,10,FALSE),"")</f>
        <v/>
      </c>
    </row>
    <row r="5184" spans="18:23">
      <c r="R5184" s="127">
        <f t="shared" si="237"/>
        <v>0</v>
      </c>
      <c r="T5184" s="128">
        <f t="shared" si="236"/>
        <v>0</v>
      </c>
      <c r="U5184" s="129" t="str">
        <f>IFERROR(IF(#REF!="S",VLOOKUP('Raw Data'!A5184,References!#REF!,2,FALSE),(VLOOKUP($S5184,References!$B$3:$C$7,2,FALSE))),"")</f>
        <v/>
      </c>
      <c r="W5184" s="74" t="str">
        <f>IFERROR(VLOOKUP($O5184,'Customer List'!$A$1:$J$488,10,FALSE),"")</f>
        <v/>
      </c>
    </row>
    <row r="5185" spans="18:23">
      <c r="R5185" s="127">
        <f t="shared" si="237"/>
        <v>0</v>
      </c>
      <c r="T5185" s="128">
        <f t="shared" si="236"/>
        <v>0</v>
      </c>
      <c r="U5185" s="129" t="str">
        <f>IFERROR(IF(#REF!="S",VLOOKUP('Raw Data'!A5185,References!#REF!,2,FALSE),(VLOOKUP($S5185,References!$B$3:$C$7,2,FALSE))),"")</f>
        <v/>
      </c>
      <c r="W5185" s="74" t="str">
        <f>IFERROR(VLOOKUP($O5185,'Customer List'!$A$1:$J$488,10,FALSE),"")</f>
        <v/>
      </c>
    </row>
    <row r="5186" spans="18:23">
      <c r="R5186" s="127">
        <f t="shared" si="237"/>
        <v>0</v>
      </c>
      <c r="T5186" s="128">
        <f t="shared" si="236"/>
        <v>0</v>
      </c>
      <c r="U5186" s="129" t="str">
        <f>IFERROR(IF(#REF!="S",VLOOKUP('Raw Data'!A5186,References!#REF!,2,FALSE),(VLOOKUP($S5186,References!$B$3:$C$7,2,FALSE))),"")</f>
        <v/>
      </c>
      <c r="W5186" s="74" t="str">
        <f>IFERROR(VLOOKUP($O5186,'Customer List'!$A$1:$J$488,10,FALSE),"")</f>
        <v/>
      </c>
    </row>
    <row r="5187" spans="18:23">
      <c r="R5187" s="127">
        <f t="shared" si="237"/>
        <v>0</v>
      </c>
      <c r="T5187" s="128">
        <f t="shared" si="236"/>
        <v>0</v>
      </c>
      <c r="U5187" s="129" t="str">
        <f>IFERROR(IF(#REF!="S",VLOOKUP('Raw Data'!A5187,References!#REF!,2,FALSE),(VLOOKUP($S5187,References!$B$3:$C$7,2,FALSE))),"")</f>
        <v/>
      </c>
      <c r="W5187" s="74" t="str">
        <f>IFERROR(VLOOKUP($O5187,'Customer List'!$A$1:$J$488,10,FALSE),"")</f>
        <v/>
      </c>
    </row>
    <row r="5188" spans="18:23">
      <c r="R5188" s="127">
        <f t="shared" si="237"/>
        <v>0</v>
      </c>
      <c r="T5188" s="128">
        <f t="shared" si="236"/>
        <v>0</v>
      </c>
      <c r="U5188" s="129" t="str">
        <f>IFERROR(IF(#REF!="S",VLOOKUP('Raw Data'!A5188,References!#REF!,2,FALSE),(VLOOKUP($S5188,References!$B$3:$C$7,2,FALSE))),"")</f>
        <v/>
      </c>
      <c r="W5188" s="74" t="str">
        <f>IFERROR(VLOOKUP($O5188,'Customer List'!$A$1:$J$488,10,FALSE),"")</f>
        <v/>
      </c>
    </row>
    <row r="5189" spans="18:23">
      <c r="R5189" s="127">
        <f t="shared" si="237"/>
        <v>0</v>
      </c>
      <c r="T5189" s="128">
        <f t="shared" si="236"/>
        <v>0</v>
      </c>
      <c r="U5189" s="129" t="str">
        <f>IFERROR(IF(#REF!="S",VLOOKUP('Raw Data'!A5189,References!#REF!,2,FALSE),(VLOOKUP($S5189,References!$B$3:$C$7,2,FALSE))),"")</f>
        <v/>
      </c>
      <c r="W5189" s="74" t="str">
        <f>IFERROR(VLOOKUP($O5189,'Customer List'!$A$1:$J$488,10,FALSE),"")</f>
        <v/>
      </c>
    </row>
    <row r="5190" spans="18:23">
      <c r="R5190" s="127">
        <f t="shared" si="237"/>
        <v>0</v>
      </c>
      <c r="T5190" s="128">
        <f t="shared" si="236"/>
        <v>0</v>
      </c>
      <c r="U5190" s="129" t="str">
        <f>IFERROR(IF(#REF!="S",VLOOKUP('Raw Data'!A5190,References!#REF!,2,FALSE),(VLOOKUP($S5190,References!$B$3:$C$7,2,FALSE))),"")</f>
        <v/>
      </c>
      <c r="W5190" s="74" t="str">
        <f>IFERROR(VLOOKUP($O5190,'Customer List'!$A$1:$J$488,10,FALSE),"")</f>
        <v/>
      </c>
    </row>
    <row r="5191" spans="18:23">
      <c r="R5191" s="127">
        <f t="shared" si="237"/>
        <v>0</v>
      </c>
      <c r="T5191" s="128">
        <f t="shared" si="236"/>
        <v>0</v>
      </c>
      <c r="U5191" s="129" t="str">
        <f>IFERROR(IF(#REF!="S",VLOOKUP('Raw Data'!A5191,References!#REF!,2,FALSE),(VLOOKUP($S5191,References!$B$3:$C$7,2,FALSE))),"")</f>
        <v/>
      </c>
      <c r="W5191" s="74" t="str">
        <f>IFERROR(VLOOKUP($O5191,'Customer List'!$A$1:$J$488,10,FALSE),"")</f>
        <v/>
      </c>
    </row>
    <row r="5192" spans="18:23">
      <c r="R5192" s="127">
        <f t="shared" si="237"/>
        <v>0</v>
      </c>
      <c r="T5192" s="128">
        <f t="shared" si="236"/>
        <v>0</v>
      </c>
      <c r="U5192" s="129" t="str">
        <f>IFERROR(IF(#REF!="S",VLOOKUP('Raw Data'!A5192,References!#REF!,2,FALSE),(VLOOKUP($S5192,References!$B$3:$C$7,2,FALSE))),"")</f>
        <v/>
      </c>
      <c r="W5192" s="74" t="str">
        <f>IFERROR(VLOOKUP($O5192,'Customer List'!$A$1:$J$488,10,FALSE),"")</f>
        <v/>
      </c>
    </row>
    <row r="5193" spans="18:23">
      <c r="R5193" s="127">
        <f t="shared" si="237"/>
        <v>0</v>
      </c>
      <c r="T5193" s="128">
        <f t="shared" si="236"/>
        <v>0</v>
      </c>
      <c r="U5193" s="129" t="str">
        <f>IFERROR(IF(#REF!="S",VLOOKUP('Raw Data'!A5193,References!#REF!,2,FALSE),(VLOOKUP($S5193,References!$B$3:$C$7,2,FALSE))),"")</f>
        <v/>
      </c>
      <c r="W5193" s="74" t="str">
        <f>IFERROR(VLOOKUP($O5193,'Customer List'!$A$1:$J$488,10,FALSE),"")</f>
        <v/>
      </c>
    </row>
    <row r="5194" spans="18:23">
      <c r="R5194" s="127">
        <f t="shared" si="237"/>
        <v>0</v>
      </c>
      <c r="T5194" s="128">
        <f t="shared" ref="T5194:T5257" si="238">IF(S5194="50 - Cleaning Fee",1,HOUR($R5194)+MINUTE(R5194)/60)</f>
        <v>0</v>
      </c>
      <c r="U5194" s="129" t="str">
        <f>IFERROR(IF(#REF!="S",VLOOKUP('Raw Data'!A5194,References!#REF!,2,FALSE),(VLOOKUP($S5194,References!$B$3:$C$7,2,FALSE))),"")</f>
        <v/>
      </c>
      <c r="W5194" s="74" t="str">
        <f>IFERROR(VLOOKUP($O5194,'Customer List'!$A$1:$J$488,10,FALSE),"")</f>
        <v/>
      </c>
    </row>
    <row r="5195" spans="18:23">
      <c r="R5195" s="127">
        <f t="shared" si="237"/>
        <v>0</v>
      </c>
      <c r="T5195" s="128">
        <f t="shared" si="238"/>
        <v>0</v>
      </c>
      <c r="U5195" s="129" t="str">
        <f>IFERROR(IF(#REF!="S",VLOOKUP('Raw Data'!A5195,References!#REF!,2,FALSE),(VLOOKUP($S5195,References!$B$3:$C$7,2,FALSE))),"")</f>
        <v/>
      </c>
      <c r="W5195" s="74" t="str">
        <f>IFERROR(VLOOKUP($O5195,'Customer List'!$A$1:$J$488,10,FALSE),"")</f>
        <v/>
      </c>
    </row>
    <row r="5196" spans="18:23">
      <c r="R5196" s="127">
        <f t="shared" si="237"/>
        <v>0</v>
      </c>
      <c r="T5196" s="128">
        <f t="shared" si="238"/>
        <v>0</v>
      </c>
      <c r="U5196" s="129" t="str">
        <f>IFERROR(IF(#REF!="S",VLOOKUP('Raw Data'!A5196,References!#REF!,2,FALSE),(VLOOKUP($S5196,References!$B$3:$C$7,2,FALSE))),"")</f>
        <v/>
      </c>
      <c r="W5196" s="74" t="str">
        <f>IFERROR(VLOOKUP($O5196,'Customer List'!$A$1:$J$488,10,FALSE),"")</f>
        <v/>
      </c>
    </row>
    <row r="5197" spans="18:23">
      <c r="R5197" s="127">
        <f t="shared" si="237"/>
        <v>0</v>
      </c>
      <c r="T5197" s="128">
        <f t="shared" si="238"/>
        <v>0</v>
      </c>
      <c r="U5197" s="129" t="str">
        <f>IFERROR(IF(#REF!="S",VLOOKUP('Raw Data'!A5197,References!#REF!,2,FALSE),(VLOOKUP($S5197,References!$B$3:$C$7,2,FALSE))),"")</f>
        <v/>
      </c>
      <c r="W5197" s="74" t="str">
        <f>IFERROR(VLOOKUP($O5197,'Customer List'!$A$1:$J$488,10,FALSE),"")</f>
        <v/>
      </c>
    </row>
    <row r="5198" spans="18:23">
      <c r="R5198" s="127">
        <f t="shared" si="237"/>
        <v>0</v>
      </c>
      <c r="T5198" s="128">
        <f t="shared" si="238"/>
        <v>0</v>
      </c>
      <c r="U5198" s="129" t="str">
        <f>IFERROR(IF(#REF!="S",VLOOKUP('Raw Data'!A5198,References!#REF!,2,FALSE),(VLOOKUP($S5198,References!$B$3:$C$7,2,FALSE))),"")</f>
        <v/>
      </c>
      <c r="W5198" s="74" t="str">
        <f>IFERROR(VLOOKUP($O5198,'Customer List'!$A$1:$J$488,10,FALSE),"")</f>
        <v/>
      </c>
    </row>
    <row r="5199" spans="18:23">
      <c r="R5199" s="127">
        <f t="shared" si="237"/>
        <v>0</v>
      </c>
      <c r="T5199" s="128">
        <f t="shared" si="238"/>
        <v>0</v>
      </c>
      <c r="U5199" s="129" t="str">
        <f>IFERROR(IF(#REF!="S",VLOOKUP('Raw Data'!A5199,References!#REF!,2,FALSE),(VLOOKUP($S5199,References!$B$3:$C$7,2,FALSE))),"")</f>
        <v/>
      </c>
      <c r="W5199" s="74" t="str">
        <f>IFERROR(VLOOKUP($O5199,'Customer List'!$A$1:$J$488,10,FALSE),"")</f>
        <v/>
      </c>
    </row>
    <row r="5200" spans="18:23">
      <c r="R5200" s="127">
        <f t="shared" si="237"/>
        <v>0</v>
      </c>
      <c r="T5200" s="128">
        <f t="shared" si="238"/>
        <v>0</v>
      </c>
      <c r="U5200" s="129" t="str">
        <f>IFERROR(IF(#REF!="S",VLOOKUP('Raw Data'!A5200,References!#REF!,2,FALSE),(VLOOKUP($S5200,References!$B$3:$C$7,2,FALSE))),"")</f>
        <v/>
      </c>
      <c r="W5200" s="74" t="str">
        <f>IFERROR(VLOOKUP($O5200,'Customer List'!$A$1:$J$488,10,FALSE),"")</f>
        <v/>
      </c>
    </row>
    <row r="5201" spans="18:23">
      <c r="R5201" s="127">
        <f t="shared" si="237"/>
        <v>0</v>
      </c>
      <c r="T5201" s="128">
        <f t="shared" si="238"/>
        <v>0</v>
      </c>
      <c r="U5201" s="129" t="str">
        <f>IFERROR(IF(#REF!="S",VLOOKUP('Raw Data'!A5201,References!#REF!,2,FALSE),(VLOOKUP($S5201,References!$B$3:$C$7,2,FALSE))),"")</f>
        <v/>
      </c>
      <c r="W5201" s="74" t="str">
        <f>IFERROR(VLOOKUP($O5201,'Customer List'!$A$1:$J$488,10,FALSE),"")</f>
        <v/>
      </c>
    </row>
    <row r="5202" spans="18:23">
      <c r="R5202" s="127">
        <f t="shared" si="237"/>
        <v>0</v>
      </c>
      <c r="T5202" s="128">
        <f t="shared" si="238"/>
        <v>0</v>
      </c>
      <c r="U5202" s="129" t="str">
        <f>IFERROR(IF(#REF!="S",VLOOKUP('Raw Data'!A5202,References!#REF!,2,FALSE),(VLOOKUP($S5202,References!$B$3:$C$7,2,FALSE))),"")</f>
        <v/>
      </c>
      <c r="W5202" s="74" t="str">
        <f>IFERROR(VLOOKUP($O5202,'Customer List'!$A$1:$J$488,10,FALSE),"")</f>
        <v/>
      </c>
    </row>
    <row r="5203" spans="18:23">
      <c r="R5203" s="127">
        <f t="shared" si="237"/>
        <v>0</v>
      </c>
      <c r="T5203" s="128">
        <f t="shared" si="238"/>
        <v>0</v>
      </c>
      <c r="U5203" s="129" t="str">
        <f>IFERROR(IF(#REF!="S",VLOOKUP('Raw Data'!A5203,References!#REF!,2,FALSE),(VLOOKUP($S5203,References!$B$3:$C$7,2,FALSE))),"")</f>
        <v/>
      </c>
      <c r="W5203" s="74" t="str">
        <f>IFERROR(VLOOKUP($O5203,'Customer List'!$A$1:$J$488,10,FALSE),"")</f>
        <v/>
      </c>
    </row>
    <row r="5204" spans="18:23">
      <c r="R5204" s="127">
        <f t="shared" si="237"/>
        <v>0</v>
      </c>
      <c r="T5204" s="128">
        <f t="shared" si="238"/>
        <v>0</v>
      </c>
      <c r="U5204" s="129" t="str">
        <f>IFERROR(IF(#REF!="S",VLOOKUP('Raw Data'!A5204,References!#REF!,2,FALSE),(VLOOKUP($S5204,References!$B$3:$C$7,2,FALSE))),"")</f>
        <v/>
      </c>
      <c r="W5204" s="74" t="str">
        <f>IFERROR(VLOOKUP($O5204,'Customer List'!$A$1:$J$488,10,FALSE),"")</f>
        <v/>
      </c>
    </row>
    <row r="5205" spans="18:23">
      <c r="R5205" s="127">
        <f t="shared" si="237"/>
        <v>0</v>
      </c>
      <c r="T5205" s="128">
        <f t="shared" si="238"/>
        <v>0</v>
      </c>
      <c r="U5205" s="129" t="str">
        <f>IFERROR(IF(#REF!="S",VLOOKUP('Raw Data'!A5205,References!#REF!,2,FALSE),(VLOOKUP($S5205,References!$B$3:$C$7,2,FALSE))),"")</f>
        <v/>
      </c>
      <c r="W5205" s="74" t="str">
        <f>IFERROR(VLOOKUP($O5205,'Customer List'!$A$1:$J$488,10,FALSE),"")</f>
        <v/>
      </c>
    </row>
    <row r="5206" spans="18:23">
      <c r="R5206" s="127">
        <f t="shared" si="237"/>
        <v>0</v>
      </c>
      <c r="T5206" s="128">
        <f t="shared" si="238"/>
        <v>0</v>
      </c>
      <c r="U5206" s="129" t="str">
        <f>IFERROR(IF(#REF!="S",VLOOKUP('Raw Data'!A5206,References!#REF!,2,FALSE),(VLOOKUP($S5206,References!$B$3:$C$7,2,FALSE))),"")</f>
        <v/>
      </c>
      <c r="W5206" s="74" t="str">
        <f>IFERROR(VLOOKUP($O5206,'Customer List'!$A$1:$J$488,10,FALSE),"")</f>
        <v/>
      </c>
    </row>
    <row r="5207" spans="18:23">
      <c r="R5207" s="127">
        <f t="shared" si="237"/>
        <v>0</v>
      </c>
      <c r="T5207" s="128">
        <f t="shared" si="238"/>
        <v>0</v>
      </c>
      <c r="U5207" s="129" t="str">
        <f>IFERROR(IF(#REF!="S",VLOOKUP('Raw Data'!A5207,References!#REF!,2,FALSE),(VLOOKUP($S5207,References!$B$3:$C$7,2,FALSE))),"")</f>
        <v/>
      </c>
      <c r="W5207" s="74" t="str">
        <f>IFERROR(VLOOKUP($O5207,'Customer List'!$A$1:$J$488,10,FALSE),"")</f>
        <v/>
      </c>
    </row>
    <row r="5208" spans="18:23">
      <c r="R5208" s="127">
        <f t="shared" si="237"/>
        <v>0</v>
      </c>
      <c r="T5208" s="128">
        <f t="shared" si="238"/>
        <v>0</v>
      </c>
      <c r="U5208" s="129" t="str">
        <f>IFERROR(IF(#REF!="S",VLOOKUP('Raw Data'!A5208,References!#REF!,2,FALSE),(VLOOKUP($S5208,References!$B$3:$C$7,2,FALSE))),"")</f>
        <v/>
      </c>
      <c r="W5208" s="74" t="str">
        <f>IFERROR(VLOOKUP($O5208,'Customer List'!$A$1:$J$488,10,FALSE),"")</f>
        <v/>
      </c>
    </row>
    <row r="5209" spans="18:23">
      <c r="R5209" s="127">
        <f t="shared" si="237"/>
        <v>0</v>
      </c>
      <c r="T5209" s="128">
        <f t="shared" si="238"/>
        <v>0</v>
      </c>
      <c r="U5209" s="129" t="str">
        <f>IFERROR(IF(#REF!="S",VLOOKUP('Raw Data'!A5209,References!#REF!,2,FALSE),(VLOOKUP($S5209,References!$B$3:$C$7,2,FALSE))),"")</f>
        <v/>
      </c>
      <c r="W5209" s="74" t="str">
        <f>IFERROR(VLOOKUP($O5209,'Customer List'!$A$1:$J$488,10,FALSE),"")</f>
        <v/>
      </c>
    </row>
    <row r="5210" spans="18:23">
      <c r="R5210" s="127">
        <f t="shared" si="237"/>
        <v>0</v>
      </c>
      <c r="T5210" s="128">
        <f t="shared" si="238"/>
        <v>0</v>
      </c>
      <c r="U5210" s="129" t="str">
        <f>IFERROR(IF(#REF!="S",VLOOKUP('Raw Data'!A5210,References!#REF!,2,FALSE),(VLOOKUP($S5210,References!$B$3:$C$7,2,FALSE))),"")</f>
        <v/>
      </c>
      <c r="W5210" s="74" t="str">
        <f>IFERROR(VLOOKUP($O5210,'Customer List'!$A$1:$J$488,10,FALSE),"")</f>
        <v/>
      </c>
    </row>
    <row r="5211" spans="18:23">
      <c r="R5211" s="127">
        <f t="shared" si="237"/>
        <v>0</v>
      </c>
      <c r="T5211" s="128">
        <f t="shared" si="238"/>
        <v>0</v>
      </c>
      <c r="U5211" s="129" t="str">
        <f>IFERROR(IF(#REF!="S",VLOOKUP('Raw Data'!A5211,References!#REF!,2,FALSE),(VLOOKUP($S5211,References!$B$3:$C$7,2,FALSE))),"")</f>
        <v/>
      </c>
      <c r="W5211" s="74" t="str">
        <f>IFERROR(VLOOKUP($O5211,'Customer List'!$A$1:$J$488,10,FALSE),"")</f>
        <v/>
      </c>
    </row>
    <row r="5212" spans="18:23">
      <c r="R5212" s="127">
        <f t="shared" si="237"/>
        <v>0</v>
      </c>
      <c r="T5212" s="128">
        <f t="shared" si="238"/>
        <v>0</v>
      </c>
      <c r="U5212" s="129" t="str">
        <f>IFERROR(IF(#REF!="S",VLOOKUP('Raw Data'!A5212,References!#REF!,2,FALSE),(VLOOKUP($S5212,References!$B$3:$C$7,2,FALSE))),"")</f>
        <v/>
      </c>
      <c r="W5212" s="74" t="str">
        <f>IFERROR(VLOOKUP($O5212,'Customer List'!$A$1:$J$488,10,FALSE),"")</f>
        <v/>
      </c>
    </row>
    <row r="5213" spans="18:23">
      <c r="R5213" s="127">
        <f t="shared" si="237"/>
        <v>0</v>
      </c>
      <c r="T5213" s="128">
        <f t="shared" si="238"/>
        <v>0</v>
      </c>
      <c r="U5213" s="129" t="str">
        <f>IFERROR(IF(#REF!="S",VLOOKUP('Raw Data'!A5213,References!#REF!,2,FALSE),(VLOOKUP($S5213,References!$B$3:$C$7,2,FALSE))),"")</f>
        <v/>
      </c>
      <c r="W5213" s="74" t="str">
        <f>IFERROR(VLOOKUP($O5213,'Customer List'!$A$1:$J$488,10,FALSE),"")</f>
        <v/>
      </c>
    </row>
    <row r="5214" spans="18:23">
      <c r="R5214" s="127">
        <f t="shared" si="237"/>
        <v>0</v>
      </c>
      <c r="T5214" s="128">
        <f t="shared" si="238"/>
        <v>0</v>
      </c>
      <c r="U5214" s="129" t="str">
        <f>IFERROR(IF(#REF!="S",VLOOKUP('Raw Data'!A5214,References!#REF!,2,FALSE),(VLOOKUP($S5214,References!$B$3:$C$7,2,FALSE))),"")</f>
        <v/>
      </c>
      <c r="W5214" s="74" t="str">
        <f>IFERROR(VLOOKUP($O5214,'Customer List'!$A$1:$J$488,10,FALSE),"")</f>
        <v/>
      </c>
    </row>
    <row r="5215" spans="18:23">
      <c r="R5215" s="127">
        <f t="shared" si="237"/>
        <v>0</v>
      </c>
      <c r="T5215" s="128">
        <f t="shared" si="238"/>
        <v>0</v>
      </c>
      <c r="U5215" s="129" t="str">
        <f>IFERROR(IF(#REF!="S",VLOOKUP('Raw Data'!A5215,References!#REF!,2,FALSE),(VLOOKUP($S5215,References!$B$3:$C$7,2,FALSE))),"")</f>
        <v/>
      </c>
      <c r="W5215" s="74" t="str">
        <f>IFERROR(VLOOKUP($O5215,'Customer List'!$A$1:$J$488,10,FALSE),"")</f>
        <v/>
      </c>
    </row>
    <row r="5216" spans="18:23">
      <c r="R5216" s="127">
        <f t="shared" si="237"/>
        <v>0</v>
      </c>
      <c r="T5216" s="128">
        <f t="shared" si="238"/>
        <v>0</v>
      </c>
      <c r="U5216" s="129" t="str">
        <f>IFERROR(IF(#REF!="S",VLOOKUP('Raw Data'!A5216,References!#REF!,2,FALSE),(VLOOKUP($S5216,References!$B$3:$C$7,2,FALSE))),"")</f>
        <v/>
      </c>
      <c r="W5216" s="74" t="str">
        <f>IFERROR(VLOOKUP($O5216,'Customer List'!$A$1:$J$488,10,FALSE),"")</f>
        <v/>
      </c>
    </row>
    <row r="5217" spans="18:23">
      <c r="R5217" s="127">
        <f t="shared" si="237"/>
        <v>0</v>
      </c>
      <c r="T5217" s="128">
        <f t="shared" si="238"/>
        <v>0</v>
      </c>
      <c r="U5217" s="129" t="str">
        <f>IFERROR(IF(#REF!="S",VLOOKUP('Raw Data'!A5217,References!#REF!,2,FALSE),(VLOOKUP($S5217,References!$B$3:$C$7,2,FALSE))),"")</f>
        <v/>
      </c>
      <c r="W5217" s="74" t="str">
        <f>IFERROR(VLOOKUP($O5217,'Customer List'!$A$1:$J$488,10,FALSE),"")</f>
        <v/>
      </c>
    </row>
    <row r="5218" spans="18:23">
      <c r="R5218" s="127">
        <f t="shared" ref="R5218:R5281" si="239">L5218-K5218</f>
        <v>0</v>
      </c>
      <c r="T5218" s="128">
        <f t="shared" si="238"/>
        <v>0</v>
      </c>
      <c r="U5218" s="129" t="str">
        <f>IFERROR(IF(#REF!="S",VLOOKUP('Raw Data'!A5218,References!#REF!,2,FALSE),(VLOOKUP($S5218,References!$B$3:$C$7,2,FALSE))),"")</f>
        <v/>
      </c>
      <c r="W5218" s="74" t="str">
        <f>IFERROR(VLOOKUP($O5218,'Customer List'!$A$1:$J$488,10,FALSE),"")</f>
        <v/>
      </c>
    </row>
    <row r="5219" spans="18:23">
      <c r="R5219" s="127">
        <f t="shared" si="239"/>
        <v>0</v>
      </c>
      <c r="T5219" s="128">
        <f t="shared" si="238"/>
        <v>0</v>
      </c>
      <c r="U5219" s="129" t="str">
        <f>IFERROR(IF(#REF!="S",VLOOKUP('Raw Data'!A5219,References!#REF!,2,FALSE),(VLOOKUP($S5219,References!$B$3:$C$7,2,FALSE))),"")</f>
        <v/>
      </c>
      <c r="W5219" s="74" t="str">
        <f>IFERROR(VLOOKUP($O5219,'Customer List'!$A$1:$J$488,10,FALSE),"")</f>
        <v/>
      </c>
    </row>
    <row r="5220" spans="18:23">
      <c r="R5220" s="127">
        <f t="shared" si="239"/>
        <v>0</v>
      </c>
      <c r="T5220" s="128">
        <f t="shared" si="238"/>
        <v>0</v>
      </c>
      <c r="U5220" s="129" t="str">
        <f>IFERROR(IF(#REF!="S",VLOOKUP('Raw Data'!A5220,References!#REF!,2,FALSE),(VLOOKUP($S5220,References!$B$3:$C$7,2,FALSE))),"")</f>
        <v/>
      </c>
      <c r="W5220" s="74" t="str">
        <f>IFERROR(VLOOKUP($O5220,'Customer List'!$A$1:$J$488,10,FALSE),"")</f>
        <v/>
      </c>
    </row>
    <row r="5221" spans="18:23">
      <c r="R5221" s="127">
        <f t="shared" si="239"/>
        <v>0</v>
      </c>
      <c r="T5221" s="128">
        <f t="shared" si="238"/>
        <v>0</v>
      </c>
      <c r="U5221" s="129" t="str">
        <f>IFERROR(IF(#REF!="S",VLOOKUP('Raw Data'!A5221,References!#REF!,2,FALSE),(VLOOKUP($S5221,References!$B$3:$C$7,2,FALSE))),"")</f>
        <v/>
      </c>
      <c r="W5221" s="74" t="str">
        <f>IFERROR(VLOOKUP($O5221,'Customer List'!$A$1:$J$488,10,FALSE),"")</f>
        <v/>
      </c>
    </row>
    <row r="5222" spans="18:23">
      <c r="R5222" s="127">
        <f t="shared" si="239"/>
        <v>0</v>
      </c>
      <c r="T5222" s="128">
        <f t="shared" si="238"/>
        <v>0</v>
      </c>
      <c r="U5222" s="129" t="str">
        <f>IFERROR(IF(#REF!="S",VLOOKUP('Raw Data'!A5222,References!#REF!,2,FALSE),(VLOOKUP($S5222,References!$B$3:$C$7,2,FALSE))),"")</f>
        <v/>
      </c>
      <c r="W5222" s="74" t="str">
        <f>IFERROR(VLOOKUP($O5222,'Customer List'!$A$1:$J$488,10,FALSE),"")</f>
        <v/>
      </c>
    </row>
    <row r="5223" spans="18:23">
      <c r="R5223" s="127">
        <f t="shared" si="239"/>
        <v>0</v>
      </c>
      <c r="T5223" s="128">
        <f t="shared" si="238"/>
        <v>0</v>
      </c>
      <c r="U5223" s="129" t="str">
        <f>IFERROR(IF(#REF!="S",VLOOKUP('Raw Data'!A5223,References!#REF!,2,FALSE),(VLOOKUP($S5223,References!$B$3:$C$7,2,FALSE))),"")</f>
        <v/>
      </c>
      <c r="W5223" s="74" t="str">
        <f>IFERROR(VLOOKUP($O5223,'Customer List'!$A$1:$J$488,10,FALSE),"")</f>
        <v/>
      </c>
    </row>
    <row r="5224" spans="18:23">
      <c r="R5224" s="127">
        <f t="shared" si="239"/>
        <v>0</v>
      </c>
      <c r="T5224" s="128">
        <f t="shared" si="238"/>
        <v>0</v>
      </c>
      <c r="U5224" s="129" t="str">
        <f>IFERROR(IF(#REF!="S",VLOOKUP('Raw Data'!A5224,References!#REF!,2,FALSE),(VLOOKUP($S5224,References!$B$3:$C$7,2,FALSE))),"")</f>
        <v/>
      </c>
      <c r="W5224" s="74" t="str">
        <f>IFERROR(VLOOKUP($O5224,'Customer List'!$A$1:$J$488,10,FALSE),"")</f>
        <v/>
      </c>
    </row>
    <row r="5225" spans="18:23">
      <c r="R5225" s="127">
        <f t="shared" si="239"/>
        <v>0</v>
      </c>
      <c r="T5225" s="128">
        <f t="shared" si="238"/>
        <v>0</v>
      </c>
      <c r="U5225" s="129" t="str">
        <f>IFERROR(IF(#REF!="S",VLOOKUP('Raw Data'!A5225,References!#REF!,2,FALSE),(VLOOKUP($S5225,References!$B$3:$C$7,2,FALSE))),"")</f>
        <v/>
      </c>
      <c r="W5225" s="74" t="str">
        <f>IFERROR(VLOOKUP($O5225,'Customer List'!$A$1:$J$488,10,FALSE),"")</f>
        <v/>
      </c>
    </row>
    <row r="5226" spans="18:23">
      <c r="R5226" s="127">
        <f t="shared" si="239"/>
        <v>0</v>
      </c>
      <c r="T5226" s="128">
        <f t="shared" si="238"/>
        <v>0</v>
      </c>
      <c r="U5226" s="129" t="str">
        <f>IFERROR(IF(#REF!="S",VLOOKUP('Raw Data'!A5226,References!#REF!,2,FALSE),(VLOOKUP($S5226,References!$B$3:$C$7,2,FALSE))),"")</f>
        <v/>
      </c>
      <c r="W5226" s="74" t="str">
        <f>IFERROR(VLOOKUP($O5226,'Customer List'!$A$1:$J$488,10,FALSE),"")</f>
        <v/>
      </c>
    </row>
    <row r="5227" spans="18:23">
      <c r="R5227" s="127">
        <f t="shared" si="239"/>
        <v>0</v>
      </c>
      <c r="T5227" s="128">
        <f t="shared" si="238"/>
        <v>0</v>
      </c>
      <c r="U5227" s="129" t="str">
        <f>IFERROR(IF(#REF!="S",VLOOKUP('Raw Data'!A5227,References!#REF!,2,FALSE),(VLOOKUP($S5227,References!$B$3:$C$7,2,FALSE))),"")</f>
        <v/>
      </c>
      <c r="W5227" s="74" t="str">
        <f>IFERROR(VLOOKUP($O5227,'Customer List'!$A$1:$J$488,10,FALSE),"")</f>
        <v/>
      </c>
    </row>
    <row r="5228" spans="18:23">
      <c r="R5228" s="127">
        <f t="shared" si="239"/>
        <v>0</v>
      </c>
      <c r="T5228" s="128">
        <f t="shared" si="238"/>
        <v>0</v>
      </c>
      <c r="U5228" s="129" t="str">
        <f>IFERROR(IF(#REF!="S",VLOOKUP('Raw Data'!A5228,References!#REF!,2,FALSE),(VLOOKUP($S5228,References!$B$3:$C$7,2,FALSE))),"")</f>
        <v/>
      </c>
      <c r="W5228" s="74" t="str">
        <f>IFERROR(VLOOKUP($O5228,'Customer List'!$A$1:$J$488,10,FALSE),"")</f>
        <v/>
      </c>
    </row>
    <row r="5229" spans="18:23">
      <c r="R5229" s="127">
        <f t="shared" si="239"/>
        <v>0</v>
      </c>
      <c r="T5229" s="128">
        <f t="shared" si="238"/>
        <v>0</v>
      </c>
      <c r="U5229" s="129" t="str">
        <f>IFERROR(IF(#REF!="S",VLOOKUP('Raw Data'!A5229,References!#REF!,2,FALSE),(VLOOKUP($S5229,References!$B$3:$C$7,2,FALSE))),"")</f>
        <v/>
      </c>
      <c r="W5229" s="74" t="str">
        <f>IFERROR(VLOOKUP($O5229,'Customer List'!$A$1:$J$488,10,FALSE),"")</f>
        <v/>
      </c>
    </row>
    <row r="5230" spans="18:23">
      <c r="R5230" s="127">
        <f t="shared" si="239"/>
        <v>0</v>
      </c>
      <c r="T5230" s="128">
        <f t="shared" si="238"/>
        <v>0</v>
      </c>
      <c r="U5230" s="129" t="str">
        <f>IFERROR(IF(#REF!="S",VLOOKUP('Raw Data'!A5230,References!#REF!,2,FALSE),(VLOOKUP($S5230,References!$B$3:$C$7,2,FALSE))),"")</f>
        <v/>
      </c>
      <c r="W5230" s="74" t="str">
        <f>IFERROR(VLOOKUP($O5230,'Customer List'!$A$1:$J$488,10,FALSE),"")</f>
        <v/>
      </c>
    </row>
    <row r="5231" spans="18:23">
      <c r="R5231" s="127">
        <f t="shared" si="239"/>
        <v>0</v>
      </c>
      <c r="T5231" s="128">
        <f t="shared" si="238"/>
        <v>0</v>
      </c>
      <c r="U5231" s="129" t="str">
        <f>IFERROR(IF(#REF!="S",VLOOKUP('Raw Data'!A5231,References!#REF!,2,FALSE),(VLOOKUP($S5231,References!$B$3:$C$7,2,FALSE))),"")</f>
        <v/>
      </c>
      <c r="W5231" s="74" t="str">
        <f>IFERROR(VLOOKUP($O5231,'Customer List'!$A$1:$J$488,10,FALSE),"")</f>
        <v/>
      </c>
    </row>
    <row r="5232" spans="18:23">
      <c r="R5232" s="127">
        <f t="shared" si="239"/>
        <v>0</v>
      </c>
      <c r="T5232" s="128">
        <f t="shared" si="238"/>
        <v>0</v>
      </c>
      <c r="U5232" s="129" t="str">
        <f>IFERROR(IF(#REF!="S",VLOOKUP('Raw Data'!A5232,References!#REF!,2,FALSE),(VLOOKUP($S5232,References!$B$3:$C$7,2,FALSE))),"")</f>
        <v/>
      </c>
      <c r="W5232" s="74" t="str">
        <f>IFERROR(VLOOKUP($O5232,'Customer List'!$A$1:$J$488,10,FALSE),"")</f>
        <v/>
      </c>
    </row>
    <row r="5233" spans="18:23">
      <c r="R5233" s="127">
        <f t="shared" si="239"/>
        <v>0</v>
      </c>
      <c r="T5233" s="128">
        <f t="shared" si="238"/>
        <v>0</v>
      </c>
      <c r="U5233" s="129" t="str">
        <f>IFERROR(IF(#REF!="S",VLOOKUP('Raw Data'!A5233,References!#REF!,2,FALSE),(VLOOKUP($S5233,References!$B$3:$C$7,2,FALSE))),"")</f>
        <v/>
      </c>
      <c r="W5233" s="74" t="str">
        <f>IFERROR(VLOOKUP($O5233,'Customer List'!$A$1:$J$488,10,FALSE),"")</f>
        <v/>
      </c>
    </row>
    <row r="5234" spans="18:23">
      <c r="R5234" s="127">
        <f t="shared" si="239"/>
        <v>0</v>
      </c>
      <c r="T5234" s="128">
        <f t="shared" si="238"/>
        <v>0</v>
      </c>
      <c r="U5234" s="129" t="str">
        <f>IFERROR(IF(#REF!="S",VLOOKUP('Raw Data'!A5234,References!#REF!,2,FALSE),(VLOOKUP($S5234,References!$B$3:$C$7,2,FALSE))),"")</f>
        <v/>
      </c>
      <c r="W5234" s="74" t="str">
        <f>IFERROR(VLOOKUP($O5234,'Customer List'!$A$1:$J$488,10,FALSE),"")</f>
        <v/>
      </c>
    </row>
    <row r="5235" spans="18:23">
      <c r="R5235" s="127">
        <f t="shared" si="239"/>
        <v>0</v>
      </c>
      <c r="T5235" s="128">
        <f t="shared" si="238"/>
        <v>0</v>
      </c>
      <c r="U5235" s="129" t="str">
        <f>IFERROR(IF(#REF!="S",VLOOKUP('Raw Data'!A5235,References!#REF!,2,FALSE),(VLOOKUP($S5235,References!$B$3:$C$7,2,FALSE))),"")</f>
        <v/>
      </c>
      <c r="W5235" s="74" t="str">
        <f>IFERROR(VLOOKUP($O5235,'Customer List'!$A$1:$J$488,10,FALSE),"")</f>
        <v/>
      </c>
    </row>
    <row r="5236" spans="18:23">
      <c r="R5236" s="127">
        <f t="shared" si="239"/>
        <v>0</v>
      </c>
      <c r="T5236" s="128">
        <f t="shared" si="238"/>
        <v>0</v>
      </c>
      <c r="U5236" s="129" t="str">
        <f>IFERROR(IF(#REF!="S",VLOOKUP('Raw Data'!A5236,References!#REF!,2,FALSE),(VLOOKUP($S5236,References!$B$3:$C$7,2,FALSE))),"")</f>
        <v/>
      </c>
      <c r="W5236" s="74" t="str">
        <f>IFERROR(VLOOKUP($O5236,'Customer List'!$A$1:$J$488,10,FALSE),"")</f>
        <v/>
      </c>
    </row>
    <row r="5237" spans="18:23">
      <c r="R5237" s="127">
        <f t="shared" si="239"/>
        <v>0</v>
      </c>
      <c r="T5237" s="128">
        <f t="shared" si="238"/>
        <v>0</v>
      </c>
      <c r="U5237" s="129" t="str">
        <f>IFERROR(IF(#REF!="S",VLOOKUP('Raw Data'!A5237,References!#REF!,2,FALSE),(VLOOKUP($S5237,References!$B$3:$C$7,2,FALSE))),"")</f>
        <v/>
      </c>
      <c r="W5237" s="74" t="str">
        <f>IFERROR(VLOOKUP($O5237,'Customer List'!$A$1:$J$488,10,FALSE),"")</f>
        <v/>
      </c>
    </row>
    <row r="5238" spans="18:23">
      <c r="R5238" s="127">
        <f t="shared" si="239"/>
        <v>0</v>
      </c>
      <c r="T5238" s="128">
        <f t="shared" si="238"/>
        <v>0</v>
      </c>
      <c r="U5238" s="129" t="str">
        <f>IFERROR(IF(#REF!="S",VLOOKUP('Raw Data'!A5238,References!#REF!,2,FALSE),(VLOOKUP($S5238,References!$B$3:$C$7,2,FALSE))),"")</f>
        <v/>
      </c>
      <c r="W5238" s="74" t="str">
        <f>IFERROR(VLOOKUP($O5238,'Customer List'!$A$1:$J$488,10,FALSE),"")</f>
        <v/>
      </c>
    </row>
    <row r="5239" spans="18:23">
      <c r="R5239" s="127">
        <f t="shared" si="239"/>
        <v>0</v>
      </c>
      <c r="T5239" s="128">
        <f t="shared" si="238"/>
        <v>0</v>
      </c>
      <c r="U5239" s="129" t="str">
        <f>IFERROR(IF(#REF!="S",VLOOKUP('Raw Data'!A5239,References!#REF!,2,FALSE),(VLOOKUP($S5239,References!$B$3:$C$7,2,FALSE))),"")</f>
        <v/>
      </c>
      <c r="W5239" s="74" t="str">
        <f>IFERROR(VLOOKUP($O5239,'Customer List'!$A$1:$J$488,10,FALSE),"")</f>
        <v/>
      </c>
    </row>
    <row r="5240" spans="18:23">
      <c r="R5240" s="127">
        <f t="shared" si="239"/>
        <v>0</v>
      </c>
      <c r="T5240" s="128">
        <f t="shared" si="238"/>
        <v>0</v>
      </c>
      <c r="U5240" s="129" t="str">
        <f>IFERROR(IF(#REF!="S",VLOOKUP('Raw Data'!A5240,References!#REF!,2,FALSE),(VLOOKUP($S5240,References!$B$3:$C$7,2,FALSE))),"")</f>
        <v/>
      </c>
      <c r="W5240" s="74" t="str">
        <f>IFERROR(VLOOKUP($O5240,'Customer List'!$A$1:$J$488,10,FALSE),"")</f>
        <v/>
      </c>
    </row>
    <row r="5241" spans="18:23">
      <c r="R5241" s="127">
        <f t="shared" si="239"/>
        <v>0</v>
      </c>
      <c r="T5241" s="128">
        <f t="shared" si="238"/>
        <v>0</v>
      </c>
      <c r="U5241" s="129" t="str">
        <f>IFERROR(IF(#REF!="S",VLOOKUP('Raw Data'!A5241,References!#REF!,2,FALSE),(VLOOKUP($S5241,References!$B$3:$C$7,2,FALSE))),"")</f>
        <v/>
      </c>
      <c r="W5241" s="74" t="str">
        <f>IFERROR(VLOOKUP($O5241,'Customer List'!$A$1:$J$488,10,FALSE),"")</f>
        <v/>
      </c>
    </row>
    <row r="5242" spans="18:23">
      <c r="R5242" s="127">
        <f t="shared" si="239"/>
        <v>0</v>
      </c>
      <c r="T5242" s="128">
        <f t="shared" si="238"/>
        <v>0</v>
      </c>
      <c r="U5242" s="129" t="str">
        <f>IFERROR(IF(#REF!="S",VLOOKUP('Raw Data'!A5242,References!#REF!,2,FALSE),(VLOOKUP($S5242,References!$B$3:$C$7,2,FALSE))),"")</f>
        <v/>
      </c>
      <c r="W5242" s="74" t="str">
        <f>IFERROR(VLOOKUP($O5242,'Customer List'!$A$1:$J$488,10,FALSE),"")</f>
        <v/>
      </c>
    </row>
    <row r="5243" spans="18:23">
      <c r="R5243" s="127">
        <f t="shared" si="239"/>
        <v>0</v>
      </c>
      <c r="T5243" s="128">
        <f t="shared" si="238"/>
        <v>0</v>
      </c>
      <c r="U5243" s="129" t="str">
        <f>IFERROR(IF(#REF!="S",VLOOKUP('Raw Data'!A5243,References!#REF!,2,FALSE),(VLOOKUP($S5243,References!$B$3:$C$7,2,FALSE))),"")</f>
        <v/>
      </c>
      <c r="W5243" s="74" t="str">
        <f>IFERROR(VLOOKUP($O5243,'Customer List'!$A$1:$J$488,10,FALSE),"")</f>
        <v/>
      </c>
    </row>
    <row r="5244" spans="18:23">
      <c r="R5244" s="127">
        <f t="shared" si="239"/>
        <v>0</v>
      </c>
      <c r="T5244" s="128">
        <f t="shared" si="238"/>
        <v>0</v>
      </c>
      <c r="U5244" s="129" t="str">
        <f>IFERROR(IF(#REF!="S",VLOOKUP('Raw Data'!A5244,References!#REF!,2,FALSE),(VLOOKUP($S5244,References!$B$3:$C$7,2,FALSE))),"")</f>
        <v/>
      </c>
      <c r="W5244" s="74" t="str">
        <f>IFERROR(VLOOKUP($O5244,'Customer List'!$A$1:$J$488,10,FALSE),"")</f>
        <v/>
      </c>
    </row>
    <row r="5245" spans="18:23">
      <c r="R5245" s="127">
        <f t="shared" si="239"/>
        <v>0</v>
      </c>
      <c r="T5245" s="128">
        <f t="shared" si="238"/>
        <v>0</v>
      </c>
      <c r="U5245" s="129" t="str">
        <f>IFERROR(IF(#REF!="S",VLOOKUP('Raw Data'!A5245,References!#REF!,2,FALSE),(VLOOKUP($S5245,References!$B$3:$C$7,2,FALSE))),"")</f>
        <v/>
      </c>
      <c r="W5245" s="74" t="str">
        <f>IFERROR(VLOOKUP($O5245,'Customer List'!$A$1:$J$488,10,FALSE),"")</f>
        <v/>
      </c>
    </row>
    <row r="5246" spans="18:23">
      <c r="R5246" s="127">
        <f t="shared" si="239"/>
        <v>0</v>
      </c>
      <c r="T5246" s="128">
        <f t="shared" si="238"/>
        <v>0</v>
      </c>
      <c r="U5246" s="129" t="str">
        <f>IFERROR(IF(#REF!="S",VLOOKUP('Raw Data'!A5246,References!#REF!,2,FALSE),(VLOOKUP($S5246,References!$B$3:$C$7,2,FALSE))),"")</f>
        <v/>
      </c>
      <c r="W5246" s="74" t="str">
        <f>IFERROR(VLOOKUP($O5246,'Customer List'!$A$1:$J$488,10,FALSE),"")</f>
        <v/>
      </c>
    </row>
    <row r="5247" spans="18:23">
      <c r="R5247" s="127">
        <f t="shared" si="239"/>
        <v>0</v>
      </c>
      <c r="T5247" s="128">
        <f t="shared" si="238"/>
        <v>0</v>
      </c>
      <c r="U5247" s="129" t="str">
        <f>IFERROR(IF(#REF!="S",VLOOKUP('Raw Data'!A5247,References!#REF!,2,FALSE),(VLOOKUP($S5247,References!$B$3:$C$7,2,FALSE))),"")</f>
        <v/>
      </c>
      <c r="W5247" s="74" t="str">
        <f>IFERROR(VLOOKUP($O5247,'Customer List'!$A$1:$J$488,10,FALSE),"")</f>
        <v/>
      </c>
    </row>
    <row r="5248" spans="18:23">
      <c r="R5248" s="127">
        <f t="shared" si="239"/>
        <v>0</v>
      </c>
      <c r="T5248" s="128">
        <f t="shared" si="238"/>
        <v>0</v>
      </c>
      <c r="U5248" s="129" t="str">
        <f>IFERROR(IF(#REF!="S",VLOOKUP('Raw Data'!A5248,References!#REF!,2,FALSE),(VLOOKUP($S5248,References!$B$3:$C$7,2,FALSE))),"")</f>
        <v/>
      </c>
      <c r="W5248" s="74" t="str">
        <f>IFERROR(VLOOKUP($O5248,'Customer List'!$A$1:$J$488,10,FALSE),"")</f>
        <v/>
      </c>
    </row>
    <row r="5249" spans="18:23">
      <c r="R5249" s="127">
        <f t="shared" si="239"/>
        <v>0</v>
      </c>
      <c r="T5249" s="128">
        <f t="shared" si="238"/>
        <v>0</v>
      </c>
      <c r="U5249" s="129" t="str">
        <f>IFERROR(IF(#REF!="S",VLOOKUP('Raw Data'!A5249,References!#REF!,2,FALSE),(VLOOKUP($S5249,References!$B$3:$C$7,2,FALSE))),"")</f>
        <v/>
      </c>
      <c r="W5249" s="74" t="str">
        <f>IFERROR(VLOOKUP($O5249,'Customer List'!$A$1:$J$488,10,FALSE),"")</f>
        <v/>
      </c>
    </row>
    <row r="5250" spans="18:23">
      <c r="R5250" s="127">
        <f t="shared" si="239"/>
        <v>0</v>
      </c>
      <c r="T5250" s="128">
        <f t="shared" si="238"/>
        <v>0</v>
      </c>
      <c r="U5250" s="129" t="str">
        <f>IFERROR(IF(#REF!="S",VLOOKUP('Raw Data'!A5250,References!#REF!,2,FALSE),(VLOOKUP($S5250,References!$B$3:$C$7,2,FALSE))),"")</f>
        <v/>
      </c>
      <c r="W5250" s="74" t="str">
        <f>IFERROR(VLOOKUP($O5250,'Customer List'!$A$1:$J$488,10,FALSE),"")</f>
        <v/>
      </c>
    </row>
    <row r="5251" spans="18:23">
      <c r="R5251" s="127">
        <f t="shared" si="239"/>
        <v>0</v>
      </c>
      <c r="T5251" s="128">
        <f t="shared" si="238"/>
        <v>0</v>
      </c>
      <c r="U5251" s="129" t="str">
        <f>IFERROR(IF(#REF!="S",VLOOKUP('Raw Data'!A5251,References!#REF!,2,FALSE),(VLOOKUP($S5251,References!$B$3:$C$7,2,FALSE))),"")</f>
        <v/>
      </c>
      <c r="W5251" s="74" t="str">
        <f>IFERROR(VLOOKUP($O5251,'Customer List'!$A$1:$J$488,10,FALSE),"")</f>
        <v/>
      </c>
    </row>
    <row r="5252" spans="18:23">
      <c r="R5252" s="127">
        <f t="shared" si="239"/>
        <v>0</v>
      </c>
      <c r="T5252" s="128">
        <f t="shared" si="238"/>
        <v>0</v>
      </c>
      <c r="U5252" s="129" t="str">
        <f>IFERROR(IF(#REF!="S",VLOOKUP('Raw Data'!A5252,References!#REF!,2,FALSE),(VLOOKUP($S5252,References!$B$3:$C$7,2,FALSE))),"")</f>
        <v/>
      </c>
      <c r="W5252" s="74" t="str">
        <f>IFERROR(VLOOKUP($O5252,'Customer List'!$A$1:$J$488,10,FALSE),"")</f>
        <v/>
      </c>
    </row>
    <row r="5253" spans="18:23">
      <c r="R5253" s="127">
        <f t="shared" si="239"/>
        <v>0</v>
      </c>
      <c r="T5253" s="128">
        <f t="shared" si="238"/>
        <v>0</v>
      </c>
      <c r="U5253" s="129" t="str">
        <f>IFERROR(IF(#REF!="S",VLOOKUP('Raw Data'!A5253,References!#REF!,2,FALSE),(VLOOKUP($S5253,References!$B$3:$C$7,2,FALSE))),"")</f>
        <v/>
      </c>
      <c r="W5253" s="74" t="str">
        <f>IFERROR(VLOOKUP($O5253,'Customer List'!$A$1:$J$488,10,FALSE),"")</f>
        <v/>
      </c>
    </row>
    <row r="5254" spans="18:23">
      <c r="R5254" s="127">
        <f t="shared" si="239"/>
        <v>0</v>
      </c>
      <c r="T5254" s="128">
        <f t="shared" si="238"/>
        <v>0</v>
      </c>
      <c r="U5254" s="129" t="str">
        <f>IFERROR(IF(#REF!="S",VLOOKUP('Raw Data'!A5254,References!#REF!,2,FALSE),(VLOOKUP($S5254,References!$B$3:$C$7,2,FALSE))),"")</f>
        <v/>
      </c>
      <c r="W5254" s="74" t="str">
        <f>IFERROR(VLOOKUP($O5254,'Customer List'!$A$1:$J$488,10,FALSE),"")</f>
        <v/>
      </c>
    </row>
    <row r="5255" spans="18:23">
      <c r="R5255" s="127">
        <f t="shared" si="239"/>
        <v>0</v>
      </c>
      <c r="T5255" s="128">
        <f t="shared" si="238"/>
        <v>0</v>
      </c>
      <c r="U5255" s="129" t="str">
        <f>IFERROR(IF(#REF!="S",VLOOKUP('Raw Data'!A5255,References!#REF!,2,FALSE),(VLOOKUP($S5255,References!$B$3:$C$7,2,FALSE))),"")</f>
        <v/>
      </c>
      <c r="W5255" s="74" t="str">
        <f>IFERROR(VLOOKUP($O5255,'Customer List'!$A$1:$J$488,10,FALSE),"")</f>
        <v/>
      </c>
    </row>
    <row r="5256" spans="18:23">
      <c r="R5256" s="127">
        <f t="shared" si="239"/>
        <v>0</v>
      </c>
      <c r="T5256" s="128">
        <f t="shared" si="238"/>
        <v>0</v>
      </c>
      <c r="U5256" s="129" t="str">
        <f>IFERROR(IF(#REF!="S",VLOOKUP('Raw Data'!A5256,References!#REF!,2,FALSE),(VLOOKUP($S5256,References!$B$3:$C$7,2,FALSE))),"")</f>
        <v/>
      </c>
      <c r="W5256" s="74" t="str">
        <f>IFERROR(VLOOKUP($O5256,'Customer List'!$A$1:$J$488,10,FALSE),"")</f>
        <v/>
      </c>
    </row>
    <row r="5257" spans="18:23">
      <c r="R5257" s="127">
        <f t="shared" si="239"/>
        <v>0</v>
      </c>
      <c r="T5257" s="128">
        <f t="shared" si="238"/>
        <v>0</v>
      </c>
      <c r="U5257" s="129" t="str">
        <f>IFERROR(IF(#REF!="S",VLOOKUP('Raw Data'!A5257,References!#REF!,2,FALSE),(VLOOKUP($S5257,References!$B$3:$C$7,2,FALSE))),"")</f>
        <v/>
      </c>
      <c r="W5257" s="74" t="str">
        <f>IFERROR(VLOOKUP($O5257,'Customer List'!$A$1:$J$488,10,FALSE),"")</f>
        <v/>
      </c>
    </row>
    <row r="5258" spans="18:23">
      <c r="R5258" s="127">
        <f t="shared" si="239"/>
        <v>0</v>
      </c>
      <c r="T5258" s="128">
        <f t="shared" ref="T5258:T5321" si="240">IF(S5258="50 - Cleaning Fee",1,HOUR($R5258)+MINUTE(R5258)/60)</f>
        <v>0</v>
      </c>
      <c r="U5258" s="129" t="str">
        <f>IFERROR(IF(#REF!="S",VLOOKUP('Raw Data'!A5258,References!#REF!,2,FALSE),(VLOOKUP($S5258,References!$B$3:$C$7,2,FALSE))),"")</f>
        <v/>
      </c>
      <c r="W5258" s="74" t="str">
        <f>IFERROR(VLOOKUP($O5258,'Customer List'!$A$1:$J$488,10,FALSE),"")</f>
        <v/>
      </c>
    </row>
    <row r="5259" spans="18:23">
      <c r="R5259" s="127">
        <f t="shared" si="239"/>
        <v>0</v>
      </c>
      <c r="T5259" s="128">
        <f t="shared" si="240"/>
        <v>0</v>
      </c>
      <c r="U5259" s="129" t="str">
        <f>IFERROR(IF(#REF!="S",VLOOKUP('Raw Data'!A5259,References!#REF!,2,FALSE),(VLOOKUP($S5259,References!$B$3:$C$7,2,FALSE))),"")</f>
        <v/>
      </c>
      <c r="W5259" s="74" t="str">
        <f>IFERROR(VLOOKUP($O5259,'Customer List'!$A$1:$J$488,10,FALSE),"")</f>
        <v/>
      </c>
    </row>
    <row r="5260" spans="18:23">
      <c r="R5260" s="127">
        <f t="shared" si="239"/>
        <v>0</v>
      </c>
      <c r="T5260" s="128">
        <f t="shared" si="240"/>
        <v>0</v>
      </c>
      <c r="U5260" s="129" t="str">
        <f>IFERROR(IF(#REF!="S",VLOOKUP('Raw Data'!A5260,References!#REF!,2,FALSE),(VLOOKUP($S5260,References!$B$3:$C$7,2,FALSE))),"")</f>
        <v/>
      </c>
      <c r="W5260" s="74" t="str">
        <f>IFERROR(VLOOKUP($O5260,'Customer List'!$A$1:$J$488,10,FALSE),"")</f>
        <v/>
      </c>
    </row>
    <row r="5261" spans="18:23">
      <c r="R5261" s="127">
        <f t="shared" si="239"/>
        <v>0</v>
      </c>
      <c r="T5261" s="128">
        <f t="shared" si="240"/>
        <v>0</v>
      </c>
      <c r="U5261" s="129" t="str">
        <f>IFERROR(IF(#REF!="S",VLOOKUP('Raw Data'!A5261,References!#REF!,2,FALSE),(VLOOKUP($S5261,References!$B$3:$C$7,2,FALSE))),"")</f>
        <v/>
      </c>
      <c r="W5261" s="74" t="str">
        <f>IFERROR(VLOOKUP($O5261,'Customer List'!$A$1:$J$488,10,FALSE),"")</f>
        <v/>
      </c>
    </row>
    <row r="5262" spans="18:23">
      <c r="R5262" s="127">
        <f t="shared" si="239"/>
        <v>0</v>
      </c>
      <c r="T5262" s="128">
        <f t="shared" si="240"/>
        <v>0</v>
      </c>
      <c r="U5262" s="129" t="str">
        <f>IFERROR(IF(#REF!="S",VLOOKUP('Raw Data'!A5262,References!#REF!,2,FALSE),(VLOOKUP($S5262,References!$B$3:$C$7,2,FALSE))),"")</f>
        <v/>
      </c>
      <c r="W5262" s="74" t="str">
        <f>IFERROR(VLOOKUP($O5262,'Customer List'!$A$1:$J$488,10,FALSE),"")</f>
        <v/>
      </c>
    </row>
    <row r="5263" spans="18:23">
      <c r="R5263" s="127">
        <f t="shared" si="239"/>
        <v>0</v>
      </c>
      <c r="T5263" s="128">
        <f t="shared" si="240"/>
        <v>0</v>
      </c>
      <c r="U5263" s="129" t="str">
        <f>IFERROR(IF(#REF!="S",VLOOKUP('Raw Data'!A5263,References!#REF!,2,FALSE),(VLOOKUP($S5263,References!$B$3:$C$7,2,FALSE))),"")</f>
        <v/>
      </c>
      <c r="W5263" s="74" t="str">
        <f>IFERROR(VLOOKUP($O5263,'Customer List'!$A$1:$J$488,10,FALSE),"")</f>
        <v/>
      </c>
    </row>
    <row r="5264" spans="18:23">
      <c r="R5264" s="127">
        <f t="shared" si="239"/>
        <v>0</v>
      </c>
      <c r="T5264" s="128">
        <f t="shared" si="240"/>
        <v>0</v>
      </c>
      <c r="U5264" s="129" t="str">
        <f>IFERROR(IF(#REF!="S",VLOOKUP('Raw Data'!A5264,References!#REF!,2,FALSE),(VLOOKUP($S5264,References!$B$3:$C$7,2,FALSE))),"")</f>
        <v/>
      </c>
      <c r="W5264" s="74" t="str">
        <f>IFERROR(VLOOKUP($O5264,'Customer List'!$A$1:$J$488,10,FALSE),"")</f>
        <v/>
      </c>
    </row>
    <row r="5265" spans="18:23">
      <c r="R5265" s="127">
        <f t="shared" si="239"/>
        <v>0</v>
      </c>
      <c r="T5265" s="128">
        <f t="shared" si="240"/>
        <v>0</v>
      </c>
      <c r="U5265" s="129" t="str">
        <f>IFERROR(IF(#REF!="S",VLOOKUP('Raw Data'!A5265,References!#REF!,2,FALSE),(VLOOKUP($S5265,References!$B$3:$C$7,2,FALSE))),"")</f>
        <v/>
      </c>
      <c r="W5265" s="74" t="str">
        <f>IFERROR(VLOOKUP($O5265,'Customer List'!$A$1:$J$488,10,FALSE),"")</f>
        <v/>
      </c>
    </row>
    <row r="5266" spans="18:23">
      <c r="R5266" s="127">
        <f t="shared" si="239"/>
        <v>0</v>
      </c>
      <c r="T5266" s="128">
        <f t="shared" si="240"/>
        <v>0</v>
      </c>
      <c r="U5266" s="129" t="str">
        <f>IFERROR(IF(#REF!="S",VLOOKUP('Raw Data'!A5266,References!#REF!,2,FALSE),(VLOOKUP($S5266,References!$B$3:$C$7,2,FALSE))),"")</f>
        <v/>
      </c>
      <c r="W5266" s="74" t="str">
        <f>IFERROR(VLOOKUP($O5266,'Customer List'!$A$1:$J$488,10,FALSE),"")</f>
        <v/>
      </c>
    </row>
    <row r="5267" spans="18:23">
      <c r="R5267" s="127">
        <f t="shared" si="239"/>
        <v>0</v>
      </c>
      <c r="T5267" s="128">
        <f t="shared" si="240"/>
        <v>0</v>
      </c>
      <c r="U5267" s="129" t="str">
        <f>IFERROR(IF(#REF!="S",VLOOKUP('Raw Data'!A5267,References!#REF!,2,FALSE),(VLOOKUP($S5267,References!$B$3:$C$7,2,FALSE))),"")</f>
        <v/>
      </c>
      <c r="W5267" s="74" t="str">
        <f>IFERROR(VLOOKUP($O5267,'Customer List'!$A$1:$J$488,10,FALSE),"")</f>
        <v/>
      </c>
    </row>
    <row r="5268" spans="18:23">
      <c r="R5268" s="127">
        <f t="shared" si="239"/>
        <v>0</v>
      </c>
      <c r="T5268" s="128">
        <f t="shared" si="240"/>
        <v>0</v>
      </c>
      <c r="U5268" s="129" t="str">
        <f>IFERROR(IF(#REF!="S",VLOOKUP('Raw Data'!A5268,References!#REF!,2,FALSE),(VLOOKUP($S5268,References!$B$3:$C$7,2,FALSE))),"")</f>
        <v/>
      </c>
      <c r="W5268" s="74" t="str">
        <f>IFERROR(VLOOKUP($O5268,'Customer List'!$A$1:$J$488,10,FALSE),"")</f>
        <v/>
      </c>
    </row>
    <row r="5269" spans="18:23">
      <c r="R5269" s="127">
        <f t="shared" si="239"/>
        <v>0</v>
      </c>
      <c r="T5269" s="128">
        <f t="shared" si="240"/>
        <v>0</v>
      </c>
      <c r="U5269" s="129" t="str">
        <f>IFERROR(IF(#REF!="S",VLOOKUP('Raw Data'!A5269,References!#REF!,2,FALSE),(VLOOKUP($S5269,References!$B$3:$C$7,2,FALSE))),"")</f>
        <v/>
      </c>
      <c r="W5269" s="74" t="str">
        <f>IFERROR(VLOOKUP($O5269,'Customer List'!$A$1:$J$488,10,FALSE),"")</f>
        <v/>
      </c>
    </row>
    <row r="5270" spans="18:23">
      <c r="R5270" s="127">
        <f t="shared" si="239"/>
        <v>0</v>
      </c>
      <c r="T5270" s="128">
        <f t="shared" si="240"/>
        <v>0</v>
      </c>
      <c r="U5270" s="129" t="str">
        <f>IFERROR(IF(#REF!="S",VLOOKUP('Raw Data'!A5270,References!#REF!,2,FALSE),(VLOOKUP($S5270,References!$B$3:$C$7,2,FALSE))),"")</f>
        <v/>
      </c>
      <c r="W5270" s="74" t="str">
        <f>IFERROR(VLOOKUP($O5270,'Customer List'!$A$1:$J$488,10,FALSE),"")</f>
        <v/>
      </c>
    </row>
    <row r="5271" spans="18:23">
      <c r="R5271" s="127">
        <f t="shared" si="239"/>
        <v>0</v>
      </c>
      <c r="T5271" s="128">
        <f t="shared" si="240"/>
        <v>0</v>
      </c>
      <c r="U5271" s="129" t="str">
        <f>IFERROR(IF(#REF!="S",VLOOKUP('Raw Data'!A5271,References!#REF!,2,FALSE),(VLOOKUP($S5271,References!$B$3:$C$7,2,FALSE))),"")</f>
        <v/>
      </c>
      <c r="W5271" s="74" t="str">
        <f>IFERROR(VLOOKUP($O5271,'Customer List'!$A$1:$J$488,10,FALSE),"")</f>
        <v/>
      </c>
    </row>
    <row r="5272" spans="18:23">
      <c r="R5272" s="127">
        <f t="shared" si="239"/>
        <v>0</v>
      </c>
      <c r="T5272" s="128">
        <f t="shared" si="240"/>
        <v>0</v>
      </c>
      <c r="U5272" s="129" t="str">
        <f>IFERROR(IF(#REF!="S",VLOOKUP('Raw Data'!A5272,References!#REF!,2,FALSE),(VLOOKUP($S5272,References!$B$3:$C$7,2,FALSE))),"")</f>
        <v/>
      </c>
      <c r="W5272" s="74" t="str">
        <f>IFERROR(VLOOKUP($O5272,'Customer List'!$A$1:$J$488,10,FALSE),"")</f>
        <v/>
      </c>
    </row>
    <row r="5273" spans="18:23">
      <c r="R5273" s="127">
        <f t="shared" si="239"/>
        <v>0</v>
      </c>
      <c r="T5273" s="128">
        <f t="shared" si="240"/>
        <v>0</v>
      </c>
      <c r="U5273" s="129" t="str">
        <f>IFERROR(IF(#REF!="S",VLOOKUP('Raw Data'!A5273,References!#REF!,2,FALSE),(VLOOKUP($S5273,References!$B$3:$C$7,2,FALSE))),"")</f>
        <v/>
      </c>
      <c r="W5273" s="74" t="str">
        <f>IFERROR(VLOOKUP($O5273,'Customer List'!$A$1:$J$488,10,FALSE),"")</f>
        <v/>
      </c>
    </row>
    <row r="5274" spans="18:23">
      <c r="R5274" s="127">
        <f t="shared" si="239"/>
        <v>0</v>
      </c>
      <c r="T5274" s="128">
        <f t="shared" si="240"/>
        <v>0</v>
      </c>
      <c r="U5274" s="129" t="str">
        <f>IFERROR(IF(#REF!="S",VLOOKUP('Raw Data'!A5274,References!#REF!,2,FALSE),(VLOOKUP($S5274,References!$B$3:$C$7,2,FALSE))),"")</f>
        <v/>
      </c>
      <c r="W5274" s="74" t="str">
        <f>IFERROR(VLOOKUP($O5274,'Customer List'!$A$1:$J$488,10,FALSE),"")</f>
        <v/>
      </c>
    </row>
    <row r="5275" spans="18:23">
      <c r="R5275" s="127">
        <f t="shared" si="239"/>
        <v>0</v>
      </c>
      <c r="T5275" s="128">
        <f t="shared" si="240"/>
        <v>0</v>
      </c>
      <c r="U5275" s="129" t="str">
        <f>IFERROR(IF(#REF!="S",VLOOKUP('Raw Data'!A5275,References!#REF!,2,FALSE),(VLOOKUP($S5275,References!$B$3:$C$7,2,FALSE))),"")</f>
        <v/>
      </c>
      <c r="W5275" s="74" t="str">
        <f>IFERROR(VLOOKUP($O5275,'Customer List'!$A$1:$J$488,10,FALSE),"")</f>
        <v/>
      </c>
    </row>
    <row r="5276" spans="18:23">
      <c r="R5276" s="127">
        <f t="shared" si="239"/>
        <v>0</v>
      </c>
      <c r="T5276" s="128">
        <f t="shared" si="240"/>
        <v>0</v>
      </c>
      <c r="U5276" s="129" t="str">
        <f>IFERROR(IF(#REF!="S",VLOOKUP('Raw Data'!A5276,References!#REF!,2,FALSE),(VLOOKUP($S5276,References!$B$3:$C$7,2,FALSE))),"")</f>
        <v/>
      </c>
      <c r="W5276" s="74" t="str">
        <f>IFERROR(VLOOKUP($O5276,'Customer List'!$A$1:$J$488,10,FALSE),"")</f>
        <v/>
      </c>
    </row>
    <row r="5277" spans="18:23">
      <c r="R5277" s="127">
        <f t="shared" si="239"/>
        <v>0</v>
      </c>
      <c r="T5277" s="128">
        <f t="shared" si="240"/>
        <v>0</v>
      </c>
      <c r="U5277" s="129" t="str">
        <f>IFERROR(IF(#REF!="S",VLOOKUP('Raw Data'!A5277,References!#REF!,2,FALSE),(VLOOKUP($S5277,References!$B$3:$C$7,2,FALSE))),"")</f>
        <v/>
      </c>
      <c r="W5277" s="74" t="str">
        <f>IFERROR(VLOOKUP($O5277,'Customer List'!$A$1:$J$488,10,FALSE),"")</f>
        <v/>
      </c>
    </row>
    <row r="5278" spans="18:23">
      <c r="R5278" s="127">
        <f t="shared" si="239"/>
        <v>0</v>
      </c>
      <c r="T5278" s="128">
        <f t="shared" si="240"/>
        <v>0</v>
      </c>
      <c r="U5278" s="129" t="str">
        <f>IFERROR(IF(#REF!="S",VLOOKUP('Raw Data'!A5278,References!#REF!,2,FALSE),(VLOOKUP($S5278,References!$B$3:$C$7,2,FALSE))),"")</f>
        <v/>
      </c>
      <c r="W5278" s="74" t="str">
        <f>IFERROR(VLOOKUP($O5278,'Customer List'!$A$1:$J$488,10,FALSE),"")</f>
        <v/>
      </c>
    </row>
    <row r="5279" spans="18:23">
      <c r="R5279" s="127">
        <f t="shared" si="239"/>
        <v>0</v>
      </c>
      <c r="T5279" s="128">
        <f t="shared" si="240"/>
        <v>0</v>
      </c>
      <c r="U5279" s="129" t="str">
        <f>IFERROR(IF(#REF!="S",VLOOKUP('Raw Data'!A5279,References!#REF!,2,FALSE),(VLOOKUP($S5279,References!$B$3:$C$7,2,FALSE))),"")</f>
        <v/>
      </c>
      <c r="W5279" s="74" t="str">
        <f>IFERROR(VLOOKUP($O5279,'Customer List'!$A$1:$J$488,10,FALSE),"")</f>
        <v/>
      </c>
    </row>
    <row r="5280" spans="18:23">
      <c r="R5280" s="127">
        <f t="shared" si="239"/>
        <v>0</v>
      </c>
      <c r="T5280" s="128">
        <f t="shared" si="240"/>
        <v>0</v>
      </c>
      <c r="U5280" s="129" t="str">
        <f>IFERROR(IF(#REF!="S",VLOOKUP('Raw Data'!A5280,References!#REF!,2,FALSE),(VLOOKUP($S5280,References!$B$3:$C$7,2,FALSE))),"")</f>
        <v/>
      </c>
      <c r="W5280" s="74" t="str">
        <f>IFERROR(VLOOKUP($O5280,'Customer List'!$A$1:$J$488,10,FALSE),"")</f>
        <v/>
      </c>
    </row>
    <row r="5281" spans="18:23">
      <c r="R5281" s="127">
        <f t="shared" si="239"/>
        <v>0</v>
      </c>
      <c r="T5281" s="128">
        <f t="shared" si="240"/>
        <v>0</v>
      </c>
      <c r="U5281" s="129" t="str">
        <f>IFERROR(IF(#REF!="S",VLOOKUP('Raw Data'!A5281,References!#REF!,2,FALSE),(VLOOKUP($S5281,References!$B$3:$C$7,2,FALSE))),"")</f>
        <v/>
      </c>
      <c r="W5281" s="74" t="str">
        <f>IFERROR(VLOOKUP($O5281,'Customer List'!$A$1:$J$488,10,FALSE),"")</f>
        <v/>
      </c>
    </row>
    <row r="5282" spans="18:23">
      <c r="R5282" s="127">
        <f t="shared" ref="R5282:R5345" si="241">L5282-K5282</f>
        <v>0</v>
      </c>
      <c r="T5282" s="128">
        <f t="shared" si="240"/>
        <v>0</v>
      </c>
      <c r="U5282" s="129" t="str">
        <f>IFERROR(IF(#REF!="S",VLOOKUP('Raw Data'!A5282,References!#REF!,2,FALSE),(VLOOKUP($S5282,References!$B$3:$C$7,2,FALSE))),"")</f>
        <v/>
      </c>
      <c r="W5282" s="74" t="str">
        <f>IFERROR(VLOOKUP($O5282,'Customer List'!$A$1:$J$488,10,FALSE),"")</f>
        <v/>
      </c>
    </row>
    <row r="5283" spans="18:23">
      <c r="R5283" s="127">
        <f t="shared" si="241"/>
        <v>0</v>
      </c>
      <c r="T5283" s="128">
        <f t="shared" si="240"/>
        <v>0</v>
      </c>
      <c r="U5283" s="129" t="str">
        <f>IFERROR(IF(#REF!="S",VLOOKUP('Raw Data'!A5283,References!#REF!,2,FALSE),(VLOOKUP($S5283,References!$B$3:$C$7,2,FALSE))),"")</f>
        <v/>
      </c>
      <c r="W5283" s="74" t="str">
        <f>IFERROR(VLOOKUP($O5283,'Customer List'!$A$1:$J$488,10,FALSE),"")</f>
        <v/>
      </c>
    </row>
    <row r="5284" spans="18:23">
      <c r="R5284" s="127">
        <f t="shared" si="241"/>
        <v>0</v>
      </c>
      <c r="T5284" s="128">
        <f t="shared" si="240"/>
        <v>0</v>
      </c>
      <c r="U5284" s="129" t="str">
        <f>IFERROR(IF(#REF!="S",VLOOKUP('Raw Data'!A5284,References!#REF!,2,FALSE),(VLOOKUP($S5284,References!$B$3:$C$7,2,FALSE))),"")</f>
        <v/>
      </c>
      <c r="W5284" s="74" t="str">
        <f>IFERROR(VLOOKUP($O5284,'Customer List'!$A$1:$J$488,10,FALSE),"")</f>
        <v/>
      </c>
    </row>
    <row r="5285" spans="18:23">
      <c r="R5285" s="127">
        <f t="shared" si="241"/>
        <v>0</v>
      </c>
      <c r="T5285" s="128">
        <f t="shared" si="240"/>
        <v>0</v>
      </c>
      <c r="U5285" s="129" t="str">
        <f>IFERROR(IF(#REF!="S",VLOOKUP('Raw Data'!A5285,References!#REF!,2,FALSE),(VLOOKUP($S5285,References!$B$3:$C$7,2,FALSE))),"")</f>
        <v/>
      </c>
      <c r="W5285" s="74" t="str">
        <f>IFERROR(VLOOKUP($O5285,'Customer List'!$A$1:$J$488,10,FALSE),"")</f>
        <v/>
      </c>
    </row>
    <row r="5286" spans="18:23">
      <c r="R5286" s="127">
        <f t="shared" si="241"/>
        <v>0</v>
      </c>
      <c r="T5286" s="128">
        <f t="shared" si="240"/>
        <v>0</v>
      </c>
      <c r="U5286" s="129" t="str">
        <f>IFERROR(IF(#REF!="S",VLOOKUP('Raw Data'!A5286,References!#REF!,2,FALSE),(VLOOKUP($S5286,References!$B$3:$C$7,2,FALSE))),"")</f>
        <v/>
      </c>
      <c r="W5286" s="74" t="str">
        <f>IFERROR(VLOOKUP($O5286,'Customer List'!$A$1:$J$488,10,FALSE),"")</f>
        <v/>
      </c>
    </row>
    <row r="5287" spans="18:23">
      <c r="R5287" s="127">
        <f t="shared" si="241"/>
        <v>0</v>
      </c>
      <c r="T5287" s="128">
        <f t="shared" si="240"/>
        <v>0</v>
      </c>
      <c r="U5287" s="129" t="str">
        <f>IFERROR(IF(#REF!="S",VLOOKUP('Raw Data'!A5287,References!#REF!,2,FALSE),(VLOOKUP($S5287,References!$B$3:$C$7,2,FALSE))),"")</f>
        <v/>
      </c>
      <c r="W5287" s="74" t="str">
        <f>IFERROR(VLOOKUP($O5287,'Customer List'!$A$1:$J$488,10,FALSE),"")</f>
        <v/>
      </c>
    </row>
    <row r="5288" spans="18:23">
      <c r="R5288" s="127">
        <f t="shared" si="241"/>
        <v>0</v>
      </c>
      <c r="T5288" s="128">
        <f t="shared" si="240"/>
        <v>0</v>
      </c>
      <c r="U5288" s="129" t="str">
        <f>IFERROR(IF(#REF!="S",VLOOKUP('Raw Data'!A5288,References!#REF!,2,FALSE),(VLOOKUP($S5288,References!$B$3:$C$7,2,FALSE))),"")</f>
        <v/>
      </c>
      <c r="W5288" s="74" t="str">
        <f>IFERROR(VLOOKUP($O5288,'Customer List'!$A$1:$J$488,10,FALSE),"")</f>
        <v/>
      </c>
    </row>
    <row r="5289" spans="18:23">
      <c r="R5289" s="127">
        <f t="shared" si="241"/>
        <v>0</v>
      </c>
      <c r="T5289" s="128">
        <f t="shared" si="240"/>
        <v>0</v>
      </c>
      <c r="U5289" s="129" t="str">
        <f>IFERROR(IF(#REF!="S",VLOOKUP('Raw Data'!A5289,References!#REF!,2,FALSE),(VLOOKUP($S5289,References!$B$3:$C$7,2,FALSE))),"")</f>
        <v/>
      </c>
      <c r="W5289" s="74" t="str">
        <f>IFERROR(VLOOKUP($O5289,'Customer List'!$A$1:$J$488,10,FALSE),"")</f>
        <v/>
      </c>
    </row>
    <row r="5290" spans="18:23">
      <c r="R5290" s="127">
        <f t="shared" si="241"/>
        <v>0</v>
      </c>
      <c r="T5290" s="128">
        <f t="shared" si="240"/>
        <v>0</v>
      </c>
      <c r="U5290" s="129" t="str">
        <f>IFERROR(IF(#REF!="S",VLOOKUP('Raw Data'!A5290,References!#REF!,2,FALSE),(VLOOKUP($S5290,References!$B$3:$C$7,2,FALSE))),"")</f>
        <v/>
      </c>
      <c r="W5290" s="74" t="str">
        <f>IFERROR(VLOOKUP($O5290,'Customer List'!$A$1:$J$488,10,FALSE),"")</f>
        <v/>
      </c>
    </row>
    <row r="5291" spans="18:23">
      <c r="R5291" s="127">
        <f t="shared" si="241"/>
        <v>0</v>
      </c>
      <c r="T5291" s="128">
        <f t="shared" si="240"/>
        <v>0</v>
      </c>
      <c r="U5291" s="129" t="str">
        <f>IFERROR(IF(#REF!="S",VLOOKUP('Raw Data'!A5291,References!#REF!,2,FALSE),(VLOOKUP($S5291,References!$B$3:$C$7,2,FALSE))),"")</f>
        <v/>
      </c>
      <c r="W5291" s="74" t="str">
        <f>IFERROR(VLOOKUP($O5291,'Customer List'!$A$1:$J$488,10,FALSE),"")</f>
        <v/>
      </c>
    </row>
    <row r="5292" spans="18:23">
      <c r="R5292" s="127">
        <f t="shared" si="241"/>
        <v>0</v>
      </c>
      <c r="T5292" s="128">
        <f t="shared" si="240"/>
        <v>0</v>
      </c>
      <c r="U5292" s="129" t="str">
        <f>IFERROR(IF(#REF!="S",VLOOKUP('Raw Data'!A5292,References!#REF!,2,FALSE),(VLOOKUP($S5292,References!$B$3:$C$7,2,FALSE))),"")</f>
        <v/>
      </c>
      <c r="W5292" s="74" t="str">
        <f>IFERROR(VLOOKUP($O5292,'Customer List'!$A$1:$J$488,10,FALSE),"")</f>
        <v/>
      </c>
    </row>
    <row r="5293" spans="18:23">
      <c r="R5293" s="127">
        <f t="shared" si="241"/>
        <v>0</v>
      </c>
      <c r="T5293" s="128">
        <f t="shared" si="240"/>
        <v>0</v>
      </c>
      <c r="U5293" s="129" t="str">
        <f>IFERROR(IF(#REF!="S",VLOOKUP('Raw Data'!A5293,References!#REF!,2,FALSE),(VLOOKUP($S5293,References!$B$3:$C$7,2,FALSE))),"")</f>
        <v/>
      </c>
      <c r="W5293" s="74" t="str">
        <f>IFERROR(VLOOKUP($O5293,'Customer List'!$A$1:$J$488,10,FALSE),"")</f>
        <v/>
      </c>
    </row>
    <row r="5294" spans="18:23">
      <c r="R5294" s="127">
        <f t="shared" si="241"/>
        <v>0</v>
      </c>
      <c r="T5294" s="128">
        <f t="shared" si="240"/>
        <v>0</v>
      </c>
      <c r="U5294" s="129" t="str">
        <f>IFERROR(IF(#REF!="S",VLOOKUP('Raw Data'!A5294,References!#REF!,2,FALSE),(VLOOKUP($S5294,References!$B$3:$C$7,2,FALSE))),"")</f>
        <v/>
      </c>
      <c r="W5294" s="74" t="str">
        <f>IFERROR(VLOOKUP($O5294,'Customer List'!$A$1:$J$488,10,FALSE),"")</f>
        <v/>
      </c>
    </row>
    <row r="5295" spans="18:23">
      <c r="R5295" s="127">
        <f t="shared" si="241"/>
        <v>0</v>
      </c>
      <c r="T5295" s="128">
        <f t="shared" si="240"/>
        <v>0</v>
      </c>
      <c r="U5295" s="129" t="str">
        <f>IFERROR(IF(#REF!="S",VLOOKUP('Raw Data'!A5295,References!#REF!,2,FALSE),(VLOOKUP($S5295,References!$B$3:$C$7,2,FALSE))),"")</f>
        <v/>
      </c>
      <c r="W5295" s="74" t="str">
        <f>IFERROR(VLOOKUP($O5295,'Customer List'!$A$1:$J$488,10,FALSE),"")</f>
        <v/>
      </c>
    </row>
    <row r="5296" spans="18:23">
      <c r="R5296" s="127">
        <f t="shared" si="241"/>
        <v>0</v>
      </c>
      <c r="T5296" s="128">
        <f t="shared" si="240"/>
        <v>0</v>
      </c>
      <c r="U5296" s="129" t="str">
        <f>IFERROR(IF(#REF!="S",VLOOKUP('Raw Data'!A5296,References!#REF!,2,FALSE),(VLOOKUP($S5296,References!$B$3:$C$7,2,FALSE))),"")</f>
        <v/>
      </c>
      <c r="W5296" s="74" t="str">
        <f>IFERROR(VLOOKUP($O5296,'Customer List'!$A$1:$J$488,10,FALSE),"")</f>
        <v/>
      </c>
    </row>
    <row r="5297" spans="18:23">
      <c r="R5297" s="127">
        <f t="shared" si="241"/>
        <v>0</v>
      </c>
      <c r="T5297" s="128">
        <f t="shared" si="240"/>
        <v>0</v>
      </c>
      <c r="U5297" s="129" t="str">
        <f>IFERROR(IF(#REF!="S",VLOOKUP('Raw Data'!A5297,References!#REF!,2,FALSE),(VLOOKUP($S5297,References!$B$3:$C$7,2,FALSE))),"")</f>
        <v/>
      </c>
      <c r="W5297" s="74" t="str">
        <f>IFERROR(VLOOKUP($O5297,'Customer List'!$A$1:$J$488,10,FALSE),"")</f>
        <v/>
      </c>
    </row>
    <row r="5298" spans="18:23">
      <c r="R5298" s="127">
        <f t="shared" si="241"/>
        <v>0</v>
      </c>
      <c r="T5298" s="128">
        <f t="shared" si="240"/>
        <v>0</v>
      </c>
      <c r="U5298" s="129" t="str">
        <f>IFERROR(IF(#REF!="S",VLOOKUP('Raw Data'!A5298,References!#REF!,2,FALSE),(VLOOKUP($S5298,References!$B$3:$C$7,2,FALSE))),"")</f>
        <v/>
      </c>
      <c r="W5298" s="74" t="str">
        <f>IFERROR(VLOOKUP($O5298,'Customer List'!$A$1:$J$488,10,FALSE),"")</f>
        <v/>
      </c>
    </row>
    <row r="5299" spans="18:23">
      <c r="R5299" s="127">
        <f t="shared" si="241"/>
        <v>0</v>
      </c>
      <c r="T5299" s="128">
        <f t="shared" si="240"/>
        <v>0</v>
      </c>
      <c r="U5299" s="129" t="str">
        <f>IFERROR(IF(#REF!="S",VLOOKUP('Raw Data'!A5299,References!#REF!,2,FALSE),(VLOOKUP($S5299,References!$B$3:$C$7,2,FALSE))),"")</f>
        <v/>
      </c>
      <c r="W5299" s="74" t="str">
        <f>IFERROR(VLOOKUP($O5299,'Customer List'!$A$1:$J$488,10,FALSE),"")</f>
        <v/>
      </c>
    </row>
    <row r="5300" spans="18:23">
      <c r="R5300" s="127">
        <f t="shared" si="241"/>
        <v>0</v>
      </c>
      <c r="T5300" s="128">
        <f t="shared" si="240"/>
        <v>0</v>
      </c>
      <c r="U5300" s="129" t="str">
        <f>IFERROR(IF(#REF!="S",VLOOKUP('Raw Data'!A5300,References!#REF!,2,FALSE),(VLOOKUP($S5300,References!$B$3:$C$7,2,FALSE))),"")</f>
        <v/>
      </c>
      <c r="W5300" s="74" t="str">
        <f>IFERROR(VLOOKUP($O5300,'Customer List'!$A$1:$J$488,10,FALSE),"")</f>
        <v/>
      </c>
    </row>
    <row r="5301" spans="18:23">
      <c r="R5301" s="127">
        <f t="shared" si="241"/>
        <v>0</v>
      </c>
      <c r="T5301" s="128">
        <f t="shared" si="240"/>
        <v>0</v>
      </c>
      <c r="U5301" s="129" t="str">
        <f>IFERROR(IF(#REF!="S",VLOOKUP('Raw Data'!A5301,References!#REF!,2,FALSE),(VLOOKUP($S5301,References!$B$3:$C$7,2,FALSE))),"")</f>
        <v/>
      </c>
      <c r="W5301" s="74" t="str">
        <f>IFERROR(VLOOKUP($O5301,'Customer List'!$A$1:$J$488,10,FALSE),"")</f>
        <v/>
      </c>
    </row>
    <row r="5302" spans="18:23">
      <c r="R5302" s="127">
        <f t="shared" si="241"/>
        <v>0</v>
      </c>
      <c r="T5302" s="128">
        <f t="shared" si="240"/>
        <v>0</v>
      </c>
      <c r="U5302" s="129" t="str">
        <f>IFERROR(IF(#REF!="S",VLOOKUP('Raw Data'!A5302,References!#REF!,2,FALSE),(VLOOKUP($S5302,References!$B$3:$C$7,2,FALSE))),"")</f>
        <v/>
      </c>
      <c r="W5302" s="74" t="str">
        <f>IFERROR(VLOOKUP($O5302,'Customer List'!$A$1:$J$488,10,FALSE),"")</f>
        <v/>
      </c>
    </row>
    <row r="5303" spans="18:23">
      <c r="R5303" s="127">
        <f t="shared" si="241"/>
        <v>0</v>
      </c>
      <c r="T5303" s="128">
        <f t="shared" si="240"/>
        <v>0</v>
      </c>
      <c r="U5303" s="129" t="str">
        <f>IFERROR(IF(#REF!="S",VLOOKUP('Raw Data'!A5303,References!#REF!,2,FALSE),(VLOOKUP($S5303,References!$B$3:$C$7,2,FALSE))),"")</f>
        <v/>
      </c>
      <c r="W5303" s="74" t="str">
        <f>IFERROR(VLOOKUP($O5303,'Customer List'!$A$1:$J$488,10,FALSE),"")</f>
        <v/>
      </c>
    </row>
    <row r="5304" spans="18:23">
      <c r="R5304" s="127">
        <f t="shared" si="241"/>
        <v>0</v>
      </c>
      <c r="T5304" s="128">
        <f t="shared" si="240"/>
        <v>0</v>
      </c>
      <c r="U5304" s="129" t="str">
        <f>IFERROR(IF(#REF!="S",VLOOKUP('Raw Data'!A5304,References!#REF!,2,FALSE),(VLOOKUP($S5304,References!$B$3:$C$7,2,FALSE))),"")</f>
        <v/>
      </c>
      <c r="W5304" s="74" t="str">
        <f>IFERROR(VLOOKUP($O5304,'Customer List'!$A$1:$J$488,10,FALSE),"")</f>
        <v/>
      </c>
    </row>
    <row r="5305" spans="18:23">
      <c r="R5305" s="127">
        <f t="shared" si="241"/>
        <v>0</v>
      </c>
      <c r="T5305" s="128">
        <f t="shared" si="240"/>
        <v>0</v>
      </c>
      <c r="U5305" s="129" t="str">
        <f>IFERROR(IF(#REF!="S",VLOOKUP('Raw Data'!A5305,References!#REF!,2,FALSE),(VLOOKUP($S5305,References!$B$3:$C$7,2,FALSE))),"")</f>
        <v/>
      </c>
      <c r="W5305" s="74" t="str">
        <f>IFERROR(VLOOKUP($O5305,'Customer List'!$A$1:$J$488,10,FALSE),"")</f>
        <v/>
      </c>
    </row>
    <row r="5306" spans="18:23">
      <c r="R5306" s="127">
        <f t="shared" si="241"/>
        <v>0</v>
      </c>
      <c r="T5306" s="128">
        <f t="shared" si="240"/>
        <v>0</v>
      </c>
      <c r="U5306" s="129" t="str">
        <f>IFERROR(IF(#REF!="S",VLOOKUP('Raw Data'!A5306,References!#REF!,2,FALSE),(VLOOKUP($S5306,References!$B$3:$C$7,2,FALSE))),"")</f>
        <v/>
      </c>
      <c r="W5306" s="74" t="str">
        <f>IFERROR(VLOOKUP($O5306,'Customer List'!$A$1:$J$488,10,FALSE),"")</f>
        <v/>
      </c>
    </row>
    <row r="5307" spans="18:23">
      <c r="R5307" s="127">
        <f t="shared" si="241"/>
        <v>0</v>
      </c>
      <c r="T5307" s="128">
        <f t="shared" si="240"/>
        <v>0</v>
      </c>
      <c r="U5307" s="129" t="str">
        <f>IFERROR(IF(#REF!="S",VLOOKUP('Raw Data'!A5307,References!#REF!,2,FALSE),(VLOOKUP($S5307,References!$B$3:$C$7,2,FALSE))),"")</f>
        <v/>
      </c>
      <c r="W5307" s="74" t="str">
        <f>IFERROR(VLOOKUP($O5307,'Customer List'!$A$1:$J$488,10,FALSE),"")</f>
        <v/>
      </c>
    </row>
    <row r="5308" spans="18:23">
      <c r="R5308" s="127">
        <f t="shared" si="241"/>
        <v>0</v>
      </c>
      <c r="T5308" s="128">
        <f t="shared" si="240"/>
        <v>0</v>
      </c>
      <c r="U5308" s="129" t="str">
        <f>IFERROR(IF(#REF!="S",VLOOKUP('Raw Data'!A5308,References!#REF!,2,FALSE),(VLOOKUP($S5308,References!$B$3:$C$7,2,FALSE))),"")</f>
        <v/>
      </c>
      <c r="W5308" s="74" t="str">
        <f>IFERROR(VLOOKUP($O5308,'Customer List'!$A$1:$J$488,10,FALSE),"")</f>
        <v/>
      </c>
    </row>
    <row r="5309" spans="18:23">
      <c r="R5309" s="127">
        <f t="shared" si="241"/>
        <v>0</v>
      </c>
      <c r="T5309" s="128">
        <f t="shared" si="240"/>
        <v>0</v>
      </c>
      <c r="U5309" s="129" t="str">
        <f>IFERROR(IF(#REF!="S",VLOOKUP('Raw Data'!A5309,References!#REF!,2,FALSE),(VLOOKUP($S5309,References!$B$3:$C$7,2,FALSE))),"")</f>
        <v/>
      </c>
      <c r="W5309" s="74" t="str">
        <f>IFERROR(VLOOKUP($O5309,'Customer List'!$A$1:$J$488,10,FALSE),"")</f>
        <v/>
      </c>
    </row>
    <row r="5310" spans="18:23">
      <c r="R5310" s="127">
        <f t="shared" si="241"/>
        <v>0</v>
      </c>
      <c r="T5310" s="128">
        <f t="shared" si="240"/>
        <v>0</v>
      </c>
      <c r="U5310" s="129" t="str">
        <f>IFERROR(IF(#REF!="S",VLOOKUP('Raw Data'!A5310,References!#REF!,2,FALSE),(VLOOKUP($S5310,References!$B$3:$C$7,2,FALSE))),"")</f>
        <v/>
      </c>
      <c r="W5310" s="74" t="str">
        <f>IFERROR(VLOOKUP($O5310,'Customer List'!$A$1:$J$488,10,FALSE),"")</f>
        <v/>
      </c>
    </row>
    <row r="5311" spans="18:23">
      <c r="R5311" s="127">
        <f t="shared" si="241"/>
        <v>0</v>
      </c>
      <c r="T5311" s="128">
        <f t="shared" si="240"/>
        <v>0</v>
      </c>
      <c r="U5311" s="129" t="str">
        <f>IFERROR(IF(#REF!="S",VLOOKUP('Raw Data'!A5311,References!#REF!,2,FALSE),(VLOOKUP($S5311,References!$B$3:$C$7,2,FALSE))),"")</f>
        <v/>
      </c>
      <c r="W5311" s="74" t="str">
        <f>IFERROR(VLOOKUP($O5311,'Customer List'!$A$1:$J$488,10,FALSE),"")</f>
        <v/>
      </c>
    </row>
    <row r="5312" spans="18:23">
      <c r="R5312" s="127">
        <f t="shared" si="241"/>
        <v>0</v>
      </c>
      <c r="T5312" s="128">
        <f t="shared" si="240"/>
        <v>0</v>
      </c>
      <c r="U5312" s="129" t="str">
        <f>IFERROR(IF(#REF!="S",VLOOKUP('Raw Data'!A5312,References!#REF!,2,FALSE),(VLOOKUP($S5312,References!$B$3:$C$7,2,FALSE))),"")</f>
        <v/>
      </c>
      <c r="W5312" s="74" t="str">
        <f>IFERROR(VLOOKUP($O5312,'Customer List'!$A$1:$J$488,10,FALSE),"")</f>
        <v/>
      </c>
    </row>
    <row r="5313" spans="18:23">
      <c r="R5313" s="127">
        <f t="shared" si="241"/>
        <v>0</v>
      </c>
      <c r="T5313" s="128">
        <f t="shared" si="240"/>
        <v>0</v>
      </c>
      <c r="U5313" s="129" t="str">
        <f>IFERROR(IF(#REF!="S",VLOOKUP('Raw Data'!A5313,References!#REF!,2,FALSE),(VLOOKUP($S5313,References!$B$3:$C$7,2,FALSE))),"")</f>
        <v/>
      </c>
      <c r="W5313" s="74" t="str">
        <f>IFERROR(VLOOKUP($O5313,'Customer List'!$A$1:$J$488,10,FALSE),"")</f>
        <v/>
      </c>
    </row>
    <row r="5314" spans="18:23">
      <c r="R5314" s="127">
        <f t="shared" si="241"/>
        <v>0</v>
      </c>
      <c r="T5314" s="128">
        <f t="shared" si="240"/>
        <v>0</v>
      </c>
      <c r="U5314" s="129" t="str">
        <f>IFERROR(IF(#REF!="S",VLOOKUP('Raw Data'!A5314,References!#REF!,2,FALSE),(VLOOKUP($S5314,References!$B$3:$C$7,2,FALSE))),"")</f>
        <v/>
      </c>
      <c r="W5314" s="74" t="str">
        <f>IFERROR(VLOOKUP($O5314,'Customer List'!$A$1:$J$488,10,FALSE),"")</f>
        <v/>
      </c>
    </row>
    <row r="5315" spans="18:23">
      <c r="R5315" s="127">
        <f t="shared" si="241"/>
        <v>0</v>
      </c>
      <c r="T5315" s="128">
        <f t="shared" si="240"/>
        <v>0</v>
      </c>
      <c r="U5315" s="129" t="str">
        <f>IFERROR(IF(#REF!="S",VLOOKUP('Raw Data'!A5315,References!#REF!,2,FALSE),(VLOOKUP($S5315,References!$B$3:$C$7,2,FALSE))),"")</f>
        <v/>
      </c>
      <c r="W5315" s="74" t="str">
        <f>IFERROR(VLOOKUP($O5315,'Customer List'!$A$1:$J$488,10,FALSE),"")</f>
        <v/>
      </c>
    </row>
    <row r="5316" spans="18:23">
      <c r="R5316" s="127">
        <f t="shared" si="241"/>
        <v>0</v>
      </c>
      <c r="T5316" s="128">
        <f t="shared" si="240"/>
        <v>0</v>
      </c>
      <c r="U5316" s="129" t="str">
        <f>IFERROR(IF(#REF!="S",VLOOKUP('Raw Data'!A5316,References!#REF!,2,FALSE),(VLOOKUP($S5316,References!$B$3:$C$7,2,FALSE))),"")</f>
        <v/>
      </c>
      <c r="W5316" s="74" t="str">
        <f>IFERROR(VLOOKUP($O5316,'Customer List'!$A$1:$J$488,10,FALSE),"")</f>
        <v/>
      </c>
    </row>
    <row r="5317" spans="18:23">
      <c r="R5317" s="127">
        <f t="shared" si="241"/>
        <v>0</v>
      </c>
      <c r="T5317" s="128">
        <f t="shared" si="240"/>
        <v>0</v>
      </c>
      <c r="U5317" s="129" t="str">
        <f>IFERROR(IF(#REF!="S",VLOOKUP('Raw Data'!A5317,References!#REF!,2,FALSE),(VLOOKUP($S5317,References!$B$3:$C$7,2,FALSE))),"")</f>
        <v/>
      </c>
      <c r="W5317" s="74" t="str">
        <f>IFERROR(VLOOKUP($O5317,'Customer List'!$A$1:$J$488,10,FALSE),"")</f>
        <v/>
      </c>
    </row>
    <row r="5318" spans="18:23">
      <c r="R5318" s="127">
        <f t="shared" si="241"/>
        <v>0</v>
      </c>
      <c r="T5318" s="128">
        <f t="shared" si="240"/>
        <v>0</v>
      </c>
      <c r="U5318" s="129" t="str">
        <f>IFERROR(IF(#REF!="S",VLOOKUP('Raw Data'!A5318,References!#REF!,2,FALSE),(VLOOKUP($S5318,References!$B$3:$C$7,2,FALSE))),"")</f>
        <v/>
      </c>
      <c r="W5318" s="74" t="str">
        <f>IFERROR(VLOOKUP($O5318,'Customer List'!$A$1:$J$488,10,FALSE),"")</f>
        <v/>
      </c>
    </row>
    <row r="5319" spans="18:23">
      <c r="R5319" s="127">
        <f t="shared" si="241"/>
        <v>0</v>
      </c>
      <c r="T5319" s="128">
        <f t="shared" si="240"/>
        <v>0</v>
      </c>
      <c r="U5319" s="129" t="str">
        <f>IFERROR(IF(#REF!="S",VLOOKUP('Raw Data'!A5319,References!#REF!,2,FALSE),(VLOOKUP($S5319,References!$B$3:$C$7,2,FALSE))),"")</f>
        <v/>
      </c>
      <c r="W5319" s="74" t="str">
        <f>IFERROR(VLOOKUP($O5319,'Customer List'!$A$1:$J$488,10,FALSE),"")</f>
        <v/>
      </c>
    </row>
    <row r="5320" spans="18:23">
      <c r="R5320" s="127">
        <f t="shared" si="241"/>
        <v>0</v>
      </c>
      <c r="T5320" s="128">
        <f t="shared" si="240"/>
        <v>0</v>
      </c>
      <c r="U5320" s="129" t="str">
        <f>IFERROR(IF(#REF!="S",VLOOKUP('Raw Data'!A5320,References!#REF!,2,FALSE),(VLOOKUP($S5320,References!$B$3:$C$7,2,FALSE))),"")</f>
        <v/>
      </c>
      <c r="W5320" s="74" t="str">
        <f>IFERROR(VLOOKUP($O5320,'Customer List'!$A$1:$J$488,10,FALSE),"")</f>
        <v/>
      </c>
    </row>
    <row r="5321" spans="18:23">
      <c r="R5321" s="127">
        <f t="shared" si="241"/>
        <v>0</v>
      </c>
      <c r="T5321" s="128">
        <f t="shared" si="240"/>
        <v>0</v>
      </c>
      <c r="U5321" s="129" t="str">
        <f>IFERROR(IF(#REF!="S",VLOOKUP('Raw Data'!A5321,References!#REF!,2,FALSE),(VLOOKUP($S5321,References!$B$3:$C$7,2,FALSE))),"")</f>
        <v/>
      </c>
      <c r="W5321" s="74" t="str">
        <f>IFERROR(VLOOKUP($O5321,'Customer List'!$A$1:$J$488,10,FALSE),"")</f>
        <v/>
      </c>
    </row>
    <row r="5322" spans="18:23">
      <c r="R5322" s="127">
        <f t="shared" si="241"/>
        <v>0</v>
      </c>
      <c r="T5322" s="128">
        <f t="shared" ref="T5322:T5385" si="242">IF(S5322="50 - Cleaning Fee",1,HOUR($R5322)+MINUTE(R5322)/60)</f>
        <v>0</v>
      </c>
      <c r="U5322" s="129" t="str">
        <f>IFERROR(IF(#REF!="S",VLOOKUP('Raw Data'!A5322,References!#REF!,2,FALSE),(VLOOKUP($S5322,References!$B$3:$C$7,2,FALSE))),"")</f>
        <v/>
      </c>
      <c r="W5322" s="74" t="str">
        <f>IFERROR(VLOOKUP($O5322,'Customer List'!$A$1:$J$488,10,FALSE),"")</f>
        <v/>
      </c>
    </row>
    <row r="5323" spans="18:23">
      <c r="R5323" s="127">
        <f t="shared" si="241"/>
        <v>0</v>
      </c>
      <c r="T5323" s="128">
        <f t="shared" si="242"/>
        <v>0</v>
      </c>
      <c r="U5323" s="129" t="str">
        <f>IFERROR(IF(#REF!="S",VLOOKUP('Raw Data'!A5323,References!#REF!,2,FALSE),(VLOOKUP($S5323,References!$B$3:$C$7,2,FALSE))),"")</f>
        <v/>
      </c>
      <c r="W5323" s="74" t="str">
        <f>IFERROR(VLOOKUP($O5323,'Customer List'!$A$1:$J$488,10,FALSE),"")</f>
        <v/>
      </c>
    </row>
    <row r="5324" spans="18:23">
      <c r="R5324" s="127">
        <f t="shared" si="241"/>
        <v>0</v>
      </c>
      <c r="T5324" s="128">
        <f t="shared" si="242"/>
        <v>0</v>
      </c>
      <c r="U5324" s="129" t="str">
        <f>IFERROR(IF(#REF!="S",VLOOKUP('Raw Data'!A5324,References!#REF!,2,FALSE),(VLOOKUP($S5324,References!$B$3:$C$7,2,FALSE))),"")</f>
        <v/>
      </c>
      <c r="W5324" s="74" t="str">
        <f>IFERROR(VLOOKUP($O5324,'Customer List'!$A$1:$J$488,10,FALSE),"")</f>
        <v/>
      </c>
    </row>
    <row r="5325" spans="18:23">
      <c r="R5325" s="127">
        <f t="shared" si="241"/>
        <v>0</v>
      </c>
      <c r="T5325" s="128">
        <f t="shared" si="242"/>
        <v>0</v>
      </c>
      <c r="U5325" s="129" t="str">
        <f>IFERROR(IF(#REF!="S",VLOOKUP('Raw Data'!A5325,References!#REF!,2,FALSE),(VLOOKUP($S5325,References!$B$3:$C$7,2,FALSE))),"")</f>
        <v/>
      </c>
      <c r="W5325" s="74" t="str">
        <f>IFERROR(VLOOKUP($O5325,'Customer List'!$A$1:$J$488,10,FALSE),"")</f>
        <v/>
      </c>
    </row>
    <row r="5326" spans="18:23">
      <c r="R5326" s="127">
        <f t="shared" si="241"/>
        <v>0</v>
      </c>
      <c r="T5326" s="128">
        <f t="shared" si="242"/>
        <v>0</v>
      </c>
      <c r="U5326" s="129" t="str">
        <f>IFERROR(IF(#REF!="S",VLOOKUP('Raw Data'!A5326,References!#REF!,2,FALSE),(VLOOKUP($S5326,References!$B$3:$C$7,2,FALSE))),"")</f>
        <v/>
      </c>
      <c r="W5326" s="74" t="str">
        <f>IFERROR(VLOOKUP($O5326,'Customer List'!$A$1:$J$488,10,FALSE),"")</f>
        <v/>
      </c>
    </row>
    <row r="5327" spans="18:23">
      <c r="R5327" s="127">
        <f t="shared" si="241"/>
        <v>0</v>
      </c>
      <c r="T5327" s="128">
        <f t="shared" si="242"/>
        <v>0</v>
      </c>
      <c r="U5327" s="129" t="str">
        <f>IFERROR(IF(#REF!="S",VLOOKUP('Raw Data'!A5327,References!#REF!,2,FALSE),(VLOOKUP($S5327,References!$B$3:$C$7,2,FALSE))),"")</f>
        <v/>
      </c>
      <c r="W5327" s="74" t="str">
        <f>IFERROR(VLOOKUP($O5327,'Customer List'!$A$1:$J$488,10,FALSE),"")</f>
        <v/>
      </c>
    </row>
    <row r="5328" spans="18:23">
      <c r="R5328" s="127">
        <f t="shared" si="241"/>
        <v>0</v>
      </c>
      <c r="T5328" s="128">
        <f t="shared" si="242"/>
        <v>0</v>
      </c>
      <c r="U5328" s="129" t="str">
        <f>IFERROR(IF(#REF!="S",VLOOKUP('Raw Data'!A5328,References!#REF!,2,FALSE),(VLOOKUP($S5328,References!$B$3:$C$7,2,FALSE))),"")</f>
        <v/>
      </c>
      <c r="W5328" s="74" t="str">
        <f>IFERROR(VLOOKUP($O5328,'Customer List'!$A$1:$J$488,10,FALSE),"")</f>
        <v/>
      </c>
    </row>
    <row r="5329" spans="18:23">
      <c r="R5329" s="127">
        <f t="shared" si="241"/>
        <v>0</v>
      </c>
      <c r="T5329" s="128">
        <f t="shared" si="242"/>
        <v>0</v>
      </c>
      <c r="U5329" s="129" t="str">
        <f>IFERROR(IF(#REF!="S",VLOOKUP('Raw Data'!A5329,References!#REF!,2,FALSE),(VLOOKUP($S5329,References!$B$3:$C$7,2,FALSE))),"")</f>
        <v/>
      </c>
      <c r="W5329" s="74" t="str">
        <f>IFERROR(VLOOKUP($O5329,'Customer List'!$A$1:$J$488,10,FALSE),"")</f>
        <v/>
      </c>
    </row>
    <row r="5330" spans="18:23">
      <c r="R5330" s="127">
        <f t="shared" si="241"/>
        <v>0</v>
      </c>
      <c r="T5330" s="128">
        <f t="shared" si="242"/>
        <v>0</v>
      </c>
      <c r="U5330" s="129" t="str">
        <f>IFERROR(IF(#REF!="S",VLOOKUP('Raw Data'!A5330,References!#REF!,2,FALSE),(VLOOKUP($S5330,References!$B$3:$C$7,2,FALSE))),"")</f>
        <v/>
      </c>
      <c r="W5330" s="74" t="str">
        <f>IFERROR(VLOOKUP($O5330,'Customer List'!$A$1:$J$488,10,FALSE),"")</f>
        <v/>
      </c>
    </row>
    <row r="5331" spans="18:23">
      <c r="R5331" s="127">
        <f t="shared" si="241"/>
        <v>0</v>
      </c>
      <c r="T5331" s="128">
        <f t="shared" si="242"/>
        <v>0</v>
      </c>
      <c r="U5331" s="129" t="str">
        <f>IFERROR(IF(#REF!="S",VLOOKUP('Raw Data'!A5331,References!#REF!,2,FALSE),(VLOOKUP($S5331,References!$B$3:$C$7,2,FALSE))),"")</f>
        <v/>
      </c>
      <c r="W5331" s="74" t="str">
        <f>IFERROR(VLOOKUP($O5331,'Customer List'!$A$1:$J$488,10,FALSE),"")</f>
        <v/>
      </c>
    </row>
    <row r="5332" spans="18:23">
      <c r="R5332" s="127">
        <f t="shared" si="241"/>
        <v>0</v>
      </c>
      <c r="T5332" s="128">
        <f t="shared" si="242"/>
        <v>0</v>
      </c>
      <c r="U5332" s="129" t="str">
        <f>IFERROR(IF(#REF!="S",VLOOKUP('Raw Data'!A5332,References!#REF!,2,FALSE),(VLOOKUP($S5332,References!$B$3:$C$7,2,FALSE))),"")</f>
        <v/>
      </c>
      <c r="W5332" s="74" t="str">
        <f>IFERROR(VLOOKUP($O5332,'Customer List'!$A$1:$J$488,10,FALSE),"")</f>
        <v/>
      </c>
    </row>
    <row r="5333" spans="18:23">
      <c r="R5333" s="127">
        <f t="shared" si="241"/>
        <v>0</v>
      </c>
      <c r="T5333" s="128">
        <f t="shared" si="242"/>
        <v>0</v>
      </c>
      <c r="U5333" s="129" t="str">
        <f>IFERROR(IF(#REF!="S",VLOOKUP('Raw Data'!A5333,References!#REF!,2,FALSE),(VLOOKUP($S5333,References!$B$3:$C$7,2,FALSE))),"")</f>
        <v/>
      </c>
      <c r="W5333" s="74" t="str">
        <f>IFERROR(VLOOKUP($O5333,'Customer List'!$A$1:$J$488,10,FALSE),"")</f>
        <v/>
      </c>
    </row>
    <row r="5334" spans="18:23">
      <c r="R5334" s="127">
        <f t="shared" si="241"/>
        <v>0</v>
      </c>
      <c r="T5334" s="128">
        <f t="shared" si="242"/>
        <v>0</v>
      </c>
      <c r="U5334" s="129" t="str">
        <f>IFERROR(IF(#REF!="S",VLOOKUP('Raw Data'!A5334,References!#REF!,2,FALSE),(VLOOKUP($S5334,References!$B$3:$C$7,2,FALSE))),"")</f>
        <v/>
      </c>
      <c r="W5334" s="74" t="str">
        <f>IFERROR(VLOOKUP($O5334,'Customer List'!$A$1:$J$488,10,FALSE),"")</f>
        <v/>
      </c>
    </row>
    <row r="5335" spans="18:23">
      <c r="R5335" s="127">
        <f t="shared" si="241"/>
        <v>0</v>
      </c>
      <c r="T5335" s="128">
        <f t="shared" si="242"/>
        <v>0</v>
      </c>
      <c r="U5335" s="129" t="str">
        <f>IFERROR(IF(#REF!="S",VLOOKUP('Raw Data'!A5335,References!#REF!,2,FALSE),(VLOOKUP($S5335,References!$B$3:$C$7,2,FALSE))),"")</f>
        <v/>
      </c>
      <c r="W5335" s="74" t="str">
        <f>IFERROR(VLOOKUP($O5335,'Customer List'!$A$1:$J$488,10,FALSE),"")</f>
        <v/>
      </c>
    </row>
    <row r="5336" spans="18:23">
      <c r="R5336" s="127">
        <f t="shared" si="241"/>
        <v>0</v>
      </c>
      <c r="T5336" s="128">
        <f t="shared" si="242"/>
        <v>0</v>
      </c>
      <c r="U5336" s="129" t="str">
        <f>IFERROR(IF(#REF!="S",VLOOKUP('Raw Data'!A5336,References!#REF!,2,FALSE),(VLOOKUP($S5336,References!$B$3:$C$7,2,FALSE))),"")</f>
        <v/>
      </c>
      <c r="W5336" s="74" t="str">
        <f>IFERROR(VLOOKUP($O5336,'Customer List'!$A$1:$J$488,10,FALSE),"")</f>
        <v/>
      </c>
    </row>
    <row r="5337" spans="18:23">
      <c r="R5337" s="127">
        <f t="shared" si="241"/>
        <v>0</v>
      </c>
      <c r="T5337" s="128">
        <f t="shared" si="242"/>
        <v>0</v>
      </c>
      <c r="U5337" s="129" t="str">
        <f>IFERROR(IF(#REF!="S",VLOOKUP('Raw Data'!A5337,References!#REF!,2,FALSE),(VLOOKUP($S5337,References!$B$3:$C$7,2,FALSE))),"")</f>
        <v/>
      </c>
      <c r="W5337" s="74" t="str">
        <f>IFERROR(VLOOKUP($O5337,'Customer List'!$A$1:$J$488,10,FALSE),"")</f>
        <v/>
      </c>
    </row>
    <row r="5338" spans="18:23">
      <c r="R5338" s="127">
        <f t="shared" si="241"/>
        <v>0</v>
      </c>
      <c r="T5338" s="128">
        <f t="shared" si="242"/>
        <v>0</v>
      </c>
      <c r="U5338" s="129" t="str">
        <f>IFERROR(IF(#REF!="S",VLOOKUP('Raw Data'!A5338,References!#REF!,2,FALSE),(VLOOKUP($S5338,References!$B$3:$C$7,2,FALSE))),"")</f>
        <v/>
      </c>
      <c r="W5338" s="74" t="str">
        <f>IFERROR(VLOOKUP($O5338,'Customer List'!$A$1:$J$488,10,FALSE),"")</f>
        <v/>
      </c>
    </row>
    <row r="5339" spans="18:23">
      <c r="R5339" s="127">
        <f t="shared" si="241"/>
        <v>0</v>
      </c>
      <c r="T5339" s="128">
        <f t="shared" si="242"/>
        <v>0</v>
      </c>
      <c r="U5339" s="129" t="str">
        <f>IFERROR(IF(#REF!="S",VLOOKUP('Raw Data'!A5339,References!#REF!,2,FALSE),(VLOOKUP($S5339,References!$B$3:$C$7,2,FALSE))),"")</f>
        <v/>
      </c>
      <c r="W5339" s="74" t="str">
        <f>IFERROR(VLOOKUP($O5339,'Customer List'!$A$1:$J$488,10,FALSE),"")</f>
        <v/>
      </c>
    </row>
    <row r="5340" spans="18:23">
      <c r="R5340" s="127">
        <f t="shared" si="241"/>
        <v>0</v>
      </c>
      <c r="T5340" s="128">
        <f t="shared" si="242"/>
        <v>0</v>
      </c>
      <c r="U5340" s="129" t="str">
        <f>IFERROR(IF(#REF!="S",VLOOKUP('Raw Data'!A5340,References!#REF!,2,FALSE),(VLOOKUP($S5340,References!$B$3:$C$7,2,FALSE))),"")</f>
        <v/>
      </c>
      <c r="W5340" s="74" t="str">
        <f>IFERROR(VLOOKUP($O5340,'Customer List'!$A$1:$J$488,10,FALSE),"")</f>
        <v/>
      </c>
    </row>
    <row r="5341" spans="18:23">
      <c r="R5341" s="127">
        <f t="shared" si="241"/>
        <v>0</v>
      </c>
      <c r="T5341" s="128">
        <f t="shared" si="242"/>
        <v>0</v>
      </c>
      <c r="U5341" s="129" t="str">
        <f>IFERROR(IF(#REF!="S",VLOOKUP('Raw Data'!A5341,References!#REF!,2,FALSE),(VLOOKUP($S5341,References!$B$3:$C$7,2,FALSE))),"")</f>
        <v/>
      </c>
      <c r="W5341" s="74" t="str">
        <f>IFERROR(VLOOKUP($O5341,'Customer List'!$A$1:$J$488,10,FALSE),"")</f>
        <v/>
      </c>
    </row>
    <row r="5342" spans="18:23">
      <c r="R5342" s="127">
        <f t="shared" si="241"/>
        <v>0</v>
      </c>
      <c r="T5342" s="128">
        <f t="shared" si="242"/>
        <v>0</v>
      </c>
      <c r="U5342" s="129" t="str">
        <f>IFERROR(IF(#REF!="S",VLOOKUP('Raw Data'!A5342,References!#REF!,2,FALSE),(VLOOKUP($S5342,References!$B$3:$C$7,2,FALSE))),"")</f>
        <v/>
      </c>
      <c r="W5342" s="74" t="str">
        <f>IFERROR(VLOOKUP($O5342,'Customer List'!$A$1:$J$488,10,FALSE),"")</f>
        <v/>
      </c>
    </row>
    <row r="5343" spans="18:23">
      <c r="R5343" s="127">
        <f t="shared" si="241"/>
        <v>0</v>
      </c>
      <c r="T5343" s="128">
        <f t="shared" si="242"/>
        <v>0</v>
      </c>
      <c r="U5343" s="129" t="str">
        <f>IFERROR(IF(#REF!="S",VLOOKUP('Raw Data'!A5343,References!#REF!,2,FALSE),(VLOOKUP($S5343,References!$B$3:$C$7,2,FALSE))),"")</f>
        <v/>
      </c>
      <c r="W5343" s="74" t="str">
        <f>IFERROR(VLOOKUP($O5343,'Customer List'!$A$1:$J$488,10,FALSE),"")</f>
        <v/>
      </c>
    </row>
    <row r="5344" spans="18:23">
      <c r="R5344" s="127">
        <f t="shared" si="241"/>
        <v>0</v>
      </c>
      <c r="T5344" s="128">
        <f t="shared" si="242"/>
        <v>0</v>
      </c>
      <c r="U5344" s="129" t="str">
        <f>IFERROR(IF(#REF!="S",VLOOKUP('Raw Data'!A5344,References!#REF!,2,FALSE),(VLOOKUP($S5344,References!$B$3:$C$7,2,FALSE))),"")</f>
        <v/>
      </c>
      <c r="W5344" s="74" t="str">
        <f>IFERROR(VLOOKUP($O5344,'Customer List'!$A$1:$J$488,10,FALSE),"")</f>
        <v/>
      </c>
    </row>
    <row r="5345" spans="18:23">
      <c r="R5345" s="127">
        <f t="shared" si="241"/>
        <v>0</v>
      </c>
      <c r="T5345" s="128">
        <f t="shared" si="242"/>
        <v>0</v>
      </c>
      <c r="U5345" s="129" t="str">
        <f>IFERROR(IF(#REF!="S",VLOOKUP('Raw Data'!A5345,References!#REF!,2,FALSE),(VLOOKUP($S5345,References!$B$3:$C$7,2,FALSE))),"")</f>
        <v/>
      </c>
      <c r="W5345" s="74" t="str">
        <f>IFERROR(VLOOKUP($O5345,'Customer List'!$A$1:$J$488,10,FALSE),"")</f>
        <v/>
      </c>
    </row>
    <row r="5346" spans="18:23">
      <c r="R5346" s="127">
        <f t="shared" ref="R5346:R5409" si="243">L5346-K5346</f>
        <v>0</v>
      </c>
      <c r="T5346" s="128">
        <f t="shared" si="242"/>
        <v>0</v>
      </c>
      <c r="U5346" s="129" t="str">
        <f>IFERROR(IF(#REF!="S",VLOOKUP('Raw Data'!A5346,References!#REF!,2,FALSE),(VLOOKUP($S5346,References!$B$3:$C$7,2,FALSE))),"")</f>
        <v/>
      </c>
      <c r="W5346" s="74" t="str">
        <f>IFERROR(VLOOKUP($O5346,'Customer List'!$A$1:$J$488,10,FALSE),"")</f>
        <v/>
      </c>
    </row>
    <row r="5347" spans="18:23">
      <c r="R5347" s="127">
        <f t="shared" si="243"/>
        <v>0</v>
      </c>
      <c r="T5347" s="128">
        <f t="shared" si="242"/>
        <v>0</v>
      </c>
      <c r="U5347" s="129" t="str">
        <f>IFERROR(IF(#REF!="S",VLOOKUP('Raw Data'!A5347,References!#REF!,2,FALSE),(VLOOKUP($S5347,References!$B$3:$C$7,2,FALSE))),"")</f>
        <v/>
      </c>
      <c r="W5347" s="74" t="str">
        <f>IFERROR(VLOOKUP($O5347,'Customer List'!$A$1:$J$488,10,FALSE),"")</f>
        <v/>
      </c>
    </row>
    <row r="5348" spans="18:23">
      <c r="R5348" s="127">
        <f t="shared" si="243"/>
        <v>0</v>
      </c>
      <c r="T5348" s="128">
        <f t="shared" si="242"/>
        <v>0</v>
      </c>
      <c r="U5348" s="129" t="str">
        <f>IFERROR(IF(#REF!="S",VLOOKUP('Raw Data'!A5348,References!#REF!,2,FALSE),(VLOOKUP($S5348,References!$B$3:$C$7,2,FALSE))),"")</f>
        <v/>
      </c>
      <c r="W5348" s="74" t="str">
        <f>IFERROR(VLOOKUP($O5348,'Customer List'!$A$1:$J$488,10,FALSE),"")</f>
        <v/>
      </c>
    </row>
    <row r="5349" spans="18:23">
      <c r="R5349" s="127">
        <f t="shared" si="243"/>
        <v>0</v>
      </c>
      <c r="T5349" s="128">
        <f t="shared" si="242"/>
        <v>0</v>
      </c>
      <c r="U5349" s="129" t="str">
        <f>IFERROR(IF(#REF!="S",VLOOKUP('Raw Data'!A5349,References!#REF!,2,FALSE),(VLOOKUP($S5349,References!$B$3:$C$7,2,FALSE))),"")</f>
        <v/>
      </c>
      <c r="W5349" s="74" t="str">
        <f>IFERROR(VLOOKUP($O5349,'Customer List'!$A$1:$J$488,10,FALSE),"")</f>
        <v/>
      </c>
    </row>
    <row r="5350" spans="18:23">
      <c r="R5350" s="127">
        <f t="shared" si="243"/>
        <v>0</v>
      </c>
      <c r="T5350" s="128">
        <f t="shared" si="242"/>
        <v>0</v>
      </c>
      <c r="U5350" s="129" t="str">
        <f>IFERROR(IF(#REF!="S",VLOOKUP('Raw Data'!A5350,References!#REF!,2,FALSE),(VLOOKUP($S5350,References!$B$3:$C$7,2,FALSE))),"")</f>
        <v/>
      </c>
      <c r="W5350" s="74" t="str">
        <f>IFERROR(VLOOKUP($O5350,'Customer List'!$A$1:$J$488,10,FALSE),"")</f>
        <v/>
      </c>
    </row>
    <row r="5351" spans="18:23">
      <c r="R5351" s="127">
        <f t="shared" si="243"/>
        <v>0</v>
      </c>
      <c r="T5351" s="128">
        <f t="shared" si="242"/>
        <v>0</v>
      </c>
      <c r="U5351" s="129" t="str">
        <f>IFERROR(IF(#REF!="S",VLOOKUP('Raw Data'!A5351,References!#REF!,2,FALSE),(VLOOKUP($S5351,References!$B$3:$C$7,2,FALSE))),"")</f>
        <v/>
      </c>
      <c r="W5351" s="74" t="str">
        <f>IFERROR(VLOOKUP($O5351,'Customer List'!$A$1:$J$488,10,FALSE),"")</f>
        <v/>
      </c>
    </row>
    <row r="5352" spans="18:23">
      <c r="R5352" s="127">
        <f t="shared" si="243"/>
        <v>0</v>
      </c>
      <c r="T5352" s="128">
        <f t="shared" si="242"/>
        <v>0</v>
      </c>
      <c r="U5352" s="129" t="str">
        <f>IFERROR(IF(#REF!="S",VLOOKUP('Raw Data'!A5352,References!#REF!,2,FALSE),(VLOOKUP($S5352,References!$B$3:$C$7,2,FALSE))),"")</f>
        <v/>
      </c>
      <c r="W5352" s="74" t="str">
        <f>IFERROR(VLOOKUP($O5352,'Customer List'!$A$1:$J$488,10,FALSE),"")</f>
        <v/>
      </c>
    </row>
    <row r="5353" spans="18:23">
      <c r="R5353" s="127">
        <f t="shared" si="243"/>
        <v>0</v>
      </c>
      <c r="T5353" s="128">
        <f t="shared" si="242"/>
        <v>0</v>
      </c>
      <c r="U5353" s="129" t="str">
        <f>IFERROR(IF(#REF!="S",VLOOKUP('Raw Data'!A5353,References!#REF!,2,FALSE),(VLOOKUP($S5353,References!$B$3:$C$7,2,FALSE))),"")</f>
        <v/>
      </c>
      <c r="W5353" s="74" t="str">
        <f>IFERROR(VLOOKUP($O5353,'Customer List'!$A$1:$J$488,10,FALSE),"")</f>
        <v/>
      </c>
    </row>
    <row r="5354" spans="18:23">
      <c r="R5354" s="127">
        <f t="shared" si="243"/>
        <v>0</v>
      </c>
      <c r="T5354" s="128">
        <f t="shared" si="242"/>
        <v>0</v>
      </c>
      <c r="U5354" s="129" t="str">
        <f>IFERROR(IF(#REF!="S",VLOOKUP('Raw Data'!A5354,References!#REF!,2,FALSE),(VLOOKUP($S5354,References!$B$3:$C$7,2,FALSE))),"")</f>
        <v/>
      </c>
      <c r="W5354" s="74" t="str">
        <f>IFERROR(VLOOKUP($O5354,'Customer List'!$A$1:$J$488,10,FALSE),"")</f>
        <v/>
      </c>
    </row>
    <row r="5355" spans="18:23">
      <c r="R5355" s="127">
        <f t="shared" si="243"/>
        <v>0</v>
      </c>
      <c r="T5355" s="128">
        <f t="shared" si="242"/>
        <v>0</v>
      </c>
      <c r="U5355" s="129" t="str">
        <f>IFERROR(IF(#REF!="S",VLOOKUP('Raw Data'!A5355,References!#REF!,2,FALSE),(VLOOKUP($S5355,References!$B$3:$C$7,2,FALSE))),"")</f>
        <v/>
      </c>
      <c r="W5355" s="74" t="str">
        <f>IFERROR(VLOOKUP($O5355,'Customer List'!$A$1:$J$488,10,FALSE),"")</f>
        <v/>
      </c>
    </row>
    <row r="5356" spans="18:23">
      <c r="R5356" s="127">
        <f t="shared" si="243"/>
        <v>0</v>
      </c>
      <c r="T5356" s="128">
        <f t="shared" si="242"/>
        <v>0</v>
      </c>
      <c r="U5356" s="129" t="str">
        <f>IFERROR(IF(#REF!="S",VLOOKUP('Raw Data'!A5356,References!#REF!,2,FALSE),(VLOOKUP($S5356,References!$B$3:$C$7,2,FALSE))),"")</f>
        <v/>
      </c>
      <c r="W5356" s="74" t="str">
        <f>IFERROR(VLOOKUP($O5356,'Customer List'!$A$1:$J$488,10,FALSE),"")</f>
        <v/>
      </c>
    </row>
    <row r="5357" spans="18:23">
      <c r="R5357" s="127">
        <f t="shared" si="243"/>
        <v>0</v>
      </c>
      <c r="T5357" s="128">
        <f t="shared" si="242"/>
        <v>0</v>
      </c>
      <c r="U5357" s="129" t="str">
        <f>IFERROR(IF(#REF!="S",VLOOKUP('Raw Data'!A5357,References!#REF!,2,FALSE),(VLOOKUP($S5357,References!$B$3:$C$7,2,FALSE))),"")</f>
        <v/>
      </c>
      <c r="W5357" s="74" t="str">
        <f>IFERROR(VLOOKUP($O5357,'Customer List'!$A$1:$J$488,10,FALSE),"")</f>
        <v/>
      </c>
    </row>
    <row r="5358" spans="18:23">
      <c r="R5358" s="127">
        <f t="shared" si="243"/>
        <v>0</v>
      </c>
      <c r="T5358" s="128">
        <f t="shared" si="242"/>
        <v>0</v>
      </c>
      <c r="U5358" s="129" t="str">
        <f>IFERROR(IF(#REF!="S",VLOOKUP('Raw Data'!A5358,References!#REF!,2,FALSE),(VLOOKUP($S5358,References!$B$3:$C$7,2,FALSE))),"")</f>
        <v/>
      </c>
      <c r="W5358" s="74" t="str">
        <f>IFERROR(VLOOKUP($O5358,'Customer List'!$A$1:$J$488,10,FALSE),"")</f>
        <v/>
      </c>
    </row>
    <row r="5359" spans="18:23">
      <c r="R5359" s="127">
        <f t="shared" si="243"/>
        <v>0</v>
      </c>
      <c r="T5359" s="128">
        <f t="shared" si="242"/>
        <v>0</v>
      </c>
      <c r="U5359" s="129" t="str">
        <f>IFERROR(IF(#REF!="S",VLOOKUP('Raw Data'!A5359,References!#REF!,2,FALSE),(VLOOKUP($S5359,References!$B$3:$C$7,2,FALSE))),"")</f>
        <v/>
      </c>
      <c r="W5359" s="74" t="str">
        <f>IFERROR(VLOOKUP($O5359,'Customer List'!$A$1:$J$488,10,FALSE),"")</f>
        <v/>
      </c>
    </row>
    <row r="5360" spans="18:23">
      <c r="R5360" s="127">
        <f t="shared" si="243"/>
        <v>0</v>
      </c>
      <c r="T5360" s="128">
        <f t="shared" si="242"/>
        <v>0</v>
      </c>
      <c r="U5360" s="129" t="str">
        <f>IFERROR(IF(#REF!="S",VLOOKUP('Raw Data'!A5360,References!#REF!,2,FALSE),(VLOOKUP($S5360,References!$B$3:$C$7,2,FALSE))),"")</f>
        <v/>
      </c>
      <c r="W5360" s="74" t="str">
        <f>IFERROR(VLOOKUP($O5360,'Customer List'!$A$1:$J$488,10,FALSE),"")</f>
        <v/>
      </c>
    </row>
    <row r="5361" spans="18:23">
      <c r="R5361" s="127">
        <f t="shared" si="243"/>
        <v>0</v>
      </c>
      <c r="T5361" s="128">
        <f t="shared" si="242"/>
        <v>0</v>
      </c>
      <c r="U5361" s="129" t="str">
        <f>IFERROR(IF(#REF!="S",VLOOKUP('Raw Data'!A5361,References!#REF!,2,FALSE),(VLOOKUP($S5361,References!$B$3:$C$7,2,FALSE))),"")</f>
        <v/>
      </c>
      <c r="W5361" s="74" t="str">
        <f>IFERROR(VLOOKUP($O5361,'Customer List'!$A$1:$J$488,10,FALSE),"")</f>
        <v/>
      </c>
    </row>
    <row r="5362" spans="18:23">
      <c r="R5362" s="127">
        <f t="shared" si="243"/>
        <v>0</v>
      </c>
      <c r="T5362" s="128">
        <f t="shared" si="242"/>
        <v>0</v>
      </c>
      <c r="U5362" s="129" t="str">
        <f>IFERROR(IF(#REF!="S",VLOOKUP('Raw Data'!A5362,References!#REF!,2,FALSE),(VLOOKUP($S5362,References!$B$3:$C$7,2,FALSE))),"")</f>
        <v/>
      </c>
      <c r="W5362" s="74" t="str">
        <f>IFERROR(VLOOKUP($O5362,'Customer List'!$A$1:$J$488,10,FALSE),"")</f>
        <v/>
      </c>
    </row>
    <row r="5363" spans="18:23">
      <c r="R5363" s="127">
        <f t="shared" si="243"/>
        <v>0</v>
      </c>
      <c r="T5363" s="128">
        <f t="shared" si="242"/>
        <v>0</v>
      </c>
      <c r="U5363" s="129" t="str">
        <f>IFERROR(IF(#REF!="S",VLOOKUP('Raw Data'!A5363,References!#REF!,2,FALSE),(VLOOKUP($S5363,References!$B$3:$C$7,2,FALSE))),"")</f>
        <v/>
      </c>
      <c r="W5363" s="74" t="str">
        <f>IFERROR(VLOOKUP($O5363,'Customer List'!$A$1:$J$488,10,FALSE),"")</f>
        <v/>
      </c>
    </row>
    <row r="5364" spans="18:23">
      <c r="R5364" s="127">
        <f t="shared" si="243"/>
        <v>0</v>
      </c>
      <c r="T5364" s="128">
        <f t="shared" si="242"/>
        <v>0</v>
      </c>
      <c r="U5364" s="129" t="str">
        <f>IFERROR(IF(#REF!="S",VLOOKUP('Raw Data'!A5364,References!#REF!,2,FALSE),(VLOOKUP($S5364,References!$B$3:$C$7,2,FALSE))),"")</f>
        <v/>
      </c>
      <c r="W5364" s="74" t="str">
        <f>IFERROR(VLOOKUP($O5364,'Customer List'!$A$1:$J$488,10,FALSE),"")</f>
        <v/>
      </c>
    </row>
    <row r="5365" spans="18:23">
      <c r="R5365" s="127">
        <f t="shared" si="243"/>
        <v>0</v>
      </c>
      <c r="T5365" s="128">
        <f t="shared" si="242"/>
        <v>0</v>
      </c>
      <c r="U5365" s="129" t="str">
        <f>IFERROR(IF(#REF!="S",VLOOKUP('Raw Data'!A5365,References!#REF!,2,FALSE),(VLOOKUP($S5365,References!$B$3:$C$7,2,FALSE))),"")</f>
        <v/>
      </c>
      <c r="W5365" s="74" t="str">
        <f>IFERROR(VLOOKUP($O5365,'Customer List'!$A$1:$J$488,10,FALSE),"")</f>
        <v/>
      </c>
    </row>
    <row r="5366" spans="18:23">
      <c r="R5366" s="127">
        <f t="shared" si="243"/>
        <v>0</v>
      </c>
      <c r="T5366" s="128">
        <f t="shared" si="242"/>
        <v>0</v>
      </c>
      <c r="U5366" s="129" t="str">
        <f>IFERROR(IF(#REF!="S",VLOOKUP('Raw Data'!A5366,References!#REF!,2,FALSE),(VLOOKUP($S5366,References!$B$3:$C$7,2,FALSE))),"")</f>
        <v/>
      </c>
      <c r="W5366" s="74" t="str">
        <f>IFERROR(VLOOKUP($O5366,'Customer List'!$A$1:$J$488,10,FALSE),"")</f>
        <v/>
      </c>
    </row>
    <row r="5367" spans="18:23">
      <c r="R5367" s="127">
        <f t="shared" si="243"/>
        <v>0</v>
      </c>
      <c r="T5367" s="128">
        <f t="shared" si="242"/>
        <v>0</v>
      </c>
      <c r="U5367" s="129" t="str">
        <f>IFERROR(IF(#REF!="S",VLOOKUP('Raw Data'!A5367,References!#REF!,2,FALSE),(VLOOKUP($S5367,References!$B$3:$C$7,2,FALSE))),"")</f>
        <v/>
      </c>
      <c r="W5367" s="74" t="str">
        <f>IFERROR(VLOOKUP($O5367,'Customer List'!$A$1:$J$488,10,FALSE),"")</f>
        <v/>
      </c>
    </row>
    <row r="5368" spans="18:23">
      <c r="R5368" s="127">
        <f t="shared" si="243"/>
        <v>0</v>
      </c>
      <c r="T5368" s="128">
        <f t="shared" si="242"/>
        <v>0</v>
      </c>
      <c r="U5368" s="129" t="str">
        <f>IFERROR(IF(#REF!="S",VLOOKUP('Raw Data'!A5368,References!#REF!,2,FALSE),(VLOOKUP($S5368,References!$B$3:$C$7,2,FALSE))),"")</f>
        <v/>
      </c>
      <c r="W5368" s="74" t="str">
        <f>IFERROR(VLOOKUP($O5368,'Customer List'!$A$1:$J$488,10,FALSE),"")</f>
        <v/>
      </c>
    </row>
    <row r="5369" spans="18:23">
      <c r="R5369" s="127">
        <f t="shared" si="243"/>
        <v>0</v>
      </c>
      <c r="T5369" s="128">
        <f t="shared" si="242"/>
        <v>0</v>
      </c>
      <c r="U5369" s="129" t="str">
        <f>IFERROR(IF(#REF!="S",VLOOKUP('Raw Data'!A5369,References!#REF!,2,FALSE),(VLOOKUP($S5369,References!$B$3:$C$7,2,FALSE))),"")</f>
        <v/>
      </c>
      <c r="W5369" s="74" t="str">
        <f>IFERROR(VLOOKUP($O5369,'Customer List'!$A$1:$J$488,10,FALSE),"")</f>
        <v/>
      </c>
    </row>
    <row r="5370" spans="18:23">
      <c r="R5370" s="127">
        <f t="shared" si="243"/>
        <v>0</v>
      </c>
      <c r="T5370" s="128">
        <f t="shared" si="242"/>
        <v>0</v>
      </c>
      <c r="U5370" s="129" t="str">
        <f>IFERROR(IF(#REF!="S",VLOOKUP('Raw Data'!A5370,References!#REF!,2,FALSE),(VLOOKUP($S5370,References!$B$3:$C$7,2,FALSE))),"")</f>
        <v/>
      </c>
      <c r="W5370" s="74" t="str">
        <f>IFERROR(VLOOKUP($O5370,'Customer List'!$A$1:$J$488,10,FALSE),"")</f>
        <v/>
      </c>
    </row>
    <row r="5371" spans="18:23">
      <c r="R5371" s="127">
        <f t="shared" si="243"/>
        <v>0</v>
      </c>
      <c r="T5371" s="128">
        <f t="shared" si="242"/>
        <v>0</v>
      </c>
      <c r="U5371" s="129" t="str">
        <f>IFERROR(IF(#REF!="S",VLOOKUP('Raw Data'!A5371,References!#REF!,2,FALSE),(VLOOKUP($S5371,References!$B$3:$C$7,2,FALSE))),"")</f>
        <v/>
      </c>
      <c r="W5371" s="74" t="str">
        <f>IFERROR(VLOOKUP($O5371,'Customer List'!$A$1:$J$488,10,FALSE),"")</f>
        <v/>
      </c>
    </row>
    <row r="5372" spans="18:23">
      <c r="R5372" s="127">
        <f t="shared" si="243"/>
        <v>0</v>
      </c>
      <c r="T5372" s="128">
        <f t="shared" si="242"/>
        <v>0</v>
      </c>
      <c r="U5372" s="129" t="str">
        <f>IFERROR(IF(#REF!="S",VLOOKUP('Raw Data'!A5372,References!#REF!,2,FALSE),(VLOOKUP($S5372,References!$B$3:$C$7,2,FALSE))),"")</f>
        <v/>
      </c>
      <c r="W5372" s="74" t="str">
        <f>IFERROR(VLOOKUP($O5372,'Customer List'!$A$1:$J$488,10,FALSE),"")</f>
        <v/>
      </c>
    </row>
    <row r="5373" spans="18:23">
      <c r="R5373" s="127">
        <f t="shared" si="243"/>
        <v>0</v>
      </c>
      <c r="T5373" s="128">
        <f t="shared" si="242"/>
        <v>0</v>
      </c>
      <c r="U5373" s="129" t="str">
        <f>IFERROR(IF(#REF!="S",VLOOKUP('Raw Data'!A5373,References!#REF!,2,FALSE),(VLOOKUP($S5373,References!$B$3:$C$7,2,FALSE))),"")</f>
        <v/>
      </c>
      <c r="W5373" s="74" t="str">
        <f>IFERROR(VLOOKUP($O5373,'Customer List'!$A$1:$J$488,10,FALSE),"")</f>
        <v/>
      </c>
    </row>
    <row r="5374" spans="18:23">
      <c r="R5374" s="127">
        <f t="shared" si="243"/>
        <v>0</v>
      </c>
      <c r="T5374" s="128">
        <f t="shared" si="242"/>
        <v>0</v>
      </c>
      <c r="U5374" s="129" t="str">
        <f>IFERROR(IF(#REF!="S",VLOOKUP('Raw Data'!A5374,References!#REF!,2,FALSE),(VLOOKUP($S5374,References!$B$3:$C$7,2,FALSE))),"")</f>
        <v/>
      </c>
      <c r="W5374" s="74" t="str">
        <f>IFERROR(VLOOKUP($O5374,'Customer List'!$A$1:$J$488,10,FALSE),"")</f>
        <v/>
      </c>
    </row>
    <row r="5375" spans="18:23">
      <c r="R5375" s="127">
        <f t="shared" si="243"/>
        <v>0</v>
      </c>
      <c r="T5375" s="128">
        <f t="shared" si="242"/>
        <v>0</v>
      </c>
      <c r="U5375" s="129" t="str">
        <f>IFERROR(IF(#REF!="S",VLOOKUP('Raw Data'!A5375,References!#REF!,2,FALSE),(VLOOKUP($S5375,References!$B$3:$C$7,2,FALSE))),"")</f>
        <v/>
      </c>
      <c r="W5375" s="74" t="str">
        <f>IFERROR(VLOOKUP($O5375,'Customer List'!$A$1:$J$488,10,FALSE),"")</f>
        <v/>
      </c>
    </row>
    <row r="5376" spans="18:23">
      <c r="R5376" s="127">
        <f t="shared" si="243"/>
        <v>0</v>
      </c>
      <c r="T5376" s="128">
        <f t="shared" si="242"/>
        <v>0</v>
      </c>
      <c r="U5376" s="129" t="str">
        <f>IFERROR(IF(#REF!="S",VLOOKUP('Raw Data'!A5376,References!#REF!,2,FALSE),(VLOOKUP($S5376,References!$B$3:$C$7,2,FALSE))),"")</f>
        <v/>
      </c>
      <c r="W5376" s="74" t="str">
        <f>IFERROR(VLOOKUP($O5376,'Customer List'!$A$1:$J$488,10,FALSE),"")</f>
        <v/>
      </c>
    </row>
    <row r="5377" spans="18:23">
      <c r="R5377" s="127">
        <f t="shared" si="243"/>
        <v>0</v>
      </c>
      <c r="T5377" s="128">
        <f t="shared" si="242"/>
        <v>0</v>
      </c>
      <c r="U5377" s="129" t="str">
        <f>IFERROR(IF(#REF!="S",VLOOKUP('Raw Data'!A5377,References!#REF!,2,FALSE),(VLOOKUP($S5377,References!$B$3:$C$7,2,FALSE))),"")</f>
        <v/>
      </c>
      <c r="W5377" s="74" t="str">
        <f>IFERROR(VLOOKUP($O5377,'Customer List'!$A$1:$J$488,10,FALSE),"")</f>
        <v/>
      </c>
    </row>
    <row r="5378" spans="18:23">
      <c r="R5378" s="127">
        <f t="shared" si="243"/>
        <v>0</v>
      </c>
      <c r="T5378" s="128">
        <f t="shared" si="242"/>
        <v>0</v>
      </c>
      <c r="U5378" s="129" t="str">
        <f>IFERROR(IF(#REF!="S",VLOOKUP('Raw Data'!A5378,References!#REF!,2,FALSE),(VLOOKUP($S5378,References!$B$3:$C$7,2,FALSE))),"")</f>
        <v/>
      </c>
      <c r="W5378" s="74" t="str">
        <f>IFERROR(VLOOKUP($O5378,'Customer List'!$A$1:$J$488,10,FALSE),"")</f>
        <v/>
      </c>
    </row>
    <row r="5379" spans="18:23">
      <c r="R5379" s="127">
        <f t="shared" si="243"/>
        <v>0</v>
      </c>
      <c r="T5379" s="128">
        <f t="shared" si="242"/>
        <v>0</v>
      </c>
      <c r="U5379" s="129" t="str">
        <f>IFERROR(IF(#REF!="S",VLOOKUP('Raw Data'!A5379,References!#REF!,2,FALSE),(VLOOKUP($S5379,References!$B$3:$C$7,2,FALSE))),"")</f>
        <v/>
      </c>
      <c r="W5379" s="74" t="str">
        <f>IFERROR(VLOOKUP($O5379,'Customer List'!$A$1:$J$488,10,FALSE),"")</f>
        <v/>
      </c>
    </row>
    <row r="5380" spans="18:23">
      <c r="R5380" s="127">
        <f t="shared" si="243"/>
        <v>0</v>
      </c>
      <c r="T5380" s="128">
        <f t="shared" si="242"/>
        <v>0</v>
      </c>
      <c r="U5380" s="129" t="str">
        <f>IFERROR(IF(#REF!="S",VLOOKUP('Raw Data'!A5380,References!#REF!,2,FALSE),(VLOOKUP($S5380,References!$B$3:$C$7,2,FALSE))),"")</f>
        <v/>
      </c>
      <c r="W5380" s="74" t="str">
        <f>IFERROR(VLOOKUP($O5380,'Customer List'!$A$1:$J$488,10,FALSE),"")</f>
        <v/>
      </c>
    </row>
    <row r="5381" spans="18:23">
      <c r="R5381" s="127">
        <f t="shared" si="243"/>
        <v>0</v>
      </c>
      <c r="T5381" s="128">
        <f t="shared" si="242"/>
        <v>0</v>
      </c>
      <c r="U5381" s="129" t="str">
        <f>IFERROR(IF(#REF!="S",VLOOKUP('Raw Data'!A5381,References!#REF!,2,FALSE),(VLOOKUP($S5381,References!$B$3:$C$7,2,FALSE))),"")</f>
        <v/>
      </c>
      <c r="W5381" s="74" t="str">
        <f>IFERROR(VLOOKUP($O5381,'Customer List'!$A$1:$J$488,10,FALSE),"")</f>
        <v/>
      </c>
    </row>
    <row r="5382" spans="18:23">
      <c r="R5382" s="127">
        <f t="shared" si="243"/>
        <v>0</v>
      </c>
      <c r="T5382" s="128">
        <f t="shared" si="242"/>
        <v>0</v>
      </c>
      <c r="U5382" s="129" t="str">
        <f>IFERROR(IF(#REF!="S",VLOOKUP('Raw Data'!A5382,References!#REF!,2,FALSE),(VLOOKUP($S5382,References!$B$3:$C$7,2,FALSE))),"")</f>
        <v/>
      </c>
      <c r="W5382" s="74" t="str">
        <f>IFERROR(VLOOKUP($O5382,'Customer List'!$A$1:$J$488,10,FALSE),"")</f>
        <v/>
      </c>
    </row>
    <row r="5383" spans="18:23">
      <c r="R5383" s="127">
        <f t="shared" si="243"/>
        <v>0</v>
      </c>
      <c r="T5383" s="128">
        <f t="shared" si="242"/>
        <v>0</v>
      </c>
      <c r="U5383" s="129" t="str">
        <f>IFERROR(IF(#REF!="S",VLOOKUP('Raw Data'!A5383,References!#REF!,2,FALSE),(VLOOKUP($S5383,References!$B$3:$C$7,2,FALSE))),"")</f>
        <v/>
      </c>
      <c r="W5383" s="74" t="str">
        <f>IFERROR(VLOOKUP($O5383,'Customer List'!$A$1:$J$488,10,FALSE),"")</f>
        <v/>
      </c>
    </row>
    <row r="5384" spans="18:23">
      <c r="R5384" s="127">
        <f t="shared" si="243"/>
        <v>0</v>
      </c>
      <c r="T5384" s="128">
        <f t="shared" si="242"/>
        <v>0</v>
      </c>
      <c r="U5384" s="129" t="str">
        <f>IFERROR(IF(#REF!="S",VLOOKUP('Raw Data'!A5384,References!#REF!,2,FALSE),(VLOOKUP($S5384,References!$B$3:$C$7,2,FALSE))),"")</f>
        <v/>
      </c>
      <c r="W5384" s="74" t="str">
        <f>IFERROR(VLOOKUP($O5384,'Customer List'!$A$1:$J$488,10,FALSE),"")</f>
        <v/>
      </c>
    </row>
    <row r="5385" spans="18:23">
      <c r="R5385" s="127">
        <f t="shared" si="243"/>
        <v>0</v>
      </c>
      <c r="T5385" s="128">
        <f t="shared" si="242"/>
        <v>0</v>
      </c>
      <c r="U5385" s="129" t="str">
        <f>IFERROR(IF(#REF!="S",VLOOKUP('Raw Data'!A5385,References!#REF!,2,FALSE),(VLOOKUP($S5385,References!$B$3:$C$7,2,FALSE))),"")</f>
        <v/>
      </c>
      <c r="W5385" s="74" t="str">
        <f>IFERROR(VLOOKUP($O5385,'Customer List'!$A$1:$J$488,10,FALSE),"")</f>
        <v/>
      </c>
    </row>
    <row r="5386" spans="18:23">
      <c r="R5386" s="127">
        <f t="shared" si="243"/>
        <v>0</v>
      </c>
      <c r="T5386" s="128">
        <f t="shared" ref="T5386:T5449" si="244">IF(S5386="50 - Cleaning Fee",1,HOUR($R5386)+MINUTE(R5386)/60)</f>
        <v>0</v>
      </c>
      <c r="U5386" s="129" t="str">
        <f>IFERROR(IF(#REF!="S",VLOOKUP('Raw Data'!A5386,References!#REF!,2,FALSE),(VLOOKUP($S5386,References!$B$3:$C$7,2,FALSE))),"")</f>
        <v/>
      </c>
      <c r="W5386" s="74" t="str">
        <f>IFERROR(VLOOKUP($O5386,'Customer List'!$A$1:$J$488,10,FALSE),"")</f>
        <v/>
      </c>
    </row>
    <row r="5387" spans="18:23">
      <c r="R5387" s="127">
        <f t="shared" si="243"/>
        <v>0</v>
      </c>
      <c r="T5387" s="128">
        <f t="shared" si="244"/>
        <v>0</v>
      </c>
      <c r="U5387" s="129" t="str">
        <f>IFERROR(IF(#REF!="S",VLOOKUP('Raw Data'!A5387,References!#REF!,2,FALSE),(VLOOKUP($S5387,References!$B$3:$C$7,2,FALSE))),"")</f>
        <v/>
      </c>
      <c r="W5387" s="74" t="str">
        <f>IFERROR(VLOOKUP($O5387,'Customer List'!$A$1:$J$488,10,FALSE),"")</f>
        <v/>
      </c>
    </row>
    <row r="5388" spans="18:23">
      <c r="R5388" s="127">
        <f t="shared" si="243"/>
        <v>0</v>
      </c>
      <c r="T5388" s="128">
        <f t="shared" si="244"/>
        <v>0</v>
      </c>
      <c r="U5388" s="129" t="str">
        <f>IFERROR(IF(#REF!="S",VLOOKUP('Raw Data'!A5388,References!#REF!,2,FALSE),(VLOOKUP($S5388,References!$B$3:$C$7,2,FALSE))),"")</f>
        <v/>
      </c>
      <c r="W5388" s="74" t="str">
        <f>IFERROR(VLOOKUP($O5388,'Customer List'!$A$1:$J$488,10,FALSE),"")</f>
        <v/>
      </c>
    </row>
    <row r="5389" spans="18:23">
      <c r="R5389" s="127">
        <f t="shared" si="243"/>
        <v>0</v>
      </c>
      <c r="T5389" s="128">
        <f t="shared" si="244"/>
        <v>0</v>
      </c>
      <c r="U5389" s="129" t="str">
        <f>IFERROR(IF(#REF!="S",VLOOKUP('Raw Data'!A5389,References!#REF!,2,FALSE),(VLOOKUP($S5389,References!$B$3:$C$7,2,FALSE))),"")</f>
        <v/>
      </c>
      <c r="W5389" s="74" t="str">
        <f>IFERROR(VLOOKUP($O5389,'Customer List'!$A$1:$J$488,10,FALSE),"")</f>
        <v/>
      </c>
    </row>
    <row r="5390" spans="18:23">
      <c r="R5390" s="127">
        <f t="shared" si="243"/>
        <v>0</v>
      </c>
      <c r="T5390" s="128">
        <f t="shared" si="244"/>
        <v>0</v>
      </c>
      <c r="U5390" s="129" t="str">
        <f>IFERROR(IF(#REF!="S",VLOOKUP('Raw Data'!A5390,References!#REF!,2,FALSE),(VLOOKUP($S5390,References!$B$3:$C$7,2,FALSE))),"")</f>
        <v/>
      </c>
      <c r="W5390" s="74" t="str">
        <f>IFERROR(VLOOKUP($O5390,'Customer List'!$A$1:$J$488,10,FALSE),"")</f>
        <v/>
      </c>
    </row>
    <row r="5391" spans="18:23">
      <c r="R5391" s="127">
        <f t="shared" si="243"/>
        <v>0</v>
      </c>
      <c r="T5391" s="128">
        <f t="shared" si="244"/>
        <v>0</v>
      </c>
      <c r="U5391" s="129" t="str">
        <f>IFERROR(IF(#REF!="S",VLOOKUP('Raw Data'!A5391,References!#REF!,2,FALSE),(VLOOKUP($S5391,References!$B$3:$C$7,2,FALSE))),"")</f>
        <v/>
      </c>
      <c r="W5391" s="74" t="str">
        <f>IFERROR(VLOOKUP($O5391,'Customer List'!$A$1:$J$488,10,FALSE),"")</f>
        <v/>
      </c>
    </row>
    <row r="5392" spans="18:23">
      <c r="R5392" s="127">
        <f t="shared" si="243"/>
        <v>0</v>
      </c>
      <c r="T5392" s="128">
        <f t="shared" si="244"/>
        <v>0</v>
      </c>
      <c r="U5392" s="129" t="str">
        <f>IFERROR(IF(#REF!="S",VLOOKUP('Raw Data'!A5392,References!#REF!,2,FALSE),(VLOOKUP($S5392,References!$B$3:$C$7,2,FALSE))),"")</f>
        <v/>
      </c>
      <c r="W5392" s="74" t="str">
        <f>IFERROR(VLOOKUP($O5392,'Customer List'!$A$1:$J$488,10,FALSE),"")</f>
        <v/>
      </c>
    </row>
    <row r="5393" spans="18:23">
      <c r="R5393" s="127">
        <f t="shared" si="243"/>
        <v>0</v>
      </c>
      <c r="T5393" s="128">
        <f t="shared" si="244"/>
        <v>0</v>
      </c>
      <c r="U5393" s="129" t="str">
        <f>IFERROR(IF(#REF!="S",VLOOKUP('Raw Data'!A5393,References!#REF!,2,FALSE),(VLOOKUP($S5393,References!$B$3:$C$7,2,FALSE))),"")</f>
        <v/>
      </c>
      <c r="W5393" s="74" t="str">
        <f>IFERROR(VLOOKUP($O5393,'Customer List'!$A$1:$J$488,10,FALSE),"")</f>
        <v/>
      </c>
    </row>
    <row r="5394" spans="18:23">
      <c r="R5394" s="127">
        <f t="shared" si="243"/>
        <v>0</v>
      </c>
      <c r="T5394" s="128">
        <f t="shared" si="244"/>
        <v>0</v>
      </c>
      <c r="U5394" s="129" t="str">
        <f>IFERROR(IF(#REF!="S",VLOOKUP('Raw Data'!A5394,References!#REF!,2,FALSE),(VLOOKUP($S5394,References!$B$3:$C$7,2,FALSE))),"")</f>
        <v/>
      </c>
      <c r="W5394" s="74" t="str">
        <f>IFERROR(VLOOKUP($O5394,'Customer List'!$A$1:$J$488,10,FALSE),"")</f>
        <v/>
      </c>
    </row>
    <row r="5395" spans="18:23">
      <c r="R5395" s="127">
        <f t="shared" si="243"/>
        <v>0</v>
      </c>
      <c r="T5395" s="128">
        <f t="shared" si="244"/>
        <v>0</v>
      </c>
      <c r="U5395" s="129" t="str">
        <f>IFERROR(IF(#REF!="S",VLOOKUP('Raw Data'!A5395,References!#REF!,2,FALSE),(VLOOKUP($S5395,References!$B$3:$C$7,2,FALSE))),"")</f>
        <v/>
      </c>
      <c r="W5395" s="74" t="str">
        <f>IFERROR(VLOOKUP($O5395,'Customer List'!$A$1:$J$488,10,FALSE),"")</f>
        <v/>
      </c>
    </row>
    <row r="5396" spans="18:23">
      <c r="R5396" s="127">
        <f t="shared" si="243"/>
        <v>0</v>
      </c>
      <c r="T5396" s="128">
        <f t="shared" si="244"/>
        <v>0</v>
      </c>
      <c r="U5396" s="129" t="str">
        <f>IFERROR(IF(#REF!="S",VLOOKUP('Raw Data'!A5396,References!#REF!,2,FALSE),(VLOOKUP($S5396,References!$B$3:$C$7,2,FALSE))),"")</f>
        <v/>
      </c>
      <c r="W5396" s="74" t="str">
        <f>IFERROR(VLOOKUP($O5396,'Customer List'!$A$1:$J$488,10,FALSE),"")</f>
        <v/>
      </c>
    </row>
    <row r="5397" spans="18:23">
      <c r="R5397" s="127">
        <f t="shared" si="243"/>
        <v>0</v>
      </c>
      <c r="T5397" s="128">
        <f t="shared" si="244"/>
        <v>0</v>
      </c>
      <c r="U5397" s="129" t="str">
        <f>IFERROR(IF(#REF!="S",VLOOKUP('Raw Data'!A5397,References!#REF!,2,FALSE),(VLOOKUP($S5397,References!$B$3:$C$7,2,FALSE))),"")</f>
        <v/>
      </c>
      <c r="W5397" s="74" t="str">
        <f>IFERROR(VLOOKUP($O5397,'Customer List'!$A$1:$J$488,10,FALSE),"")</f>
        <v/>
      </c>
    </row>
    <row r="5398" spans="18:23">
      <c r="R5398" s="127">
        <f t="shared" si="243"/>
        <v>0</v>
      </c>
      <c r="T5398" s="128">
        <f t="shared" si="244"/>
        <v>0</v>
      </c>
      <c r="U5398" s="129" t="str">
        <f>IFERROR(IF(#REF!="S",VLOOKUP('Raw Data'!A5398,References!#REF!,2,FALSE),(VLOOKUP($S5398,References!$B$3:$C$7,2,FALSE))),"")</f>
        <v/>
      </c>
      <c r="W5398" s="74" t="str">
        <f>IFERROR(VLOOKUP($O5398,'Customer List'!$A$1:$J$488,10,FALSE),"")</f>
        <v/>
      </c>
    </row>
    <row r="5399" spans="18:23">
      <c r="R5399" s="127">
        <f t="shared" si="243"/>
        <v>0</v>
      </c>
      <c r="T5399" s="128">
        <f t="shared" si="244"/>
        <v>0</v>
      </c>
      <c r="U5399" s="129" t="str">
        <f>IFERROR(IF(#REF!="S",VLOOKUP('Raw Data'!A5399,References!#REF!,2,FALSE),(VLOOKUP($S5399,References!$B$3:$C$7,2,FALSE))),"")</f>
        <v/>
      </c>
      <c r="W5399" s="74" t="str">
        <f>IFERROR(VLOOKUP($O5399,'Customer List'!$A$1:$J$488,10,FALSE),"")</f>
        <v/>
      </c>
    </row>
    <row r="5400" spans="18:23">
      <c r="R5400" s="127">
        <f t="shared" si="243"/>
        <v>0</v>
      </c>
      <c r="T5400" s="128">
        <f t="shared" si="244"/>
        <v>0</v>
      </c>
      <c r="U5400" s="129" t="str">
        <f>IFERROR(IF(#REF!="S",VLOOKUP('Raw Data'!A5400,References!#REF!,2,FALSE),(VLOOKUP($S5400,References!$B$3:$C$7,2,FALSE))),"")</f>
        <v/>
      </c>
      <c r="W5400" s="74" t="str">
        <f>IFERROR(VLOOKUP($O5400,'Customer List'!$A$1:$J$488,10,FALSE),"")</f>
        <v/>
      </c>
    </row>
    <row r="5401" spans="18:23">
      <c r="R5401" s="127">
        <f t="shared" si="243"/>
        <v>0</v>
      </c>
      <c r="T5401" s="128">
        <f t="shared" si="244"/>
        <v>0</v>
      </c>
      <c r="U5401" s="129" t="str">
        <f>IFERROR(IF(#REF!="S",VLOOKUP('Raw Data'!A5401,References!#REF!,2,FALSE),(VLOOKUP($S5401,References!$B$3:$C$7,2,FALSE))),"")</f>
        <v/>
      </c>
      <c r="W5401" s="74" t="str">
        <f>IFERROR(VLOOKUP($O5401,'Customer List'!$A$1:$J$488,10,FALSE),"")</f>
        <v/>
      </c>
    </row>
    <row r="5402" spans="18:23">
      <c r="R5402" s="127">
        <f t="shared" si="243"/>
        <v>0</v>
      </c>
      <c r="T5402" s="128">
        <f t="shared" si="244"/>
        <v>0</v>
      </c>
      <c r="U5402" s="129" t="str">
        <f>IFERROR(IF(#REF!="S",VLOOKUP('Raw Data'!A5402,References!#REF!,2,FALSE),(VLOOKUP($S5402,References!$B$3:$C$7,2,FALSE))),"")</f>
        <v/>
      </c>
      <c r="W5402" s="74" t="str">
        <f>IFERROR(VLOOKUP($O5402,'Customer List'!$A$1:$J$488,10,FALSE),"")</f>
        <v/>
      </c>
    </row>
    <row r="5403" spans="18:23">
      <c r="R5403" s="127">
        <f t="shared" si="243"/>
        <v>0</v>
      </c>
      <c r="T5403" s="128">
        <f t="shared" si="244"/>
        <v>0</v>
      </c>
      <c r="U5403" s="129" t="str">
        <f>IFERROR(IF(#REF!="S",VLOOKUP('Raw Data'!A5403,References!#REF!,2,FALSE),(VLOOKUP($S5403,References!$B$3:$C$7,2,FALSE))),"")</f>
        <v/>
      </c>
      <c r="W5403" s="74" t="str">
        <f>IFERROR(VLOOKUP($O5403,'Customer List'!$A$1:$J$488,10,FALSE),"")</f>
        <v/>
      </c>
    </row>
    <row r="5404" spans="18:23">
      <c r="R5404" s="127">
        <f t="shared" si="243"/>
        <v>0</v>
      </c>
      <c r="T5404" s="128">
        <f t="shared" si="244"/>
        <v>0</v>
      </c>
      <c r="U5404" s="129" t="str">
        <f>IFERROR(IF(#REF!="S",VLOOKUP('Raw Data'!A5404,References!#REF!,2,FALSE),(VLOOKUP($S5404,References!$B$3:$C$7,2,FALSE))),"")</f>
        <v/>
      </c>
      <c r="W5404" s="74" t="str">
        <f>IFERROR(VLOOKUP($O5404,'Customer List'!$A$1:$J$488,10,FALSE),"")</f>
        <v/>
      </c>
    </row>
    <row r="5405" spans="18:23">
      <c r="R5405" s="127">
        <f t="shared" si="243"/>
        <v>0</v>
      </c>
      <c r="T5405" s="128">
        <f t="shared" si="244"/>
        <v>0</v>
      </c>
      <c r="U5405" s="129" t="str">
        <f>IFERROR(IF(#REF!="S",VLOOKUP('Raw Data'!A5405,References!#REF!,2,FALSE),(VLOOKUP($S5405,References!$B$3:$C$7,2,FALSE))),"")</f>
        <v/>
      </c>
      <c r="W5405" s="74" t="str">
        <f>IFERROR(VLOOKUP($O5405,'Customer List'!$A$1:$J$488,10,FALSE),"")</f>
        <v/>
      </c>
    </row>
    <row r="5406" spans="18:23">
      <c r="R5406" s="127">
        <f t="shared" si="243"/>
        <v>0</v>
      </c>
      <c r="T5406" s="128">
        <f t="shared" si="244"/>
        <v>0</v>
      </c>
      <c r="U5406" s="129" t="str">
        <f>IFERROR(IF(#REF!="S",VLOOKUP('Raw Data'!A5406,References!#REF!,2,FALSE),(VLOOKUP($S5406,References!$B$3:$C$7,2,FALSE))),"")</f>
        <v/>
      </c>
      <c r="W5406" s="74" t="str">
        <f>IFERROR(VLOOKUP($O5406,'Customer List'!$A$1:$J$488,10,FALSE),"")</f>
        <v/>
      </c>
    </row>
    <row r="5407" spans="18:23">
      <c r="R5407" s="127">
        <f t="shared" si="243"/>
        <v>0</v>
      </c>
      <c r="T5407" s="128">
        <f t="shared" si="244"/>
        <v>0</v>
      </c>
      <c r="U5407" s="129" t="str">
        <f>IFERROR(IF(#REF!="S",VLOOKUP('Raw Data'!A5407,References!#REF!,2,FALSE),(VLOOKUP($S5407,References!$B$3:$C$7,2,FALSE))),"")</f>
        <v/>
      </c>
      <c r="W5407" s="74" t="str">
        <f>IFERROR(VLOOKUP($O5407,'Customer List'!$A$1:$J$488,10,FALSE),"")</f>
        <v/>
      </c>
    </row>
    <row r="5408" spans="18:23">
      <c r="R5408" s="127">
        <f t="shared" si="243"/>
        <v>0</v>
      </c>
      <c r="T5408" s="128">
        <f t="shared" si="244"/>
        <v>0</v>
      </c>
      <c r="U5408" s="129" t="str">
        <f>IFERROR(IF(#REF!="S",VLOOKUP('Raw Data'!A5408,References!#REF!,2,FALSE),(VLOOKUP($S5408,References!$B$3:$C$7,2,FALSE))),"")</f>
        <v/>
      </c>
      <c r="W5408" s="74" t="str">
        <f>IFERROR(VLOOKUP($O5408,'Customer List'!$A$1:$J$488,10,FALSE),"")</f>
        <v/>
      </c>
    </row>
    <row r="5409" spans="18:23">
      <c r="R5409" s="127">
        <f t="shared" si="243"/>
        <v>0</v>
      </c>
      <c r="T5409" s="128">
        <f t="shared" si="244"/>
        <v>0</v>
      </c>
      <c r="U5409" s="129" t="str">
        <f>IFERROR(IF(#REF!="S",VLOOKUP('Raw Data'!A5409,References!#REF!,2,FALSE),(VLOOKUP($S5409,References!$B$3:$C$7,2,FALSE))),"")</f>
        <v/>
      </c>
      <c r="W5409" s="74" t="str">
        <f>IFERROR(VLOOKUP($O5409,'Customer List'!$A$1:$J$488,10,FALSE),"")</f>
        <v/>
      </c>
    </row>
    <row r="5410" spans="18:23">
      <c r="R5410" s="127">
        <f t="shared" ref="R5410:R5473" si="245">L5410-K5410</f>
        <v>0</v>
      </c>
      <c r="T5410" s="128">
        <f t="shared" si="244"/>
        <v>0</v>
      </c>
      <c r="U5410" s="129" t="str">
        <f>IFERROR(IF(#REF!="S",VLOOKUP('Raw Data'!A5410,References!#REF!,2,FALSE),(VLOOKUP($S5410,References!$B$3:$C$7,2,FALSE))),"")</f>
        <v/>
      </c>
      <c r="W5410" s="74" t="str">
        <f>IFERROR(VLOOKUP($O5410,'Customer List'!$A$1:$J$488,10,FALSE),"")</f>
        <v/>
      </c>
    </row>
    <row r="5411" spans="18:23">
      <c r="R5411" s="127">
        <f t="shared" si="245"/>
        <v>0</v>
      </c>
      <c r="T5411" s="128">
        <f t="shared" si="244"/>
        <v>0</v>
      </c>
      <c r="U5411" s="129" t="str">
        <f>IFERROR(IF(#REF!="S",VLOOKUP('Raw Data'!A5411,References!#REF!,2,FALSE),(VLOOKUP($S5411,References!$B$3:$C$7,2,FALSE))),"")</f>
        <v/>
      </c>
      <c r="W5411" s="74" t="str">
        <f>IFERROR(VLOOKUP($O5411,'Customer List'!$A$1:$J$488,10,FALSE),"")</f>
        <v/>
      </c>
    </row>
    <row r="5412" spans="18:23">
      <c r="R5412" s="127">
        <f t="shared" si="245"/>
        <v>0</v>
      </c>
      <c r="T5412" s="128">
        <f t="shared" si="244"/>
        <v>0</v>
      </c>
      <c r="U5412" s="129" t="str">
        <f>IFERROR(IF(#REF!="S",VLOOKUP('Raw Data'!A5412,References!#REF!,2,FALSE),(VLOOKUP($S5412,References!$B$3:$C$7,2,FALSE))),"")</f>
        <v/>
      </c>
      <c r="W5412" s="74" t="str">
        <f>IFERROR(VLOOKUP($O5412,'Customer List'!$A$1:$J$488,10,FALSE),"")</f>
        <v/>
      </c>
    </row>
    <row r="5413" spans="18:23">
      <c r="R5413" s="127">
        <f t="shared" si="245"/>
        <v>0</v>
      </c>
      <c r="T5413" s="128">
        <f t="shared" si="244"/>
        <v>0</v>
      </c>
      <c r="U5413" s="129" t="str">
        <f>IFERROR(IF(#REF!="S",VLOOKUP('Raw Data'!A5413,References!#REF!,2,FALSE),(VLOOKUP($S5413,References!$B$3:$C$7,2,FALSE))),"")</f>
        <v/>
      </c>
      <c r="W5413" s="74" t="str">
        <f>IFERROR(VLOOKUP($O5413,'Customer List'!$A$1:$J$488,10,FALSE),"")</f>
        <v/>
      </c>
    </row>
    <row r="5414" spans="18:23">
      <c r="R5414" s="127">
        <f t="shared" si="245"/>
        <v>0</v>
      </c>
      <c r="T5414" s="128">
        <f t="shared" si="244"/>
        <v>0</v>
      </c>
      <c r="U5414" s="129" t="str">
        <f>IFERROR(IF(#REF!="S",VLOOKUP('Raw Data'!A5414,References!#REF!,2,FALSE),(VLOOKUP($S5414,References!$B$3:$C$7,2,FALSE))),"")</f>
        <v/>
      </c>
      <c r="W5414" s="74" t="str">
        <f>IFERROR(VLOOKUP($O5414,'Customer List'!$A$1:$J$488,10,FALSE),"")</f>
        <v/>
      </c>
    </row>
    <row r="5415" spans="18:23">
      <c r="R5415" s="127">
        <f t="shared" si="245"/>
        <v>0</v>
      </c>
      <c r="T5415" s="128">
        <f t="shared" si="244"/>
        <v>0</v>
      </c>
      <c r="U5415" s="129" t="str">
        <f>IFERROR(IF(#REF!="S",VLOOKUP('Raw Data'!A5415,References!#REF!,2,FALSE),(VLOOKUP($S5415,References!$B$3:$C$7,2,FALSE))),"")</f>
        <v/>
      </c>
      <c r="W5415" s="74" t="str">
        <f>IFERROR(VLOOKUP($O5415,'Customer List'!$A$1:$J$488,10,FALSE),"")</f>
        <v/>
      </c>
    </row>
    <row r="5416" spans="18:23">
      <c r="R5416" s="127">
        <f t="shared" si="245"/>
        <v>0</v>
      </c>
      <c r="T5416" s="128">
        <f t="shared" si="244"/>
        <v>0</v>
      </c>
      <c r="U5416" s="129" t="str">
        <f>IFERROR(IF(#REF!="S",VLOOKUP('Raw Data'!A5416,References!#REF!,2,FALSE),(VLOOKUP($S5416,References!$B$3:$C$7,2,FALSE))),"")</f>
        <v/>
      </c>
      <c r="W5416" s="74" t="str">
        <f>IFERROR(VLOOKUP($O5416,'Customer List'!$A$1:$J$488,10,FALSE),"")</f>
        <v/>
      </c>
    </row>
    <row r="5417" spans="18:23">
      <c r="R5417" s="127">
        <f t="shared" si="245"/>
        <v>0</v>
      </c>
      <c r="T5417" s="128">
        <f t="shared" si="244"/>
        <v>0</v>
      </c>
      <c r="U5417" s="129" t="str">
        <f>IFERROR(IF(#REF!="S",VLOOKUP('Raw Data'!A5417,References!#REF!,2,FALSE),(VLOOKUP($S5417,References!$B$3:$C$7,2,FALSE))),"")</f>
        <v/>
      </c>
      <c r="W5417" s="74" t="str">
        <f>IFERROR(VLOOKUP($O5417,'Customer List'!$A$1:$J$488,10,FALSE),"")</f>
        <v/>
      </c>
    </row>
    <row r="5418" spans="18:23">
      <c r="R5418" s="127">
        <f t="shared" si="245"/>
        <v>0</v>
      </c>
      <c r="T5418" s="128">
        <f t="shared" si="244"/>
        <v>0</v>
      </c>
      <c r="U5418" s="129" t="str">
        <f>IFERROR(IF(#REF!="S",VLOOKUP('Raw Data'!A5418,References!#REF!,2,FALSE),(VLOOKUP($S5418,References!$B$3:$C$7,2,FALSE))),"")</f>
        <v/>
      </c>
      <c r="W5418" s="74" t="str">
        <f>IFERROR(VLOOKUP($O5418,'Customer List'!$A$1:$J$488,10,FALSE),"")</f>
        <v/>
      </c>
    </row>
    <row r="5419" spans="18:23">
      <c r="R5419" s="127">
        <f t="shared" si="245"/>
        <v>0</v>
      </c>
      <c r="T5419" s="128">
        <f t="shared" si="244"/>
        <v>0</v>
      </c>
      <c r="U5419" s="129" t="str">
        <f>IFERROR(IF(#REF!="S",VLOOKUP('Raw Data'!A5419,References!#REF!,2,FALSE),(VLOOKUP($S5419,References!$B$3:$C$7,2,FALSE))),"")</f>
        <v/>
      </c>
      <c r="W5419" s="74" t="str">
        <f>IFERROR(VLOOKUP($O5419,'Customer List'!$A$1:$J$488,10,FALSE),"")</f>
        <v/>
      </c>
    </row>
    <row r="5420" spans="18:23">
      <c r="R5420" s="127">
        <f t="shared" si="245"/>
        <v>0</v>
      </c>
      <c r="T5420" s="128">
        <f t="shared" si="244"/>
        <v>0</v>
      </c>
      <c r="U5420" s="129" t="str">
        <f>IFERROR(IF(#REF!="S",VLOOKUP('Raw Data'!A5420,References!#REF!,2,FALSE),(VLOOKUP($S5420,References!$B$3:$C$7,2,FALSE))),"")</f>
        <v/>
      </c>
      <c r="W5420" s="74" t="str">
        <f>IFERROR(VLOOKUP($O5420,'Customer List'!$A$1:$J$488,10,FALSE),"")</f>
        <v/>
      </c>
    </row>
    <row r="5421" spans="18:23">
      <c r="R5421" s="127">
        <f t="shared" si="245"/>
        <v>0</v>
      </c>
      <c r="T5421" s="128">
        <f t="shared" si="244"/>
        <v>0</v>
      </c>
      <c r="U5421" s="129" t="str">
        <f>IFERROR(IF(#REF!="S",VLOOKUP('Raw Data'!A5421,References!#REF!,2,FALSE),(VLOOKUP($S5421,References!$B$3:$C$7,2,FALSE))),"")</f>
        <v/>
      </c>
      <c r="W5421" s="74" t="str">
        <f>IFERROR(VLOOKUP($O5421,'Customer List'!$A$1:$J$488,10,FALSE),"")</f>
        <v/>
      </c>
    </row>
    <row r="5422" spans="18:23">
      <c r="R5422" s="127">
        <f t="shared" si="245"/>
        <v>0</v>
      </c>
      <c r="T5422" s="128">
        <f t="shared" si="244"/>
        <v>0</v>
      </c>
      <c r="U5422" s="129" t="str">
        <f>IFERROR(IF(#REF!="S",VLOOKUP('Raw Data'!A5422,References!#REF!,2,FALSE),(VLOOKUP($S5422,References!$B$3:$C$7,2,FALSE))),"")</f>
        <v/>
      </c>
      <c r="W5422" s="74" t="str">
        <f>IFERROR(VLOOKUP($O5422,'Customer List'!$A$1:$J$488,10,FALSE),"")</f>
        <v/>
      </c>
    </row>
    <row r="5423" spans="18:23">
      <c r="R5423" s="127">
        <f t="shared" si="245"/>
        <v>0</v>
      </c>
      <c r="T5423" s="128">
        <f t="shared" si="244"/>
        <v>0</v>
      </c>
      <c r="U5423" s="129" t="str">
        <f>IFERROR(IF(#REF!="S",VLOOKUP('Raw Data'!A5423,References!#REF!,2,FALSE),(VLOOKUP($S5423,References!$B$3:$C$7,2,FALSE))),"")</f>
        <v/>
      </c>
      <c r="W5423" s="74" t="str">
        <f>IFERROR(VLOOKUP($O5423,'Customer List'!$A$1:$J$488,10,FALSE),"")</f>
        <v/>
      </c>
    </row>
    <row r="5424" spans="18:23">
      <c r="R5424" s="127">
        <f t="shared" si="245"/>
        <v>0</v>
      </c>
      <c r="T5424" s="128">
        <f t="shared" si="244"/>
        <v>0</v>
      </c>
      <c r="U5424" s="129" t="str">
        <f>IFERROR(IF(#REF!="S",VLOOKUP('Raw Data'!A5424,References!#REF!,2,FALSE),(VLOOKUP($S5424,References!$B$3:$C$7,2,FALSE))),"")</f>
        <v/>
      </c>
      <c r="W5424" s="74" t="str">
        <f>IFERROR(VLOOKUP($O5424,'Customer List'!$A$1:$J$488,10,FALSE),"")</f>
        <v/>
      </c>
    </row>
    <row r="5425" spans="18:23">
      <c r="R5425" s="127">
        <f t="shared" si="245"/>
        <v>0</v>
      </c>
      <c r="T5425" s="128">
        <f t="shared" si="244"/>
        <v>0</v>
      </c>
      <c r="U5425" s="129" t="str">
        <f>IFERROR(IF(#REF!="S",VLOOKUP('Raw Data'!A5425,References!#REF!,2,FALSE),(VLOOKUP($S5425,References!$B$3:$C$7,2,FALSE))),"")</f>
        <v/>
      </c>
      <c r="W5425" s="74" t="str">
        <f>IFERROR(VLOOKUP($O5425,'Customer List'!$A$1:$J$488,10,FALSE),"")</f>
        <v/>
      </c>
    </row>
    <row r="5426" spans="18:23">
      <c r="R5426" s="127">
        <f t="shared" si="245"/>
        <v>0</v>
      </c>
      <c r="T5426" s="128">
        <f t="shared" si="244"/>
        <v>0</v>
      </c>
      <c r="U5426" s="129" t="str">
        <f>IFERROR(IF(#REF!="S",VLOOKUP('Raw Data'!A5426,References!#REF!,2,FALSE),(VLOOKUP($S5426,References!$B$3:$C$7,2,FALSE))),"")</f>
        <v/>
      </c>
      <c r="W5426" s="74" t="str">
        <f>IFERROR(VLOOKUP($O5426,'Customer List'!$A$1:$J$488,10,FALSE),"")</f>
        <v/>
      </c>
    </row>
    <row r="5427" spans="18:23">
      <c r="R5427" s="127">
        <f t="shared" si="245"/>
        <v>0</v>
      </c>
      <c r="T5427" s="128">
        <f t="shared" si="244"/>
        <v>0</v>
      </c>
      <c r="U5427" s="129" t="str">
        <f>IFERROR(IF(#REF!="S",VLOOKUP('Raw Data'!A5427,References!#REF!,2,FALSE),(VLOOKUP($S5427,References!$B$3:$C$7,2,FALSE))),"")</f>
        <v/>
      </c>
      <c r="W5427" s="74" t="str">
        <f>IFERROR(VLOOKUP($O5427,'Customer List'!$A$1:$J$488,10,FALSE),"")</f>
        <v/>
      </c>
    </row>
    <row r="5428" spans="18:23">
      <c r="R5428" s="127">
        <f t="shared" si="245"/>
        <v>0</v>
      </c>
      <c r="T5428" s="128">
        <f t="shared" si="244"/>
        <v>0</v>
      </c>
      <c r="U5428" s="129" t="str">
        <f>IFERROR(IF(#REF!="S",VLOOKUP('Raw Data'!A5428,References!#REF!,2,FALSE),(VLOOKUP($S5428,References!$B$3:$C$7,2,FALSE))),"")</f>
        <v/>
      </c>
      <c r="W5428" s="74" t="str">
        <f>IFERROR(VLOOKUP($O5428,'Customer List'!$A$1:$J$488,10,FALSE),"")</f>
        <v/>
      </c>
    </row>
    <row r="5429" spans="18:23">
      <c r="R5429" s="127">
        <f t="shared" si="245"/>
        <v>0</v>
      </c>
      <c r="T5429" s="128">
        <f t="shared" si="244"/>
        <v>0</v>
      </c>
      <c r="U5429" s="129" t="str">
        <f>IFERROR(IF(#REF!="S",VLOOKUP('Raw Data'!A5429,References!#REF!,2,FALSE),(VLOOKUP($S5429,References!$B$3:$C$7,2,FALSE))),"")</f>
        <v/>
      </c>
      <c r="W5429" s="74" t="str">
        <f>IFERROR(VLOOKUP($O5429,'Customer List'!$A$1:$J$488,10,FALSE),"")</f>
        <v/>
      </c>
    </row>
    <row r="5430" spans="18:23">
      <c r="R5430" s="127">
        <f t="shared" si="245"/>
        <v>0</v>
      </c>
      <c r="T5430" s="128">
        <f t="shared" si="244"/>
        <v>0</v>
      </c>
      <c r="U5430" s="129" t="str">
        <f>IFERROR(IF(#REF!="S",VLOOKUP('Raw Data'!A5430,References!#REF!,2,FALSE),(VLOOKUP($S5430,References!$B$3:$C$7,2,FALSE))),"")</f>
        <v/>
      </c>
      <c r="W5430" s="74" t="str">
        <f>IFERROR(VLOOKUP($O5430,'Customer List'!$A$1:$J$488,10,FALSE),"")</f>
        <v/>
      </c>
    </row>
    <row r="5431" spans="18:23">
      <c r="R5431" s="127">
        <f t="shared" si="245"/>
        <v>0</v>
      </c>
      <c r="T5431" s="128">
        <f t="shared" si="244"/>
        <v>0</v>
      </c>
      <c r="U5431" s="129" t="str">
        <f>IFERROR(IF(#REF!="S",VLOOKUP('Raw Data'!A5431,References!#REF!,2,FALSE),(VLOOKUP($S5431,References!$B$3:$C$7,2,FALSE))),"")</f>
        <v/>
      </c>
      <c r="W5431" s="74" t="str">
        <f>IFERROR(VLOOKUP($O5431,'Customer List'!$A$1:$J$488,10,FALSE),"")</f>
        <v/>
      </c>
    </row>
    <row r="5432" spans="18:23">
      <c r="R5432" s="127">
        <f t="shared" si="245"/>
        <v>0</v>
      </c>
      <c r="T5432" s="128">
        <f t="shared" si="244"/>
        <v>0</v>
      </c>
      <c r="U5432" s="129" t="str">
        <f>IFERROR(IF(#REF!="S",VLOOKUP('Raw Data'!A5432,References!#REF!,2,FALSE),(VLOOKUP($S5432,References!$B$3:$C$7,2,FALSE))),"")</f>
        <v/>
      </c>
      <c r="W5432" s="74" t="str">
        <f>IFERROR(VLOOKUP($O5432,'Customer List'!$A$1:$J$488,10,FALSE),"")</f>
        <v/>
      </c>
    </row>
    <row r="5433" spans="18:23">
      <c r="R5433" s="127">
        <f t="shared" si="245"/>
        <v>0</v>
      </c>
      <c r="T5433" s="128">
        <f t="shared" si="244"/>
        <v>0</v>
      </c>
      <c r="U5433" s="129" t="str">
        <f>IFERROR(IF(#REF!="S",VLOOKUP('Raw Data'!A5433,References!#REF!,2,FALSE),(VLOOKUP($S5433,References!$B$3:$C$7,2,FALSE))),"")</f>
        <v/>
      </c>
      <c r="W5433" s="74" t="str">
        <f>IFERROR(VLOOKUP($O5433,'Customer List'!$A$1:$J$488,10,FALSE),"")</f>
        <v/>
      </c>
    </row>
    <row r="5434" spans="18:23">
      <c r="R5434" s="127">
        <f t="shared" si="245"/>
        <v>0</v>
      </c>
      <c r="T5434" s="128">
        <f t="shared" si="244"/>
        <v>0</v>
      </c>
      <c r="U5434" s="129" t="str">
        <f>IFERROR(IF(#REF!="S",VLOOKUP('Raw Data'!A5434,References!#REF!,2,FALSE),(VLOOKUP($S5434,References!$B$3:$C$7,2,FALSE))),"")</f>
        <v/>
      </c>
      <c r="W5434" s="74" t="str">
        <f>IFERROR(VLOOKUP($O5434,'Customer List'!$A$1:$J$488,10,FALSE),"")</f>
        <v/>
      </c>
    </row>
    <row r="5435" spans="18:23">
      <c r="R5435" s="127">
        <f t="shared" si="245"/>
        <v>0</v>
      </c>
      <c r="T5435" s="128">
        <f t="shared" si="244"/>
        <v>0</v>
      </c>
      <c r="U5435" s="129" t="str">
        <f>IFERROR(IF(#REF!="S",VLOOKUP('Raw Data'!A5435,References!#REF!,2,FALSE),(VLOOKUP($S5435,References!$B$3:$C$7,2,FALSE))),"")</f>
        <v/>
      </c>
      <c r="W5435" s="74" t="str">
        <f>IFERROR(VLOOKUP($O5435,'Customer List'!$A$1:$J$488,10,FALSE),"")</f>
        <v/>
      </c>
    </row>
    <row r="5436" spans="18:23">
      <c r="R5436" s="127">
        <f t="shared" si="245"/>
        <v>0</v>
      </c>
      <c r="T5436" s="128">
        <f t="shared" si="244"/>
        <v>0</v>
      </c>
      <c r="U5436" s="129" t="str">
        <f>IFERROR(IF(#REF!="S",VLOOKUP('Raw Data'!A5436,References!#REF!,2,FALSE),(VLOOKUP($S5436,References!$B$3:$C$7,2,FALSE))),"")</f>
        <v/>
      </c>
      <c r="W5436" s="74" t="str">
        <f>IFERROR(VLOOKUP($O5436,'Customer List'!$A$1:$J$488,10,FALSE),"")</f>
        <v/>
      </c>
    </row>
    <row r="5437" spans="18:23">
      <c r="R5437" s="127">
        <f t="shared" si="245"/>
        <v>0</v>
      </c>
      <c r="T5437" s="128">
        <f t="shared" si="244"/>
        <v>0</v>
      </c>
      <c r="U5437" s="129" t="str">
        <f>IFERROR(IF(#REF!="S",VLOOKUP('Raw Data'!A5437,References!#REF!,2,FALSE),(VLOOKUP($S5437,References!$B$3:$C$7,2,FALSE))),"")</f>
        <v/>
      </c>
      <c r="W5437" s="74" t="str">
        <f>IFERROR(VLOOKUP($O5437,'Customer List'!$A$1:$J$488,10,FALSE),"")</f>
        <v/>
      </c>
    </row>
    <row r="5438" spans="18:23">
      <c r="R5438" s="127">
        <f t="shared" si="245"/>
        <v>0</v>
      </c>
      <c r="T5438" s="128">
        <f t="shared" si="244"/>
        <v>0</v>
      </c>
      <c r="U5438" s="129" t="str">
        <f>IFERROR(IF(#REF!="S",VLOOKUP('Raw Data'!A5438,References!#REF!,2,FALSE),(VLOOKUP($S5438,References!$B$3:$C$7,2,FALSE))),"")</f>
        <v/>
      </c>
      <c r="W5438" s="74" t="str">
        <f>IFERROR(VLOOKUP($O5438,'Customer List'!$A$1:$J$488,10,FALSE),"")</f>
        <v/>
      </c>
    </row>
    <row r="5439" spans="18:23">
      <c r="R5439" s="127">
        <f t="shared" si="245"/>
        <v>0</v>
      </c>
      <c r="T5439" s="128">
        <f t="shared" si="244"/>
        <v>0</v>
      </c>
      <c r="U5439" s="129" t="str">
        <f>IFERROR(IF(#REF!="S",VLOOKUP('Raw Data'!A5439,References!#REF!,2,FALSE),(VLOOKUP($S5439,References!$B$3:$C$7,2,FALSE))),"")</f>
        <v/>
      </c>
      <c r="W5439" s="74" t="str">
        <f>IFERROR(VLOOKUP($O5439,'Customer List'!$A$1:$J$488,10,FALSE),"")</f>
        <v/>
      </c>
    </row>
    <row r="5440" spans="18:23">
      <c r="R5440" s="127">
        <f t="shared" si="245"/>
        <v>0</v>
      </c>
      <c r="T5440" s="128">
        <f t="shared" si="244"/>
        <v>0</v>
      </c>
      <c r="U5440" s="129" t="str">
        <f>IFERROR(IF(#REF!="S",VLOOKUP('Raw Data'!A5440,References!#REF!,2,FALSE),(VLOOKUP($S5440,References!$B$3:$C$7,2,FALSE))),"")</f>
        <v/>
      </c>
      <c r="W5440" s="74" t="str">
        <f>IFERROR(VLOOKUP($O5440,'Customer List'!$A$1:$J$488,10,FALSE),"")</f>
        <v/>
      </c>
    </row>
    <row r="5441" spans="18:23">
      <c r="R5441" s="127">
        <f t="shared" si="245"/>
        <v>0</v>
      </c>
      <c r="T5441" s="128">
        <f t="shared" si="244"/>
        <v>0</v>
      </c>
      <c r="U5441" s="129" t="str">
        <f>IFERROR(IF(#REF!="S",VLOOKUP('Raw Data'!A5441,References!#REF!,2,FALSE),(VLOOKUP($S5441,References!$B$3:$C$7,2,FALSE))),"")</f>
        <v/>
      </c>
      <c r="W5441" s="74" t="str">
        <f>IFERROR(VLOOKUP($O5441,'Customer List'!$A$1:$J$488,10,FALSE),"")</f>
        <v/>
      </c>
    </row>
    <row r="5442" spans="18:23">
      <c r="R5442" s="127">
        <f t="shared" si="245"/>
        <v>0</v>
      </c>
      <c r="T5442" s="128">
        <f t="shared" si="244"/>
        <v>0</v>
      </c>
      <c r="U5442" s="129" t="str">
        <f>IFERROR(IF(#REF!="S",VLOOKUP('Raw Data'!A5442,References!#REF!,2,FALSE),(VLOOKUP($S5442,References!$B$3:$C$7,2,FALSE))),"")</f>
        <v/>
      </c>
      <c r="W5442" s="74" t="str">
        <f>IFERROR(VLOOKUP($O5442,'Customer List'!$A$1:$J$488,10,FALSE),"")</f>
        <v/>
      </c>
    </row>
    <row r="5443" spans="18:23">
      <c r="R5443" s="127">
        <f t="shared" si="245"/>
        <v>0</v>
      </c>
      <c r="T5443" s="128">
        <f t="shared" si="244"/>
        <v>0</v>
      </c>
      <c r="U5443" s="129" t="str">
        <f>IFERROR(IF(#REF!="S",VLOOKUP('Raw Data'!A5443,References!#REF!,2,FALSE),(VLOOKUP($S5443,References!$B$3:$C$7,2,FALSE))),"")</f>
        <v/>
      </c>
      <c r="W5443" s="74" t="str">
        <f>IFERROR(VLOOKUP($O5443,'Customer List'!$A$1:$J$488,10,FALSE),"")</f>
        <v/>
      </c>
    </row>
    <row r="5444" spans="18:23">
      <c r="R5444" s="127">
        <f t="shared" si="245"/>
        <v>0</v>
      </c>
      <c r="T5444" s="128">
        <f t="shared" si="244"/>
        <v>0</v>
      </c>
      <c r="U5444" s="129" t="str">
        <f>IFERROR(IF(#REF!="S",VLOOKUP('Raw Data'!A5444,References!#REF!,2,FALSE),(VLOOKUP($S5444,References!$B$3:$C$7,2,FALSE))),"")</f>
        <v/>
      </c>
      <c r="W5444" s="74" t="str">
        <f>IFERROR(VLOOKUP($O5444,'Customer List'!$A$1:$J$488,10,FALSE),"")</f>
        <v/>
      </c>
    </row>
    <row r="5445" spans="18:23">
      <c r="R5445" s="127">
        <f t="shared" si="245"/>
        <v>0</v>
      </c>
      <c r="T5445" s="128">
        <f t="shared" si="244"/>
        <v>0</v>
      </c>
      <c r="U5445" s="129" t="str">
        <f>IFERROR(IF(#REF!="S",VLOOKUP('Raw Data'!A5445,References!#REF!,2,FALSE),(VLOOKUP($S5445,References!$B$3:$C$7,2,FALSE))),"")</f>
        <v/>
      </c>
      <c r="W5445" s="74" t="str">
        <f>IFERROR(VLOOKUP($O5445,'Customer List'!$A$1:$J$488,10,FALSE),"")</f>
        <v/>
      </c>
    </row>
    <row r="5446" spans="18:23">
      <c r="R5446" s="127">
        <f t="shared" si="245"/>
        <v>0</v>
      </c>
      <c r="T5446" s="128">
        <f t="shared" si="244"/>
        <v>0</v>
      </c>
      <c r="U5446" s="129" t="str">
        <f>IFERROR(IF(#REF!="S",VLOOKUP('Raw Data'!A5446,References!#REF!,2,FALSE),(VLOOKUP($S5446,References!$B$3:$C$7,2,FALSE))),"")</f>
        <v/>
      </c>
      <c r="W5446" s="74" t="str">
        <f>IFERROR(VLOOKUP($O5446,'Customer List'!$A$1:$J$488,10,FALSE),"")</f>
        <v/>
      </c>
    </row>
    <row r="5447" spans="18:23">
      <c r="R5447" s="127">
        <f t="shared" si="245"/>
        <v>0</v>
      </c>
      <c r="T5447" s="128">
        <f t="shared" si="244"/>
        <v>0</v>
      </c>
      <c r="U5447" s="129" t="str">
        <f>IFERROR(IF(#REF!="S",VLOOKUP('Raw Data'!A5447,References!#REF!,2,FALSE),(VLOOKUP($S5447,References!$B$3:$C$7,2,FALSE))),"")</f>
        <v/>
      </c>
      <c r="W5447" s="74" t="str">
        <f>IFERROR(VLOOKUP($O5447,'Customer List'!$A$1:$J$488,10,FALSE),"")</f>
        <v/>
      </c>
    </row>
    <row r="5448" spans="18:23">
      <c r="R5448" s="127">
        <f t="shared" si="245"/>
        <v>0</v>
      </c>
      <c r="T5448" s="128">
        <f t="shared" si="244"/>
        <v>0</v>
      </c>
      <c r="U5448" s="129" t="str">
        <f>IFERROR(IF(#REF!="S",VLOOKUP('Raw Data'!A5448,References!#REF!,2,FALSE),(VLOOKUP($S5448,References!$B$3:$C$7,2,FALSE))),"")</f>
        <v/>
      </c>
      <c r="W5448" s="74" t="str">
        <f>IFERROR(VLOOKUP($O5448,'Customer List'!$A$1:$J$488,10,FALSE),"")</f>
        <v/>
      </c>
    </row>
    <row r="5449" spans="18:23">
      <c r="R5449" s="127">
        <f t="shared" si="245"/>
        <v>0</v>
      </c>
      <c r="T5449" s="128">
        <f t="shared" si="244"/>
        <v>0</v>
      </c>
      <c r="U5449" s="129" t="str">
        <f>IFERROR(IF(#REF!="S",VLOOKUP('Raw Data'!A5449,References!#REF!,2,FALSE),(VLOOKUP($S5449,References!$B$3:$C$7,2,FALSE))),"")</f>
        <v/>
      </c>
      <c r="W5449" s="74" t="str">
        <f>IFERROR(VLOOKUP($O5449,'Customer List'!$A$1:$J$488,10,FALSE),"")</f>
        <v/>
      </c>
    </row>
    <row r="5450" spans="18:23">
      <c r="R5450" s="127">
        <f t="shared" si="245"/>
        <v>0</v>
      </c>
      <c r="T5450" s="128">
        <f t="shared" ref="T5450:T5513" si="246">IF(S5450="50 - Cleaning Fee",1,HOUR($R5450)+MINUTE(R5450)/60)</f>
        <v>0</v>
      </c>
      <c r="U5450" s="129" t="str">
        <f>IFERROR(IF(#REF!="S",VLOOKUP('Raw Data'!A5450,References!#REF!,2,FALSE),(VLOOKUP($S5450,References!$B$3:$C$7,2,FALSE))),"")</f>
        <v/>
      </c>
      <c r="W5450" s="74" t="str">
        <f>IFERROR(VLOOKUP($O5450,'Customer List'!$A$1:$J$488,10,FALSE),"")</f>
        <v/>
      </c>
    </row>
    <row r="5451" spans="18:23">
      <c r="R5451" s="127">
        <f t="shared" si="245"/>
        <v>0</v>
      </c>
      <c r="T5451" s="128">
        <f t="shared" si="246"/>
        <v>0</v>
      </c>
      <c r="U5451" s="129" t="str">
        <f>IFERROR(IF(#REF!="S",VLOOKUP('Raw Data'!A5451,References!#REF!,2,FALSE),(VLOOKUP($S5451,References!$B$3:$C$7,2,FALSE))),"")</f>
        <v/>
      </c>
      <c r="W5451" s="74" t="str">
        <f>IFERROR(VLOOKUP($O5451,'Customer List'!$A$1:$J$488,10,FALSE),"")</f>
        <v/>
      </c>
    </row>
    <row r="5452" spans="18:23">
      <c r="R5452" s="127">
        <f t="shared" si="245"/>
        <v>0</v>
      </c>
      <c r="T5452" s="128">
        <f t="shared" si="246"/>
        <v>0</v>
      </c>
      <c r="U5452" s="129" t="str">
        <f>IFERROR(IF(#REF!="S",VLOOKUP('Raw Data'!A5452,References!#REF!,2,FALSE),(VLOOKUP($S5452,References!$B$3:$C$7,2,FALSE))),"")</f>
        <v/>
      </c>
      <c r="W5452" s="74" t="str">
        <f>IFERROR(VLOOKUP($O5452,'Customer List'!$A$1:$J$488,10,FALSE),"")</f>
        <v/>
      </c>
    </row>
    <row r="5453" spans="18:23">
      <c r="R5453" s="127">
        <f t="shared" si="245"/>
        <v>0</v>
      </c>
      <c r="T5453" s="128">
        <f t="shared" si="246"/>
        <v>0</v>
      </c>
      <c r="U5453" s="129" t="str">
        <f>IFERROR(IF(#REF!="S",VLOOKUP('Raw Data'!A5453,References!#REF!,2,FALSE),(VLOOKUP($S5453,References!$B$3:$C$7,2,FALSE))),"")</f>
        <v/>
      </c>
      <c r="W5453" s="74" t="str">
        <f>IFERROR(VLOOKUP($O5453,'Customer List'!$A$1:$J$488,10,FALSE),"")</f>
        <v/>
      </c>
    </row>
    <row r="5454" spans="18:23">
      <c r="R5454" s="127">
        <f t="shared" si="245"/>
        <v>0</v>
      </c>
      <c r="T5454" s="128">
        <f t="shared" si="246"/>
        <v>0</v>
      </c>
      <c r="U5454" s="129" t="str">
        <f>IFERROR(IF(#REF!="S",VLOOKUP('Raw Data'!A5454,References!#REF!,2,FALSE),(VLOOKUP($S5454,References!$B$3:$C$7,2,FALSE))),"")</f>
        <v/>
      </c>
      <c r="W5454" s="74" t="str">
        <f>IFERROR(VLOOKUP($O5454,'Customer List'!$A$1:$J$488,10,FALSE),"")</f>
        <v/>
      </c>
    </row>
    <row r="5455" spans="18:23">
      <c r="R5455" s="127">
        <f t="shared" si="245"/>
        <v>0</v>
      </c>
      <c r="T5455" s="128">
        <f t="shared" si="246"/>
        <v>0</v>
      </c>
      <c r="U5455" s="129" t="str">
        <f>IFERROR(IF(#REF!="S",VLOOKUP('Raw Data'!A5455,References!#REF!,2,FALSE),(VLOOKUP($S5455,References!$B$3:$C$7,2,FALSE))),"")</f>
        <v/>
      </c>
      <c r="W5455" s="74" t="str">
        <f>IFERROR(VLOOKUP($O5455,'Customer List'!$A$1:$J$488,10,FALSE),"")</f>
        <v/>
      </c>
    </row>
    <row r="5456" spans="18:23">
      <c r="R5456" s="127">
        <f t="shared" si="245"/>
        <v>0</v>
      </c>
      <c r="T5456" s="128">
        <f t="shared" si="246"/>
        <v>0</v>
      </c>
      <c r="U5456" s="129" t="str">
        <f>IFERROR(IF(#REF!="S",VLOOKUP('Raw Data'!A5456,References!#REF!,2,FALSE),(VLOOKUP($S5456,References!$B$3:$C$7,2,FALSE))),"")</f>
        <v/>
      </c>
      <c r="W5456" s="74" t="str">
        <f>IFERROR(VLOOKUP($O5456,'Customer List'!$A$1:$J$488,10,FALSE),"")</f>
        <v/>
      </c>
    </row>
    <row r="5457" spans="18:23">
      <c r="R5457" s="127">
        <f t="shared" si="245"/>
        <v>0</v>
      </c>
      <c r="T5457" s="128">
        <f t="shared" si="246"/>
        <v>0</v>
      </c>
      <c r="U5457" s="129" t="str">
        <f>IFERROR(IF(#REF!="S",VLOOKUP('Raw Data'!A5457,References!#REF!,2,FALSE),(VLOOKUP($S5457,References!$B$3:$C$7,2,FALSE))),"")</f>
        <v/>
      </c>
      <c r="W5457" s="74" t="str">
        <f>IFERROR(VLOOKUP($O5457,'Customer List'!$A$1:$J$488,10,FALSE),"")</f>
        <v/>
      </c>
    </row>
    <row r="5458" spans="18:23">
      <c r="R5458" s="127">
        <f t="shared" si="245"/>
        <v>0</v>
      </c>
      <c r="T5458" s="128">
        <f t="shared" si="246"/>
        <v>0</v>
      </c>
      <c r="U5458" s="129" t="str">
        <f>IFERROR(IF(#REF!="S",VLOOKUP('Raw Data'!A5458,References!#REF!,2,FALSE),(VLOOKUP($S5458,References!$B$3:$C$7,2,FALSE))),"")</f>
        <v/>
      </c>
      <c r="W5458" s="74" t="str">
        <f>IFERROR(VLOOKUP($O5458,'Customer List'!$A$1:$J$488,10,FALSE),"")</f>
        <v/>
      </c>
    </row>
    <row r="5459" spans="18:23">
      <c r="R5459" s="127">
        <f t="shared" si="245"/>
        <v>0</v>
      </c>
      <c r="T5459" s="128">
        <f t="shared" si="246"/>
        <v>0</v>
      </c>
      <c r="U5459" s="129" t="str">
        <f>IFERROR(IF(#REF!="S",VLOOKUP('Raw Data'!A5459,References!#REF!,2,FALSE),(VLOOKUP($S5459,References!$B$3:$C$7,2,FALSE))),"")</f>
        <v/>
      </c>
      <c r="W5459" s="74" t="str">
        <f>IFERROR(VLOOKUP($O5459,'Customer List'!$A$1:$J$488,10,FALSE),"")</f>
        <v/>
      </c>
    </row>
    <row r="5460" spans="18:23">
      <c r="R5460" s="127">
        <f t="shared" si="245"/>
        <v>0</v>
      </c>
      <c r="T5460" s="128">
        <f t="shared" si="246"/>
        <v>0</v>
      </c>
      <c r="U5460" s="129" t="str">
        <f>IFERROR(IF(#REF!="S",VLOOKUP('Raw Data'!A5460,References!#REF!,2,FALSE),(VLOOKUP($S5460,References!$B$3:$C$7,2,FALSE))),"")</f>
        <v/>
      </c>
      <c r="W5460" s="74" t="str">
        <f>IFERROR(VLOOKUP($O5460,'Customer List'!$A$1:$J$488,10,FALSE),"")</f>
        <v/>
      </c>
    </row>
    <row r="5461" spans="18:23">
      <c r="R5461" s="127">
        <f t="shared" si="245"/>
        <v>0</v>
      </c>
      <c r="T5461" s="128">
        <f t="shared" si="246"/>
        <v>0</v>
      </c>
      <c r="U5461" s="129" t="str">
        <f>IFERROR(IF(#REF!="S",VLOOKUP('Raw Data'!A5461,References!#REF!,2,FALSE),(VLOOKUP($S5461,References!$B$3:$C$7,2,FALSE))),"")</f>
        <v/>
      </c>
      <c r="W5461" s="74" t="str">
        <f>IFERROR(VLOOKUP($O5461,'Customer List'!$A$1:$J$488,10,FALSE),"")</f>
        <v/>
      </c>
    </row>
    <row r="5462" spans="18:23">
      <c r="R5462" s="127">
        <f t="shared" si="245"/>
        <v>0</v>
      </c>
      <c r="T5462" s="128">
        <f t="shared" si="246"/>
        <v>0</v>
      </c>
      <c r="U5462" s="129" t="str">
        <f>IFERROR(IF(#REF!="S",VLOOKUP('Raw Data'!A5462,References!#REF!,2,FALSE),(VLOOKUP($S5462,References!$B$3:$C$7,2,FALSE))),"")</f>
        <v/>
      </c>
      <c r="W5462" s="74" t="str">
        <f>IFERROR(VLOOKUP($O5462,'Customer List'!$A$1:$J$488,10,FALSE),"")</f>
        <v/>
      </c>
    </row>
    <row r="5463" spans="18:23">
      <c r="R5463" s="127">
        <f t="shared" si="245"/>
        <v>0</v>
      </c>
      <c r="T5463" s="128">
        <f t="shared" si="246"/>
        <v>0</v>
      </c>
      <c r="U5463" s="129" t="str">
        <f>IFERROR(IF(#REF!="S",VLOOKUP('Raw Data'!A5463,References!#REF!,2,FALSE),(VLOOKUP($S5463,References!$B$3:$C$7,2,FALSE))),"")</f>
        <v/>
      </c>
      <c r="W5463" s="74" t="str">
        <f>IFERROR(VLOOKUP($O5463,'Customer List'!$A$1:$J$488,10,FALSE),"")</f>
        <v/>
      </c>
    </row>
    <row r="5464" spans="18:23">
      <c r="R5464" s="127">
        <f t="shared" si="245"/>
        <v>0</v>
      </c>
      <c r="T5464" s="128">
        <f t="shared" si="246"/>
        <v>0</v>
      </c>
      <c r="U5464" s="129" t="str">
        <f>IFERROR(IF(#REF!="S",VLOOKUP('Raw Data'!A5464,References!#REF!,2,FALSE),(VLOOKUP($S5464,References!$B$3:$C$7,2,FALSE))),"")</f>
        <v/>
      </c>
      <c r="W5464" s="74" t="str">
        <f>IFERROR(VLOOKUP($O5464,'Customer List'!$A$1:$J$488,10,FALSE),"")</f>
        <v/>
      </c>
    </row>
    <row r="5465" spans="18:23">
      <c r="R5465" s="127">
        <f t="shared" si="245"/>
        <v>0</v>
      </c>
      <c r="T5465" s="128">
        <f t="shared" si="246"/>
        <v>0</v>
      </c>
      <c r="U5465" s="129" t="str">
        <f>IFERROR(IF(#REF!="S",VLOOKUP('Raw Data'!A5465,References!#REF!,2,FALSE),(VLOOKUP($S5465,References!$B$3:$C$7,2,FALSE))),"")</f>
        <v/>
      </c>
      <c r="W5465" s="74" t="str">
        <f>IFERROR(VLOOKUP($O5465,'Customer List'!$A$1:$J$488,10,FALSE),"")</f>
        <v/>
      </c>
    </row>
    <row r="5466" spans="18:23">
      <c r="R5466" s="127">
        <f t="shared" si="245"/>
        <v>0</v>
      </c>
      <c r="T5466" s="128">
        <f t="shared" si="246"/>
        <v>0</v>
      </c>
      <c r="U5466" s="129" t="str">
        <f>IFERROR(IF(#REF!="S",VLOOKUP('Raw Data'!A5466,References!#REF!,2,FALSE),(VLOOKUP($S5466,References!$B$3:$C$7,2,FALSE))),"")</f>
        <v/>
      </c>
      <c r="W5466" s="74" t="str">
        <f>IFERROR(VLOOKUP($O5466,'Customer List'!$A$1:$J$488,10,FALSE),"")</f>
        <v/>
      </c>
    </row>
    <row r="5467" spans="18:23">
      <c r="R5467" s="127">
        <f t="shared" si="245"/>
        <v>0</v>
      </c>
      <c r="T5467" s="128">
        <f t="shared" si="246"/>
        <v>0</v>
      </c>
      <c r="U5467" s="129" t="str">
        <f>IFERROR(IF(#REF!="S",VLOOKUP('Raw Data'!A5467,References!#REF!,2,FALSE),(VLOOKUP($S5467,References!$B$3:$C$7,2,FALSE))),"")</f>
        <v/>
      </c>
      <c r="W5467" s="74" t="str">
        <f>IFERROR(VLOOKUP($O5467,'Customer List'!$A$1:$J$488,10,FALSE),"")</f>
        <v/>
      </c>
    </row>
    <row r="5468" spans="18:23">
      <c r="R5468" s="127">
        <f t="shared" si="245"/>
        <v>0</v>
      </c>
      <c r="T5468" s="128">
        <f t="shared" si="246"/>
        <v>0</v>
      </c>
      <c r="U5468" s="129" t="str">
        <f>IFERROR(IF(#REF!="S",VLOOKUP('Raw Data'!A5468,References!#REF!,2,FALSE),(VLOOKUP($S5468,References!$B$3:$C$7,2,FALSE))),"")</f>
        <v/>
      </c>
      <c r="W5468" s="74" t="str">
        <f>IFERROR(VLOOKUP($O5468,'Customer List'!$A$1:$J$488,10,FALSE),"")</f>
        <v/>
      </c>
    </row>
    <row r="5469" spans="18:23">
      <c r="R5469" s="127">
        <f t="shared" si="245"/>
        <v>0</v>
      </c>
      <c r="T5469" s="128">
        <f t="shared" si="246"/>
        <v>0</v>
      </c>
      <c r="U5469" s="129" t="str">
        <f>IFERROR(IF(#REF!="S",VLOOKUP('Raw Data'!A5469,References!#REF!,2,FALSE),(VLOOKUP($S5469,References!$B$3:$C$7,2,FALSE))),"")</f>
        <v/>
      </c>
      <c r="W5469" s="74" t="str">
        <f>IFERROR(VLOOKUP($O5469,'Customer List'!$A$1:$J$488,10,FALSE),"")</f>
        <v/>
      </c>
    </row>
    <row r="5470" spans="18:23">
      <c r="R5470" s="127">
        <f t="shared" si="245"/>
        <v>0</v>
      </c>
      <c r="T5470" s="128">
        <f t="shared" si="246"/>
        <v>0</v>
      </c>
      <c r="U5470" s="129" t="str">
        <f>IFERROR(IF(#REF!="S",VLOOKUP('Raw Data'!A5470,References!#REF!,2,FALSE),(VLOOKUP($S5470,References!$B$3:$C$7,2,FALSE))),"")</f>
        <v/>
      </c>
      <c r="W5470" s="74" t="str">
        <f>IFERROR(VLOOKUP($O5470,'Customer List'!$A$1:$J$488,10,FALSE),"")</f>
        <v/>
      </c>
    </row>
    <row r="5471" spans="18:23">
      <c r="R5471" s="127">
        <f t="shared" si="245"/>
        <v>0</v>
      </c>
      <c r="T5471" s="128">
        <f t="shared" si="246"/>
        <v>0</v>
      </c>
      <c r="U5471" s="129" t="str">
        <f>IFERROR(IF(#REF!="S",VLOOKUP('Raw Data'!A5471,References!#REF!,2,FALSE),(VLOOKUP($S5471,References!$B$3:$C$7,2,FALSE))),"")</f>
        <v/>
      </c>
      <c r="W5471" s="74" t="str">
        <f>IFERROR(VLOOKUP($O5471,'Customer List'!$A$1:$J$488,10,FALSE),"")</f>
        <v/>
      </c>
    </row>
    <row r="5472" spans="18:23">
      <c r="R5472" s="127">
        <f t="shared" si="245"/>
        <v>0</v>
      </c>
      <c r="T5472" s="128">
        <f t="shared" si="246"/>
        <v>0</v>
      </c>
      <c r="U5472" s="129" t="str">
        <f>IFERROR(IF(#REF!="S",VLOOKUP('Raw Data'!A5472,References!#REF!,2,FALSE),(VLOOKUP($S5472,References!$B$3:$C$7,2,FALSE))),"")</f>
        <v/>
      </c>
      <c r="W5472" s="74" t="str">
        <f>IFERROR(VLOOKUP($O5472,'Customer List'!$A$1:$J$488,10,FALSE),"")</f>
        <v/>
      </c>
    </row>
    <row r="5473" spans="18:23">
      <c r="R5473" s="127">
        <f t="shared" si="245"/>
        <v>0</v>
      </c>
      <c r="T5473" s="128">
        <f t="shared" si="246"/>
        <v>0</v>
      </c>
      <c r="U5473" s="129" t="str">
        <f>IFERROR(IF(#REF!="S",VLOOKUP('Raw Data'!A5473,References!#REF!,2,FALSE),(VLOOKUP($S5473,References!$B$3:$C$7,2,FALSE))),"")</f>
        <v/>
      </c>
      <c r="W5473" s="74" t="str">
        <f>IFERROR(VLOOKUP($O5473,'Customer List'!$A$1:$J$488,10,FALSE),"")</f>
        <v/>
      </c>
    </row>
    <row r="5474" spans="18:23">
      <c r="R5474" s="127">
        <f t="shared" ref="R5474:R5537" si="247">L5474-K5474</f>
        <v>0</v>
      </c>
      <c r="T5474" s="128">
        <f t="shared" si="246"/>
        <v>0</v>
      </c>
      <c r="U5474" s="129" t="str">
        <f>IFERROR(IF(#REF!="S",VLOOKUP('Raw Data'!A5474,References!#REF!,2,FALSE),(VLOOKUP($S5474,References!$B$3:$C$7,2,FALSE))),"")</f>
        <v/>
      </c>
      <c r="W5474" s="74" t="str">
        <f>IFERROR(VLOOKUP($O5474,'Customer List'!$A$1:$J$488,10,FALSE),"")</f>
        <v/>
      </c>
    </row>
    <row r="5475" spans="18:23">
      <c r="R5475" s="127">
        <f t="shared" si="247"/>
        <v>0</v>
      </c>
      <c r="T5475" s="128">
        <f t="shared" si="246"/>
        <v>0</v>
      </c>
      <c r="U5475" s="129" t="str">
        <f>IFERROR(IF(#REF!="S",VLOOKUP('Raw Data'!A5475,References!#REF!,2,FALSE),(VLOOKUP($S5475,References!$B$3:$C$7,2,FALSE))),"")</f>
        <v/>
      </c>
      <c r="W5475" s="74" t="str">
        <f>IFERROR(VLOOKUP($O5475,'Customer List'!$A$1:$J$488,10,FALSE),"")</f>
        <v/>
      </c>
    </row>
    <row r="5476" spans="18:23">
      <c r="R5476" s="127">
        <f t="shared" si="247"/>
        <v>0</v>
      </c>
      <c r="T5476" s="128">
        <f t="shared" si="246"/>
        <v>0</v>
      </c>
      <c r="U5476" s="129" t="str">
        <f>IFERROR(IF(#REF!="S",VLOOKUP('Raw Data'!A5476,References!#REF!,2,FALSE),(VLOOKUP($S5476,References!$B$3:$C$7,2,FALSE))),"")</f>
        <v/>
      </c>
      <c r="W5476" s="74" t="str">
        <f>IFERROR(VLOOKUP($O5476,'Customer List'!$A$1:$J$488,10,FALSE),"")</f>
        <v/>
      </c>
    </row>
    <row r="5477" spans="18:23">
      <c r="R5477" s="127">
        <f t="shared" si="247"/>
        <v>0</v>
      </c>
      <c r="T5477" s="128">
        <f t="shared" si="246"/>
        <v>0</v>
      </c>
      <c r="U5477" s="129" t="str">
        <f>IFERROR(IF(#REF!="S",VLOOKUP('Raw Data'!A5477,References!#REF!,2,FALSE),(VLOOKUP($S5477,References!$B$3:$C$7,2,FALSE))),"")</f>
        <v/>
      </c>
      <c r="W5477" s="74" t="str">
        <f>IFERROR(VLOOKUP($O5477,'Customer List'!$A$1:$J$488,10,FALSE),"")</f>
        <v/>
      </c>
    </row>
    <row r="5478" spans="18:23">
      <c r="R5478" s="127">
        <f t="shared" si="247"/>
        <v>0</v>
      </c>
      <c r="T5478" s="128">
        <f t="shared" si="246"/>
        <v>0</v>
      </c>
      <c r="U5478" s="129" t="str">
        <f>IFERROR(IF(#REF!="S",VLOOKUP('Raw Data'!A5478,References!#REF!,2,FALSE),(VLOOKUP($S5478,References!$B$3:$C$7,2,FALSE))),"")</f>
        <v/>
      </c>
      <c r="W5478" s="74" t="str">
        <f>IFERROR(VLOOKUP($O5478,'Customer List'!$A$1:$J$488,10,FALSE),"")</f>
        <v/>
      </c>
    </row>
    <row r="5479" spans="18:23">
      <c r="R5479" s="127">
        <f t="shared" si="247"/>
        <v>0</v>
      </c>
      <c r="T5479" s="128">
        <f t="shared" si="246"/>
        <v>0</v>
      </c>
      <c r="U5479" s="129" t="str">
        <f>IFERROR(IF(#REF!="S",VLOOKUP('Raw Data'!A5479,References!#REF!,2,FALSE),(VLOOKUP($S5479,References!$B$3:$C$7,2,FALSE))),"")</f>
        <v/>
      </c>
      <c r="W5479" s="74" t="str">
        <f>IFERROR(VLOOKUP($O5479,'Customer List'!$A$1:$J$488,10,FALSE),"")</f>
        <v/>
      </c>
    </row>
    <row r="5480" spans="18:23">
      <c r="R5480" s="127">
        <f t="shared" si="247"/>
        <v>0</v>
      </c>
      <c r="T5480" s="128">
        <f t="shared" si="246"/>
        <v>0</v>
      </c>
      <c r="U5480" s="129" t="str">
        <f>IFERROR(IF(#REF!="S",VLOOKUP('Raw Data'!A5480,References!#REF!,2,FALSE),(VLOOKUP($S5480,References!$B$3:$C$7,2,FALSE))),"")</f>
        <v/>
      </c>
      <c r="W5480" s="74" t="str">
        <f>IFERROR(VLOOKUP($O5480,'Customer List'!$A$1:$J$488,10,FALSE),"")</f>
        <v/>
      </c>
    </row>
    <row r="5481" spans="18:23">
      <c r="R5481" s="127">
        <f t="shared" si="247"/>
        <v>0</v>
      </c>
      <c r="T5481" s="128">
        <f t="shared" si="246"/>
        <v>0</v>
      </c>
      <c r="U5481" s="129" t="str">
        <f>IFERROR(IF(#REF!="S",VLOOKUP('Raw Data'!A5481,References!#REF!,2,FALSE),(VLOOKUP($S5481,References!$B$3:$C$7,2,FALSE))),"")</f>
        <v/>
      </c>
      <c r="W5481" s="74" t="str">
        <f>IFERROR(VLOOKUP($O5481,'Customer List'!$A$1:$J$488,10,FALSE),"")</f>
        <v/>
      </c>
    </row>
    <row r="5482" spans="18:23">
      <c r="R5482" s="127">
        <f t="shared" si="247"/>
        <v>0</v>
      </c>
      <c r="T5482" s="128">
        <f t="shared" si="246"/>
        <v>0</v>
      </c>
      <c r="U5482" s="129" t="str">
        <f>IFERROR(IF(#REF!="S",VLOOKUP('Raw Data'!A5482,References!#REF!,2,FALSE),(VLOOKUP($S5482,References!$B$3:$C$7,2,FALSE))),"")</f>
        <v/>
      </c>
      <c r="W5482" s="74" t="str">
        <f>IFERROR(VLOOKUP($O5482,'Customer List'!$A$1:$J$488,10,FALSE),"")</f>
        <v/>
      </c>
    </row>
    <row r="5483" spans="18:23">
      <c r="R5483" s="127">
        <f t="shared" si="247"/>
        <v>0</v>
      </c>
      <c r="T5483" s="128">
        <f t="shared" si="246"/>
        <v>0</v>
      </c>
      <c r="U5483" s="129" t="str">
        <f>IFERROR(IF(#REF!="S",VLOOKUP('Raw Data'!A5483,References!#REF!,2,FALSE),(VLOOKUP($S5483,References!$B$3:$C$7,2,FALSE))),"")</f>
        <v/>
      </c>
      <c r="W5483" s="74" t="str">
        <f>IFERROR(VLOOKUP($O5483,'Customer List'!$A$1:$J$488,10,FALSE),"")</f>
        <v/>
      </c>
    </row>
    <row r="5484" spans="18:23">
      <c r="R5484" s="127">
        <f t="shared" si="247"/>
        <v>0</v>
      </c>
      <c r="T5484" s="128">
        <f t="shared" si="246"/>
        <v>0</v>
      </c>
      <c r="U5484" s="129" t="str">
        <f>IFERROR(IF(#REF!="S",VLOOKUP('Raw Data'!A5484,References!#REF!,2,FALSE),(VLOOKUP($S5484,References!$B$3:$C$7,2,FALSE))),"")</f>
        <v/>
      </c>
      <c r="W5484" s="74" t="str">
        <f>IFERROR(VLOOKUP($O5484,'Customer List'!$A$1:$J$488,10,FALSE),"")</f>
        <v/>
      </c>
    </row>
    <row r="5485" spans="18:23">
      <c r="R5485" s="127">
        <f t="shared" si="247"/>
        <v>0</v>
      </c>
      <c r="T5485" s="128">
        <f t="shared" si="246"/>
        <v>0</v>
      </c>
      <c r="U5485" s="129" t="str">
        <f>IFERROR(IF(#REF!="S",VLOOKUP('Raw Data'!A5485,References!#REF!,2,FALSE),(VLOOKUP($S5485,References!$B$3:$C$7,2,FALSE))),"")</f>
        <v/>
      </c>
      <c r="W5485" s="74" t="str">
        <f>IFERROR(VLOOKUP($O5485,'Customer List'!$A$1:$J$488,10,FALSE),"")</f>
        <v/>
      </c>
    </row>
    <row r="5486" spans="18:23">
      <c r="R5486" s="127">
        <f t="shared" si="247"/>
        <v>0</v>
      </c>
      <c r="T5486" s="128">
        <f t="shared" si="246"/>
        <v>0</v>
      </c>
      <c r="U5486" s="129" t="str">
        <f>IFERROR(IF(#REF!="S",VLOOKUP('Raw Data'!A5486,References!#REF!,2,FALSE),(VLOOKUP($S5486,References!$B$3:$C$7,2,FALSE))),"")</f>
        <v/>
      </c>
      <c r="W5486" s="74" t="str">
        <f>IFERROR(VLOOKUP($O5486,'Customer List'!$A$1:$J$488,10,FALSE),"")</f>
        <v/>
      </c>
    </row>
    <row r="5487" spans="18:23">
      <c r="R5487" s="127">
        <f t="shared" si="247"/>
        <v>0</v>
      </c>
      <c r="T5487" s="128">
        <f t="shared" si="246"/>
        <v>0</v>
      </c>
      <c r="U5487" s="129" t="str">
        <f>IFERROR(IF(#REF!="S",VLOOKUP('Raw Data'!A5487,References!#REF!,2,FALSE),(VLOOKUP($S5487,References!$B$3:$C$7,2,FALSE))),"")</f>
        <v/>
      </c>
      <c r="W5487" s="74" t="str">
        <f>IFERROR(VLOOKUP($O5487,'Customer List'!$A$1:$J$488,10,FALSE),"")</f>
        <v/>
      </c>
    </row>
    <row r="5488" spans="18:23">
      <c r="R5488" s="127">
        <f t="shared" si="247"/>
        <v>0</v>
      </c>
      <c r="T5488" s="128">
        <f t="shared" si="246"/>
        <v>0</v>
      </c>
      <c r="U5488" s="129" t="str">
        <f>IFERROR(IF(#REF!="S",VLOOKUP('Raw Data'!A5488,References!#REF!,2,FALSE),(VLOOKUP($S5488,References!$B$3:$C$7,2,FALSE))),"")</f>
        <v/>
      </c>
      <c r="W5488" s="74" t="str">
        <f>IFERROR(VLOOKUP($O5488,'Customer List'!$A$1:$J$488,10,FALSE),"")</f>
        <v/>
      </c>
    </row>
    <row r="5489" spans="18:23">
      <c r="R5489" s="127">
        <f t="shared" si="247"/>
        <v>0</v>
      </c>
      <c r="T5489" s="128">
        <f t="shared" si="246"/>
        <v>0</v>
      </c>
      <c r="U5489" s="129" t="str">
        <f>IFERROR(IF(#REF!="S",VLOOKUP('Raw Data'!A5489,References!#REF!,2,FALSE),(VLOOKUP($S5489,References!$B$3:$C$7,2,FALSE))),"")</f>
        <v/>
      </c>
      <c r="W5489" s="74" t="str">
        <f>IFERROR(VLOOKUP($O5489,'Customer List'!$A$1:$J$488,10,FALSE),"")</f>
        <v/>
      </c>
    </row>
    <row r="5490" spans="18:23">
      <c r="R5490" s="127">
        <f t="shared" si="247"/>
        <v>0</v>
      </c>
      <c r="T5490" s="128">
        <f t="shared" si="246"/>
        <v>0</v>
      </c>
      <c r="U5490" s="129" t="str">
        <f>IFERROR(IF(#REF!="S",VLOOKUP('Raw Data'!A5490,References!#REF!,2,FALSE),(VLOOKUP($S5490,References!$B$3:$C$7,2,FALSE))),"")</f>
        <v/>
      </c>
      <c r="W5490" s="74" t="str">
        <f>IFERROR(VLOOKUP($O5490,'Customer List'!$A$1:$J$488,10,FALSE),"")</f>
        <v/>
      </c>
    </row>
    <row r="5491" spans="18:23">
      <c r="R5491" s="127">
        <f t="shared" si="247"/>
        <v>0</v>
      </c>
      <c r="T5491" s="128">
        <f t="shared" si="246"/>
        <v>0</v>
      </c>
      <c r="U5491" s="129" t="str">
        <f>IFERROR(IF(#REF!="S",VLOOKUP('Raw Data'!A5491,References!#REF!,2,FALSE),(VLOOKUP($S5491,References!$B$3:$C$7,2,FALSE))),"")</f>
        <v/>
      </c>
      <c r="W5491" s="74" t="str">
        <f>IFERROR(VLOOKUP($O5491,'Customer List'!$A$1:$J$488,10,FALSE),"")</f>
        <v/>
      </c>
    </row>
    <row r="5492" spans="18:23">
      <c r="R5492" s="127">
        <f t="shared" si="247"/>
        <v>0</v>
      </c>
      <c r="T5492" s="128">
        <f t="shared" si="246"/>
        <v>0</v>
      </c>
      <c r="U5492" s="129" t="str">
        <f>IFERROR(IF(#REF!="S",VLOOKUP('Raw Data'!A5492,References!#REF!,2,FALSE),(VLOOKUP($S5492,References!$B$3:$C$7,2,FALSE))),"")</f>
        <v/>
      </c>
      <c r="W5492" s="74" t="str">
        <f>IFERROR(VLOOKUP($O5492,'Customer List'!$A$1:$J$488,10,FALSE),"")</f>
        <v/>
      </c>
    </row>
    <row r="5493" spans="18:23">
      <c r="R5493" s="127">
        <f t="shared" si="247"/>
        <v>0</v>
      </c>
      <c r="T5493" s="128">
        <f t="shared" si="246"/>
        <v>0</v>
      </c>
      <c r="U5493" s="129" t="str">
        <f>IFERROR(IF(#REF!="S",VLOOKUP('Raw Data'!A5493,References!#REF!,2,FALSE),(VLOOKUP($S5493,References!$B$3:$C$7,2,FALSE))),"")</f>
        <v/>
      </c>
      <c r="W5493" s="74" t="str">
        <f>IFERROR(VLOOKUP($O5493,'Customer List'!$A$1:$J$488,10,FALSE),"")</f>
        <v/>
      </c>
    </row>
    <row r="5494" spans="18:23">
      <c r="R5494" s="127">
        <f t="shared" si="247"/>
        <v>0</v>
      </c>
      <c r="T5494" s="128">
        <f t="shared" si="246"/>
        <v>0</v>
      </c>
      <c r="U5494" s="129" t="str">
        <f>IFERROR(IF(#REF!="S",VLOOKUP('Raw Data'!A5494,References!#REF!,2,FALSE),(VLOOKUP($S5494,References!$B$3:$C$7,2,FALSE))),"")</f>
        <v/>
      </c>
      <c r="W5494" s="74" t="str">
        <f>IFERROR(VLOOKUP($O5494,'Customer List'!$A$1:$J$488,10,FALSE),"")</f>
        <v/>
      </c>
    </row>
    <row r="5495" spans="18:23">
      <c r="R5495" s="127">
        <f t="shared" si="247"/>
        <v>0</v>
      </c>
      <c r="T5495" s="128">
        <f t="shared" si="246"/>
        <v>0</v>
      </c>
      <c r="U5495" s="129" t="str">
        <f>IFERROR(IF(#REF!="S",VLOOKUP('Raw Data'!A5495,References!#REF!,2,FALSE),(VLOOKUP($S5495,References!$B$3:$C$7,2,FALSE))),"")</f>
        <v/>
      </c>
      <c r="W5495" s="74" t="str">
        <f>IFERROR(VLOOKUP($O5495,'Customer List'!$A$1:$J$488,10,FALSE),"")</f>
        <v/>
      </c>
    </row>
    <row r="5496" spans="18:23">
      <c r="R5496" s="127">
        <f t="shared" si="247"/>
        <v>0</v>
      </c>
      <c r="T5496" s="128">
        <f t="shared" si="246"/>
        <v>0</v>
      </c>
      <c r="U5496" s="129" t="str">
        <f>IFERROR(IF(#REF!="S",VLOOKUP('Raw Data'!A5496,References!#REF!,2,FALSE),(VLOOKUP($S5496,References!$B$3:$C$7,2,FALSE))),"")</f>
        <v/>
      </c>
      <c r="W5496" s="74" t="str">
        <f>IFERROR(VLOOKUP($O5496,'Customer List'!$A$1:$J$488,10,FALSE),"")</f>
        <v/>
      </c>
    </row>
    <row r="5497" spans="18:23">
      <c r="R5497" s="127">
        <f t="shared" si="247"/>
        <v>0</v>
      </c>
      <c r="T5497" s="128">
        <f t="shared" si="246"/>
        <v>0</v>
      </c>
      <c r="U5497" s="129" t="str">
        <f>IFERROR(IF(#REF!="S",VLOOKUP('Raw Data'!A5497,References!#REF!,2,FALSE),(VLOOKUP($S5497,References!$B$3:$C$7,2,FALSE))),"")</f>
        <v/>
      </c>
      <c r="W5497" s="74" t="str">
        <f>IFERROR(VLOOKUP($O5497,'Customer List'!$A$1:$J$488,10,FALSE),"")</f>
        <v/>
      </c>
    </row>
    <row r="5498" spans="18:23">
      <c r="R5498" s="127">
        <f t="shared" si="247"/>
        <v>0</v>
      </c>
      <c r="T5498" s="128">
        <f t="shared" si="246"/>
        <v>0</v>
      </c>
      <c r="U5498" s="129" t="str">
        <f>IFERROR(IF(#REF!="S",VLOOKUP('Raw Data'!A5498,References!#REF!,2,FALSE),(VLOOKUP($S5498,References!$B$3:$C$7,2,FALSE))),"")</f>
        <v/>
      </c>
      <c r="W5498" s="74" t="str">
        <f>IFERROR(VLOOKUP($O5498,'Customer List'!$A$1:$J$488,10,FALSE),"")</f>
        <v/>
      </c>
    </row>
    <row r="5499" spans="18:23">
      <c r="R5499" s="127">
        <f t="shared" si="247"/>
        <v>0</v>
      </c>
      <c r="T5499" s="128">
        <f t="shared" si="246"/>
        <v>0</v>
      </c>
      <c r="U5499" s="129" t="str">
        <f>IFERROR(IF(#REF!="S",VLOOKUP('Raw Data'!A5499,References!#REF!,2,FALSE),(VLOOKUP($S5499,References!$B$3:$C$7,2,FALSE))),"")</f>
        <v/>
      </c>
      <c r="W5499" s="74" t="str">
        <f>IFERROR(VLOOKUP($O5499,'Customer List'!$A$1:$J$488,10,FALSE),"")</f>
        <v/>
      </c>
    </row>
    <row r="5500" spans="18:23">
      <c r="R5500" s="127">
        <f t="shared" si="247"/>
        <v>0</v>
      </c>
      <c r="T5500" s="128">
        <f t="shared" si="246"/>
        <v>0</v>
      </c>
      <c r="U5500" s="129" t="str">
        <f>IFERROR(IF(#REF!="S",VLOOKUP('Raw Data'!A5500,References!#REF!,2,FALSE),(VLOOKUP($S5500,References!$B$3:$C$7,2,FALSE))),"")</f>
        <v/>
      </c>
      <c r="W5500" s="74" t="str">
        <f>IFERROR(VLOOKUP($O5500,'Customer List'!$A$1:$J$488,10,FALSE),"")</f>
        <v/>
      </c>
    </row>
    <row r="5501" spans="18:23">
      <c r="R5501" s="127">
        <f t="shared" si="247"/>
        <v>0</v>
      </c>
      <c r="T5501" s="128">
        <f t="shared" si="246"/>
        <v>0</v>
      </c>
      <c r="U5501" s="129" t="str">
        <f>IFERROR(IF(#REF!="S",VLOOKUP('Raw Data'!A5501,References!#REF!,2,FALSE),(VLOOKUP($S5501,References!$B$3:$C$7,2,FALSE))),"")</f>
        <v/>
      </c>
      <c r="W5501" s="74" t="str">
        <f>IFERROR(VLOOKUP($O5501,'Customer List'!$A$1:$J$488,10,FALSE),"")</f>
        <v/>
      </c>
    </row>
    <row r="5502" spans="18:23">
      <c r="R5502" s="127">
        <f t="shared" si="247"/>
        <v>0</v>
      </c>
      <c r="T5502" s="128">
        <f t="shared" si="246"/>
        <v>0</v>
      </c>
      <c r="U5502" s="129" t="str">
        <f>IFERROR(IF(#REF!="S",VLOOKUP('Raw Data'!A5502,References!#REF!,2,FALSE),(VLOOKUP($S5502,References!$B$3:$C$7,2,FALSE))),"")</f>
        <v/>
      </c>
      <c r="W5502" s="74" t="str">
        <f>IFERROR(VLOOKUP($O5502,'Customer List'!$A$1:$J$488,10,FALSE),"")</f>
        <v/>
      </c>
    </row>
    <row r="5503" spans="18:23">
      <c r="R5503" s="127">
        <f t="shared" si="247"/>
        <v>0</v>
      </c>
      <c r="T5503" s="128">
        <f t="shared" si="246"/>
        <v>0</v>
      </c>
      <c r="U5503" s="129" t="str">
        <f>IFERROR(IF(#REF!="S",VLOOKUP('Raw Data'!A5503,References!#REF!,2,FALSE),(VLOOKUP($S5503,References!$B$3:$C$7,2,FALSE))),"")</f>
        <v/>
      </c>
      <c r="W5503" s="74" t="str">
        <f>IFERROR(VLOOKUP($O5503,'Customer List'!$A$1:$J$488,10,FALSE),"")</f>
        <v/>
      </c>
    </row>
    <row r="5504" spans="18:23">
      <c r="R5504" s="127">
        <f t="shared" si="247"/>
        <v>0</v>
      </c>
      <c r="T5504" s="128">
        <f t="shared" si="246"/>
        <v>0</v>
      </c>
      <c r="U5504" s="129" t="str">
        <f>IFERROR(IF(#REF!="S",VLOOKUP('Raw Data'!A5504,References!#REF!,2,FALSE),(VLOOKUP($S5504,References!$B$3:$C$7,2,FALSE))),"")</f>
        <v/>
      </c>
      <c r="W5504" s="74" t="str">
        <f>IFERROR(VLOOKUP($O5504,'Customer List'!$A$1:$J$488,10,FALSE),"")</f>
        <v/>
      </c>
    </row>
    <row r="5505" spans="18:23">
      <c r="R5505" s="127">
        <f t="shared" si="247"/>
        <v>0</v>
      </c>
      <c r="T5505" s="128">
        <f t="shared" si="246"/>
        <v>0</v>
      </c>
      <c r="U5505" s="129" t="str">
        <f>IFERROR(IF(#REF!="S",VLOOKUP('Raw Data'!A5505,References!#REF!,2,FALSE),(VLOOKUP($S5505,References!$B$3:$C$7,2,FALSE))),"")</f>
        <v/>
      </c>
      <c r="W5505" s="74" t="str">
        <f>IFERROR(VLOOKUP($O5505,'Customer List'!$A$1:$J$488,10,FALSE),"")</f>
        <v/>
      </c>
    </row>
    <row r="5506" spans="18:23">
      <c r="R5506" s="127">
        <f t="shared" si="247"/>
        <v>0</v>
      </c>
      <c r="T5506" s="128">
        <f t="shared" si="246"/>
        <v>0</v>
      </c>
      <c r="U5506" s="129" t="str">
        <f>IFERROR(IF(#REF!="S",VLOOKUP('Raw Data'!A5506,References!#REF!,2,FALSE),(VLOOKUP($S5506,References!$B$3:$C$7,2,FALSE))),"")</f>
        <v/>
      </c>
      <c r="W5506" s="74" t="str">
        <f>IFERROR(VLOOKUP($O5506,'Customer List'!$A$1:$J$488,10,FALSE),"")</f>
        <v/>
      </c>
    </row>
    <row r="5507" spans="18:23">
      <c r="R5507" s="127">
        <f t="shared" si="247"/>
        <v>0</v>
      </c>
      <c r="T5507" s="128">
        <f t="shared" si="246"/>
        <v>0</v>
      </c>
      <c r="U5507" s="129" t="str">
        <f>IFERROR(IF(#REF!="S",VLOOKUP('Raw Data'!A5507,References!#REF!,2,FALSE),(VLOOKUP($S5507,References!$B$3:$C$7,2,FALSE))),"")</f>
        <v/>
      </c>
      <c r="W5507" s="74" t="str">
        <f>IFERROR(VLOOKUP($O5507,'Customer List'!$A$1:$J$488,10,FALSE),"")</f>
        <v/>
      </c>
    </row>
    <row r="5508" spans="18:23">
      <c r="R5508" s="127">
        <f t="shared" si="247"/>
        <v>0</v>
      </c>
      <c r="T5508" s="128">
        <f t="shared" si="246"/>
        <v>0</v>
      </c>
      <c r="U5508" s="129" t="str">
        <f>IFERROR(IF(#REF!="S",VLOOKUP('Raw Data'!A5508,References!#REF!,2,FALSE),(VLOOKUP($S5508,References!$B$3:$C$7,2,FALSE))),"")</f>
        <v/>
      </c>
      <c r="W5508" s="74" t="str">
        <f>IFERROR(VLOOKUP($O5508,'Customer List'!$A$1:$J$488,10,FALSE),"")</f>
        <v/>
      </c>
    </row>
    <row r="5509" spans="18:23">
      <c r="R5509" s="127">
        <f t="shared" si="247"/>
        <v>0</v>
      </c>
      <c r="T5509" s="128">
        <f t="shared" si="246"/>
        <v>0</v>
      </c>
      <c r="U5509" s="129" t="str">
        <f>IFERROR(IF(#REF!="S",VLOOKUP('Raw Data'!A5509,References!#REF!,2,FALSE),(VLOOKUP($S5509,References!$B$3:$C$7,2,FALSE))),"")</f>
        <v/>
      </c>
      <c r="W5509" s="74" t="str">
        <f>IFERROR(VLOOKUP($O5509,'Customer List'!$A$1:$J$488,10,FALSE),"")</f>
        <v/>
      </c>
    </row>
    <row r="5510" spans="18:23">
      <c r="R5510" s="127">
        <f t="shared" si="247"/>
        <v>0</v>
      </c>
      <c r="T5510" s="128">
        <f t="shared" si="246"/>
        <v>0</v>
      </c>
      <c r="U5510" s="129" t="str">
        <f>IFERROR(IF(#REF!="S",VLOOKUP('Raw Data'!A5510,References!#REF!,2,FALSE),(VLOOKUP($S5510,References!$B$3:$C$7,2,FALSE))),"")</f>
        <v/>
      </c>
      <c r="W5510" s="74" t="str">
        <f>IFERROR(VLOOKUP($O5510,'Customer List'!$A$1:$J$488,10,FALSE),"")</f>
        <v/>
      </c>
    </row>
    <row r="5511" spans="18:23">
      <c r="R5511" s="127">
        <f t="shared" si="247"/>
        <v>0</v>
      </c>
      <c r="T5511" s="128">
        <f t="shared" si="246"/>
        <v>0</v>
      </c>
      <c r="U5511" s="129" t="str">
        <f>IFERROR(IF(#REF!="S",VLOOKUP('Raw Data'!A5511,References!#REF!,2,FALSE),(VLOOKUP($S5511,References!$B$3:$C$7,2,FALSE))),"")</f>
        <v/>
      </c>
      <c r="W5511" s="74" t="str">
        <f>IFERROR(VLOOKUP($O5511,'Customer List'!$A$1:$J$488,10,FALSE),"")</f>
        <v/>
      </c>
    </row>
    <row r="5512" spans="18:23">
      <c r="R5512" s="127">
        <f t="shared" si="247"/>
        <v>0</v>
      </c>
      <c r="T5512" s="128">
        <f t="shared" si="246"/>
        <v>0</v>
      </c>
      <c r="U5512" s="129" t="str">
        <f>IFERROR(IF(#REF!="S",VLOOKUP('Raw Data'!A5512,References!#REF!,2,FALSE),(VLOOKUP($S5512,References!$B$3:$C$7,2,FALSE))),"")</f>
        <v/>
      </c>
      <c r="W5512" s="74" t="str">
        <f>IFERROR(VLOOKUP($O5512,'Customer List'!$A$1:$J$488,10,FALSE),"")</f>
        <v/>
      </c>
    </row>
    <row r="5513" spans="18:23">
      <c r="R5513" s="127">
        <f t="shared" si="247"/>
        <v>0</v>
      </c>
      <c r="T5513" s="128">
        <f t="shared" si="246"/>
        <v>0</v>
      </c>
      <c r="U5513" s="129" t="str">
        <f>IFERROR(IF(#REF!="S",VLOOKUP('Raw Data'!A5513,References!#REF!,2,FALSE),(VLOOKUP($S5513,References!$B$3:$C$7,2,FALSE))),"")</f>
        <v/>
      </c>
      <c r="W5513" s="74" t="str">
        <f>IFERROR(VLOOKUP($O5513,'Customer List'!$A$1:$J$488,10,FALSE),"")</f>
        <v/>
      </c>
    </row>
    <row r="5514" spans="18:23">
      <c r="R5514" s="127">
        <f t="shared" si="247"/>
        <v>0</v>
      </c>
      <c r="T5514" s="128">
        <f t="shared" ref="T5514:T5577" si="248">IF(S5514="50 - Cleaning Fee",1,HOUR($R5514)+MINUTE(R5514)/60)</f>
        <v>0</v>
      </c>
      <c r="U5514" s="129" t="str">
        <f>IFERROR(IF(#REF!="S",VLOOKUP('Raw Data'!A5514,References!#REF!,2,FALSE),(VLOOKUP($S5514,References!$B$3:$C$7,2,FALSE))),"")</f>
        <v/>
      </c>
      <c r="W5514" s="74" t="str">
        <f>IFERROR(VLOOKUP($O5514,'Customer List'!$A$1:$J$488,10,FALSE),"")</f>
        <v/>
      </c>
    </row>
    <row r="5515" spans="18:23">
      <c r="R5515" s="127">
        <f t="shared" si="247"/>
        <v>0</v>
      </c>
      <c r="T5515" s="128">
        <f t="shared" si="248"/>
        <v>0</v>
      </c>
      <c r="U5515" s="129" t="str">
        <f>IFERROR(IF(#REF!="S",VLOOKUP('Raw Data'!A5515,References!#REF!,2,FALSE),(VLOOKUP($S5515,References!$B$3:$C$7,2,FALSE))),"")</f>
        <v/>
      </c>
      <c r="W5515" s="74" t="str">
        <f>IFERROR(VLOOKUP($O5515,'Customer List'!$A$1:$J$488,10,FALSE),"")</f>
        <v/>
      </c>
    </row>
    <row r="5516" spans="18:23">
      <c r="R5516" s="127">
        <f t="shared" si="247"/>
        <v>0</v>
      </c>
      <c r="T5516" s="128">
        <f t="shared" si="248"/>
        <v>0</v>
      </c>
      <c r="U5516" s="129" t="str">
        <f>IFERROR(IF(#REF!="S",VLOOKUP('Raw Data'!A5516,References!#REF!,2,FALSE),(VLOOKUP($S5516,References!$B$3:$C$7,2,FALSE))),"")</f>
        <v/>
      </c>
      <c r="W5516" s="74" t="str">
        <f>IFERROR(VLOOKUP($O5516,'Customer List'!$A$1:$J$488,10,FALSE),"")</f>
        <v/>
      </c>
    </row>
    <row r="5517" spans="18:23">
      <c r="R5517" s="127">
        <f t="shared" si="247"/>
        <v>0</v>
      </c>
      <c r="T5517" s="128">
        <f t="shared" si="248"/>
        <v>0</v>
      </c>
      <c r="U5517" s="129" t="str">
        <f>IFERROR(IF(#REF!="S",VLOOKUP('Raw Data'!A5517,References!#REF!,2,FALSE),(VLOOKUP($S5517,References!$B$3:$C$7,2,FALSE))),"")</f>
        <v/>
      </c>
      <c r="W5517" s="74" t="str">
        <f>IFERROR(VLOOKUP($O5517,'Customer List'!$A$1:$J$488,10,FALSE),"")</f>
        <v/>
      </c>
    </row>
    <row r="5518" spans="18:23">
      <c r="R5518" s="127">
        <f t="shared" si="247"/>
        <v>0</v>
      </c>
      <c r="T5518" s="128">
        <f t="shared" si="248"/>
        <v>0</v>
      </c>
      <c r="U5518" s="129" t="str">
        <f>IFERROR(IF(#REF!="S",VLOOKUP('Raw Data'!A5518,References!#REF!,2,FALSE),(VLOOKUP($S5518,References!$B$3:$C$7,2,FALSE))),"")</f>
        <v/>
      </c>
      <c r="W5518" s="74" t="str">
        <f>IFERROR(VLOOKUP($O5518,'Customer List'!$A$1:$J$488,10,FALSE),"")</f>
        <v/>
      </c>
    </row>
    <row r="5519" spans="18:23">
      <c r="R5519" s="127">
        <f t="shared" si="247"/>
        <v>0</v>
      </c>
      <c r="T5519" s="128">
        <f t="shared" si="248"/>
        <v>0</v>
      </c>
      <c r="U5519" s="129" t="str">
        <f>IFERROR(IF(#REF!="S",VLOOKUP('Raw Data'!A5519,References!#REF!,2,FALSE),(VLOOKUP($S5519,References!$B$3:$C$7,2,FALSE))),"")</f>
        <v/>
      </c>
      <c r="W5519" s="74" t="str">
        <f>IFERROR(VLOOKUP($O5519,'Customer List'!$A$1:$J$488,10,FALSE),"")</f>
        <v/>
      </c>
    </row>
    <row r="5520" spans="18:23">
      <c r="R5520" s="127">
        <f t="shared" si="247"/>
        <v>0</v>
      </c>
      <c r="T5520" s="128">
        <f t="shared" si="248"/>
        <v>0</v>
      </c>
      <c r="U5520" s="129" t="str">
        <f>IFERROR(IF(#REF!="S",VLOOKUP('Raw Data'!A5520,References!#REF!,2,FALSE),(VLOOKUP($S5520,References!$B$3:$C$7,2,FALSE))),"")</f>
        <v/>
      </c>
      <c r="W5520" s="74" t="str">
        <f>IFERROR(VLOOKUP($O5520,'Customer List'!$A$1:$J$488,10,FALSE),"")</f>
        <v/>
      </c>
    </row>
    <row r="5521" spans="18:23">
      <c r="R5521" s="127">
        <f t="shared" si="247"/>
        <v>0</v>
      </c>
      <c r="T5521" s="128">
        <f t="shared" si="248"/>
        <v>0</v>
      </c>
      <c r="U5521" s="129" t="str">
        <f>IFERROR(IF(#REF!="S",VLOOKUP('Raw Data'!A5521,References!#REF!,2,FALSE),(VLOOKUP($S5521,References!$B$3:$C$7,2,FALSE))),"")</f>
        <v/>
      </c>
      <c r="W5521" s="74" t="str">
        <f>IFERROR(VLOOKUP($O5521,'Customer List'!$A$1:$J$488,10,FALSE),"")</f>
        <v/>
      </c>
    </row>
    <row r="5522" spans="18:23">
      <c r="R5522" s="127">
        <f t="shared" si="247"/>
        <v>0</v>
      </c>
      <c r="T5522" s="128">
        <f t="shared" si="248"/>
        <v>0</v>
      </c>
      <c r="U5522" s="129" t="str">
        <f>IFERROR(IF(#REF!="S",VLOOKUP('Raw Data'!A5522,References!#REF!,2,FALSE),(VLOOKUP($S5522,References!$B$3:$C$7,2,FALSE))),"")</f>
        <v/>
      </c>
      <c r="W5522" s="74" t="str">
        <f>IFERROR(VLOOKUP($O5522,'Customer List'!$A$1:$J$488,10,FALSE),"")</f>
        <v/>
      </c>
    </row>
    <row r="5523" spans="18:23">
      <c r="R5523" s="127">
        <f t="shared" si="247"/>
        <v>0</v>
      </c>
      <c r="T5523" s="128">
        <f t="shared" si="248"/>
        <v>0</v>
      </c>
      <c r="U5523" s="129" t="str">
        <f>IFERROR(IF(#REF!="S",VLOOKUP('Raw Data'!A5523,References!#REF!,2,FALSE),(VLOOKUP($S5523,References!$B$3:$C$7,2,FALSE))),"")</f>
        <v/>
      </c>
      <c r="W5523" s="74" t="str">
        <f>IFERROR(VLOOKUP($O5523,'Customer List'!$A$1:$J$488,10,FALSE),"")</f>
        <v/>
      </c>
    </row>
    <row r="5524" spans="18:23">
      <c r="R5524" s="127">
        <f t="shared" si="247"/>
        <v>0</v>
      </c>
      <c r="T5524" s="128">
        <f t="shared" si="248"/>
        <v>0</v>
      </c>
      <c r="U5524" s="129" t="str">
        <f>IFERROR(IF(#REF!="S",VLOOKUP('Raw Data'!A5524,References!#REF!,2,FALSE),(VLOOKUP($S5524,References!$B$3:$C$7,2,FALSE))),"")</f>
        <v/>
      </c>
      <c r="W5524" s="74" t="str">
        <f>IFERROR(VLOOKUP($O5524,'Customer List'!$A$1:$J$488,10,FALSE),"")</f>
        <v/>
      </c>
    </row>
    <row r="5525" spans="18:23">
      <c r="R5525" s="127">
        <f t="shared" si="247"/>
        <v>0</v>
      </c>
      <c r="T5525" s="128">
        <f t="shared" si="248"/>
        <v>0</v>
      </c>
      <c r="U5525" s="129" t="str">
        <f>IFERROR(IF(#REF!="S",VLOOKUP('Raw Data'!A5525,References!#REF!,2,FALSE),(VLOOKUP($S5525,References!$B$3:$C$7,2,FALSE))),"")</f>
        <v/>
      </c>
      <c r="W5525" s="74" t="str">
        <f>IFERROR(VLOOKUP($O5525,'Customer List'!$A$1:$J$488,10,FALSE),"")</f>
        <v/>
      </c>
    </row>
    <row r="5526" spans="18:23">
      <c r="R5526" s="127">
        <f t="shared" si="247"/>
        <v>0</v>
      </c>
      <c r="T5526" s="128">
        <f t="shared" si="248"/>
        <v>0</v>
      </c>
      <c r="U5526" s="129" t="str">
        <f>IFERROR(IF(#REF!="S",VLOOKUP('Raw Data'!A5526,References!#REF!,2,FALSE),(VLOOKUP($S5526,References!$B$3:$C$7,2,FALSE))),"")</f>
        <v/>
      </c>
      <c r="W5526" s="74" t="str">
        <f>IFERROR(VLOOKUP($O5526,'Customer List'!$A$1:$J$488,10,FALSE),"")</f>
        <v/>
      </c>
    </row>
    <row r="5527" spans="18:23">
      <c r="R5527" s="127">
        <f t="shared" si="247"/>
        <v>0</v>
      </c>
      <c r="T5527" s="128">
        <f t="shared" si="248"/>
        <v>0</v>
      </c>
      <c r="U5527" s="129" t="str">
        <f>IFERROR(IF(#REF!="S",VLOOKUP('Raw Data'!A5527,References!#REF!,2,FALSE),(VLOOKUP($S5527,References!$B$3:$C$7,2,FALSE))),"")</f>
        <v/>
      </c>
      <c r="W5527" s="74" t="str">
        <f>IFERROR(VLOOKUP($O5527,'Customer List'!$A$1:$J$488,10,FALSE),"")</f>
        <v/>
      </c>
    </row>
    <row r="5528" spans="18:23">
      <c r="R5528" s="127">
        <f t="shared" si="247"/>
        <v>0</v>
      </c>
      <c r="T5528" s="128">
        <f t="shared" si="248"/>
        <v>0</v>
      </c>
      <c r="U5528" s="129" t="str">
        <f>IFERROR(IF(#REF!="S",VLOOKUP('Raw Data'!A5528,References!#REF!,2,FALSE),(VLOOKUP($S5528,References!$B$3:$C$7,2,FALSE))),"")</f>
        <v/>
      </c>
      <c r="W5528" s="74" t="str">
        <f>IFERROR(VLOOKUP($O5528,'Customer List'!$A$1:$J$488,10,FALSE),"")</f>
        <v/>
      </c>
    </row>
    <row r="5529" spans="18:23">
      <c r="R5529" s="127">
        <f t="shared" si="247"/>
        <v>0</v>
      </c>
      <c r="T5529" s="128">
        <f t="shared" si="248"/>
        <v>0</v>
      </c>
      <c r="U5529" s="129" t="str">
        <f>IFERROR(IF(#REF!="S",VLOOKUP('Raw Data'!A5529,References!#REF!,2,FALSE),(VLOOKUP($S5529,References!$B$3:$C$7,2,FALSE))),"")</f>
        <v/>
      </c>
      <c r="W5529" s="74" t="str">
        <f>IFERROR(VLOOKUP($O5529,'Customer List'!$A$1:$J$488,10,FALSE),"")</f>
        <v/>
      </c>
    </row>
    <row r="5530" spans="18:23">
      <c r="R5530" s="127">
        <f t="shared" si="247"/>
        <v>0</v>
      </c>
      <c r="T5530" s="128">
        <f t="shared" si="248"/>
        <v>0</v>
      </c>
      <c r="U5530" s="129" t="str">
        <f>IFERROR(IF(#REF!="S",VLOOKUP('Raw Data'!A5530,References!#REF!,2,FALSE),(VLOOKUP($S5530,References!$B$3:$C$7,2,FALSE))),"")</f>
        <v/>
      </c>
      <c r="W5530" s="74" t="str">
        <f>IFERROR(VLOOKUP($O5530,'Customer List'!$A$1:$J$488,10,FALSE),"")</f>
        <v/>
      </c>
    </row>
    <row r="5531" spans="18:23">
      <c r="R5531" s="127">
        <f t="shared" si="247"/>
        <v>0</v>
      </c>
      <c r="T5531" s="128">
        <f t="shared" si="248"/>
        <v>0</v>
      </c>
      <c r="U5531" s="129" t="str">
        <f>IFERROR(IF(#REF!="S",VLOOKUP('Raw Data'!A5531,References!#REF!,2,FALSE),(VLOOKUP($S5531,References!$B$3:$C$7,2,FALSE))),"")</f>
        <v/>
      </c>
      <c r="W5531" s="74" t="str">
        <f>IFERROR(VLOOKUP($O5531,'Customer List'!$A$1:$J$488,10,FALSE),"")</f>
        <v/>
      </c>
    </row>
    <row r="5532" spans="18:23">
      <c r="R5532" s="127">
        <f t="shared" si="247"/>
        <v>0</v>
      </c>
      <c r="T5532" s="128">
        <f t="shared" si="248"/>
        <v>0</v>
      </c>
      <c r="U5532" s="129" t="str">
        <f>IFERROR(IF(#REF!="S",VLOOKUP('Raw Data'!A5532,References!#REF!,2,FALSE),(VLOOKUP($S5532,References!$B$3:$C$7,2,FALSE))),"")</f>
        <v/>
      </c>
      <c r="W5532" s="74" t="str">
        <f>IFERROR(VLOOKUP($O5532,'Customer List'!$A$1:$J$488,10,FALSE),"")</f>
        <v/>
      </c>
    </row>
    <row r="5533" spans="18:23">
      <c r="R5533" s="127">
        <f t="shared" si="247"/>
        <v>0</v>
      </c>
      <c r="T5533" s="128">
        <f t="shared" si="248"/>
        <v>0</v>
      </c>
      <c r="U5533" s="129" t="str">
        <f>IFERROR(IF(#REF!="S",VLOOKUP('Raw Data'!A5533,References!#REF!,2,FALSE),(VLOOKUP($S5533,References!$B$3:$C$7,2,FALSE))),"")</f>
        <v/>
      </c>
      <c r="W5533" s="74" t="str">
        <f>IFERROR(VLOOKUP($O5533,'Customer List'!$A$1:$J$488,10,FALSE),"")</f>
        <v/>
      </c>
    </row>
    <row r="5534" spans="18:23">
      <c r="R5534" s="127">
        <f t="shared" si="247"/>
        <v>0</v>
      </c>
      <c r="T5534" s="128">
        <f t="shared" si="248"/>
        <v>0</v>
      </c>
      <c r="U5534" s="129" t="str">
        <f>IFERROR(IF(#REF!="S",VLOOKUP('Raw Data'!A5534,References!#REF!,2,FALSE),(VLOOKUP($S5534,References!$B$3:$C$7,2,FALSE))),"")</f>
        <v/>
      </c>
      <c r="W5534" s="74" t="str">
        <f>IFERROR(VLOOKUP($O5534,'Customer List'!$A$1:$J$488,10,FALSE),"")</f>
        <v/>
      </c>
    </row>
    <row r="5535" spans="18:23">
      <c r="R5535" s="127">
        <f t="shared" si="247"/>
        <v>0</v>
      </c>
      <c r="T5535" s="128">
        <f t="shared" si="248"/>
        <v>0</v>
      </c>
      <c r="U5535" s="129" t="str">
        <f>IFERROR(IF(#REF!="S",VLOOKUP('Raw Data'!A5535,References!#REF!,2,FALSE),(VLOOKUP($S5535,References!$B$3:$C$7,2,FALSE))),"")</f>
        <v/>
      </c>
      <c r="W5535" s="74" t="str">
        <f>IFERROR(VLOOKUP($O5535,'Customer List'!$A$1:$J$488,10,FALSE),"")</f>
        <v/>
      </c>
    </row>
    <row r="5536" spans="18:23">
      <c r="R5536" s="127">
        <f t="shared" si="247"/>
        <v>0</v>
      </c>
      <c r="T5536" s="128">
        <f t="shared" si="248"/>
        <v>0</v>
      </c>
      <c r="U5536" s="129" t="str">
        <f>IFERROR(IF(#REF!="S",VLOOKUP('Raw Data'!A5536,References!#REF!,2,FALSE),(VLOOKUP($S5536,References!$B$3:$C$7,2,FALSE))),"")</f>
        <v/>
      </c>
      <c r="W5536" s="74" t="str">
        <f>IFERROR(VLOOKUP($O5536,'Customer List'!$A$1:$J$488,10,FALSE),"")</f>
        <v/>
      </c>
    </row>
    <row r="5537" spans="18:23">
      <c r="R5537" s="127">
        <f t="shared" si="247"/>
        <v>0</v>
      </c>
      <c r="T5537" s="128">
        <f t="shared" si="248"/>
        <v>0</v>
      </c>
      <c r="U5537" s="129" t="str">
        <f>IFERROR(IF(#REF!="S",VLOOKUP('Raw Data'!A5537,References!#REF!,2,FALSE),(VLOOKUP($S5537,References!$B$3:$C$7,2,FALSE))),"")</f>
        <v/>
      </c>
      <c r="W5537" s="74" t="str">
        <f>IFERROR(VLOOKUP($O5537,'Customer List'!$A$1:$J$488,10,FALSE),"")</f>
        <v/>
      </c>
    </row>
    <row r="5538" spans="18:23">
      <c r="R5538" s="127">
        <f t="shared" ref="R5538:R5601" si="249">L5538-K5538</f>
        <v>0</v>
      </c>
      <c r="T5538" s="128">
        <f t="shared" si="248"/>
        <v>0</v>
      </c>
      <c r="U5538" s="129" t="str">
        <f>IFERROR(IF(#REF!="S",VLOOKUP('Raw Data'!A5538,References!#REF!,2,FALSE),(VLOOKUP($S5538,References!$B$3:$C$7,2,FALSE))),"")</f>
        <v/>
      </c>
      <c r="W5538" s="74" t="str">
        <f>IFERROR(VLOOKUP($O5538,'Customer List'!$A$1:$J$488,10,FALSE),"")</f>
        <v/>
      </c>
    </row>
    <row r="5539" spans="18:23">
      <c r="R5539" s="127">
        <f t="shared" si="249"/>
        <v>0</v>
      </c>
      <c r="T5539" s="128">
        <f t="shared" si="248"/>
        <v>0</v>
      </c>
      <c r="U5539" s="129" t="str">
        <f>IFERROR(IF(#REF!="S",VLOOKUP('Raw Data'!A5539,References!#REF!,2,FALSE),(VLOOKUP($S5539,References!$B$3:$C$7,2,FALSE))),"")</f>
        <v/>
      </c>
      <c r="W5539" s="74" t="str">
        <f>IFERROR(VLOOKUP($O5539,'Customer List'!$A$1:$J$488,10,FALSE),"")</f>
        <v/>
      </c>
    </row>
    <row r="5540" spans="18:23">
      <c r="R5540" s="127">
        <f t="shared" si="249"/>
        <v>0</v>
      </c>
      <c r="T5540" s="128">
        <f t="shared" si="248"/>
        <v>0</v>
      </c>
      <c r="U5540" s="129" t="str">
        <f>IFERROR(IF(#REF!="S",VLOOKUP('Raw Data'!A5540,References!#REF!,2,FALSE),(VLOOKUP($S5540,References!$B$3:$C$7,2,FALSE))),"")</f>
        <v/>
      </c>
      <c r="W5540" s="74" t="str">
        <f>IFERROR(VLOOKUP($O5540,'Customer List'!$A$1:$J$488,10,FALSE),"")</f>
        <v/>
      </c>
    </row>
    <row r="5541" spans="18:23">
      <c r="R5541" s="127">
        <f t="shared" si="249"/>
        <v>0</v>
      </c>
      <c r="T5541" s="128">
        <f t="shared" si="248"/>
        <v>0</v>
      </c>
      <c r="U5541" s="129" t="str">
        <f>IFERROR(IF(#REF!="S",VLOOKUP('Raw Data'!A5541,References!#REF!,2,FALSE),(VLOOKUP($S5541,References!$B$3:$C$7,2,FALSE))),"")</f>
        <v/>
      </c>
      <c r="W5541" s="74" t="str">
        <f>IFERROR(VLOOKUP($O5541,'Customer List'!$A$1:$J$488,10,FALSE),"")</f>
        <v/>
      </c>
    </row>
    <row r="5542" spans="18:23">
      <c r="R5542" s="127">
        <f t="shared" si="249"/>
        <v>0</v>
      </c>
      <c r="T5542" s="128">
        <f t="shared" si="248"/>
        <v>0</v>
      </c>
      <c r="U5542" s="129" t="str">
        <f>IFERROR(IF(#REF!="S",VLOOKUP('Raw Data'!A5542,References!#REF!,2,FALSE),(VLOOKUP($S5542,References!$B$3:$C$7,2,FALSE))),"")</f>
        <v/>
      </c>
      <c r="W5542" s="74" t="str">
        <f>IFERROR(VLOOKUP($O5542,'Customer List'!$A$1:$J$488,10,FALSE),"")</f>
        <v/>
      </c>
    </row>
    <row r="5543" spans="18:23">
      <c r="R5543" s="127">
        <f t="shared" si="249"/>
        <v>0</v>
      </c>
      <c r="T5543" s="128">
        <f t="shared" si="248"/>
        <v>0</v>
      </c>
      <c r="U5543" s="129" t="str">
        <f>IFERROR(IF(#REF!="S",VLOOKUP('Raw Data'!A5543,References!#REF!,2,FALSE),(VLOOKUP($S5543,References!$B$3:$C$7,2,FALSE))),"")</f>
        <v/>
      </c>
      <c r="W5543" s="74" t="str">
        <f>IFERROR(VLOOKUP($O5543,'Customer List'!$A$1:$J$488,10,FALSE),"")</f>
        <v/>
      </c>
    </row>
    <row r="5544" spans="18:23">
      <c r="R5544" s="127">
        <f t="shared" si="249"/>
        <v>0</v>
      </c>
      <c r="T5544" s="128">
        <f t="shared" si="248"/>
        <v>0</v>
      </c>
      <c r="U5544" s="129" t="str">
        <f>IFERROR(IF(#REF!="S",VLOOKUP('Raw Data'!A5544,References!#REF!,2,FALSE),(VLOOKUP($S5544,References!$B$3:$C$7,2,FALSE))),"")</f>
        <v/>
      </c>
      <c r="W5544" s="74" t="str">
        <f>IFERROR(VLOOKUP($O5544,'Customer List'!$A$1:$J$488,10,FALSE),"")</f>
        <v/>
      </c>
    </row>
    <row r="5545" spans="18:23">
      <c r="R5545" s="127">
        <f t="shared" si="249"/>
        <v>0</v>
      </c>
      <c r="T5545" s="128">
        <f t="shared" si="248"/>
        <v>0</v>
      </c>
      <c r="U5545" s="129" t="str">
        <f>IFERROR(IF(#REF!="S",VLOOKUP('Raw Data'!A5545,References!#REF!,2,FALSE),(VLOOKUP($S5545,References!$B$3:$C$7,2,FALSE))),"")</f>
        <v/>
      </c>
      <c r="W5545" s="74" t="str">
        <f>IFERROR(VLOOKUP($O5545,'Customer List'!$A$1:$J$488,10,FALSE),"")</f>
        <v/>
      </c>
    </row>
    <row r="5546" spans="18:23">
      <c r="R5546" s="127">
        <f t="shared" si="249"/>
        <v>0</v>
      </c>
      <c r="T5546" s="128">
        <f t="shared" si="248"/>
        <v>0</v>
      </c>
      <c r="U5546" s="129" t="str">
        <f>IFERROR(IF(#REF!="S",VLOOKUP('Raw Data'!A5546,References!#REF!,2,FALSE),(VLOOKUP($S5546,References!$B$3:$C$7,2,FALSE))),"")</f>
        <v/>
      </c>
      <c r="W5546" s="74" t="str">
        <f>IFERROR(VLOOKUP($O5546,'Customer List'!$A$1:$J$488,10,FALSE),"")</f>
        <v/>
      </c>
    </row>
    <row r="5547" spans="18:23">
      <c r="R5547" s="127">
        <f t="shared" si="249"/>
        <v>0</v>
      </c>
      <c r="T5547" s="128">
        <f t="shared" si="248"/>
        <v>0</v>
      </c>
      <c r="U5547" s="129" t="str">
        <f>IFERROR(IF(#REF!="S",VLOOKUP('Raw Data'!A5547,References!#REF!,2,FALSE),(VLOOKUP($S5547,References!$B$3:$C$7,2,FALSE))),"")</f>
        <v/>
      </c>
      <c r="W5547" s="74" t="str">
        <f>IFERROR(VLOOKUP($O5547,'Customer List'!$A$1:$J$488,10,FALSE),"")</f>
        <v/>
      </c>
    </row>
    <row r="5548" spans="18:23">
      <c r="R5548" s="127">
        <f t="shared" si="249"/>
        <v>0</v>
      </c>
      <c r="T5548" s="128">
        <f t="shared" si="248"/>
        <v>0</v>
      </c>
      <c r="U5548" s="129" t="str">
        <f>IFERROR(IF(#REF!="S",VLOOKUP('Raw Data'!A5548,References!#REF!,2,FALSE),(VLOOKUP($S5548,References!$B$3:$C$7,2,FALSE))),"")</f>
        <v/>
      </c>
      <c r="W5548" s="74" t="str">
        <f>IFERROR(VLOOKUP($O5548,'Customer List'!$A$1:$J$488,10,FALSE),"")</f>
        <v/>
      </c>
    </row>
    <row r="5549" spans="18:23">
      <c r="R5549" s="127">
        <f t="shared" si="249"/>
        <v>0</v>
      </c>
      <c r="T5549" s="128">
        <f t="shared" si="248"/>
        <v>0</v>
      </c>
      <c r="U5549" s="129" t="str">
        <f>IFERROR(IF(#REF!="S",VLOOKUP('Raw Data'!A5549,References!#REF!,2,FALSE),(VLOOKUP($S5549,References!$B$3:$C$7,2,FALSE))),"")</f>
        <v/>
      </c>
      <c r="W5549" s="74" t="str">
        <f>IFERROR(VLOOKUP($O5549,'Customer List'!$A$1:$J$488,10,FALSE),"")</f>
        <v/>
      </c>
    </row>
    <row r="5550" spans="18:23">
      <c r="R5550" s="127">
        <f t="shared" si="249"/>
        <v>0</v>
      </c>
      <c r="T5550" s="128">
        <f t="shared" si="248"/>
        <v>0</v>
      </c>
      <c r="U5550" s="129" t="str">
        <f>IFERROR(IF(#REF!="S",VLOOKUP('Raw Data'!A5550,References!#REF!,2,FALSE),(VLOOKUP($S5550,References!$B$3:$C$7,2,FALSE))),"")</f>
        <v/>
      </c>
      <c r="W5550" s="74" t="str">
        <f>IFERROR(VLOOKUP($O5550,'Customer List'!$A$1:$J$488,10,FALSE),"")</f>
        <v/>
      </c>
    </row>
    <row r="5551" spans="18:23">
      <c r="R5551" s="127">
        <f t="shared" si="249"/>
        <v>0</v>
      </c>
      <c r="T5551" s="128">
        <f t="shared" si="248"/>
        <v>0</v>
      </c>
      <c r="U5551" s="129" t="str">
        <f>IFERROR(IF(#REF!="S",VLOOKUP('Raw Data'!A5551,References!#REF!,2,FALSE),(VLOOKUP($S5551,References!$B$3:$C$7,2,FALSE))),"")</f>
        <v/>
      </c>
      <c r="W5551" s="74" t="str">
        <f>IFERROR(VLOOKUP($O5551,'Customer List'!$A$1:$J$488,10,FALSE),"")</f>
        <v/>
      </c>
    </row>
    <row r="5552" spans="18:23">
      <c r="R5552" s="127">
        <f t="shared" si="249"/>
        <v>0</v>
      </c>
      <c r="T5552" s="128">
        <f t="shared" si="248"/>
        <v>0</v>
      </c>
      <c r="U5552" s="129" t="str">
        <f>IFERROR(IF(#REF!="S",VLOOKUP('Raw Data'!A5552,References!#REF!,2,FALSE),(VLOOKUP($S5552,References!$B$3:$C$7,2,FALSE))),"")</f>
        <v/>
      </c>
      <c r="W5552" s="74" t="str">
        <f>IFERROR(VLOOKUP($O5552,'Customer List'!$A$1:$J$488,10,FALSE),"")</f>
        <v/>
      </c>
    </row>
    <row r="5553" spans="18:23">
      <c r="R5553" s="127">
        <f t="shared" si="249"/>
        <v>0</v>
      </c>
      <c r="T5553" s="128">
        <f t="shared" si="248"/>
        <v>0</v>
      </c>
      <c r="U5553" s="129" t="str">
        <f>IFERROR(IF(#REF!="S",VLOOKUP('Raw Data'!A5553,References!#REF!,2,FALSE),(VLOOKUP($S5553,References!$B$3:$C$7,2,FALSE))),"")</f>
        <v/>
      </c>
      <c r="W5553" s="74" t="str">
        <f>IFERROR(VLOOKUP($O5553,'Customer List'!$A$1:$J$488,10,FALSE),"")</f>
        <v/>
      </c>
    </row>
    <row r="5554" spans="18:23">
      <c r="R5554" s="127">
        <f t="shared" si="249"/>
        <v>0</v>
      </c>
      <c r="T5554" s="128">
        <f t="shared" si="248"/>
        <v>0</v>
      </c>
      <c r="U5554" s="129" t="str">
        <f>IFERROR(IF(#REF!="S",VLOOKUP('Raw Data'!A5554,References!#REF!,2,FALSE),(VLOOKUP($S5554,References!$B$3:$C$7,2,FALSE))),"")</f>
        <v/>
      </c>
      <c r="W5554" s="74" t="str">
        <f>IFERROR(VLOOKUP($O5554,'Customer List'!$A$1:$J$488,10,FALSE),"")</f>
        <v/>
      </c>
    </row>
    <row r="5555" spans="18:23">
      <c r="R5555" s="127">
        <f t="shared" si="249"/>
        <v>0</v>
      </c>
      <c r="T5555" s="128">
        <f t="shared" si="248"/>
        <v>0</v>
      </c>
      <c r="U5555" s="129" t="str">
        <f>IFERROR(IF(#REF!="S",VLOOKUP('Raw Data'!A5555,References!#REF!,2,FALSE),(VLOOKUP($S5555,References!$B$3:$C$7,2,FALSE))),"")</f>
        <v/>
      </c>
      <c r="W5555" s="74" t="str">
        <f>IFERROR(VLOOKUP($O5555,'Customer List'!$A$1:$J$488,10,FALSE),"")</f>
        <v/>
      </c>
    </row>
    <row r="5556" spans="18:23">
      <c r="R5556" s="127">
        <f t="shared" si="249"/>
        <v>0</v>
      </c>
      <c r="T5556" s="128">
        <f t="shared" si="248"/>
        <v>0</v>
      </c>
      <c r="U5556" s="129" t="str">
        <f>IFERROR(IF(#REF!="S",VLOOKUP('Raw Data'!A5556,References!#REF!,2,FALSE),(VLOOKUP($S5556,References!$B$3:$C$7,2,FALSE))),"")</f>
        <v/>
      </c>
      <c r="W5556" s="74" t="str">
        <f>IFERROR(VLOOKUP($O5556,'Customer List'!$A$1:$J$488,10,FALSE),"")</f>
        <v/>
      </c>
    </row>
    <row r="5557" spans="18:23">
      <c r="R5557" s="127">
        <f t="shared" si="249"/>
        <v>0</v>
      </c>
      <c r="T5557" s="128">
        <f t="shared" si="248"/>
        <v>0</v>
      </c>
      <c r="U5557" s="129" t="str">
        <f>IFERROR(IF(#REF!="S",VLOOKUP('Raw Data'!A5557,References!#REF!,2,FALSE),(VLOOKUP($S5557,References!$B$3:$C$7,2,FALSE))),"")</f>
        <v/>
      </c>
      <c r="W5557" s="74" t="str">
        <f>IFERROR(VLOOKUP($O5557,'Customer List'!$A$1:$J$488,10,FALSE),"")</f>
        <v/>
      </c>
    </row>
    <row r="5558" spans="18:23">
      <c r="R5558" s="127">
        <f t="shared" si="249"/>
        <v>0</v>
      </c>
      <c r="T5558" s="128">
        <f t="shared" si="248"/>
        <v>0</v>
      </c>
      <c r="U5558" s="129" t="str">
        <f>IFERROR(IF(#REF!="S",VLOOKUP('Raw Data'!A5558,References!#REF!,2,FALSE),(VLOOKUP($S5558,References!$B$3:$C$7,2,FALSE))),"")</f>
        <v/>
      </c>
      <c r="W5558" s="74" t="str">
        <f>IFERROR(VLOOKUP($O5558,'Customer List'!$A$1:$J$488,10,FALSE),"")</f>
        <v/>
      </c>
    </row>
    <row r="5559" spans="18:23">
      <c r="R5559" s="127">
        <f t="shared" si="249"/>
        <v>0</v>
      </c>
      <c r="T5559" s="128">
        <f t="shared" si="248"/>
        <v>0</v>
      </c>
      <c r="U5559" s="129" t="str">
        <f>IFERROR(IF(#REF!="S",VLOOKUP('Raw Data'!A5559,References!#REF!,2,FALSE),(VLOOKUP($S5559,References!$B$3:$C$7,2,FALSE))),"")</f>
        <v/>
      </c>
      <c r="W5559" s="74" t="str">
        <f>IFERROR(VLOOKUP($O5559,'Customer List'!$A$1:$J$488,10,FALSE),"")</f>
        <v/>
      </c>
    </row>
    <row r="5560" spans="18:23">
      <c r="R5560" s="127">
        <f t="shared" si="249"/>
        <v>0</v>
      </c>
      <c r="T5560" s="128">
        <f t="shared" si="248"/>
        <v>0</v>
      </c>
      <c r="U5560" s="129" t="str">
        <f>IFERROR(IF(#REF!="S",VLOOKUP('Raw Data'!A5560,References!#REF!,2,FALSE),(VLOOKUP($S5560,References!$B$3:$C$7,2,FALSE))),"")</f>
        <v/>
      </c>
      <c r="W5560" s="74" t="str">
        <f>IFERROR(VLOOKUP($O5560,'Customer List'!$A$1:$J$488,10,FALSE),"")</f>
        <v/>
      </c>
    </row>
    <row r="5561" spans="18:23">
      <c r="R5561" s="127">
        <f t="shared" si="249"/>
        <v>0</v>
      </c>
      <c r="T5561" s="128">
        <f t="shared" si="248"/>
        <v>0</v>
      </c>
      <c r="U5561" s="129" t="str">
        <f>IFERROR(IF(#REF!="S",VLOOKUP('Raw Data'!A5561,References!#REF!,2,FALSE),(VLOOKUP($S5561,References!$B$3:$C$7,2,FALSE))),"")</f>
        <v/>
      </c>
      <c r="W5561" s="74" t="str">
        <f>IFERROR(VLOOKUP($O5561,'Customer List'!$A$1:$J$488,10,FALSE),"")</f>
        <v/>
      </c>
    </row>
    <row r="5562" spans="18:23">
      <c r="R5562" s="127">
        <f t="shared" si="249"/>
        <v>0</v>
      </c>
      <c r="T5562" s="128">
        <f t="shared" si="248"/>
        <v>0</v>
      </c>
      <c r="U5562" s="129" t="str">
        <f>IFERROR(IF(#REF!="S",VLOOKUP('Raw Data'!A5562,References!#REF!,2,FALSE),(VLOOKUP($S5562,References!$B$3:$C$7,2,FALSE))),"")</f>
        <v/>
      </c>
      <c r="W5562" s="74" t="str">
        <f>IFERROR(VLOOKUP($O5562,'Customer List'!$A$1:$J$488,10,FALSE),"")</f>
        <v/>
      </c>
    </row>
    <row r="5563" spans="18:23">
      <c r="R5563" s="127">
        <f t="shared" si="249"/>
        <v>0</v>
      </c>
      <c r="T5563" s="128">
        <f t="shared" si="248"/>
        <v>0</v>
      </c>
      <c r="U5563" s="129" t="str">
        <f>IFERROR(IF(#REF!="S",VLOOKUP('Raw Data'!A5563,References!#REF!,2,FALSE),(VLOOKUP($S5563,References!$B$3:$C$7,2,FALSE))),"")</f>
        <v/>
      </c>
      <c r="W5563" s="74" t="str">
        <f>IFERROR(VLOOKUP($O5563,'Customer List'!$A$1:$J$488,10,FALSE),"")</f>
        <v/>
      </c>
    </row>
    <row r="5564" spans="18:23">
      <c r="R5564" s="127">
        <f t="shared" si="249"/>
        <v>0</v>
      </c>
      <c r="T5564" s="128">
        <f t="shared" si="248"/>
        <v>0</v>
      </c>
      <c r="U5564" s="129" t="str">
        <f>IFERROR(IF(#REF!="S",VLOOKUP('Raw Data'!A5564,References!#REF!,2,FALSE),(VLOOKUP($S5564,References!$B$3:$C$7,2,FALSE))),"")</f>
        <v/>
      </c>
      <c r="W5564" s="74" t="str">
        <f>IFERROR(VLOOKUP($O5564,'Customer List'!$A$1:$J$488,10,FALSE),"")</f>
        <v/>
      </c>
    </row>
    <row r="5565" spans="18:23">
      <c r="R5565" s="127">
        <f t="shared" si="249"/>
        <v>0</v>
      </c>
      <c r="T5565" s="128">
        <f t="shared" si="248"/>
        <v>0</v>
      </c>
      <c r="U5565" s="129" t="str">
        <f>IFERROR(IF(#REF!="S",VLOOKUP('Raw Data'!A5565,References!#REF!,2,FALSE),(VLOOKUP($S5565,References!$B$3:$C$7,2,FALSE))),"")</f>
        <v/>
      </c>
      <c r="W5565" s="74" t="str">
        <f>IFERROR(VLOOKUP($O5565,'Customer List'!$A$1:$J$488,10,FALSE),"")</f>
        <v/>
      </c>
    </row>
    <row r="5566" spans="18:23">
      <c r="R5566" s="127">
        <f t="shared" si="249"/>
        <v>0</v>
      </c>
      <c r="T5566" s="128">
        <f t="shared" si="248"/>
        <v>0</v>
      </c>
      <c r="U5566" s="129" t="str">
        <f>IFERROR(IF(#REF!="S",VLOOKUP('Raw Data'!A5566,References!#REF!,2,FALSE),(VLOOKUP($S5566,References!$B$3:$C$7,2,FALSE))),"")</f>
        <v/>
      </c>
      <c r="W5566" s="74" t="str">
        <f>IFERROR(VLOOKUP($O5566,'Customer List'!$A$1:$J$488,10,FALSE),"")</f>
        <v/>
      </c>
    </row>
    <row r="5567" spans="18:23">
      <c r="R5567" s="127">
        <f t="shared" si="249"/>
        <v>0</v>
      </c>
      <c r="T5567" s="128">
        <f t="shared" si="248"/>
        <v>0</v>
      </c>
      <c r="U5567" s="129" t="str">
        <f>IFERROR(IF(#REF!="S",VLOOKUP('Raw Data'!A5567,References!#REF!,2,FALSE),(VLOOKUP($S5567,References!$B$3:$C$7,2,FALSE))),"")</f>
        <v/>
      </c>
      <c r="W5567" s="74" t="str">
        <f>IFERROR(VLOOKUP($O5567,'Customer List'!$A$1:$J$488,10,FALSE),"")</f>
        <v/>
      </c>
    </row>
    <row r="5568" spans="18:23">
      <c r="R5568" s="127">
        <f t="shared" si="249"/>
        <v>0</v>
      </c>
      <c r="T5568" s="128">
        <f t="shared" si="248"/>
        <v>0</v>
      </c>
      <c r="U5568" s="129" t="str">
        <f>IFERROR(IF(#REF!="S",VLOOKUP('Raw Data'!A5568,References!#REF!,2,FALSE),(VLOOKUP($S5568,References!$B$3:$C$7,2,FALSE))),"")</f>
        <v/>
      </c>
      <c r="W5568" s="74" t="str">
        <f>IFERROR(VLOOKUP($O5568,'Customer List'!$A$1:$J$488,10,FALSE),"")</f>
        <v/>
      </c>
    </row>
    <row r="5569" spans="18:23">
      <c r="R5569" s="127">
        <f t="shared" si="249"/>
        <v>0</v>
      </c>
      <c r="T5569" s="128">
        <f t="shared" si="248"/>
        <v>0</v>
      </c>
      <c r="U5569" s="129" t="str">
        <f>IFERROR(IF(#REF!="S",VLOOKUP('Raw Data'!A5569,References!#REF!,2,FALSE),(VLOOKUP($S5569,References!$B$3:$C$7,2,FALSE))),"")</f>
        <v/>
      </c>
      <c r="W5569" s="74" t="str">
        <f>IFERROR(VLOOKUP($O5569,'Customer List'!$A$1:$J$488,10,FALSE),"")</f>
        <v/>
      </c>
    </row>
    <row r="5570" spans="18:23">
      <c r="R5570" s="127">
        <f t="shared" si="249"/>
        <v>0</v>
      </c>
      <c r="T5570" s="128">
        <f t="shared" si="248"/>
        <v>0</v>
      </c>
      <c r="U5570" s="129" t="str">
        <f>IFERROR(IF(#REF!="S",VLOOKUP('Raw Data'!A5570,References!#REF!,2,FALSE),(VLOOKUP($S5570,References!$B$3:$C$7,2,FALSE))),"")</f>
        <v/>
      </c>
      <c r="W5570" s="74" t="str">
        <f>IFERROR(VLOOKUP($O5570,'Customer List'!$A$1:$J$488,10,FALSE),"")</f>
        <v/>
      </c>
    </row>
    <row r="5571" spans="18:23">
      <c r="R5571" s="127">
        <f t="shared" si="249"/>
        <v>0</v>
      </c>
      <c r="T5571" s="128">
        <f t="shared" si="248"/>
        <v>0</v>
      </c>
      <c r="U5571" s="129" t="str">
        <f>IFERROR(IF(#REF!="S",VLOOKUP('Raw Data'!A5571,References!#REF!,2,FALSE),(VLOOKUP($S5571,References!$B$3:$C$7,2,FALSE))),"")</f>
        <v/>
      </c>
      <c r="W5571" s="74" t="str">
        <f>IFERROR(VLOOKUP($O5571,'Customer List'!$A$1:$J$488,10,FALSE),"")</f>
        <v/>
      </c>
    </row>
    <row r="5572" spans="18:23">
      <c r="R5572" s="127">
        <f t="shared" si="249"/>
        <v>0</v>
      </c>
      <c r="T5572" s="128">
        <f t="shared" si="248"/>
        <v>0</v>
      </c>
      <c r="U5572" s="129" t="str">
        <f>IFERROR(IF(#REF!="S",VLOOKUP('Raw Data'!A5572,References!#REF!,2,FALSE),(VLOOKUP($S5572,References!$B$3:$C$7,2,FALSE))),"")</f>
        <v/>
      </c>
      <c r="W5572" s="74" t="str">
        <f>IFERROR(VLOOKUP($O5572,'Customer List'!$A$1:$J$488,10,FALSE),"")</f>
        <v/>
      </c>
    </row>
    <row r="5573" spans="18:23">
      <c r="R5573" s="127">
        <f t="shared" si="249"/>
        <v>0</v>
      </c>
      <c r="T5573" s="128">
        <f t="shared" si="248"/>
        <v>0</v>
      </c>
      <c r="U5573" s="129" t="str">
        <f>IFERROR(IF(#REF!="S",VLOOKUP('Raw Data'!A5573,References!#REF!,2,FALSE),(VLOOKUP($S5573,References!$B$3:$C$7,2,FALSE))),"")</f>
        <v/>
      </c>
      <c r="W5573" s="74" t="str">
        <f>IFERROR(VLOOKUP($O5573,'Customer List'!$A$1:$J$488,10,FALSE),"")</f>
        <v/>
      </c>
    </row>
    <row r="5574" spans="18:23">
      <c r="R5574" s="127">
        <f t="shared" si="249"/>
        <v>0</v>
      </c>
      <c r="T5574" s="128">
        <f t="shared" si="248"/>
        <v>0</v>
      </c>
      <c r="U5574" s="129" t="str">
        <f>IFERROR(IF(#REF!="S",VLOOKUP('Raw Data'!A5574,References!#REF!,2,FALSE),(VLOOKUP($S5574,References!$B$3:$C$7,2,FALSE))),"")</f>
        <v/>
      </c>
      <c r="W5574" s="74" t="str">
        <f>IFERROR(VLOOKUP($O5574,'Customer List'!$A$1:$J$488,10,FALSE),"")</f>
        <v/>
      </c>
    </row>
    <row r="5575" spans="18:23">
      <c r="R5575" s="127">
        <f t="shared" si="249"/>
        <v>0</v>
      </c>
      <c r="T5575" s="128">
        <f t="shared" si="248"/>
        <v>0</v>
      </c>
      <c r="U5575" s="129" t="str">
        <f>IFERROR(IF(#REF!="S",VLOOKUP('Raw Data'!A5575,References!#REF!,2,FALSE),(VLOOKUP($S5575,References!$B$3:$C$7,2,FALSE))),"")</f>
        <v/>
      </c>
      <c r="W5575" s="74" t="str">
        <f>IFERROR(VLOOKUP($O5575,'Customer List'!$A$1:$J$488,10,FALSE),"")</f>
        <v/>
      </c>
    </row>
    <row r="5576" spans="18:23">
      <c r="R5576" s="127">
        <f t="shared" si="249"/>
        <v>0</v>
      </c>
      <c r="T5576" s="128">
        <f t="shared" si="248"/>
        <v>0</v>
      </c>
      <c r="U5576" s="129" t="str">
        <f>IFERROR(IF(#REF!="S",VLOOKUP('Raw Data'!A5576,References!#REF!,2,FALSE),(VLOOKUP($S5576,References!$B$3:$C$7,2,FALSE))),"")</f>
        <v/>
      </c>
      <c r="W5576" s="74" t="str">
        <f>IFERROR(VLOOKUP($O5576,'Customer List'!$A$1:$J$488,10,FALSE),"")</f>
        <v/>
      </c>
    </row>
    <row r="5577" spans="18:23">
      <c r="R5577" s="127">
        <f t="shared" si="249"/>
        <v>0</v>
      </c>
      <c r="T5577" s="128">
        <f t="shared" si="248"/>
        <v>0</v>
      </c>
      <c r="U5577" s="129" t="str">
        <f>IFERROR(IF(#REF!="S",VLOOKUP('Raw Data'!A5577,References!#REF!,2,FALSE),(VLOOKUP($S5577,References!$B$3:$C$7,2,FALSE))),"")</f>
        <v/>
      </c>
      <c r="W5577" s="74" t="str">
        <f>IFERROR(VLOOKUP($O5577,'Customer List'!$A$1:$J$488,10,FALSE),"")</f>
        <v/>
      </c>
    </row>
    <row r="5578" spans="18:23">
      <c r="R5578" s="127">
        <f t="shared" si="249"/>
        <v>0</v>
      </c>
      <c r="T5578" s="128">
        <f t="shared" ref="T5578:T5641" si="250">IF(S5578="50 - Cleaning Fee",1,HOUR($R5578)+MINUTE(R5578)/60)</f>
        <v>0</v>
      </c>
      <c r="U5578" s="129" t="str">
        <f>IFERROR(IF(#REF!="S",VLOOKUP('Raw Data'!A5578,References!#REF!,2,FALSE),(VLOOKUP($S5578,References!$B$3:$C$7,2,FALSE))),"")</f>
        <v/>
      </c>
      <c r="W5578" s="74" t="str">
        <f>IFERROR(VLOOKUP($O5578,'Customer List'!$A$1:$J$488,10,FALSE),"")</f>
        <v/>
      </c>
    </row>
    <row r="5579" spans="18:23">
      <c r="R5579" s="127">
        <f t="shared" si="249"/>
        <v>0</v>
      </c>
      <c r="T5579" s="128">
        <f t="shared" si="250"/>
        <v>0</v>
      </c>
      <c r="U5579" s="129" t="str">
        <f>IFERROR(IF(#REF!="S",VLOOKUP('Raw Data'!A5579,References!#REF!,2,FALSE),(VLOOKUP($S5579,References!$B$3:$C$7,2,FALSE))),"")</f>
        <v/>
      </c>
      <c r="W5579" s="74" t="str">
        <f>IFERROR(VLOOKUP($O5579,'Customer List'!$A$1:$J$488,10,FALSE),"")</f>
        <v/>
      </c>
    </row>
    <row r="5580" spans="18:23">
      <c r="R5580" s="127">
        <f t="shared" si="249"/>
        <v>0</v>
      </c>
      <c r="T5580" s="128">
        <f t="shared" si="250"/>
        <v>0</v>
      </c>
      <c r="U5580" s="129" t="str">
        <f>IFERROR(IF(#REF!="S",VLOOKUP('Raw Data'!A5580,References!#REF!,2,FALSE),(VLOOKUP($S5580,References!$B$3:$C$7,2,FALSE))),"")</f>
        <v/>
      </c>
      <c r="W5580" s="74" t="str">
        <f>IFERROR(VLOOKUP($O5580,'Customer List'!$A$1:$J$488,10,FALSE),"")</f>
        <v/>
      </c>
    </row>
    <row r="5581" spans="18:23">
      <c r="R5581" s="127">
        <f t="shared" si="249"/>
        <v>0</v>
      </c>
      <c r="T5581" s="128">
        <f t="shared" si="250"/>
        <v>0</v>
      </c>
      <c r="U5581" s="129" t="str">
        <f>IFERROR(IF(#REF!="S",VLOOKUP('Raw Data'!A5581,References!#REF!,2,FALSE),(VLOOKUP($S5581,References!$B$3:$C$7,2,FALSE))),"")</f>
        <v/>
      </c>
      <c r="W5581" s="74" t="str">
        <f>IFERROR(VLOOKUP($O5581,'Customer List'!$A$1:$J$488,10,FALSE),"")</f>
        <v/>
      </c>
    </row>
    <row r="5582" spans="18:23">
      <c r="R5582" s="127">
        <f t="shared" si="249"/>
        <v>0</v>
      </c>
      <c r="T5582" s="128">
        <f t="shared" si="250"/>
        <v>0</v>
      </c>
      <c r="U5582" s="129" t="str">
        <f>IFERROR(IF(#REF!="S",VLOOKUP('Raw Data'!A5582,References!#REF!,2,FALSE),(VLOOKUP($S5582,References!$B$3:$C$7,2,FALSE))),"")</f>
        <v/>
      </c>
      <c r="W5582" s="74" t="str">
        <f>IFERROR(VLOOKUP($O5582,'Customer List'!$A$1:$J$488,10,FALSE),"")</f>
        <v/>
      </c>
    </row>
    <row r="5583" spans="18:23">
      <c r="R5583" s="127">
        <f t="shared" si="249"/>
        <v>0</v>
      </c>
      <c r="T5583" s="128">
        <f t="shared" si="250"/>
        <v>0</v>
      </c>
      <c r="U5583" s="129" t="str">
        <f>IFERROR(IF(#REF!="S",VLOOKUP('Raw Data'!A5583,References!#REF!,2,FALSE),(VLOOKUP($S5583,References!$B$3:$C$7,2,FALSE))),"")</f>
        <v/>
      </c>
      <c r="W5583" s="74" t="str">
        <f>IFERROR(VLOOKUP($O5583,'Customer List'!$A$1:$J$488,10,FALSE),"")</f>
        <v/>
      </c>
    </row>
    <row r="5584" spans="18:23">
      <c r="R5584" s="127">
        <f t="shared" si="249"/>
        <v>0</v>
      </c>
      <c r="T5584" s="128">
        <f t="shared" si="250"/>
        <v>0</v>
      </c>
      <c r="U5584" s="129" t="str">
        <f>IFERROR(IF(#REF!="S",VLOOKUP('Raw Data'!A5584,References!#REF!,2,FALSE),(VLOOKUP($S5584,References!$B$3:$C$7,2,FALSE))),"")</f>
        <v/>
      </c>
      <c r="W5584" s="74" t="str">
        <f>IFERROR(VLOOKUP($O5584,'Customer List'!$A$1:$J$488,10,FALSE),"")</f>
        <v/>
      </c>
    </row>
    <row r="5585" spans="18:23">
      <c r="R5585" s="127">
        <f t="shared" si="249"/>
        <v>0</v>
      </c>
      <c r="T5585" s="128">
        <f t="shared" si="250"/>
        <v>0</v>
      </c>
      <c r="U5585" s="129" t="str">
        <f>IFERROR(IF(#REF!="S",VLOOKUP('Raw Data'!A5585,References!#REF!,2,FALSE),(VLOOKUP($S5585,References!$B$3:$C$7,2,FALSE))),"")</f>
        <v/>
      </c>
      <c r="W5585" s="74" t="str">
        <f>IFERROR(VLOOKUP($O5585,'Customer List'!$A$1:$J$488,10,FALSE),"")</f>
        <v/>
      </c>
    </row>
    <row r="5586" spans="18:23">
      <c r="R5586" s="127">
        <f t="shared" si="249"/>
        <v>0</v>
      </c>
      <c r="T5586" s="128">
        <f t="shared" si="250"/>
        <v>0</v>
      </c>
      <c r="U5586" s="129" t="str">
        <f>IFERROR(IF(#REF!="S",VLOOKUP('Raw Data'!A5586,References!#REF!,2,FALSE),(VLOOKUP($S5586,References!$B$3:$C$7,2,FALSE))),"")</f>
        <v/>
      </c>
      <c r="W5586" s="74" t="str">
        <f>IFERROR(VLOOKUP($O5586,'Customer List'!$A$1:$J$488,10,FALSE),"")</f>
        <v/>
      </c>
    </row>
    <row r="5587" spans="18:23">
      <c r="R5587" s="127">
        <f t="shared" si="249"/>
        <v>0</v>
      </c>
      <c r="T5587" s="128">
        <f t="shared" si="250"/>
        <v>0</v>
      </c>
      <c r="U5587" s="129" t="str">
        <f>IFERROR(IF(#REF!="S",VLOOKUP('Raw Data'!A5587,References!#REF!,2,FALSE),(VLOOKUP($S5587,References!$B$3:$C$7,2,FALSE))),"")</f>
        <v/>
      </c>
      <c r="W5587" s="74" t="str">
        <f>IFERROR(VLOOKUP($O5587,'Customer List'!$A$1:$J$488,10,FALSE),"")</f>
        <v/>
      </c>
    </row>
    <row r="5588" spans="18:23">
      <c r="R5588" s="127">
        <f t="shared" si="249"/>
        <v>0</v>
      </c>
      <c r="T5588" s="128">
        <f t="shared" si="250"/>
        <v>0</v>
      </c>
      <c r="U5588" s="129" t="str">
        <f>IFERROR(IF(#REF!="S",VLOOKUP('Raw Data'!A5588,References!#REF!,2,FALSE),(VLOOKUP($S5588,References!$B$3:$C$7,2,FALSE))),"")</f>
        <v/>
      </c>
      <c r="W5588" s="74" t="str">
        <f>IFERROR(VLOOKUP($O5588,'Customer List'!$A$1:$J$488,10,FALSE),"")</f>
        <v/>
      </c>
    </row>
    <row r="5589" spans="18:23">
      <c r="R5589" s="127">
        <f t="shared" si="249"/>
        <v>0</v>
      </c>
      <c r="T5589" s="128">
        <f t="shared" si="250"/>
        <v>0</v>
      </c>
      <c r="U5589" s="129" t="str">
        <f>IFERROR(IF(#REF!="S",VLOOKUP('Raw Data'!A5589,References!#REF!,2,FALSE),(VLOOKUP($S5589,References!$B$3:$C$7,2,FALSE))),"")</f>
        <v/>
      </c>
      <c r="W5589" s="74" t="str">
        <f>IFERROR(VLOOKUP($O5589,'Customer List'!$A$1:$J$488,10,FALSE),"")</f>
        <v/>
      </c>
    </row>
    <row r="5590" spans="18:23">
      <c r="R5590" s="127">
        <f t="shared" si="249"/>
        <v>0</v>
      </c>
      <c r="T5590" s="128">
        <f t="shared" si="250"/>
        <v>0</v>
      </c>
      <c r="U5590" s="129" t="str">
        <f>IFERROR(IF(#REF!="S",VLOOKUP('Raw Data'!A5590,References!#REF!,2,FALSE),(VLOOKUP($S5590,References!$B$3:$C$7,2,FALSE))),"")</f>
        <v/>
      </c>
      <c r="W5590" s="74" t="str">
        <f>IFERROR(VLOOKUP($O5590,'Customer List'!$A$1:$J$488,10,FALSE),"")</f>
        <v/>
      </c>
    </row>
    <row r="5591" spans="18:23">
      <c r="R5591" s="127">
        <f t="shared" si="249"/>
        <v>0</v>
      </c>
      <c r="T5591" s="128">
        <f t="shared" si="250"/>
        <v>0</v>
      </c>
      <c r="U5591" s="129" t="str">
        <f>IFERROR(IF(#REF!="S",VLOOKUP('Raw Data'!A5591,References!#REF!,2,FALSE),(VLOOKUP($S5591,References!$B$3:$C$7,2,FALSE))),"")</f>
        <v/>
      </c>
      <c r="W5591" s="74" t="str">
        <f>IFERROR(VLOOKUP($O5591,'Customer List'!$A$1:$J$488,10,FALSE),"")</f>
        <v/>
      </c>
    </row>
    <row r="5592" spans="18:23">
      <c r="R5592" s="127">
        <f t="shared" si="249"/>
        <v>0</v>
      </c>
      <c r="T5592" s="128">
        <f t="shared" si="250"/>
        <v>0</v>
      </c>
      <c r="U5592" s="129" t="str">
        <f>IFERROR(IF(#REF!="S",VLOOKUP('Raw Data'!A5592,References!#REF!,2,FALSE),(VLOOKUP($S5592,References!$B$3:$C$7,2,FALSE))),"")</f>
        <v/>
      </c>
      <c r="W5592" s="74" t="str">
        <f>IFERROR(VLOOKUP($O5592,'Customer List'!$A$1:$J$488,10,FALSE),"")</f>
        <v/>
      </c>
    </row>
    <row r="5593" spans="18:23">
      <c r="R5593" s="127">
        <f t="shared" si="249"/>
        <v>0</v>
      </c>
      <c r="T5593" s="128">
        <f t="shared" si="250"/>
        <v>0</v>
      </c>
      <c r="U5593" s="129" t="str">
        <f>IFERROR(IF(#REF!="S",VLOOKUP('Raw Data'!A5593,References!#REF!,2,FALSE),(VLOOKUP($S5593,References!$B$3:$C$7,2,FALSE))),"")</f>
        <v/>
      </c>
      <c r="W5593" s="74" t="str">
        <f>IFERROR(VLOOKUP($O5593,'Customer List'!$A$1:$J$488,10,FALSE),"")</f>
        <v/>
      </c>
    </row>
    <row r="5594" spans="18:23">
      <c r="R5594" s="127">
        <f t="shared" si="249"/>
        <v>0</v>
      </c>
      <c r="T5594" s="128">
        <f t="shared" si="250"/>
        <v>0</v>
      </c>
      <c r="U5594" s="129" t="str">
        <f>IFERROR(IF(#REF!="S",VLOOKUP('Raw Data'!A5594,References!#REF!,2,FALSE),(VLOOKUP($S5594,References!$B$3:$C$7,2,FALSE))),"")</f>
        <v/>
      </c>
      <c r="W5594" s="74" t="str">
        <f>IFERROR(VLOOKUP($O5594,'Customer List'!$A$1:$J$488,10,FALSE),"")</f>
        <v/>
      </c>
    </row>
    <row r="5595" spans="18:23">
      <c r="R5595" s="127">
        <f t="shared" si="249"/>
        <v>0</v>
      </c>
      <c r="T5595" s="128">
        <f t="shared" si="250"/>
        <v>0</v>
      </c>
      <c r="U5595" s="129" t="str">
        <f>IFERROR(IF(#REF!="S",VLOOKUP('Raw Data'!A5595,References!#REF!,2,FALSE),(VLOOKUP($S5595,References!$B$3:$C$7,2,FALSE))),"")</f>
        <v/>
      </c>
      <c r="W5595" s="74" t="str">
        <f>IFERROR(VLOOKUP($O5595,'Customer List'!$A$1:$J$488,10,FALSE),"")</f>
        <v/>
      </c>
    </row>
    <row r="5596" spans="18:23">
      <c r="R5596" s="127">
        <f t="shared" si="249"/>
        <v>0</v>
      </c>
      <c r="T5596" s="128">
        <f t="shared" si="250"/>
        <v>0</v>
      </c>
      <c r="U5596" s="129" t="str">
        <f>IFERROR(IF(#REF!="S",VLOOKUP('Raw Data'!A5596,References!#REF!,2,FALSE),(VLOOKUP($S5596,References!$B$3:$C$7,2,FALSE))),"")</f>
        <v/>
      </c>
      <c r="W5596" s="74" t="str">
        <f>IFERROR(VLOOKUP($O5596,'Customer List'!$A$1:$J$488,10,FALSE),"")</f>
        <v/>
      </c>
    </row>
    <row r="5597" spans="18:23">
      <c r="R5597" s="127">
        <f t="shared" si="249"/>
        <v>0</v>
      </c>
      <c r="T5597" s="128">
        <f t="shared" si="250"/>
        <v>0</v>
      </c>
      <c r="U5597" s="129" t="str">
        <f>IFERROR(IF(#REF!="S",VLOOKUP('Raw Data'!A5597,References!#REF!,2,FALSE),(VLOOKUP($S5597,References!$B$3:$C$7,2,FALSE))),"")</f>
        <v/>
      </c>
      <c r="W5597" s="74" t="str">
        <f>IFERROR(VLOOKUP($O5597,'Customer List'!$A$1:$J$488,10,FALSE),"")</f>
        <v/>
      </c>
    </row>
    <row r="5598" spans="18:23">
      <c r="R5598" s="127">
        <f t="shared" si="249"/>
        <v>0</v>
      </c>
      <c r="T5598" s="128">
        <f t="shared" si="250"/>
        <v>0</v>
      </c>
      <c r="U5598" s="129" t="str">
        <f>IFERROR(IF(#REF!="S",VLOOKUP('Raw Data'!A5598,References!#REF!,2,FALSE),(VLOOKUP($S5598,References!$B$3:$C$7,2,FALSE))),"")</f>
        <v/>
      </c>
      <c r="W5598" s="74" t="str">
        <f>IFERROR(VLOOKUP($O5598,'Customer List'!$A$1:$J$488,10,FALSE),"")</f>
        <v/>
      </c>
    </row>
    <row r="5599" spans="18:23">
      <c r="R5599" s="127">
        <f t="shared" si="249"/>
        <v>0</v>
      </c>
      <c r="T5599" s="128">
        <f t="shared" si="250"/>
        <v>0</v>
      </c>
      <c r="U5599" s="129" t="str">
        <f>IFERROR(IF(#REF!="S",VLOOKUP('Raw Data'!A5599,References!#REF!,2,FALSE),(VLOOKUP($S5599,References!$B$3:$C$7,2,FALSE))),"")</f>
        <v/>
      </c>
      <c r="W5599" s="74" t="str">
        <f>IFERROR(VLOOKUP($O5599,'Customer List'!$A$1:$J$488,10,FALSE),"")</f>
        <v/>
      </c>
    </row>
    <row r="5600" spans="18:23">
      <c r="R5600" s="127">
        <f t="shared" si="249"/>
        <v>0</v>
      </c>
      <c r="T5600" s="128">
        <f t="shared" si="250"/>
        <v>0</v>
      </c>
      <c r="U5600" s="129" t="str">
        <f>IFERROR(IF(#REF!="S",VLOOKUP('Raw Data'!A5600,References!#REF!,2,FALSE),(VLOOKUP($S5600,References!$B$3:$C$7,2,FALSE))),"")</f>
        <v/>
      </c>
      <c r="W5600" s="74" t="str">
        <f>IFERROR(VLOOKUP($O5600,'Customer List'!$A$1:$J$488,10,FALSE),"")</f>
        <v/>
      </c>
    </row>
    <row r="5601" spans="18:23">
      <c r="R5601" s="127">
        <f t="shared" si="249"/>
        <v>0</v>
      </c>
      <c r="T5601" s="128">
        <f t="shared" si="250"/>
        <v>0</v>
      </c>
      <c r="U5601" s="129" t="str">
        <f>IFERROR(IF(#REF!="S",VLOOKUP('Raw Data'!A5601,References!#REF!,2,FALSE),(VLOOKUP($S5601,References!$B$3:$C$7,2,FALSE))),"")</f>
        <v/>
      </c>
      <c r="W5601" s="74" t="str">
        <f>IFERROR(VLOOKUP($O5601,'Customer List'!$A$1:$J$488,10,FALSE),"")</f>
        <v/>
      </c>
    </row>
    <row r="5602" spans="18:23">
      <c r="R5602" s="127">
        <f t="shared" ref="R5602:R5665" si="251">L5602-K5602</f>
        <v>0</v>
      </c>
      <c r="T5602" s="128">
        <f t="shared" si="250"/>
        <v>0</v>
      </c>
      <c r="U5602" s="129" t="str">
        <f>IFERROR(IF(#REF!="S",VLOOKUP('Raw Data'!A5602,References!#REF!,2,FALSE),(VLOOKUP($S5602,References!$B$3:$C$7,2,FALSE))),"")</f>
        <v/>
      </c>
      <c r="W5602" s="74" t="str">
        <f>IFERROR(VLOOKUP($O5602,'Customer List'!$A$1:$J$488,10,FALSE),"")</f>
        <v/>
      </c>
    </row>
    <row r="5603" spans="18:23">
      <c r="R5603" s="127">
        <f t="shared" si="251"/>
        <v>0</v>
      </c>
      <c r="T5603" s="128">
        <f t="shared" si="250"/>
        <v>0</v>
      </c>
      <c r="U5603" s="129" t="str">
        <f>IFERROR(IF(#REF!="S",VLOOKUP('Raw Data'!A5603,References!#REF!,2,FALSE),(VLOOKUP($S5603,References!$B$3:$C$7,2,FALSE))),"")</f>
        <v/>
      </c>
      <c r="W5603" s="74" t="str">
        <f>IFERROR(VLOOKUP($O5603,'Customer List'!$A$1:$J$488,10,FALSE),"")</f>
        <v/>
      </c>
    </row>
    <row r="5604" spans="18:23">
      <c r="R5604" s="127">
        <f t="shared" si="251"/>
        <v>0</v>
      </c>
      <c r="T5604" s="128">
        <f t="shared" si="250"/>
        <v>0</v>
      </c>
      <c r="U5604" s="129" t="str">
        <f>IFERROR(IF(#REF!="S",VLOOKUP('Raw Data'!A5604,References!#REF!,2,FALSE),(VLOOKUP($S5604,References!$B$3:$C$7,2,FALSE))),"")</f>
        <v/>
      </c>
      <c r="W5604" s="74" t="str">
        <f>IFERROR(VLOOKUP($O5604,'Customer List'!$A$1:$J$488,10,FALSE),"")</f>
        <v/>
      </c>
    </row>
    <row r="5605" spans="18:23">
      <c r="R5605" s="127">
        <f t="shared" si="251"/>
        <v>0</v>
      </c>
      <c r="T5605" s="128">
        <f t="shared" si="250"/>
        <v>0</v>
      </c>
      <c r="U5605" s="129" t="str">
        <f>IFERROR(IF(#REF!="S",VLOOKUP('Raw Data'!A5605,References!#REF!,2,FALSE),(VLOOKUP($S5605,References!$B$3:$C$7,2,FALSE))),"")</f>
        <v/>
      </c>
      <c r="W5605" s="74" t="str">
        <f>IFERROR(VLOOKUP($O5605,'Customer List'!$A$1:$J$488,10,FALSE),"")</f>
        <v/>
      </c>
    </row>
    <row r="5606" spans="18:23">
      <c r="R5606" s="127">
        <f t="shared" si="251"/>
        <v>0</v>
      </c>
      <c r="T5606" s="128">
        <f t="shared" si="250"/>
        <v>0</v>
      </c>
      <c r="U5606" s="129" t="str">
        <f>IFERROR(IF(#REF!="S",VLOOKUP('Raw Data'!A5606,References!#REF!,2,FALSE),(VLOOKUP($S5606,References!$B$3:$C$7,2,FALSE))),"")</f>
        <v/>
      </c>
      <c r="W5606" s="74" t="str">
        <f>IFERROR(VLOOKUP($O5606,'Customer List'!$A$1:$J$488,10,FALSE),"")</f>
        <v/>
      </c>
    </row>
    <row r="5607" spans="18:23">
      <c r="R5607" s="127">
        <f t="shared" si="251"/>
        <v>0</v>
      </c>
      <c r="T5607" s="128">
        <f t="shared" si="250"/>
        <v>0</v>
      </c>
      <c r="U5607" s="129" t="str">
        <f>IFERROR(IF(#REF!="S",VLOOKUP('Raw Data'!A5607,References!#REF!,2,FALSE),(VLOOKUP($S5607,References!$B$3:$C$7,2,FALSE))),"")</f>
        <v/>
      </c>
      <c r="W5607" s="74" t="str">
        <f>IFERROR(VLOOKUP($O5607,'Customer List'!$A$1:$J$488,10,FALSE),"")</f>
        <v/>
      </c>
    </row>
    <row r="5608" spans="18:23">
      <c r="R5608" s="127">
        <f t="shared" si="251"/>
        <v>0</v>
      </c>
      <c r="T5608" s="128">
        <f t="shared" si="250"/>
        <v>0</v>
      </c>
      <c r="U5608" s="129" t="str">
        <f>IFERROR(IF(#REF!="S",VLOOKUP('Raw Data'!A5608,References!#REF!,2,FALSE),(VLOOKUP($S5608,References!$B$3:$C$7,2,FALSE))),"")</f>
        <v/>
      </c>
      <c r="W5608" s="74" t="str">
        <f>IFERROR(VLOOKUP($O5608,'Customer List'!$A$1:$J$488,10,FALSE),"")</f>
        <v/>
      </c>
    </row>
    <row r="5609" spans="18:23">
      <c r="R5609" s="127">
        <f t="shared" si="251"/>
        <v>0</v>
      </c>
      <c r="T5609" s="128">
        <f t="shared" si="250"/>
        <v>0</v>
      </c>
      <c r="U5609" s="129" t="str">
        <f>IFERROR(IF(#REF!="S",VLOOKUP('Raw Data'!A5609,References!#REF!,2,FALSE),(VLOOKUP($S5609,References!$B$3:$C$7,2,FALSE))),"")</f>
        <v/>
      </c>
      <c r="W5609" s="74" t="str">
        <f>IFERROR(VLOOKUP($O5609,'Customer List'!$A$1:$J$488,10,FALSE),"")</f>
        <v/>
      </c>
    </row>
    <row r="5610" spans="18:23">
      <c r="R5610" s="127">
        <f t="shared" si="251"/>
        <v>0</v>
      </c>
      <c r="T5610" s="128">
        <f t="shared" si="250"/>
        <v>0</v>
      </c>
      <c r="U5610" s="129" t="str">
        <f>IFERROR(IF(#REF!="S",VLOOKUP('Raw Data'!A5610,References!#REF!,2,FALSE),(VLOOKUP($S5610,References!$B$3:$C$7,2,FALSE))),"")</f>
        <v/>
      </c>
      <c r="W5610" s="74" t="str">
        <f>IFERROR(VLOOKUP($O5610,'Customer List'!$A$1:$J$488,10,FALSE),"")</f>
        <v/>
      </c>
    </row>
    <row r="5611" spans="18:23">
      <c r="R5611" s="127">
        <f t="shared" si="251"/>
        <v>0</v>
      </c>
      <c r="T5611" s="128">
        <f t="shared" si="250"/>
        <v>0</v>
      </c>
      <c r="U5611" s="129" t="str">
        <f>IFERROR(IF(#REF!="S",VLOOKUP('Raw Data'!A5611,References!#REF!,2,FALSE),(VLOOKUP($S5611,References!$B$3:$C$7,2,FALSE))),"")</f>
        <v/>
      </c>
      <c r="W5611" s="74" t="str">
        <f>IFERROR(VLOOKUP($O5611,'Customer List'!$A$1:$J$488,10,FALSE),"")</f>
        <v/>
      </c>
    </row>
    <row r="5612" spans="18:23">
      <c r="R5612" s="127">
        <f t="shared" si="251"/>
        <v>0</v>
      </c>
      <c r="T5612" s="128">
        <f t="shared" si="250"/>
        <v>0</v>
      </c>
      <c r="U5612" s="129" t="str">
        <f>IFERROR(IF(#REF!="S",VLOOKUP('Raw Data'!A5612,References!#REF!,2,FALSE),(VLOOKUP($S5612,References!$B$3:$C$7,2,FALSE))),"")</f>
        <v/>
      </c>
      <c r="W5612" s="74" t="str">
        <f>IFERROR(VLOOKUP($O5612,'Customer List'!$A$1:$J$488,10,FALSE),"")</f>
        <v/>
      </c>
    </row>
    <row r="5613" spans="18:23">
      <c r="R5613" s="127">
        <f t="shared" si="251"/>
        <v>0</v>
      </c>
      <c r="T5613" s="128">
        <f t="shared" si="250"/>
        <v>0</v>
      </c>
      <c r="U5613" s="129" t="str">
        <f>IFERROR(IF(#REF!="S",VLOOKUP('Raw Data'!A5613,References!#REF!,2,FALSE),(VLOOKUP($S5613,References!$B$3:$C$7,2,FALSE))),"")</f>
        <v/>
      </c>
      <c r="W5613" s="74" t="str">
        <f>IFERROR(VLOOKUP($O5613,'Customer List'!$A$1:$J$488,10,FALSE),"")</f>
        <v/>
      </c>
    </row>
    <row r="5614" spans="18:23">
      <c r="R5614" s="127">
        <f t="shared" si="251"/>
        <v>0</v>
      </c>
      <c r="T5614" s="128">
        <f t="shared" si="250"/>
        <v>0</v>
      </c>
      <c r="U5614" s="129" t="str">
        <f>IFERROR(IF(#REF!="S",VLOOKUP('Raw Data'!A5614,References!#REF!,2,FALSE),(VLOOKUP($S5614,References!$B$3:$C$7,2,FALSE))),"")</f>
        <v/>
      </c>
      <c r="W5614" s="74" t="str">
        <f>IFERROR(VLOOKUP($O5614,'Customer List'!$A$1:$J$488,10,FALSE),"")</f>
        <v/>
      </c>
    </row>
    <row r="5615" spans="18:23">
      <c r="R5615" s="127">
        <f t="shared" si="251"/>
        <v>0</v>
      </c>
      <c r="T5615" s="128">
        <f t="shared" si="250"/>
        <v>0</v>
      </c>
      <c r="U5615" s="129" t="str">
        <f>IFERROR(IF(#REF!="S",VLOOKUP('Raw Data'!A5615,References!#REF!,2,FALSE),(VLOOKUP($S5615,References!$B$3:$C$7,2,FALSE))),"")</f>
        <v/>
      </c>
      <c r="W5615" s="74" t="str">
        <f>IFERROR(VLOOKUP($O5615,'Customer List'!$A$1:$J$488,10,FALSE),"")</f>
        <v/>
      </c>
    </row>
    <row r="5616" spans="18:23">
      <c r="R5616" s="127">
        <f t="shared" si="251"/>
        <v>0</v>
      </c>
      <c r="T5616" s="128">
        <f t="shared" si="250"/>
        <v>0</v>
      </c>
      <c r="U5616" s="129" t="str">
        <f>IFERROR(IF(#REF!="S",VLOOKUP('Raw Data'!A5616,References!#REF!,2,FALSE),(VLOOKUP($S5616,References!$B$3:$C$7,2,FALSE))),"")</f>
        <v/>
      </c>
      <c r="W5616" s="74" t="str">
        <f>IFERROR(VLOOKUP($O5616,'Customer List'!$A$1:$J$488,10,FALSE),"")</f>
        <v/>
      </c>
    </row>
    <row r="5617" spans="18:23">
      <c r="R5617" s="127">
        <f t="shared" si="251"/>
        <v>0</v>
      </c>
      <c r="T5617" s="128">
        <f t="shared" si="250"/>
        <v>0</v>
      </c>
      <c r="U5617" s="129" t="str">
        <f>IFERROR(IF(#REF!="S",VLOOKUP('Raw Data'!A5617,References!#REF!,2,FALSE),(VLOOKUP($S5617,References!$B$3:$C$7,2,FALSE))),"")</f>
        <v/>
      </c>
      <c r="W5617" s="74" t="str">
        <f>IFERROR(VLOOKUP($O5617,'Customer List'!$A$1:$J$488,10,FALSE),"")</f>
        <v/>
      </c>
    </row>
    <row r="5618" spans="18:23">
      <c r="R5618" s="127">
        <f t="shared" si="251"/>
        <v>0</v>
      </c>
      <c r="T5618" s="128">
        <f t="shared" si="250"/>
        <v>0</v>
      </c>
      <c r="U5618" s="129" t="str">
        <f>IFERROR(IF(#REF!="S",VLOOKUP('Raw Data'!A5618,References!#REF!,2,FALSE),(VLOOKUP($S5618,References!$B$3:$C$7,2,FALSE))),"")</f>
        <v/>
      </c>
      <c r="W5618" s="74" t="str">
        <f>IFERROR(VLOOKUP($O5618,'Customer List'!$A$1:$J$488,10,FALSE),"")</f>
        <v/>
      </c>
    </row>
    <row r="5619" spans="18:23">
      <c r="R5619" s="127">
        <f t="shared" si="251"/>
        <v>0</v>
      </c>
      <c r="T5619" s="128">
        <f t="shared" si="250"/>
        <v>0</v>
      </c>
      <c r="U5619" s="129" t="str">
        <f>IFERROR(IF(#REF!="S",VLOOKUP('Raw Data'!A5619,References!#REF!,2,FALSE),(VLOOKUP($S5619,References!$B$3:$C$7,2,FALSE))),"")</f>
        <v/>
      </c>
      <c r="W5619" s="74" t="str">
        <f>IFERROR(VLOOKUP($O5619,'Customer List'!$A$1:$J$488,10,FALSE),"")</f>
        <v/>
      </c>
    </row>
    <row r="5620" spans="18:23">
      <c r="R5620" s="127">
        <f t="shared" si="251"/>
        <v>0</v>
      </c>
      <c r="T5620" s="128">
        <f t="shared" si="250"/>
        <v>0</v>
      </c>
      <c r="U5620" s="129" t="str">
        <f>IFERROR(IF(#REF!="S",VLOOKUP('Raw Data'!A5620,References!#REF!,2,FALSE),(VLOOKUP($S5620,References!$B$3:$C$7,2,FALSE))),"")</f>
        <v/>
      </c>
      <c r="W5620" s="74" t="str">
        <f>IFERROR(VLOOKUP($O5620,'Customer List'!$A$1:$J$488,10,FALSE),"")</f>
        <v/>
      </c>
    </row>
    <row r="5621" spans="18:23">
      <c r="R5621" s="127">
        <f t="shared" si="251"/>
        <v>0</v>
      </c>
      <c r="T5621" s="128">
        <f t="shared" si="250"/>
        <v>0</v>
      </c>
      <c r="U5621" s="129" t="str">
        <f>IFERROR(IF(#REF!="S",VLOOKUP('Raw Data'!A5621,References!#REF!,2,FALSE),(VLOOKUP($S5621,References!$B$3:$C$7,2,FALSE))),"")</f>
        <v/>
      </c>
      <c r="W5621" s="74" t="str">
        <f>IFERROR(VLOOKUP($O5621,'Customer List'!$A$1:$J$488,10,FALSE),"")</f>
        <v/>
      </c>
    </row>
    <row r="5622" spans="18:23">
      <c r="R5622" s="127">
        <f t="shared" si="251"/>
        <v>0</v>
      </c>
      <c r="T5622" s="128">
        <f t="shared" si="250"/>
        <v>0</v>
      </c>
      <c r="U5622" s="129" t="str">
        <f>IFERROR(IF(#REF!="S",VLOOKUP('Raw Data'!A5622,References!#REF!,2,FALSE),(VLOOKUP($S5622,References!$B$3:$C$7,2,FALSE))),"")</f>
        <v/>
      </c>
      <c r="W5622" s="74" t="str">
        <f>IFERROR(VLOOKUP($O5622,'Customer List'!$A$1:$J$488,10,FALSE),"")</f>
        <v/>
      </c>
    </row>
    <row r="5623" spans="18:23">
      <c r="R5623" s="127">
        <f t="shared" si="251"/>
        <v>0</v>
      </c>
      <c r="T5623" s="128">
        <f t="shared" si="250"/>
        <v>0</v>
      </c>
      <c r="U5623" s="129" t="str">
        <f>IFERROR(IF(#REF!="S",VLOOKUP('Raw Data'!A5623,References!#REF!,2,FALSE),(VLOOKUP($S5623,References!$B$3:$C$7,2,FALSE))),"")</f>
        <v/>
      </c>
      <c r="W5623" s="74" t="str">
        <f>IFERROR(VLOOKUP($O5623,'Customer List'!$A$1:$J$488,10,FALSE),"")</f>
        <v/>
      </c>
    </row>
    <row r="5624" spans="18:23">
      <c r="R5624" s="127">
        <f t="shared" si="251"/>
        <v>0</v>
      </c>
      <c r="T5624" s="128">
        <f t="shared" si="250"/>
        <v>0</v>
      </c>
      <c r="U5624" s="129" t="str">
        <f>IFERROR(IF(#REF!="S",VLOOKUP('Raw Data'!A5624,References!#REF!,2,FALSE),(VLOOKUP($S5624,References!$B$3:$C$7,2,FALSE))),"")</f>
        <v/>
      </c>
      <c r="W5624" s="74" t="str">
        <f>IFERROR(VLOOKUP($O5624,'Customer List'!$A$1:$J$488,10,FALSE),"")</f>
        <v/>
      </c>
    </row>
    <row r="5625" spans="18:23">
      <c r="R5625" s="127">
        <f t="shared" si="251"/>
        <v>0</v>
      </c>
      <c r="T5625" s="128">
        <f t="shared" si="250"/>
        <v>0</v>
      </c>
      <c r="U5625" s="129" t="str">
        <f>IFERROR(IF(#REF!="S",VLOOKUP('Raw Data'!A5625,References!#REF!,2,FALSE),(VLOOKUP($S5625,References!$B$3:$C$7,2,FALSE))),"")</f>
        <v/>
      </c>
      <c r="W5625" s="74" t="str">
        <f>IFERROR(VLOOKUP($O5625,'Customer List'!$A$1:$J$488,10,FALSE),"")</f>
        <v/>
      </c>
    </row>
    <row r="5626" spans="18:23">
      <c r="R5626" s="127">
        <f t="shared" si="251"/>
        <v>0</v>
      </c>
      <c r="T5626" s="128">
        <f t="shared" si="250"/>
        <v>0</v>
      </c>
      <c r="U5626" s="129" t="str">
        <f>IFERROR(IF(#REF!="S",VLOOKUP('Raw Data'!A5626,References!#REF!,2,FALSE),(VLOOKUP($S5626,References!$B$3:$C$7,2,FALSE))),"")</f>
        <v/>
      </c>
      <c r="W5626" s="74" t="str">
        <f>IFERROR(VLOOKUP($O5626,'Customer List'!$A$1:$J$488,10,FALSE),"")</f>
        <v/>
      </c>
    </row>
    <row r="5627" spans="18:23">
      <c r="R5627" s="127">
        <f t="shared" si="251"/>
        <v>0</v>
      </c>
      <c r="T5627" s="128">
        <f t="shared" si="250"/>
        <v>0</v>
      </c>
      <c r="U5627" s="129" t="str">
        <f>IFERROR(IF(#REF!="S",VLOOKUP('Raw Data'!A5627,References!#REF!,2,FALSE),(VLOOKUP($S5627,References!$B$3:$C$7,2,FALSE))),"")</f>
        <v/>
      </c>
      <c r="W5627" s="74" t="str">
        <f>IFERROR(VLOOKUP($O5627,'Customer List'!$A$1:$J$488,10,FALSE),"")</f>
        <v/>
      </c>
    </row>
    <row r="5628" spans="18:23">
      <c r="R5628" s="127">
        <f t="shared" si="251"/>
        <v>0</v>
      </c>
      <c r="T5628" s="128">
        <f t="shared" si="250"/>
        <v>0</v>
      </c>
      <c r="U5628" s="129" t="str">
        <f>IFERROR(IF(#REF!="S",VLOOKUP('Raw Data'!A5628,References!#REF!,2,FALSE),(VLOOKUP($S5628,References!$B$3:$C$7,2,FALSE))),"")</f>
        <v/>
      </c>
      <c r="W5628" s="74" t="str">
        <f>IFERROR(VLOOKUP($O5628,'Customer List'!$A$1:$J$488,10,FALSE),"")</f>
        <v/>
      </c>
    </row>
    <row r="5629" spans="18:23">
      <c r="R5629" s="127">
        <f t="shared" si="251"/>
        <v>0</v>
      </c>
      <c r="T5629" s="128">
        <f t="shared" si="250"/>
        <v>0</v>
      </c>
      <c r="U5629" s="129" t="str">
        <f>IFERROR(IF(#REF!="S",VLOOKUP('Raw Data'!A5629,References!#REF!,2,FALSE),(VLOOKUP($S5629,References!$B$3:$C$7,2,FALSE))),"")</f>
        <v/>
      </c>
      <c r="W5629" s="74" t="str">
        <f>IFERROR(VLOOKUP($O5629,'Customer List'!$A$1:$J$488,10,FALSE),"")</f>
        <v/>
      </c>
    </row>
    <row r="5630" spans="18:23">
      <c r="R5630" s="127">
        <f t="shared" si="251"/>
        <v>0</v>
      </c>
      <c r="T5630" s="128">
        <f t="shared" si="250"/>
        <v>0</v>
      </c>
      <c r="U5630" s="129" t="str">
        <f>IFERROR(IF(#REF!="S",VLOOKUP('Raw Data'!A5630,References!#REF!,2,FALSE),(VLOOKUP($S5630,References!$B$3:$C$7,2,FALSE))),"")</f>
        <v/>
      </c>
      <c r="W5630" s="74" t="str">
        <f>IFERROR(VLOOKUP($O5630,'Customer List'!$A$1:$J$488,10,FALSE),"")</f>
        <v/>
      </c>
    </row>
    <row r="5631" spans="18:23">
      <c r="R5631" s="127">
        <f t="shared" si="251"/>
        <v>0</v>
      </c>
      <c r="T5631" s="128">
        <f t="shared" si="250"/>
        <v>0</v>
      </c>
      <c r="U5631" s="129" t="str">
        <f>IFERROR(IF(#REF!="S",VLOOKUP('Raw Data'!A5631,References!#REF!,2,FALSE),(VLOOKUP($S5631,References!$B$3:$C$7,2,FALSE))),"")</f>
        <v/>
      </c>
      <c r="W5631" s="74" t="str">
        <f>IFERROR(VLOOKUP($O5631,'Customer List'!$A$1:$J$488,10,FALSE),"")</f>
        <v/>
      </c>
    </row>
    <row r="5632" spans="18:23">
      <c r="R5632" s="127">
        <f t="shared" si="251"/>
        <v>0</v>
      </c>
      <c r="T5632" s="128">
        <f t="shared" si="250"/>
        <v>0</v>
      </c>
      <c r="U5632" s="129" t="str">
        <f>IFERROR(IF(#REF!="S",VLOOKUP('Raw Data'!A5632,References!#REF!,2,FALSE),(VLOOKUP($S5632,References!$B$3:$C$7,2,FALSE))),"")</f>
        <v/>
      </c>
      <c r="W5632" s="74" t="str">
        <f>IFERROR(VLOOKUP($O5632,'Customer List'!$A$1:$J$488,10,FALSE),"")</f>
        <v/>
      </c>
    </row>
    <row r="5633" spans="18:23">
      <c r="R5633" s="127">
        <f t="shared" si="251"/>
        <v>0</v>
      </c>
      <c r="T5633" s="128">
        <f t="shared" si="250"/>
        <v>0</v>
      </c>
      <c r="U5633" s="129" t="str">
        <f>IFERROR(IF(#REF!="S",VLOOKUP('Raw Data'!A5633,References!#REF!,2,FALSE),(VLOOKUP($S5633,References!$B$3:$C$7,2,FALSE))),"")</f>
        <v/>
      </c>
      <c r="W5633" s="74" t="str">
        <f>IFERROR(VLOOKUP($O5633,'Customer List'!$A$1:$J$488,10,FALSE),"")</f>
        <v/>
      </c>
    </row>
    <row r="5634" spans="18:23">
      <c r="R5634" s="127">
        <f t="shared" si="251"/>
        <v>0</v>
      </c>
      <c r="T5634" s="128">
        <f t="shared" si="250"/>
        <v>0</v>
      </c>
      <c r="U5634" s="129" t="str">
        <f>IFERROR(IF(#REF!="S",VLOOKUP('Raw Data'!A5634,References!#REF!,2,FALSE),(VLOOKUP($S5634,References!$B$3:$C$7,2,FALSE))),"")</f>
        <v/>
      </c>
      <c r="W5634" s="74" t="str">
        <f>IFERROR(VLOOKUP($O5634,'Customer List'!$A$1:$J$488,10,FALSE),"")</f>
        <v/>
      </c>
    </row>
    <row r="5635" spans="18:23">
      <c r="R5635" s="127">
        <f t="shared" si="251"/>
        <v>0</v>
      </c>
      <c r="T5635" s="128">
        <f t="shared" si="250"/>
        <v>0</v>
      </c>
      <c r="U5635" s="129" t="str">
        <f>IFERROR(IF(#REF!="S",VLOOKUP('Raw Data'!A5635,References!#REF!,2,FALSE),(VLOOKUP($S5635,References!$B$3:$C$7,2,FALSE))),"")</f>
        <v/>
      </c>
      <c r="W5635" s="74" t="str">
        <f>IFERROR(VLOOKUP($O5635,'Customer List'!$A$1:$J$488,10,FALSE),"")</f>
        <v/>
      </c>
    </row>
    <row r="5636" spans="18:23">
      <c r="R5636" s="127">
        <f t="shared" si="251"/>
        <v>0</v>
      </c>
      <c r="T5636" s="128">
        <f t="shared" si="250"/>
        <v>0</v>
      </c>
      <c r="U5636" s="129" t="str">
        <f>IFERROR(IF(#REF!="S",VLOOKUP('Raw Data'!A5636,References!#REF!,2,FALSE),(VLOOKUP($S5636,References!$B$3:$C$7,2,FALSE))),"")</f>
        <v/>
      </c>
      <c r="W5636" s="74" t="str">
        <f>IFERROR(VLOOKUP($O5636,'Customer List'!$A$1:$J$488,10,FALSE),"")</f>
        <v/>
      </c>
    </row>
    <row r="5637" spans="18:23">
      <c r="R5637" s="127">
        <f t="shared" si="251"/>
        <v>0</v>
      </c>
      <c r="T5637" s="128">
        <f t="shared" si="250"/>
        <v>0</v>
      </c>
      <c r="U5637" s="129" t="str">
        <f>IFERROR(IF(#REF!="S",VLOOKUP('Raw Data'!A5637,References!#REF!,2,FALSE),(VLOOKUP($S5637,References!$B$3:$C$7,2,FALSE))),"")</f>
        <v/>
      </c>
      <c r="W5637" s="74" t="str">
        <f>IFERROR(VLOOKUP($O5637,'Customer List'!$A$1:$J$488,10,FALSE),"")</f>
        <v/>
      </c>
    </row>
    <row r="5638" spans="18:23">
      <c r="R5638" s="127">
        <f t="shared" si="251"/>
        <v>0</v>
      </c>
      <c r="T5638" s="128">
        <f t="shared" si="250"/>
        <v>0</v>
      </c>
      <c r="U5638" s="129" t="str">
        <f>IFERROR(IF(#REF!="S",VLOOKUP('Raw Data'!A5638,References!#REF!,2,FALSE),(VLOOKUP($S5638,References!$B$3:$C$7,2,FALSE))),"")</f>
        <v/>
      </c>
      <c r="W5638" s="74" t="str">
        <f>IFERROR(VLOOKUP($O5638,'Customer List'!$A$1:$J$488,10,FALSE),"")</f>
        <v/>
      </c>
    </row>
    <row r="5639" spans="18:23">
      <c r="R5639" s="127">
        <f t="shared" si="251"/>
        <v>0</v>
      </c>
      <c r="T5639" s="128">
        <f t="shared" si="250"/>
        <v>0</v>
      </c>
      <c r="U5639" s="129" t="str">
        <f>IFERROR(IF(#REF!="S",VLOOKUP('Raw Data'!A5639,References!#REF!,2,FALSE),(VLOOKUP($S5639,References!$B$3:$C$7,2,FALSE))),"")</f>
        <v/>
      </c>
      <c r="W5639" s="74" t="str">
        <f>IFERROR(VLOOKUP($O5639,'Customer List'!$A$1:$J$488,10,FALSE),"")</f>
        <v/>
      </c>
    </row>
    <row r="5640" spans="18:23">
      <c r="R5640" s="127">
        <f t="shared" si="251"/>
        <v>0</v>
      </c>
      <c r="T5640" s="128">
        <f t="shared" si="250"/>
        <v>0</v>
      </c>
      <c r="U5640" s="129" t="str">
        <f>IFERROR(IF(#REF!="S",VLOOKUP('Raw Data'!A5640,References!#REF!,2,FALSE),(VLOOKUP($S5640,References!$B$3:$C$7,2,FALSE))),"")</f>
        <v/>
      </c>
      <c r="W5640" s="74" t="str">
        <f>IFERROR(VLOOKUP($O5640,'Customer List'!$A$1:$J$488,10,FALSE),"")</f>
        <v/>
      </c>
    </row>
    <row r="5641" spans="18:23">
      <c r="R5641" s="127">
        <f t="shared" si="251"/>
        <v>0</v>
      </c>
      <c r="T5641" s="128">
        <f t="shared" si="250"/>
        <v>0</v>
      </c>
      <c r="U5641" s="129" t="str">
        <f>IFERROR(IF(#REF!="S",VLOOKUP('Raw Data'!A5641,References!#REF!,2,FALSE),(VLOOKUP($S5641,References!$B$3:$C$7,2,FALSE))),"")</f>
        <v/>
      </c>
      <c r="W5641" s="74" t="str">
        <f>IFERROR(VLOOKUP($O5641,'Customer List'!$A$1:$J$488,10,FALSE),"")</f>
        <v/>
      </c>
    </row>
    <row r="5642" spans="18:23">
      <c r="R5642" s="127">
        <f t="shared" si="251"/>
        <v>0</v>
      </c>
      <c r="T5642" s="128">
        <f t="shared" ref="T5642:T5705" si="252">IF(S5642="50 - Cleaning Fee",1,HOUR($R5642)+MINUTE(R5642)/60)</f>
        <v>0</v>
      </c>
      <c r="U5642" s="129" t="str">
        <f>IFERROR(IF(#REF!="S",VLOOKUP('Raw Data'!A5642,References!#REF!,2,FALSE),(VLOOKUP($S5642,References!$B$3:$C$7,2,FALSE))),"")</f>
        <v/>
      </c>
      <c r="W5642" s="74" t="str">
        <f>IFERROR(VLOOKUP($O5642,'Customer List'!$A$1:$J$488,10,FALSE),"")</f>
        <v/>
      </c>
    </row>
    <row r="5643" spans="18:23">
      <c r="R5643" s="127">
        <f t="shared" si="251"/>
        <v>0</v>
      </c>
      <c r="T5643" s="128">
        <f t="shared" si="252"/>
        <v>0</v>
      </c>
      <c r="U5643" s="129" t="str">
        <f>IFERROR(IF(#REF!="S",VLOOKUP('Raw Data'!A5643,References!#REF!,2,FALSE),(VLOOKUP($S5643,References!$B$3:$C$7,2,FALSE))),"")</f>
        <v/>
      </c>
      <c r="W5643" s="74" t="str">
        <f>IFERROR(VLOOKUP($O5643,'Customer List'!$A$1:$J$488,10,FALSE),"")</f>
        <v/>
      </c>
    </row>
    <row r="5644" spans="18:23">
      <c r="R5644" s="127">
        <f t="shared" si="251"/>
        <v>0</v>
      </c>
      <c r="T5644" s="128">
        <f t="shared" si="252"/>
        <v>0</v>
      </c>
      <c r="U5644" s="129" t="str">
        <f>IFERROR(IF(#REF!="S",VLOOKUP('Raw Data'!A5644,References!#REF!,2,FALSE),(VLOOKUP($S5644,References!$B$3:$C$7,2,FALSE))),"")</f>
        <v/>
      </c>
      <c r="W5644" s="74" t="str">
        <f>IFERROR(VLOOKUP($O5644,'Customer List'!$A$1:$J$488,10,FALSE),"")</f>
        <v/>
      </c>
    </row>
    <row r="5645" spans="18:23">
      <c r="R5645" s="127">
        <f t="shared" si="251"/>
        <v>0</v>
      </c>
      <c r="T5645" s="128">
        <f t="shared" si="252"/>
        <v>0</v>
      </c>
      <c r="U5645" s="129" t="str">
        <f>IFERROR(IF(#REF!="S",VLOOKUP('Raw Data'!A5645,References!#REF!,2,FALSE),(VLOOKUP($S5645,References!$B$3:$C$7,2,FALSE))),"")</f>
        <v/>
      </c>
      <c r="W5645" s="74" t="str">
        <f>IFERROR(VLOOKUP($O5645,'Customer List'!$A$1:$J$488,10,FALSE),"")</f>
        <v/>
      </c>
    </row>
    <row r="5646" spans="18:23">
      <c r="R5646" s="127">
        <f t="shared" si="251"/>
        <v>0</v>
      </c>
      <c r="T5646" s="128">
        <f t="shared" si="252"/>
        <v>0</v>
      </c>
      <c r="U5646" s="129" t="str">
        <f>IFERROR(IF(#REF!="S",VLOOKUP('Raw Data'!A5646,References!#REF!,2,FALSE),(VLOOKUP($S5646,References!$B$3:$C$7,2,FALSE))),"")</f>
        <v/>
      </c>
      <c r="W5646" s="74" t="str">
        <f>IFERROR(VLOOKUP($O5646,'Customer List'!$A$1:$J$488,10,FALSE),"")</f>
        <v/>
      </c>
    </row>
    <row r="5647" spans="18:23">
      <c r="R5647" s="127">
        <f t="shared" si="251"/>
        <v>0</v>
      </c>
      <c r="T5647" s="128">
        <f t="shared" si="252"/>
        <v>0</v>
      </c>
      <c r="U5647" s="129" t="str">
        <f>IFERROR(IF(#REF!="S",VLOOKUP('Raw Data'!A5647,References!#REF!,2,FALSE),(VLOOKUP($S5647,References!$B$3:$C$7,2,FALSE))),"")</f>
        <v/>
      </c>
      <c r="W5647" s="74" t="str">
        <f>IFERROR(VLOOKUP($O5647,'Customer List'!$A$1:$J$488,10,FALSE),"")</f>
        <v/>
      </c>
    </row>
    <row r="5648" spans="18:23">
      <c r="R5648" s="127">
        <f t="shared" si="251"/>
        <v>0</v>
      </c>
      <c r="T5648" s="128">
        <f t="shared" si="252"/>
        <v>0</v>
      </c>
      <c r="U5648" s="129" t="str">
        <f>IFERROR(IF(#REF!="S",VLOOKUP('Raw Data'!A5648,References!#REF!,2,FALSE),(VLOOKUP($S5648,References!$B$3:$C$7,2,FALSE))),"")</f>
        <v/>
      </c>
      <c r="W5648" s="74" t="str">
        <f>IFERROR(VLOOKUP($O5648,'Customer List'!$A$1:$J$488,10,FALSE),"")</f>
        <v/>
      </c>
    </row>
    <row r="5649" spans="18:23">
      <c r="R5649" s="127">
        <f t="shared" si="251"/>
        <v>0</v>
      </c>
      <c r="T5649" s="128">
        <f t="shared" si="252"/>
        <v>0</v>
      </c>
      <c r="U5649" s="129" t="str">
        <f>IFERROR(IF(#REF!="S",VLOOKUP('Raw Data'!A5649,References!#REF!,2,FALSE),(VLOOKUP($S5649,References!$B$3:$C$7,2,FALSE))),"")</f>
        <v/>
      </c>
      <c r="W5649" s="74" t="str">
        <f>IFERROR(VLOOKUP($O5649,'Customer List'!$A$1:$J$488,10,FALSE),"")</f>
        <v/>
      </c>
    </row>
    <row r="5650" spans="18:23">
      <c r="R5650" s="127">
        <f t="shared" si="251"/>
        <v>0</v>
      </c>
      <c r="T5650" s="128">
        <f t="shared" si="252"/>
        <v>0</v>
      </c>
      <c r="U5650" s="129" t="str">
        <f>IFERROR(IF(#REF!="S",VLOOKUP('Raw Data'!A5650,References!#REF!,2,FALSE),(VLOOKUP($S5650,References!$B$3:$C$7,2,FALSE))),"")</f>
        <v/>
      </c>
      <c r="W5650" s="74" t="str">
        <f>IFERROR(VLOOKUP($O5650,'Customer List'!$A$1:$J$488,10,FALSE),"")</f>
        <v/>
      </c>
    </row>
    <row r="5651" spans="18:23">
      <c r="R5651" s="127">
        <f t="shared" si="251"/>
        <v>0</v>
      </c>
      <c r="T5651" s="128">
        <f t="shared" si="252"/>
        <v>0</v>
      </c>
      <c r="U5651" s="129" t="str">
        <f>IFERROR(IF(#REF!="S",VLOOKUP('Raw Data'!A5651,References!#REF!,2,FALSE),(VLOOKUP($S5651,References!$B$3:$C$7,2,FALSE))),"")</f>
        <v/>
      </c>
      <c r="W5651" s="74" t="str">
        <f>IFERROR(VLOOKUP($O5651,'Customer List'!$A$1:$J$488,10,FALSE),"")</f>
        <v/>
      </c>
    </row>
    <row r="5652" spans="18:23">
      <c r="R5652" s="127">
        <f t="shared" si="251"/>
        <v>0</v>
      </c>
      <c r="T5652" s="128">
        <f t="shared" si="252"/>
        <v>0</v>
      </c>
      <c r="U5652" s="129" t="str">
        <f>IFERROR(IF(#REF!="S",VLOOKUP('Raw Data'!A5652,References!#REF!,2,FALSE),(VLOOKUP($S5652,References!$B$3:$C$7,2,FALSE))),"")</f>
        <v/>
      </c>
      <c r="W5652" s="74" t="str">
        <f>IFERROR(VLOOKUP($O5652,'Customer List'!$A$1:$J$488,10,FALSE),"")</f>
        <v/>
      </c>
    </row>
    <row r="5653" spans="18:23">
      <c r="R5653" s="127">
        <f t="shared" si="251"/>
        <v>0</v>
      </c>
      <c r="T5653" s="128">
        <f t="shared" si="252"/>
        <v>0</v>
      </c>
      <c r="U5653" s="129" t="str">
        <f>IFERROR(IF(#REF!="S",VLOOKUP('Raw Data'!A5653,References!#REF!,2,FALSE),(VLOOKUP($S5653,References!$B$3:$C$7,2,FALSE))),"")</f>
        <v/>
      </c>
      <c r="W5653" s="74" t="str">
        <f>IFERROR(VLOOKUP($O5653,'Customer List'!$A$1:$J$488,10,FALSE),"")</f>
        <v/>
      </c>
    </row>
    <row r="5654" spans="18:23">
      <c r="R5654" s="127">
        <f t="shared" si="251"/>
        <v>0</v>
      </c>
      <c r="T5654" s="128">
        <f t="shared" si="252"/>
        <v>0</v>
      </c>
      <c r="U5654" s="129" t="str">
        <f>IFERROR(IF(#REF!="S",VLOOKUP('Raw Data'!A5654,References!#REF!,2,FALSE),(VLOOKUP($S5654,References!$B$3:$C$7,2,FALSE))),"")</f>
        <v/>
      </c>
      <c r="W5654" s="74" t="str">
        <f>IFERROR(VLOOKUP($O5654,'Customer List'!$A$1:$J$488,10,FALSE),"")</f>
        <v/>
      </c>
    </row>
    <row r="5655" spans="18:23">
      <c r="R5655" s="127">
        <f t="shared" si="251"/>
        <v>0</v>
      </c>
      <c r="T5655" s="128">
        <f t="shared" si="252"/>
        <v>0</v>
      </c>
      <c r="U5655" s="129" t="str">
        <f>IFERROR(IF(#REF!="S",VLOOKUP('Raw Data'!A5655,References!#REF!,2,FALSE),(VLOOKUP($S5655,References!$B$3:$C$7,2,FALSE))),"")</f>
        <v/>
      </c>
      <c r="W5655" s="74" t="str">
        <f>IFERROR(VLOOKUP($O5655,'Customer List'!$A$1:$J$488,10,FALSE),"")</f>
        <v/>
      </c>
    </row>
    <row r="5656" spans="18:23">
      <c r="R5656" s="127">
        <f t="shared" si="251"/>
        <v>0</v>
      </c>
      <c r="T5656" s="128">
        <f t="shared" si="252"/>
        <v>0</v>
      </c>
      <c r="U5656" s="129" t="str">
        <f>IFERROR(IF(#REF!="S",VLOOKUP('Raw Data'!A5656,References!#REF!,2,FALSE),(VLOOKUP($S5656,References!$B$3:$C$7,2,FALSE))),"")</f>
        <v/>
      </c>
      <c r="W5656" s="74" t="str">
        <f>IFERROR(VLOOKUP($O5656,'Customer List'!$A$1:$J$488,10,FALSE),"")</f>
        <v/>
      </c>
    </row>
    <row r="5657" spans="18:23">
      <c r="R5657" s="127">
        <f t="shared" si="251"/>
        <v>0</v>
      </c>
      <c r="T5657" s="128">
        <f t="shared" si="252"/>
        <v>0</v>
      </c>
      <c r="U5657" s="129" t="str">
        <f>IFERROR(IF(#REF!="S",VLOOKUP('Raw Data'!A5657,References!#REF!,2,FALSE),(VLOOKUP($S5657,References!$B$3:$C$7,2,FALSE))),"")</f>
        <v/>
      </c>
      <c r="W5657" s="74" t="str">
        <f>IFERROR(VLOOKUP($O5657,'Customer List'!$A$1:$J$488,10,FALSE),"")</f>
        <v/>
      </c>
    </row>
    <row r="5658" spans="18:23">
      <c r="R5658" s="127">
        <f t="shared" si="251"/>
        <v>0</v>
      </c>
      <c r="T5658" s="128">
        <f t="shared" si="252"/>
        <v>0</v>
      </c>
      <c r="U5658" s="129" t="str">
        <f>IFERROR(IF(#REF!="S",VLOOKUP('Raw Data'!A5658,References!#REF!,2,FALSE),(VLOOKUP($S5658,References!$B$3:$C$7,2,FALSE))),"")</f>
        <v/>
      </c>
      <c r="W5658" s="74" t="str">
        <f>IFERROR(VLOOKUP($O5658,'Customer List'!$A$1:$J$488,10,FALSE),"")</f>
        <v/>
      </c>
    </row>
    <row r="5659" spans="18:23">
      <c r="R5659" s="127">
        <f t="shared" si="251"/>
        <v>0</v>
      </c>
      <c r="T5659" s="128">
        <f t="shared" si="252"/>
        <v>0</v>
      </c>
      <c r="U5659" s="129" t="str">
        <f>IFERROR(IF(#REF!="S",VLOOKUP('Raw Data'!A5659,References!#REF!,2,FALSE),(VLOOKUP($S5659,References!$B$3:$C$7,2,FALSE))),"")</f>
        <v/>
      </c>
      <c r="W5659" s="74" t="str">
        <f>IFERROR(VLOOKUP($O5659,'Customer List'!$A$1:$J$488,10,FALSE),"")</f>
        <v/>
      </c>
    </row>
    <row r="5660" spans="18:23">
      <c r="R5660" s="127">
        <f t="shared" si="251"/>
        <v>0</v>
      </c>
      <c r="T5660" s="128">
        <f t="shared" si="252"/>
        <v>0</v>
      </c>
      <c r="U5660" s="129" t="str">
        <f>IFERROR(IF(#REF!="S",VLOOKUP('Raw Data'!A5660,References!#REF!,2,FALSE),(VLOOKUP($S5660,References!$B$3:$C$7,2,FALSE))),"")</f>
        <v/>
      </c>
      <c r="W5660" s="74" t="str">
        <f>IFERROR(VLOOKUP($O5660,'Customer List'!$A$1:$J$488,10,FALSE),"")</f>
        <v/>
      </c>
    </row>
    <row r="5661" spans="18:23">
      <c r="R5661" s="127">
        <f t="shared" si="251"/>
        <v>0</v>
      </c>
      <c r="T5661" s="128">
        <f t="shared" si="252"/>
        <v>0</v>
      </c>
      <c r="U5661" s="129" t="str">
        <f>IFERROR(IF(#REF!="S",VLOOKUP('Raw Data'!A5661,References!#REF!,2,FALSE),(VLOOKUP($S5661,References!$B$3:$C$7,2,FALSE))),"")</f>
        <v/>
      </c>
      <c r="W5661" s="74" t="str">
        <f>IFERROR(VLOOKUP($O5661,'Customer List'!$A$1:$J$488,10,FALSE),"")</f>
        <v/>
      </c>
    </row>
    <row r="5662" spans="18:23">
      <c r="R5662" s="127">
        <f t="shared" si="251"/>
        <v>0</v>
      </c>
      <c r="T5662" s="128">
        <f t="shared" si="252"/>
        <v>0</v>
      </c>
      <c r="U5662" s="129" t="str">
        <f>IFERROR(IF(#REF!="S",VLOOKUP('Raw Data'!A5662,References!#REF!,2,FALSE),(VLOOKUP($S5662,References!$B$3:$C$7,2,FALSE))),"")</f>
        <v/>
      </c>
      <c r="W5662" s="74" t="str">
        <f>IFERROR(VLOOKUP($O5662,'Customer List'!$A$1:$J$488,10,FALSE),"")</f>
        <v/>
      </c>
    </row>
    <row r="5663" spans="18:23">
      <c r="R5663" s="127">
        <f t="shared" si="251"/>
        <v>0</v>
      </c>
      <c r="T5663" s="128">
        <f t="shared" si="252"/>
        <v>0</v>
      </c>
      <c r="U5663" s="129" t="str">
        <f>IFERROR(IF(#REF!="S",VLOOKUP('Raw Data'!A5663,References!#REF!,2,FALSE),(VLOOKUP($S5663,References!$B$3:$C$7,2,FALSE))),"")</f>
        <v/>
      </c>
      <c r="W5663" s="74" t="str">
        <f>IFERROR(VLOOKUP($O5663,'Customer List'!$A$1:$J$488,10,FALSE),"")</f>
        <v/>
      </c>
    </row>
    <row r="5664" spans="18:23">
      <c r="R5664" s="127">
        <f t="shared" si="251"/>
        <v>0</v>
      </c>
      <c r="T5664" s="128">
        <f t="shared" si="252"/>
        <v>0</v>
      </c>
      <c r="U5664" s="129" t="str">
        <f>IFERROR(IF(#REF!="S",VLOOKUP('Raw Data'!A5664,References!#REF!,2,FALSE),(VLOOKUP($S5664,References!$B$3:$C$7,2,FALSE))),"")</f>
        <v/>
      </c>
      <c r="W5664" s="74" t="str">
        <f>IFERROR(VLOOKUP($O5664,'Customer List'!$A$1:$J$488,10,FALSE),"")</f>
        <v/>
      </c>
    </row>
    <row r="5665" spans="18:23">
      <c r="R5665" s="127">
        <f t="shared" si="251"/>
        <v>0</v>
      </c>
      <c r="T5665" s="128">
        <f t="shared" si="252"/>
        <v>0</v>
      </c>
      <c r="U5665" s="129" t="str">
        <f>IFERROR(IF(#REF!="S",VLOOKUP('Raw Data'!A5665,References!#REF!,2,FALSE),(VLOOKUP($S5665,References!$B$3:$C$7,2,FALSE))),"")</f>
        <v/>
      </c>
      <c r="W5665" s="74" t="str">
        <f>IFERROR(VLOOKUP($O5665,'Customer List'!$A$1:$J$488,10,FALSE),"")</f>
        <v/>
      </c>
    </row>
    <row r="5666" spans="18:23">
      <c r="R5666" s="127">
        <f t="shared" ref="R5666:R5729" si="253">L5666-K5666</f>
        <v>0</v>
      </c>
      <c r="T5666" s="128">
        <f t="shared" si="252"/>
        <v>0</v>
      </c>
      <c r="U5666" s="129" t="str">
        <f>IFERROR(IF(#REF!="S",VLOOKUP('Raw Data'!A5666,References!#REF!,2,FALSE),(VLOOKUP($S5666,References!$B$3:$C$7,2,FALSE))),"")</f>
        <v/>
      </c>
      <c r="W5666" s="74" t="str">
        <f>IFERROR(VLOOKUP($O5666,'Customer List'!$A$1:$J$488,10,FALSE),"")</f>
        <v/>
      </c>
    </row>
    <row r="5667" spans="18:23">
      <c r="R5667" s="127">
        <f t="shared" si="253"/>
        <v>0</v>
      </c>
      <c r="T5667" s="128">
        <f t="shared" si="252"/>
        <v>0</v>
      </c>
      <c r="U5667" s="129" t="str">
        <f>IFERROR(IF(#REF!="S",VLOOKUP('Raw Data'!A5667,References!#REF!,2,FALSE),(VLOOKUP($S5667,References!$B$3:$C$7,2,FALSE))),"")</f>
        <v/>
      </c>
      <c r="W5667" s="74" t="str">
        <f>IFERROR(VLOOKUP($O5667,'Customer List'!$A$1:$J$488,10,FALSE),"")</f>
        <v/>
      </c>
    </row>
    <row r="5668" spans="18:23">
      <c r="R5668" s="127">
        <f t="shared" si="253"/>
        <v>0</v>
      </c>
      <c r="T5668" s="128">
        <f t="shared" si="252"/>
        <v>0</v>
      </c>
      <c r="U5668" s="129" t="str">
        <f>IFERROR(IF(#REF!="S",VLOOKUP('Raw Data'!A5668,References!#REF!,2,FALSE),(VLOOKUP($S5668,References!$B$3:$C$7,2,FALSE))),"")</f>
        <v/>
      </c>
      <c r="W5668" s="74" t="str">
        <f>IFERROR(VLOOKUP($O5668,'Customer List'!$A$1:$J$488,10,FALSE),"")</f>
        <v/>
      </c>
    </row>
    <row r="5669" spans="18:23">
      <c r="R5669" s="127">
        <f t="shared" si="253"/>
        <v>0</v>
      </c>
      <c r="T5669" s="128">
        <f t="shared" si="252"/>
        <v>0</v>
      </c>
      <c r="U5669" s="129" t="str">
        <f>IFERROR(IF(#REF!="S",VLOOKUP('Raw Data'!A5669,References!#REF!,2,FALSE),(VLOOKUP($S5669,References!$B$3:$C$7,2,FALSE))),"")</f>
        <v/>
      </c>
      <c r="W5669" s="74" t="str">
        <f>IFERROR(VLOOKUP($O5669,'Customer List'!$A$1:$J$488,10,FALSE),"")</f>
        <v/>
      </c>
    </row>
    <row r="5670" spans="18:23">
      <c r="R5670" s="127">
        <f t="shared" si="253"/>
        <v>0</v>
      </c>
      <c r="T5670" s="128">
        <f t="shared" si="252"/>
        <v>0</v>
      </c>
      <c r="U5670" s="129" t="str">
        <f>IFERROR(IF(#REF!="S",VLOOKUP('Raw Data'!A5670,References!#REF!,2,FALSE),(VLOOKUP($S5670,References!$B$3:$C$7,2,FALSE))),"")</f>
        <v/>
      </c>
      <c r="W5670" s="74" t="str">
        <f>IFERROR(VLOOKUP($O5670,'Customer List'!$A$1:$J$488,10,FALSE),"")</f>
        <v/>
      </c>
    </row>
    <row r="5671" spans="18:23">
      <c r="R5671" s="127">
        <f t="shared" si="253"/>
        <v>0</v>
      </c>
      <c r="T5671" s="128">
        <f t="shared" si="252"/>
        <v>0</v>
      </c>
      <c r="U5671" s="129" t="str">
        <f>IFERROR(IF(#REF!="S",VLOOKUP('Raw Data'!A5671,References!#REF!,2,FALSE),(VLOOKUP($S5671,References!$B$3:$C$7,2,FALSE))),"")</f>
        <v/>
      </c>
      <c r="W5671" s="74" t="str">
        <f>IFERROR(VLOOKUP($O5671,'Customer List'!$A$1:$J$488,10,FALSE),"")</f>
        <v/>
      </c>
    </row>
    <row r="5672" spans="18:23">
      <c r="R5672" s="127">
        <f t="shared" si="253"/>
        <v>0</v>
      </c>
      <c r="T5672" s="128">
        <f t="shared" si="252"/>
        <v>0</v>
      </c>
      <c r="U5672" s="129" t="str">
        <f>IFERROR(IF(#REF!="S",VLOOKUP('Raw Data'!A5672,References!#REF!,2,FALSE),(VLOOKUP($S5672,References!$B$3:$C$7,2,FALSE))),"")</f>
        <v/>
      </c>
      <c r="W5672" s="74" t="str">
        <f>IFERROR(VLOOKUP($O5672,'Customer List'!$A$1:$J$488,10,FALSE),"")</f>
        <v/>
      </c>
    </row>
    <row r="5673" spans="18:23">
      <c r="R5673" s="127">
        <f t="shared" si="253"/>
        <v>0</v>
      </c>
      <c r="T5673" s="128">
        <f t="shared" si="252"/>
        <v>0</v>
      </c>
      <c r="U5673" s="129" t="str">
        <f>IFERROR(IF(#REF!="S",VLOOKUP('Raw Data'!A5673,References!#REF!,2,FALSE),(VLOOKUP($S5673,References!$B$3:$C$7,2,FALSE))),"")</f>
        <v/>
      </c>
      <c r="W5673" s="74" t="str">
        <f>IFERROR(VLOOKUP($O5673,'Customer List'!$A$1:$J$488,10,FALSE),"")</f>
        <v/>
      </c>
    </row>
    <row r="5674" spans="18:23">
      <c r="R5674" s="127">
        <f t="shared" si="253"/>
        <v>0</v>
      </c>
      <c r="T5674" s="128">
        <f t="shared" si="252"/>
        <v>0</v>
      </c>
      <c r="U5674" s="129" t="str">
        <f>IFERROR(IF(#REF!="S",VLOOKUP('Raw Data'!A5674,References!#REF!,2,FALSE),(VLOOKUP($S5674,References!$B$3:$C$7,2,FALSE))),"")</f>
        <v/>
      </c>
      <c r="W5674" s="74" t="str">
        <f>IFERROR(VLOOKUP($O5674,'Customer List'!$A$1:$J$488,10,FALSE),"")</f>
        <v/>
      </c>
    </row>
    <row r="5675" spans="18:23">
      <c r="R5675" s="127">
        <f t="shared" si="253"/>
        <v>0</v>
      </c>
      <c r="T5675" s="128">
        <f t="shared" si="252"/>
        <v>0</v>
      </c>
      <c r="U5675" s="129" t="str">
        <f>IFERROR(IF(#REF!="S",VLOOKUP('Raw Data'!A5675,References!#REF!,2,FALSE),(VLOOKUP($S5675,References!$B$3:$C$7,2,FALSE))),"")</f>
        <v/>
      </c>
      <c r="W5675" s="74" t="str">
        <f>IFERROR(VLOOKUP($O5675,'Customer List'!$A$1:$J$488,10,FALSE),"")</f>
        <v/>
      </c>
    </row>
    <row r="5676" spans="18:23">
      <c r="R5676" s="127">
        <f t="shared" si="253"/>
        <v>0</v>
      </c>
      <c r="T5676" s="128">
        <f t="shared" si="252"/>
        <v>0</v>
      </c>
      <c r="U5676" s="129" t="str">
        <f>IFERROR(IF(#REF!="S",VLOOKUP('Raw Data'!A5676,References!#REF!,2,FALSE),(VLOOKUP($S5676,References!$B$3:$C$7,2,FALSE))),"")</f>
        <v/>
      </c>
      <c r="W5676" s="74" t="str">
        <f>IFERROR(VLOOKUP($O5676,'Customer List'!$A$1:$J$488,10,FALSE),"")</f>
        <v/>
      </c>
    </row>
    <row r="5677" spans="18:23">
      <c r="R5677" s="127">
        <f t="shared" si="253"/>
        <v>0</v>
      </c>
      <c r="T5677" s="128">
        <f t="shared" si="252"/>
        <v>0</v>
      </c>
      <c r="U5677" s="129" t="str">
        <f>IFERROR(IF(#REF!="S",VLOOKUP('Raw Data'!A5677,References!#REF!,2,FALSE),(VLOOKUP($S5677,References!$B$3:$C$7,2,FALSE))),"")</f>
        <v/>
      </c>
      <c r="W5677" s="74" t="str">
        <f>IFERROR(VLOOKUP($O5677,'Customer List'!$A$1:$J$488,10,FALSE),"")</f>
        <v/>
      </c>
    </row>
    <row r="5678" spans="18:23">
      <c r="R5678" s="127">
        <f t="shared" si="253"/>
        <v>0</v>
      </c>
      <c r="T5678" s="128">
        <f t="shared" si="252"/>
        <v>0</v>
      </c>
      <c r="U5678" s="129" t="str">
        <f>IFERROR(IF(#REF!="S",VLOOKUP('Raw Data'!A5678,References!#REF!,2,FALSE),(VLOOKUP($S5678,References!$B$3:$C$7,2,FALSE))),"")</f>
        <v/>
      </c>
      <c r="W5678" s="74" t="str">
        <f>IFERROR(VLOOKUP($O5678,'Customer List'!$A$1:$J$488,10,FALSE),"")</f>
        <v/>
      </c>
    </row>
    <row r="5679" spans="18:23">
      <c r="R5679" s="127">
        <f t="shared" si="253"/>
        <v>0</v>
      </c>
      <c r="T5679" s="128">
        <f t="shared" si="252"/>
        <v>0</v>
      </c>
      <c r="U5679" s="129" t="str">
        <f>IFERROR(IF(#REF!="S",VLOOKUP('Raw Data'!A5679,References!#REF!,2,FALSE),(VLOOKUP($S5679,References!$B$3:$C$7,2,FALSE))),"")</f>
        <v/>
      </c>
      <c r="W5679" s="74" t="str">
        <f>IFERROR(VLOOKUP($O5679,'Customer List'!$A$1:$J$488,10,FALSE),"")</f>
        <v/>
      </c>
    </row>
    <row r="5680" spans="18:23">
      <c r="R5680" s="127">
        <f t="shared" si="253"/>
        <v>0</v>
      </c>
      <c r="T5680" s="128">
        <f t="shared" si="252"/>
        <v>0</v>
      </c>
      <c r="U5680" s="129" t="str">
        <f>IFERROR(IF(#REF!="S",VLOOKUP('Raw Data'!A5680,References!#REF!,2,FALSE),(VLOOKUP($S5680,References!$B$3:$C$7,2,FALSE))),"")</f>
        <v/>
      </c>
      <c r="W5680" s="74" t="str">
        <f>IFERROR(VLOOKUP($O5680,'Customer List'!$A$1:$J$488,10,FALSE),"")</f>
        <v/>
      </c>
    </row>
    <row r="5681" spans="18:23">
      <c r="R5681" s="127">
        <f t="shared" si="253"/>
        <v>0</v>
      </c>
      <c r="T5681" s="128">
        <f t="shared" si="252"/>
        <v>0</v>
      </c>
      <c r="U5681" s="129" t="str">
        <f>IFERROR(IF(#REF!="S",VLOOKUP('Raw Data'!A5681,References!#REF!,2,FALSE),(VLOOKUP($S5681,References!$B$3:$C$7,2,FALSE))),"")</f>
        <v/>
      </c>
      <c r="W5681" s="74" t="str">
        <f>IFERROR(VLOOKUP($O5681,'Customer List'!$A$1:$J$488,10,FALSE),"")</f>
        <v/>
      </c>
    </row>
    <row r="5682" spans="18:23">
      <c r="R5682" s="127">
        <f t="shared" si="253"/>
        <v>0</v>
      </c>
      <c r="T5682" s="128">
        <f t="shared" si="252"/>
        <v>0</v>
      </c>
      <c r="U5682" s="129" t="str">
        <f>IFERROR(IF(#REF!="S",VLOOKUP('Raw Data'!A5682,References!#REF!,2,FALSE),(VLOOKUP($S5682,References!$B$3:$C$7,2,FALSE))),"")</f>
        <v/>
      </c>
      <c r="W5682" s="74" t="str">
        <f>IFERROR(VLOOKUP($O5682,'Customer List'!$A$1:$J$488,10,FALSE),"")</f>
        <v/>
      </c>
    </row>
    <row r="5683" spans="18:23">
      <c r="R5683" s="127">
        <f t="shared" si="253"/>
        <v>0</v>
      </c>
      <c r="T5683" s="128">
        <f t="shared" si="252"/>
        <v>0</v>
      </c>
      <c r="U5683" s="129" t="str">
        <f>IFERROR(IF(#REF!="S",VLOOKUP('Raw Data'!A5683,References!#REF!,2,FALSE),(VLOOKUP($S5683,References!$B$3:$C$7,2,FALSE))),"")</f>
        <v/>
      </c>
      <c r="W5683" s="74" t="str">
        <f>IFERROR(VLOOKUP($O5683,'Customer List'!$A$1:$J$488,10,FALSE),"")</f>
        <v/>
      </c>
    </row>
    <row r="5684" spans="18:23">
      <c r="R5684" s="127">
        <f t="shared" si="253"/>
        <v>0</v>
      </c>
      <c r="T5684" s="128">
        <f t="shared" si="252"/>
        <v>0</v>
      </c>
      <c r="U5684" s="129" t="str">
        <f>IFERROR(IF(#REF!="S",VLOOKUP('Raw Data'!A5684,References!#REF!,2,FALSE),(VLOOKUP($S5684,References!$B$3:$C$7,2,FALSE))),"")</f>
        <v/>
      </c>
      <c r="W5684" s="74" t="str">
        <f>IFERROR(VLOOKUP($O5684,'Customer List'!$A$1:$J$488,10,FALSE),"")</f>
        <v/>
      </c>
    </row>
    <row r="5685" spans="18:23">
      <c r="R5685" s="127">
        <f t="shared" si="253"/>
        <v>0</v>
      </c>
      <c r="T5685" s="128">
        <f t="shared" si="252"/>
        <v>0</v>
      </c>
      <c r="U5685" s="129" t="str">
        <f>IFERROR(IF(#REF!="S",VLOOKUP('Raw Data'!A5685,References!#REF!,2,FALSE),(VLOOKUP($S5685,References!$B$3:$C$7,2,FALSE))),"")</f>
        <v/>
      </c>
      <c r="W5685" s="74" t="str">
        <f>IFERROR(VLOOKUP($O5685,'Customer List'!$A$1:$J$488,10,FALSE),"")</f>
        <v/>
      </c>
    </row>
    <row r="5686" spans="18:23">
      <c r="R5686" s="127">
        <f t="shared" si="253"/>
        <v>0</v>
      </c>
      <c r="T5686" s="128">
        <f t="shared" si="252"/>
        <v>0</v>
      </c>
      <c r="U5686" s="129" t="str">
        <f>IFERROR(IF(#REF!="S",VLOOKUP('Raw Data'!A5686,References!#REF!,2,FALSE),(VLOOKUP($S5686,References!$B$3:$C$7,2,FALSE))),"")</f>
        <v/>
      </c>
      <c r="W5686" s="74" t="str">
        <f>IFERROR(VLOOKUP($O5686,'Customer List'!$A$1:$J$488,10,FALSE),"")</f>
        <v/>
      </c>
    </row>
    <row r="5687" spans="18:23">
      <c r="R5687" s="127">
        <f t="shared" si="253"/>
        <v>0</v>
      </c>
      <c r="T5687" s="128">
        <f t="shared" si="252"/>
        <v>0</v>
      </c>
      <c r="U5687" s="129" t="str">
        <f>IFERROR(IF(#REF!="S",VLOOKUP('Raw Data'!A5687,References!#REF!,2,FALSE),(VLOOKUP($S5687,References!$B$3:$C$7,2,FALSE))),"")</f>
        <v/>
      </c>
      <c r="W5687" s="74" t="str">
        <f>IFERROR(VLOOKUP($O5687,'Customer List'!$A$1:$J$488,10,FALSE),"")</f>
        <v/>
      </c>
    </row>
    <row r="5688" spans="18:23">
      <c r="R5688" s="127">
        <f t="shared" si="253"/>
        <v>0</v>
      </c>
      <c r="T5688" s="128">
        <f t="shared" si="252"/>
        <v>0</v>
      </c>
      <c r="U5688" s="129" t="str">
        <f>IFERROR(IF(#REF!="S",VLOOKUP('Raw Data'!A5688,References!#REF!,2,FALSE),(VLOOKUP($S5688,References!$B$3:$C$7,2,FALSE))),"")</f>
        <v/>
      </c>
      <c r="W5688" s="74" t="str">
        <f>IFERROR(VLOOKUP($O5688,'Customer List'!$A$1:$J$488,10,FALSE),"")</f>
        <v/>
      </c>
    </row>
    <row r="5689" spans="18:23">
      <c r="R5689" s="127">
        <f t="shared" si="253"/>
        <v>0</v>
      </c>
      <c r="T5689" s="128">
        <f t="shared" si="252"/>
        <v>0</v>
      </c>
      <c r="U5689" s="129" t="str">
        <f>IFERROR(IF(#REF!="S",VLOOKUP('Raw Data'!A5689,References!#REF!,2,FALSE),(VLOOKUP($S5689,References!$B$3:$C$7,2,FALSE))),"")</f>
        <v/>
      </c>
      <c r="W5689" s="74" t="str">
        <f>IFERROR(VLOOKUP($O5689,'Customer List'!$A$1:$J$488,10,FALSE),"")</f>
        <v/>
      </c>
    </row>
    <row r="5690" spans="18:23">
      <c r="R5690" s="127">
        <f t="shared" si="253"/>
        <v>0</v>
      </c>
      <c r="T5690" s="128">
        <f t="shared" si="252"/>
        <v>0</v>
      </c>
      <c r="U5690" s="129" t="str">
        <f>IFERROR(IF(#REF!="S",VLOOKUP('Raw Data'!A5690,References!#REF!,2,FALSE),(VLOOKUP($S5690,References!$B$3:$C$7,2,FALSE))),"")</f>
        <v/>
      </c>
      <c r="W5690" s="74" t="str">
        <f>IFERROR(VLOOKUP($O5690,'Customer List'!$A$1:$J$488,10,FALSE),"")</f>
        <v/>
      </c>
    </row>
    <row r="5691" spans="18:23">
      <c r="R5691" s="127">
        <f t="shared" si="253"/>
        <v>0</v>
      </c>
      <c r="T5691" s="128">
        <f t="shared" si="252"/>
        <v>0</v>
      </c>
      <c r="U5691" s="129" t="str">
        <f>IFERROR(IF(#REF!="S",VLOOKUP('Raw Data'!A5691,References!#REF!,2,FALSE),(VLOOKUP($S5691,References!$B$3:$C$7,2,FALSE))),"")</f>
        <v/>
      </c>
      <c r="W5691" s="74" t="str">
        <f>IFERROR(VLOOKUP($O5691,'Customer List'!$A$1:$J$488,10,FALSE),"")</f>
        <v/>
      </c>
    </row>
    <row r="5692" spans="18:23">
      <c r="R5692" s="127">
        <f t="shared" si="253"/>
        <v>0</v>
      </c>
      <c r="T5692" s="128">
        <f t="shared" si="252"/>
        <v>0</v>
      </c>
      <c r="U5692" s="129" t="str">
        <f>IFERROR(IF(#REF!="S",VLOOKUP('Raw Data'!A5692,References!#REF!,2,FALSE),(VLOOKUP($S5692,References!$B$3:$C$7,2,FALSE))),"")</f>
        <v/>
      </c>
      <c r="W5692" s="74" t="str">
        <f>IFERROR(VLOOKUP($O5692,'Customer List'!$A$1:$J$488,10,FALSE),"")</f>
        <v/>
      </c>
    </row>
    <row r="5693" spans="18:23">
      <c r="R5693" s="127">
        <f t="shared" si="253"/>
        <v>0</v>
      </c>
      <c r="T5693" s="128">
        <f t="shared" si="252"/>
        <v>0</v>
      </c>
      <c r="U5693" s="129" t="str">
        <f>IFERROR(IF(#REF!="S",VLOOKUP('Raw Data'!A5693,References!#REF!,2,FALSE),(VLOOKUP($S5693,References!$B$3:$C$7,2,FALSE))),"")</f>
        <v/>
      </c>
      <c r="W5693" s="74" t="str">
        <f>IFERROR(VLOOKUP($O5693,'Customer List'!$A$1:$J$488,10,FALSE),"")</f>
        <v/>
      </c>
    </row>
    <row r="5694" spans="18:23">
      <c r="R5694" s="127">
        <f t="shared" si="253"/>
        <v>0</v>
      </c>
      <c r="T5694" s="128">
        <f t="shared" si="252"/>
        <v>0</v>
      </c>
      <c r="U5694" s="129" t="str">
        <f>IFERROR(IF(#REF!="S",VLOOKUP('Raw Data'!A5694,References!#REF!,2,FALSE),(VLOOKUP($S5694,References!$B$3:$C$7,2,FALSE))),"")</f>
        <v/>
      </c>
      <c r="W5694" s="74" t="str">
        <f>IFERROR(VLOOKUP($O5694,'Customer List'!$A$1:$J$488,10,FALSE),"")</f>
        <v/>
      </c>
    </row>
    <row r="5695" spans="18:23">
      <c r="R5695" s="127">
        <f t="shared" si="253"/>
        <v>0</v>
      </c>
      <c r="T5695" s="128">
        <f t="shared" si="252"/>
        <v>0</v>
      </c>
      <c r="U5695" s="129" t="str">
        <f>IFERROR(IF(#REF!="S",VLOOKUP('Raw Data'!A5695,References!#REF!,2,FALSE),(VLOOKUP($S5695,References!$B$3:$C$7,2,FALSE))),"")</f>
        <v/>
      </c>
      <c r="W5695" s="74" t="str">
        <f>IFERROR(VLOOKUP($O5695,'Customer List'!$A$1:$J$488,10,FALSE),"")</f>
        <v/>
      </c>
    </row>
    <row r="5696" spans="18:23">
      <c r="R5696" s="127">
        <f t="shared" si="253"/>
        <v>0</v>
      </c>
      <c r="T5696" s="128">
        <f t="shared" si="252"/>
        <v>0</v>
      </c>
      <c r="U5696" s="129" t="str">
        <f>IFERROR(IF(#REF!="S",VLOOKUP('Raw Data'!A5696,References!#REF!,2,FALSE),(VLOOKUP($S5696,References!$B$3:$C$7,2,FALSE))),"")</f>
        <v/>
      </c>
      <c r="W5696" s="74" t="str">
        <f>IFERROR(VLOOKUP($O5696,'Customer List'!$A$1:$J$488,10,FALSE),"")</f>
        <v/>
      </c>
    </row>
    <row r="5697" spans="18:23">
      <c r="R5697" s="127">
        <f t="shared" si="253"/>
        <v>0</v>
      </c>
      <c r="T5697" s="128">
        <f t="shared" si="252"/>
        <v>0</v>
      </c>
      <c r="U5697" s="129" t="str">
        <f>IFERROR(IF(#REF!="S",VLOOKUP('Raw Data'!A5697,References!#REF!,2,FALSE),(VLOOKUP($S5697,References!$B$3:$C$7,2,FALSE))),"")</f>
        <v/>
      </c>
      <c r="W5697" s="74" t="str">
        <f>IFERROR(VLOOKUP($O5697,'Customer List'!$A$1:$J$488,10,FALSE),"")</f>
        <v/>
      </c>
    </row>
    <row r="5698" spans="18:23">
      <c r="R5698" s="127">
        <f t="shared" si="253"/>
        <v>0</v>
      </c>
      <c r="T5698" s="128">
        <f t="shared" si="252"/>
        <v>0</v>
      </c>
      <c r="U5698" s="129" t="str">
        <f>IFERROR(IF(#REF!="S",VLOOKUP('Raw Data'!A5698,References!#REF!,2,FALSE),(VLOOKUP($S5698,References!$B$3:$C$7,2,FALSE))),"")</f>
        <v/>
      </c>
      <c r="W5698" s="74" t="str">
        <f>IFERROR(VLOOKUP($O5698,'Customer List'!$A$1:$J$488,10,FALSE),"")</f>
        <v/>
      </c>
    </row>
    <row r="5699" spans="18:23">
      <c r="R5699" s="127">
        <f t="shared" si="253"/>
        <v>0</v>
      </c>
      <c r="T5699" s="128">
        <f t="shared" si="252"/>
        <v>0</v>
      </c>
      <c r="U5699" s="129" t="str">
        <f>IFERROR(IF(#REF!="S",VLOOKUP('Raw Data'!A5699,References!#REF!,2,FALSE),(VLOOKUP($S5699,References!$B$3:$C$7,2,FALSE))),"")</f>
        <v/>
      </c>
      <c r="W5699" s="74" t="str">
        <f>IFERROR(VLOOKUP($O5699,'Customer List'!$A$1:$J$488,10,FALSE),"")</f>
        <v/>
      </c>
    </row>
    <row r="5700" spans="18:23">
      <c r="R5700" s="127">
        <f t="shared" si="253"/>
        <v>0</v>
      </c>
      <c r="T5700" s="128">
        <f t="shared" si="252"/>
        <v>0</v>
      </c>
      <c r="U5700" s="129" t="str">
        <f>IFERROR(IF(#REF!="S",VLOOKUP('Raw Data'!A5700,References!#REF!,2,FALSE),(VLOOKUP($S5700,References!$B$3:$C$7,2,FALSE))),"")</f>
        <v/>
      </c>
      <c r="W5700" s="74" t="str">
        <f>IFERROR(VLOOKUP($O5700,'Customer List'!$A$1:$J$488,10,FALSE),"")</f>
        <v/>
      </c>
    </row>
    <row r="5701" spans="18:23">
      <c r="R5701" s="127">
        <f t="shared" si="253"/>
        <v>0</v>
      </c>
      <c r="T5701" s="128">
        <f t="shared" si="252"/>
        <v>0</v>
      </c>
      <c r="U5701" s="129" t="str">
        <f>IFERROR(IF(#REF!="S",VLOOKUP('Raw Data'!A5701,References!#REF!,2,FALSE),(VLOOKUP($S5701,References!$B$3:$C$7,2,FALSE))),"")</f>
        <v/>
      </c>
      <c r="W5701" s="74" t="str">
        <f>IFERROR(VLOOKUP($O5701,'Customer List'!$A$1:$J$488,10,FALSE),"")</f>
        <v/>
      </c>
    </row>
    <row r="5702" spans="18:23">
      <c r="R5702" s="127">
        <f t="shared" si="253"/>
        <v>0</v>
      </c>
      <c r="T5702" s="128">
        <f t="shared" si="252"/>
        <v>0</v>
      </c>
      <c r="U5702" s="129" t="str">
        <f>IFERROR(IF(#REF!="S",VLOOKUP('Raw Data'!A5702,References!#REF!,2,FALSE),(VLOOKUP($S5702,References!$B$3:$C$7,2,FALSE))),"")</f>
        <v/>
      </c>
      <c r="W5702" s="74" t="str">
        <f>IFERROR(VLOOKUP($O5702,'Customer List'!$A$1:$J$488,10,FALSE),"")</f>
        <v/>
      </c>
    </row>
    <row r="5703" spans="18:23">
      <c r="R5703" s="127">
        <f t="shared" si="253"/>
        <v>0</v>
      </c>
      <c r="T5703" s="128">
        <f t="shared" si="252"/>
        <v>0</v>
      </c>
      <c r="U5703" s="129" t="str">
        <f>IFERROR(IF(#REF!="S",VLOOKUP('Raw Data'!A5703,References!#REF!,2,FALSE),(VLOOKUP($S5703,References!$B$3:$C$7,2,FALSE))),"")</f>
        <v/>
      </c>
      <c r="W5703" s="74" t="str">
        <f>IFERROR(VLOOKUP($O5703,'Customer List'!$A$1:$J$488,10,FALSE),"")</f>
        <v/>
      </c>
    </row>
    <row r="5704" spans="18:23">
      <c r="R5704" s="127">
        <f t="shared" si="253"/>
        <v>0</v>
      </c>
      <c r="T5704" s="128">
        <f t="shared" si="252"/>
        <v>0</v>
      </c>
      <c r="U5704" s="129" t="str">
        <f>IFERROR(IF(#REF!="S",VLOOKUP('Raw Data'!A5704,References!#REF!,2,FALSE),(VLOOKUP($S5704,References!$B$3:$C$7,2,FALSE))),"")</f>
        <v/>
      </c>
      <c r="W5704" s="74" t="str">
        <f>IFERROR(VLOOKUP($O5704,'Customer List'!$A$1:$J$488,10,FALSE),"")</f>
        <v/>
      </c>
    </row>
    <row r="5705" spans="18:23">
      <c r="R5705" s="127">
        <f t="shared" si="253"/>
        <v>0</v>
      </c>
      <c r="T5705" s="128">
        <f t="shared" si="252"/>
        <v>0</v>
      </c>
      <c r="U5705" s="129" t="str">
        <f>IFERROR(IF(#REF!="S",VLOOKUP('Raw Data'!A5705,References!#REF!,2,FALSE),(VLOOKUP($S5705,References!$B$3:$C$7,2,FALSE))),"")</f>
        <v/>
      </c>
      <c r="W5705" s="74" t="str">
        <f>IFERROR(VLOOKUP($O5705,'Customer List'!$A$1:$J$488,10,FALSE),"")</f>
        <v/>
      </c>
    </row>
    <row r="5706" spans="18:23">
      <c r="R5706" s="127">
        <f t="shared" si="253"/>
        <v>0</v>
      </c>
      <c r="T5706" s="128">
        <f t="shared" ref="T5706:T5769" si="254">IF(S5706="50 - Cleaning Fee",1,HOUR($R5706)+MINUTE(R5706)/60)</f>
        <v>0</v>
      </c>
      <c r="U5706" s="129" t="str">
        <f>IFERROR(IF(#REF!="S",VLOOKUP('Raw Data'!A5706,References!#REF!,2,FALSE),(VLOOKUP($S5706,References!$B$3:$C$7,2,FALSE))),"")</f>
        <v/>
      </c>
      <c r="W5706" s="74" t="str">
        <f>IFERROR(VLOOKUP($O5706,'Customer List'!$A$1:$J$488,10,FALSE),"")</f>
        <v/>
      </c>
    </row>
    <row r="5707" spans="18:23">
      <c r="R5707" s="127">
        <f t="shared" si="253"/>
        <v>0</v>
      </c>
      <c r="T5707" s="128">
        <f t="shared" si="254"/>
        <v>0</v>
      </c>
      <c r="U5707" s="129" t="str">
        <f>IFERROR(IF(#REF!="S",VLOOKUP('Raw Data'!A5707,References!#REF!,2,FALSE),(VLOOKUP($S5707,References!$B$3:$C$7,2,FALSE))),"")</f>
        <v/>
      </c>
      <c r="W5707" s="74" t="str">
        <f>IFERROR(VLOOKUP($O5707,'Customer List'!$A$1:$J$488,10,FALSE),"")</f>
        <v/>
      </c>
    </row>
    <row r="5708" spans="18:23">
      <c r="R5708" s="127">
        <f t="shared" si="253"/>
        <v>0</v>
      </c>
      <c r="T5708" s="128">
        <f t="shared" si="254"/>
        <v>0</v>
      </c>
      <c r="U5708" s="129" t="str">
        <f>IFERROR(IF(#REF!="S",VLOOKUP('Raw Data'!A5708,References!#REF!,2,FALSE),(VLOOKUP($S5708,References!$B$3:$C$7,2,FALSE))),"")</f>
        <v/>
      </c>
      <c r="W5708" s="74" t="str">
        <f>IFERROR(VLOOKUP($O5708,'Customer List'!$A$1:$J$488,10,FALSE),"")</f>
        <v/>
      </c>
    </row>
    <row r="5709" spans="18:23">
      <c r="R5709" s="127">
        <f t="shared" si="253"/>
        <v>0</v>
      </c>
      <c r="T5709" s="128">
        <f t="shared" si="254"/>
        <v>0</v>
      </c>
      <c r="U5709" s="129" t="str">
        <f>IFERROR(IF(#REF!="S",VLOOKUP('Raw Data'!A5709,References!#REF!,2,FALSE),(VLOOKUP($S5709,References!$B$3:$C$7,2,FALSE))),"")</f>
        <v/>
      </c>
      <c r="W5709" s="74" t="str">
        <f>IFERROR(VLOOKUP($O5709,'Customer List'!$A$1:$J$488,10,FALSE),"")</f>
        <v/>
      </c>
    </row>
    <row r="5710" spans="18:23">
      <c r="R5710" s="127">
        <f t="shared" si="253"/>
        <v>0</v>
      </c>
      <c r="T5710" s="128">
        <f t="shared" si="254"/>
        <v>0</v>
      </c>
      <c r="U5710" s="129" t="str">
        <f>IFERROR(IF(#REF!="S",VLOOKUP('Raw Data'!A5710,References!#REF!,2,FALSE),(VLOOKUP($S5710,References!$B$3:$C$7,2,FALSE))),"")</f>
        <v/>
      </c>
      <c r="W5710" s="74" t="str">
        <f>IFERROR(VLOOKUP($O5710,'Customer List'!$A$1:$J$488,10,FALSE),"")</f>
        <v/>
      </c>
    </row>
    <row r="5711" spans="18:23">
      <c r="R5711" s="127">
        <f t="shared" si="253"/>
        <v>0</v>
      </c>
      <c r="T5711" s="128">
        <f t="shared" si="254"/>
        <v>0</v>
      </c>
      <c r="U5711" s="129" t="str">
        <f>IFERROR(IF(#REF!="S",VLOOKUP('Raw Data'!A5711,References!#REF!,2,FALSE),(VLOOKUP($S5711,References!$B$3:$C$7,2,FALSE))),"")</f>
        <v/>
      </c>
      <c r="W5711" s="74" t="str">
        <f>IFERROR(VLOOKUP($O5711,'Customer List'!$A$1:$J$488,10,FALSE),"")</f>
        <v/>
      </c>
    </row>
    <row r="5712" spans="18:23">
      <c r="R5712" s="127">
        <f t="shared" si="253"/>
        <v>0</v>
      </c>
      <c r="T5712" s="128">
        <f t="shared" si="254"/>
        <v>0</v>
      </c>
      <c r="U5712" s="129" t="str">
        <f>IFERROR(IF(#REF!="S",VLOOKUP('Raw Data'!A5712,References!#REF!,2,FALSE),(VLOOKUP($S5712,References!$B$3:$C$7,2,FALSE))),"")</f>
        <v/>
      </c>
      <c r="W5712" s="74" t="str">
        <f>IFERROR(VLOOKUP($O5712,'Customer List'!$A$1:$J$488,10,FALSE),"")</f>
        <v/>
      </c>
    </row>
    <row r="5713" spans="18:23">
      <c r="R5713" s="127">
        <f t="shared" si="253"/>
        <v>0</v>
      </c>
      <c r="T5713" s="128">
        <f t="shared" si="254"/>
        <v>0</v>
      </c>
      <c r="U5713" s="129" t="str">
        <f>IFERROR(IF(#REF!="S",VLOOKUP('Raw Data'!A5713,References!#REF!,2,FALSE),(VLOOKUP($S5713,References!$B$3:$C$7,2,FALSE))),"")</f>
        <v/>
      </c>
      <c r="W5713" s="74" t="str">
        <f>IFERROR(VLOOKUP($O5713,'Customer List'!$A$1:$J$488,10,FALSE),"")</f>
        <v/>
      </c>
    </row>
    <row r="5714" spans="18:23">
      <c r="R5714" s="127">
        <f t="shared" si="253"/>
        <v>0</v>
      </c>
      <c r="T5714" s="128">
        <f t="shared" si="254"/>
        <v>0</v>
      </c>
      <c r="U5714" s="129" t="str">
        <f>IFERROR(IF(#REF!="S",VLOOKUP('Raw Data'!A5714,References!#REF!,2,FALSE),(VLOOKUP($S5714,References!$B$3:$C$7,2,FALSE))),"")</f>
        <v/>
      </c>
      <c r="W5714" s="74" t="str">
        <f>IFERROR(VLOOKUP($O5714,'Customer List'!$A$1:$J$488,10,FALSE),"")</f>
        <v/>
      </c>
    </row>
    <row r="5715" spans="18:23">
      <c r="R5715" s="127">
        <f t="shared" si="253"/>
        <v>0</v>
      </c>
      <c r="T5715" s="128">
        <f t="shared" si="254"/>
        <v>0</v>
      </c>
      <c r="U5715" s="129" t="str">
        <f>IFERROR(IF(#REF!="S",VLOOKUP('Raw Data'!A5715,References!#REF!,2,FALSE),(VLOOKUP($S5715,References!$B$3:$C$7,2,FALSE))),"")</f>
        <v/>
      </c>
      <c r="W5715" s="74" t="str">
        <f>IFERROR(VLOOKUP($O5715,'Customer List'!$A$1:$J$488,10,FALSE),"")</f>
        <v/>
      </c>
    </row>
    <row r="5716" spans="18:23">
      <c r="R5716" s="127">
        <f t="shared" si="253"/>
        <v>0</v>
      </c>
      <c r="T5716" s="128">
        <f t="shared" si="254"/>
        <v>0</v>
      </c>
      <c r="U5716" s="129" t="str">
        <f>IFERROR(IF(#REF!="S",VLOOKUP('Raw Data'!A5716,References!#REF!,2,FALSE),(VLOOKUP($S5716,References!$B$3:$C$7,2,FALSE))),"")</f>
        <v/>
      </c>
      <c r="W5716" s="74" t="str">
        <f>IFERROR(VLOOKUP($O5716,'Customer List'!$A$1:$J$488,10,FALSE),"")</f>
        <v/>
      </c>
    </row>
    <row r="5717" spans="18:23">
      <c r="R5717" s="127">
        <f t="shared" si="253"/>
        <v>0</v>
      </c>
      <c r="T5717" s="128">
        <f t="shared" si="254"/>
        <v>0</v>
      </c>
      <c r="U5717" s="129" t="str">
        <f>IFERROR(IF(#REF!="S",VLOOKUP('Raw Data'!A5717,References!#REF!,2,FALSE),(VLOOKUP($S5717,References!$B$3:$C$7,2,FALSE))),"")</f>
        <v/>
      </c>
      <c r="W5717" s="74" t="str">
        <f>IFERROR(VLOOKUP($O5717,'Customer List'!$A$1:$J$488,10,FALSE),"")</f>
        <v/>
      </c>
    </row>
    <row r="5718" spans="18:23">
      <c r="R5718" s="127">
        <f t="shared" si="253"/>
        <v>0</v>
      </c>
      <c r="T5718" s="128">
        <f t="shared" si="254"/>
        <v>0</v>
      </c>
      <c r="U5718" s="129" t="str">
        <f>IFERROR(IF(#REF!="S",VLOOKUP('Raw Data'!A5718,References!#REF!,2,FALSE),(VLOOKUP($S5718,References!$B$3:$C$7,2,FALSE))),"")</f>
        <v/>
      </c>
      <c r="W5718" s="74" t="str">
        <f>IFERROR(VLOOKUP($O5718,'Customer List'!$A$1:$J$488,10,FALSE),"")</f>
        <v/>
      </c>
    </row>
    <row r="5719" spans="18:23">
      <c r="R5719" s="127">
        <f t="shared" si="253"/>
        <v>0</v>
      </c>
      <c r="T5719" s="128">
        <f t="shared" si="254"/>
        <v>0</v>
      </c>
      <c r="U5719" s="129" t="str">
        <f>IFERROR(IF(#REF!="S",VLOOKUP('Raw Data'!A5719,References!#REF!,2,FALSE),(VLOOKUP($S5719,References!$B$3:$C$7,2,FALSE))),"")</f>
        <v/>
      </c>
      <c r="W5719" s="74" t="str">
        <f>IFERROR(VLOOKUP($O5719,'Customer List'!$A$1:$J$488,10,FALSE),"")</f>
        <v/>
      </c>
    </row>
    <row r="5720" spans="18:23">
      <c r="R5720" s="127">
        <f t="shared" si="253"/>
        <v>0</v>
      </c>
      <c r="T5720" s="128">
        <f t="shared" si="254"/>
        <v>0</v>
      </c>
      <c r="U5720" s="129" t="str">
        <f>IFERROR(IF(#REF!="S",VLOOKUP('Raw Data'!A5720,References!#REF!,2,FALSE),(VLOOKUP($S5720,References!$B$3:$C$7,2,FALSE))),"")</f>
        <v/>
      </c>
      <c r="W5720" s="74" t="str">
        <f>IFERROR(VLOOKUP($O5720,'Customer List'!$A$1:$J$488,10,FALSE),"")</f>
        <v/>
      </c>
    </row>
    <row r="5721" spans="18:23">
      <c r="R5721" s="127">
        <f t="shared" si="253"/>
        <v>0</v>
      </c>
      <c r="T5721" s="128">
        <f t="shared" si="254"/>
        <v>0</v>
      </c>
      <c r="U5721" s="129" t="str">
        <f>IFERROR(IF(#REF!="S",VLOOKUP('Raw Data'!A5721,References!#REF!,2,FALSE),(VLOOKUP($S5721,References!$B$3:$C$7,2,FALSE))),"")</f>
        <v/>
      </c>
      <c r="W5721" s="74" t="str">
        <f>IFERROR(VLOOKUP($O5721,'Customer List'!$A$1:$J$488,10,FALSE),"")</f>
        <v/>
      </c>
    </row>
    <row r="5722" spans="18:23">
      <c r="R5722" s="127">
        <f t="shared" si="253"/>
        <v>0</v>
      </c>
      <c r="T5722" s="128">
        <f t="shared" si="254"/>
        <v>0</v>
      </c>
      <c r="U5722" s="129" t="str">
        <f>IFERROR(IF(#REF!="S",VLOOKUP('Raw Data'!A5722,References!#REF!,2,FALSE),(VLOOKUP($S5722,References!$B$3:$C$7,2,FALSE))),"")</f>
        <v/>
      </c>
      <c r="W5722" s="74" t="str">
        <f>IFERROR(VLOOKUP($O5722,'Customer List'!$A$1:$J$488,10,FALSE),"")</f>
        <v/>
      </c>
    </row>
    <row r="5723" spans="18:23">
      <c r="R5723" s="127">
        <f t="shared" si="253"/>
        <v>0</v>
      </c>
      <c r="T5723" s="128">
        <f t="shared" si="254"/>
        <v>0</v>
      </c>
      <c r="U5723" s="129" t="str">
        <f>IFERROR(IF(#REF!="S",VLOOKUP('Raw Data'!A5723,References!#REF!,2,FALSE),(VLOOKUP($S5723,References!$B$3:$C$7,2,FALSE))),"")</f>
        <v/>
      </c>
      <c r="W5723" s="74" t="str">
        <f>IFERROR(VLOOKUP($O5723,'Customer List'!$A$1:$J$488,10,FALSE),"")</f>
        <v/>
      </c>
    </row>
    <row r="5724" spans="18:23">
      <c r="R5724" s="127">
        <f t="shared" si="253"/>
        <v>0</v>
      </c>
      <c r="T5724" s="128">
        <f t="shared" si="254"/>
        <v>0</v>
      </c>
      <c r="U5724" s="129" t="str">
        <f>IFERROR(IF(#REF!="S",VLOOKUP('Raw Data'!A5724,References!#REF!,2,FALSE),(VLOOKUP($S5724,References!$B$3:$C$7,2,FALSE))),"")</f>
        <v/>
      </c>
      <c r="W5724" s="74" t="str">
        <f>IFERROR(VLOOKUP($O5724,'Customer List'!$A$1:$J$488,10,FALSE),"")</f>
        <v/>
      </c>
    </row>
    <row r="5725" spans="18:23">
      <c r="R5725" s="127">
        <f t="shared" si="253"/>
        <v>0</v>
      </c>
      <c r="T5725" s="128">
        <f t="shared" si="254"/>
        <v>0</v>
      </c>
      <c r="U5725" s="129" t="str">
        <f>IFERROR(IF(#REF!="S",VLOOKUP('Raw Data'!A5725,References!#REF!,2,FALSE),(VLOOKUP($S5725,References!$B$3:$C$7,2,FALSE))),"")</f>
        <v/>
      </c>
      <c r="W5725" s="74" t="str">
        <f>IFERROR(VLOOKUP($O5725,'Customer List'!$A$1:$J$488,10,FALSE),"")</f>
        <v/>
      </c>
    </row>
    <row r="5726" spans="18:23">
      <c r="R5726" s="127">
        <f t="shared" si="253"/>
        <v>0</v>
      </c>
      <c r="T5726" s="128">
        <f t="shared" si="254"/>
        <v>0</v>
      </c>
      <c r="U5726" s="129" t="str">
        <f>IFERROR(IF(#REF!="S",VLOOKUP('Raw Data'!A5726,References!#REF!,2,FALSE),(VLOOKUP($S5726,References!$B$3:$C$7,2,FALSE))),"")</f>
        <v/>
      </c>
      <c r="W5726" s="74" t="str">
        <f>IFERROR(VLOOKUP($O5726,'Customer List'!$A$1:$J$488,10,FALSE),"")</f>
        <v/>
      </c>
    </row>
    <row r="5727" spans="18:23">
      <c r="R5727" s="127">
        <f t="shared" si="253"/>
        <v>0</v>
      </c>
      <c r="T5727" s="128">
        <f t="shared" si="254"/>
        <v>0</v>
      </c>
      <c r="U5727" s="129" t="str">
        <f>IFERROR(IF(#REF!="S",VLOOKUP('Raw Data'!A5727,References!#REF!,2,FALSE),(VLOOKUP($S5727,References!$B$3:$C$7,2,FALSE))),"")</f>
        <v/>
      </c>
      <c r="W5727" s="74" t="str">
        <f>IFERROR(VLOOKUP($O5727,'Customer List'!$A$1:$J$488,10,FALSE),"")</f>
        <v/>
      </c>
    </row>
    <row r="5728" spans="18:23">
      <c r="R5728" s="127">
        <f t="shared" si="253"/>
        <v>0</v>
      </c>
      <c r="T5728" s="128">
        <f t="shared" si="254"/>
        <v>0</v>
      </c>
      <c r="U5728" s="129" t="str">
        <f>IFERROR(IF(#REF!="S",VLOOKUP('Raw Data'!A5728,References!#REF!,2,FALSE),(VLOOKUP($S5728,References!$B$3:$C$7,2,FALSE))),"")</f>
        <v/>
      </c>
      <c r="W5728" s="74" t="str">
        <f>IFERROR(VLOOKUP($O5728,'Customer List'!$A$1:$J$488,10,FALSE),"")</f>
        <v/>
      </c>
    </row>
    <row r="5729" spans="18:23">
      <c r="R5729" s="127">
        <f t="shared" si="253"/>
        <v>0</v>
      </c>
      <c r="T5729" s="128">
        <f t="shared" si="254"/>
        <v>0</v>
      </c>
      <c r="U5729" s="129" t="str">
        <f>IFERROR(IF(#REF!="S",VLOOKUP('Raw Data'!A5729,References!#REF!,2,FALSE),(VLOOKUP($S5729,References!$B$3:$C$7,2,FALSE))),"")</f>
        <v/>
      </c>
      <c r="W5729" s="74" t="str">
        <f>IFERROR(VLOOKUP($O5729,'Customer List'!$A$1:$J$488,10,FALSE),"")</f>
        <v/>
      </c>
    </row>
    <row r="5730" spans="18:23">
      <c r="R5730" s="127">
        <f t="shared" ref="R5730:R5793" si="255">L5730-K5730</f>
        <v>0</v>
      </c>
      <c r="T5730" s="128">
        <f t="shared" si="254"/>
        <v>0</v>
      </c>
      <c r="U5730" s="129" t="str">
        <f>IFERROR(IF(#REF!="S",VLOOKUP('Raw Data'!A5730,References!#REF!,2,FALSE),(VLOOKUP($S5730,References!$B$3:$C$7,2,FALSE))),"")</f>
        <v/>
      </c>
      <c r="W5730" s="74" t="str">
        <f>IFERROR(VLOOKUP($O5730,'Customer List'!$A$1:$J$488,10,FALSE),"")</f>
        <v/>
      </c>
    </row>
    <row r="5731" spans="18:23">
      <c r="R5731" s="127">
        <f t="shared" si="255"/>
        <v>0</v>
      </c>
      <c r="T5731" s="128">
        <f t="shared" si="254"/>
        <v>0</v>
      </c>
      <c r="U5731" s="129" t="str">
        <f>IFERROR(IF(#REF!="S",VLOOKUP('Raw Data'!A5731,References!#REF!,2,FALSE),(VLOOKUP($S5731,References!$B$3:$C$7,2,FALSE))),"")</f>
        <v/>
      </c>
      <c r="W5731" s="74" t="str">
        <f>IFERROR(VLOOKUP($O5731,'Customer List'!$A$1:$J$488,10,FALSE),"")</f>
        <v/>
      </c>
    </row>
    <row r="5732" spans="18:23">
      <c r="R5732" s="127">
        <f t="shared" si="255"/>
        <v>0</v>
      </c>
      <c r="T5732" s="128">
        <f t="shared" si="254"/>
        <v>0</v>
      </c>
      <c r="U5732" s="129" t="str">
        <f>IFERROR(IF(#REF!="S",VLOOKUP('Raw Data'!A5732,References!#REF!,2,FALSE),(VLOOKUP($S5732,References!$B$3:$C$7,2,FALSE))),"")</f>
        <v/>
      </c>
      <c r="W5732" s="74" t="str">
        <f>IFERROR(VLOOKUP($O5732,'Customer List'!$A$1:$J$488,10,FALSE),"")</f>
        <v/>
      </c>
    </row>
    <row r="5733" spans="18:23">
      <c r="R5733" s="127">
        <f t="shared" si="255"/>
        <v>0</v>
      </c>
      <c r="T5733" s="128">
        <f t="shared" si="254"/>
        <v>0</v>
      </c>
      <c r="U5733" s="129" t="str">
        <f>IFERROR(IF(#REF!="S",VLOOKUP('Raw Data'!A5733,References!#REF!,2,FALSE),(VLOOKUP($S5733,References!$B$3:$C$7,2,FALSE))),"")</f>
        <v/>
      </c>
      <c r="W5733" s="74" t="str">
        <f>IFERROR(VLOOKUP($O5733,'Customer List'!$A$1:$J$488,10,FALSE),"")</f>
        <v/>
      </c>
    </row>
    <row r="5734" spans="18:23">
      <c r="R5734" s="127">
        <f t="shared" si="255"/>
        <v>0</v>
      </c>
      <c r="T5734" s="128">
        <f t="shared" si="254"/>
        <v>0</v>
      </c>
      <c r="U5734" s="129" t="str">
        <f>IFERROR(IF(#REF!="S",VLOOKUP('Raw Data'!A5734,References!#REF!,2,FALSE),(VLOOKUP($S5734,References!$B$3:$C$7,2,FALSE))),"")</f>
        <v/>
      </c>
      <c r="W5734" s="74" t="str">
        <f>IFERROR(VLOOKUP($O5734,'Customer List'!$A$1:$J$488,10,FALSE),"")</f>
        <v/>
      </c>
    </row>
    <row r="5735" spans="18:23">
      <c r="R5735" s="127">
        <f t="shared" si="255"/>
        <v>0</v>
      </c>
      <c r="T5735" s="128">
        <f t="shared" si="254"/>
        <v>0</v>
      </c>
      <c r="U5735" s="129" t="str">
        <f>IFERROR(IF(#REF!="S",VLOOKUP('Raw Data'!A5735,References!#REF!,2,FALSE),(VLOOKUP($S5735,References!$B$3:$C$7,2,FALSE))),"")</f>
        <v/>
      </c>
      <c r="W5735" s="74" t="str">
        <f>IFERROR(VLOOKUP($O5735,'Customer List'!$A$1:$J$488,10,FALSE),"")</f>
        <v/>
      </c>
    </row>
    <row r="5736" spans="18:23">
      <c r="R5736" s="127">
        <f t="shared" si="255"/>
        <v>0</v>
      </c>
      <c r="T5736" s="128">
        <f t="shared" si="254"/>
        <v>0</v>
      </c>
      <c r="U5736" s="129" t="str">
        <f>IFERROR(IF(#REF!="S",VLOOKUP('Raw Data'!A5736,References!#REF!,2,FALSE),(VLOOKUP($S5736,References!$B$3:$C$7,2,FALSE))),"")</f>
        <v/>
      </c>
      <c r="W5736" s="74" t="str">
        <f>IFERROR(VLOOKUP($O5736,'Customer List'!$A$1:$J$488,10,FALSE),"")</f>
        <v/>
      </c>
    </row>
    <row r="5737" spans="18:23">
      <c r="R5737" s="127">
        <f t="shared" si="255"/>
        <v>0</v>
      </c>
      <c r="T5737" s="128">
        <f t="shared" si="254"/>
        <v>0</v>
      </c>
      <c r="U5737" s="129" t="str">
        <f>IFERROR(IF(#REF!="S",VLOOKUP('Raw Data'!A5737,References!#REF!,2,FALSE),(VLOOKUP($S5737,References!$B$3:$C$7,2,FALSE))),"")</f>
        <v/>
      </c>
      <c r="W5737" s="74" t="str">
        <f>IFERROR(VLOOKUP($O5737,'Customer List'!$A$1:$J$488,10,FALSE),"")</f>
        <v/>
      </c>
    </row>
    <row r="5738" spans="18:23">
      <c r="R5738" s="127">
        <f t="shared" si="255"/>
        <v>0</v>
      </c>
      <c r="T5738" s="128">
        <f t="shared" si="254"/>
        <v>0</v>
      </c>
      <c r="U5738" s="129" t="str">
        <f>IFERROR(IF(#REF!="S",VLOOKUP('Raw Data'!A5738,References!#REF!,2,FALSE),(VLOOKUP($S5738,References!$B$3:$C$7,2,FALSE))),"")</f>
        <v/>
      </c>
      <c r="W5738" s="74" t="str">
        <f>IFERROR(VLOOKUP($O5738,'Customer List'!$A$1:$J$488,10,FALSE),"")</f>
        <v/>
      </c>
    </row>
    <row r="5739" spans="18:23">
      <c r="R5739" s="127">
        <f t="shared" si="255"/>
        <v>0</v>
      </c>
      <c r="T5739" s="128">
        <f t="shared" si="254"/>
        <v>0</v>
      </c>
      <c r="U5739" s="129" t="str">
        <f>IFERROR(IF(#REF!="S",VLOOKUP('Raw Data'!A5739,References!#REF!,2,FALSE),(VLOOKUP($S5739,References!$B$3:$C$7,2,FALSE))),"")</f>
        <v/>
      </c>
      <c r="W5739" s="74" t="str">
        <f>IFERROR(VLOOKUP($O5739,'Customer List'!$A$1:$J$488,10,FALSE),"")</f>
        <v/>
      </c>
    </row>
    <row r="5740" spans="18:23">
      <c r="R5740" s="127">
        <f t="shared" si="255"/>
        <v>0</v>
      </c>
      <c r="T5740" s="128">
        <f t="shared" si="254"/>
        <v>0</v>
      </c>
      <c r="U5740" s="129" t="str">
        <f>IFERROR(IF(#REF!="S",VLOOKUP('Raw Data'!A5740,References!#REF!,2,FALSE),(VLOOKUP($S5740,References!$B$3:$C$7,2,FALSE))),"")</f>
        <v/>
      </c>
      <c r="W5740" s="74" t="str">
        <f>IFERROR(VLOOKUP($O5740,'Customer List'!$A$1:$J$488,10,FALSE),"")</f>
        <v/>
      </c>
    </row>
    <row r="5741" spans="18:23">
      <c r="R5741" s="127">
        <f t="shared" si="255"/>
        <v>0</v>
      </c>
      <c r="T5741" s="128">
        <f t="shared" si="254"/>
        <v>0</v>
      </c>
      <c r="U5741" s="129" t="str">
        <f>IFERROR(IF(#REF!="S",VLOOKUP('Raw Data'!A5741,References!#REF!,2,FALSE),(VLOOKUP($S5741,References!$B$3:$C$7,2,FALSE))),"")</f>
        <v/>
      </c>
      <c r="W5741" s="74" t="str">
        <f>IFERROR(VLOOKUP($O5741,'Customer List'!$A$1:$J$488,10,FALSE),"")</f>
        <v/>
      </c>
    </row>
    <row r="5742" spans="18:23">
      <c r="R5742" s="127">
        <f t="shared" si="255"/>
        <v>0</v>
      </c>
      <c r="T5742" s="128">
        <f t="shared" si="254"/>
        <v>0</v>
      </c>
      <c r="U5742" s="129" t="str">
        <f>IFERROR(IF(#REF!="S",VLOOKUP('Raw Data'!A5742,References!#REF!,2,FALSE),(VLOOKUP($S5742,References!$B$3:$C$7,2,FALSE))),"")</f>
        <v/>
      </c>
      <c r="W5742" s="74" t="str">
        <f>IFERROR(VLOOKUP($O5742,'Customer List'!$A$1:$J$488,10,FALSE),"")</f>
        <v/>
      </c>
    </row>
    <row r="5743" spans="18:23">
      <c r="R5743" s="127">
        <f t="shared" si="255"/>
        <v>0</v>
      </c>
      <c r="T5743" s="128">
        <f t="shared" si="254"/>
        <v>0</v>
      </c>
      <c r="U5743" s="129" t="str">
        <f>IFERROR(IF(#REF!="S",VLOOKUP('Raw Data'!A5743,References!#REF!,2,FALSE),(VLOOKUP($S5743,References!$B$3:$C$7,2,FALSE))),"")</f>
        <v/>
      </c>
      <c r="W5743" s="74" t="str">
        <f>IFERROR(VLOOKUP($O5743,'Customer List'!$A$1:$J$488,10,FALSE),"")</f>
        <v/>
      </c>
    </row>
    <row r="5744" spans="18:23">
      <c r="R5744" s="127">
        <f t="shared" si="255"/>
        <v>0</v>
      </c>
      <c r="T5744" s="128">
        <f t="shared" si="254"/>
        <v>0</v>
      </c>
      <c r="U5744" s="129" t="str">
        <f>IFERROR(IF(#REF!="S",VLOOKUP('Raw Data'!A5744,References!#REF!,2,FALSE),(VLOOKUP($S5744,References!$B$3:$C$7,2,FALSE))),"")</f>
        <v/>
      </c>
      <c r="W5744" s="74" t="str">
        <f>IFERROR(VLOOKUP($O5744,'Customer List'!$A$1:$J$488,10,FALSE),"")</f>
        <v/>
      </c>
    </row>
    <row r="5745" spans="18:23">
      <c r="R5745" s="127">
        <f t="shared" si="255"/>
        <v>0</v>
      </c>
      <c r="T5745" s="128">
        <f t="shared" si="254"/>
        <v>0</v>
      </c>
      <c r="U5745" s="129" t="str">
        <f>IFERROR(IF(#REF!="S",VLOOKUP('Raw Data'!A5745,References!#REF!,2,FALSE),(VLOOKUP($S5745,References!$B$3:$C$7,2,FALSE))),"")</f>
        <v/>
      </c>
      <c r="W5745" s="74" t="str">
        <f>IFERROR(VLOOKUP($O5745,'Customer List'!$A$1:$J$488,10,FALSE),"")</f>
        <v/>
      </c>
    </row>
    <row r="5746" spans="18:23">
      <c r="R5746" s="127">
        <f t="shared" si="255"/>
        <v>0</v>
      </c>
      <c r="T5746" s="128">
        <f t="shared" si="254"/>
        <v>0</v>
      </c>
      <c r="U5746" s="129" t="str">
        <f>IFERROR(IF(#REF!="S",VLOOKUP('Raw Data'!A5746,References!#REF!,2,FALSE),(VLOOKUP($S5746,References!$B$3:$C$7,2,FALSE))),"")</f>
        <v/>
      </c>
      <c r="W5746" s="74" t="str">
        <f>IFERROR(VLOOKUP($O5746,'Customer List'!$A$1:$J$488,10,FALSE),"")</f>
        <v/>
      </c>
    </row>
    <row r="5747" spans="18:23">
      <c r="R5747" s="127">
        <f t="shared" si="255"/>
        <v>0</v>
      </c>
      <c r="T5747" s="128">
        <f t="shared" si="254"/>
        <v>0</v>
      </c>
      <c r="U5747" s="129" t="str">
        <f>IFERROR(IF(#REF!="S",VLOOKUP('Raw Data'!A5747,References!#REF!,2,FALSE),(VLOOKUP($S5747,References!$B$3:$C$7,2,FALSE))),"")</f>
        <v/>
      </c>
      <c r="W5747" s="74" t="str">
        <f>IFERROR(VLOOKUP($O5747,'Customer List'!$A$1:$J$488,10,FALSE),"")</f>
        <v/>
      </c>
    </row>
    <row r="5748" spans="18:23">
      <c r="R5748" s="127">
        <f t="shared" si="255"/>
        <v>0</v>
      </c>
      <c r="T5748" s="128">
        <f t="shared" si="254"/>
        <v>0</v>
      </c>
      <c r="U5748" s="129" t="str">
        <f>IFERROR(IF(#REF!="S",VLOOKUP('Raw Data'!A5748,References!#REF!,2,FALSE),(VLOOKUP($S5748,References!$B$3:$C$7,2,FALSE))),"")</f>
        <v/>
      </c>
      <c r="W5748" s="74" t="str">
        <f>IFERROR(VLOOKUP($O5748,'Customer List'!$A$1:$J$488,10,FALSE),"")</f>
        <v/>
      </c>
    </row>
    <row r="5749" spans="18:23">
      <c r="R5749" s="127">
        <f t="shared" si="255"/>
        <v>0</v>
      </c>
      <c r="T5749" s="128">
        <f t="shared" si="254"/>
        <v>0</v>
      </c>
      <c r="U5749" s="129" t="str">
        <f>IFERROR(IF(#REF!="S",VLOOKUP('Raw Data'!A5749,References!#REF!,2,FALSE),(VLOOKUP($S5749,References!$B$3:$C$7,2,FALSE))),"")</f>
        <v/>
      </c>
      <c r="W5749" s="74" t="str">
        <f>IFERROR(VLOOKUP($O5749,'Customer List'!$A$1:$J$488,10,FALSE),"")</f>
        <v/>
      </c>
    </row>
    <row r="5750" spans="18:23">
      <c r="R5750" s="127">
        <f t="shared" si="255"/>
        <v>0</v>
      </c>
      <c r="T5750" s="128">
        <f t="shared" si="254"/>
        <v>0</v>
      </c>
      <c r="U5750" s="129" t="str">
        <f>IFERROR(IF(#REF!="S",VLOOKUP('Raw Data'!A5750,References!#REF!,2,FALSE),(VLOOKUP($S5750,References!$B$3:$C$7,2,FALSE))),"")</f>
        <v/>
      </c>
      <c r="W5750" s="74" t="str">
        <f>IFERROR(VLOOKUP($O5750,'Customer List'!$A$1:$J$488,10,FALSE),"")</f>
        <v/>
      </c>
    </row>
    <row r="5751" spans="18:23">
      <c r="R5751" s="127">
        <f t="shared" si="255"/>
        <v>0</v>
      </c>
      <c r="T5751" s="128">
        <f t="shared" si="254"/>
        <v>0</v>
      </c>
      <c r="U5751" s="129" t="str">
        <f>IFERROR(IF(#REF!="S",VLOOKUP('Raw Data'!A5751,References!#REF!,2,FALSE),(VLOOKUP($S5751,References!$B$3:$C$7,2,FALSE))),"")</f>
        <v/>
      </c>
      <c r="W5751" s="74" t="str">
        <f>IFERROR(VLOOKUP($O5751,'Customer List'!$A$1:$J$488,10,FALSE),"")</f>
        <v/>
      </c>
    </row>
    <row r="5752" spans="18:23">
      <c r="R5752" s="127">
        <f t="shared" si="255"/>
        <v>0</v>
      </c>
      <c r="T5752" s="128">
        <f t="shared" si="254"/>
        <v>0</v>
      </c>
      <c r="U5752" s="129" t="str">
        <f>IFERROR(IF(#REF!="S",VLOOKUP('Raw Data'!A5752,References!#REF!,2,FALSE),(VLOOKUP($S5752,References!$B$3:$C$7,2,FALSE))),"")</f>
        <v/>
      </c>
      <c r="W5752" s="74" t="str">
        <f>IFERROR(VLOOKUP($O5752,'Customer List'!$A$1:$J$488,10,FALSE),"")</f>
        <v/>
      </c>
    </row>
    <row r="5753" spans="18:23">
      <c r="R5753" s="127">
        <f t="shared" si="255"/>
        <v>0</v>
      </c>
      <c r="T5753" s="128">
        <f t="shared" si="254"/>
        <v>0</v>
      </c>
      <c r="U5753" s="129" t="str">
        <f>IFERROR(IF(#REF!="S",VLOOKUP('Raw Data'!A5753,References!#REF!,2,FALSE),(VLOOKUP($S5753,References!$B$3:$C$7,2,FALSE))),"")</f>
        <v/>
      </c>
      <c r="W5753" s="74" t="str">
        <f>IFERROR(VLOOKUP($O5753,'Customer List'!$A$1:$J$488,10,FALSE),"")</f>
        <v/>
      </c>
    </row>
    <row r="5754" spans="18:23">
      <c r="R5754" s="127">
        <f t="shared" si="255"/>
        <v>0</v>
      </c>
      <c r="T5754" s="128">
        <f t="shared" si="254"/>
        <v>0</v>
      </c>
      <c r="U5754" s="129" t="str">
        <f>IFERROR(IF(#REF!="S",VLOOKUP('Raw Data'!A5754,References!#REF!,2,FALSE),(VLOOKUP($S5754,References!$B$3:$C$7,2,FALSE))),"")</f>
        <v/>
      </c>
      <c r="W5754" s="74" t="str">
        <f>IFERROR(VLOOKUP($O5754,'Customer List'!$A$1:$J$488,10,FALSE),"")</f>
        <v/>
      </c>
    </row>
    <row r="5755" spans="18:23">
      <c r="R5755" s="127">
        <f t="shared" si="255"/>
        <v>0</v>
      </c>
      <c r="T5755" s="128">
        <f t="shared" si="254"/>
        <v>0</v>
      </c>
      <c r="U5755" s="129" t="str">
        <f>IFERROR(IF(#REF!="S",VLOOKUP('Raw Data'!A5755,References!#REF!,2,FALSE),(VLOOKUP($S5755,References!$B$3:$C$7,2,FALSE))),"")</f>
        <v/>
      </c>
      <c r="W5755" s="74" t="str">
        <f>IFERROR(VLOOKUP($O5755,'Customer List'!$A$1:$J$488,10,FALSE),"")</f>
        <v/>
      </c>
    </row>
    <row r="5756" spans="18:23">
      <c r="R5756" s="127">
        <f t="shared" si="255"/>
        <v>0</v>
      </c>
      <c r="T5756" s="128">
        <f t="shared" si="254"/>
        <v>0</v>
      </c>
      <c r="U5756" s="129" t="str">
        <f>IFERROR(IF(#REF!="S",VLOOKUP('Raw Data'!A5756,References!#REF!,2,FALSE),(VLOOKUP($S5756,References!$B$3:$C$7,2,FALSE))),"")</f>
        <v/>
      </c>
      <c r="W5756" s="74" t="str">
        <f>IFERROR(VLOOKUP($O5756,'Customer List'!$A$1:$J$488,10,FALSE),"")</f>
        <v/>
      </c>
    </row>
    <row r="5757" spans="18:23">
      <c r="R5757" s="127">
        <f t="shared" si="255"/>
        <v>0</v>
      </c>
      <c r="T5757" s="128">
        <f t="shared" si="254"/>
        <v>0</v>
      </c>
      <c r="U5757" s="129" t="str">
        <f>IFERROR(IF(#REF!="S",VLOOKUP('Raw Data'!A5757,References!#REF!,2,FALSE),(VLOOKUP($S5757,References!$B$3:$C$7,2,FALSE))),"")</f>
        <v/>
      </c>
      <c r="W5757" s="74" t="str">
        <f>IFERROR(VLOOKUP($O5757,'Customer List'!$A$1:$J$488,10,FALSE),"")</f>
        <v/>
      </c>
    </row>
    <row r="5758" spans="18:23">
      <c r="R5758" s="127">
        <f t="shared" si="255"/>
        <v>0</v>
      </c>
      <c r="T5758" s="128">
        <f t="shared" si="254"/>
        <v>0</v>
      </c>
      <c r="U5758" s="129" t="str">
        <f>IFERROR(IF(#REF!="S",VLOOKUP('Raw Data'!A5758,References!#REF!,2,FALSE),(VLOOKUP($S5758,References!$B$3:$C$7,2,FALSE))),"")</f>
        <v/>
      </c>
      <c r="W5758" s="74" t="str">
        <f>IFERROR(VLOOKUP($O5758,'Customer List'!$A$1:$J$488,10,FALSE),"")</f>
        <v/>
      </c>
    </row>
    <row r="5759" spans="18:23">
      <c r="R5759" s="127">
        <f t="shared" si="255"/>
        <v>0</v>
      </c>
      <c r="T5759" s="128">
        <f t="shared" si="254"/>
        <v>0</v>
      </c>
      <c r="U5759" s="129" t="str">
        <f>IFERROR(IF(#REF!="S",VLOOKUP('Raw Data'!A5759,References!#REF!,2,FALSE),(VLOOKUP($S5759,References!$B$3:$C$7,2,FALSE))),"")</f>
        <v/>
      </c>
      <c r="W5759" s="74" t="str">
        <f>IFERROR(VLOOKUP($O5759,'Customer List'!$A$1:$J$488,10,FALSE),"")</f>
        <v/>
      </c>
    </row>
    <row r="5760" spans="18:23">
      <c r="R5760" s="127">
        <f t="shared" si="255"/>
        <v>0</v>
      </c>
      <c r="T5760" s="128">
        <f t="shared" si="254"/>
        <v>0</v>
      </c>
      <c r="U5760" s="129" t="str">
        <f>IFERROR(IF(#REF!="S",VLOOKUP('Raw Data'!A5760,References!#REF!,2,FALSE),(VLOOKUP($S5760,References!$B$3:$C$7,2,FALSE))),"")</f>
        <v/>
      </c>
      <c r="W5760" s="74" t="str">
        <f>IFERROR(VLOOKUP($O5760,'Customer List'!$A$1:$J$488,10,FALSE),"")</f>
        <v/>
      </c>
    </row>
    <row r="5761" spans="18:23">
      <c r="R5761" s="127">
        <f t="shared" si="255"/>
        <v>0</v>
      </c>
      <c r="T5761" s="128">
        <f t="shared" si="254"/>
        <v>0</v>
      </c>
      <c r="U5761" s="129" t="str">
        <f>IFERROR(IF(#REF!="S",VLOOKUP('Raw Data'!A5761,References!#REF!,2,FALSE),(VLOOKUP($S5761,References!$B$3:$C$7,2,FALSE))),"")</f>
        <v/>
      </c>
      <c r="W5761" s="74" t="str">
        <f>IFERROR(VLOOKUP($O5761,'Customer List'!$A$1:$J$488,10,FALSE),"")</f>
        <v/>
      </c>
    </row>
    <row r="5762" spans="18:23">
      <c r="R5762" s="127">
        <f t="shared" si="255"/>
        <v>0</v>
      </c>
      <c r="T5762" s="128">
        <f t="shared" si="254"/>
        <v>0</v>
      </c>
      <c r="U5762" s="129" t="str">
        <f>IFERROR(IF(#REF!="S",VLOOKUP('Raw Data'!A5762,References!#REF!,2,FALSE),(VLOOKUP($S5762,References!$B$3:$C$7,2,FALSE))),"")</f>
        <v/>
      </c>
      <c r="W5762" s="74" t="str">
        <f>IFERROR(VLOOKUP($O5762,'Customer List'!$A$1:$J$488,10,FALSE),"")</f>
        <v/>
      </c>
    </row>
    <row r="5763" spans="18:23">
      <c r="R5763" s="127">
        <f t="shared" si="255"/>
        <v>0</v>
      </c>
      <c r="T5763" s="128">
        <f t="shared" si="254"/>
        <v>0</v>
      </c>
      <c r="U5763" s="129" t="str">
        <f>IFERROR(IF(#REF!="S",VLOOKUP('Raw Data'!A5763,References!#REF!,2,FALSE),(VLOOKUP($S5763,References!$B$3:$C$7,2,FALSE))),"")</f>
        <v/>
      </c>
      <c r="W5763" s="74" t="str">
        <f>IFERROR(VLOOKUP($O5763,'Customer List'!$A$1:$J$488,10,FALSE),"")</f>
        <v/>
      </c>
    </row>
    <row r="5764" spans="18:23">
      <c r="R5764" s="127">
        <f t="shared" si="255"/>
        <v>0</v>
      </c>
      <c r="T5764" s="128">
        <f t="shared" si="254"/>
        <v>0</v>
      </c>
      <c r="U5764" s="129" t="str">
        <f>IFERROR(IF(#REF!="S",VLOOKUP('Raw Data'!A5764,References!#REF!,2,FALSE),(VLOOKUP($S5764,References!$B$3:$C$7,2,FALSE))),"")</f>
        <v/>
      </c>
      <c r="W5764" s="74" t="str">
        <f>IFERROR(VLOOKUP($O5764,'Customer List'!$A$1:$J$488,10,FALSE),"")</f>
        <v/>
      </c>
    </row>
    <row r="5765" spans="18:23">
      <c r="R5765" s="127">
        <f t="shared" si="255"/>
        <v>0</v>
      </c>
      <c r="T5765" s="128">
        <f t="shared" si="254"/>
        <v>0</v>
      </c>
      <c r="U5765" s="129" t="str">
        <f>IFERROR(IF(#REF!="S",VLOOKUP('Raw Data'!A5765,References!#REF!,2,FALSE),(VLOOKUP($S5765,References!$B$3:$C$7,2,FALSE))),"")</f>
        <v/>
      </c>
      <c r="W5765" s="74" t="str">
        <f>IFERROR(VLOOKUP($O5765,'Customer List'!$A$1:$J$488,10,FALSE),"")</f>
        <v/>
      </c>
    </row>
    <row r="5766" spans="18:23">
      <c r="R5766" s="127">
        <f t="shared" si="255"/>
        <v>0</v>
      </c>
      <c r="T5766" s="128">
        <f t="shared" si="254"/>
        <v>0</v>
      </c>
      <c r="U5766" s="129" t="str">
        <f>IFERROR(IF(#REF!="S",VLOOKUP('Raw Data'!A5766,References!#REF!,2,FALSE),(VLOOKUP($S5766,References!$B$3:$C$7,2,FALSE))),"")</f>
        <v/>
      </c>
      <c r="W5766" s="74" t="str">
        <f>IFERROR(VLOOKUP($O5766,'Customer List'!$A$1:$J$488,10,FALSE),"")</f>
        <v/>
      </c>
    </row>
    <row r="5767" spans="18:23">
      <c r="R5767" s="127">
        <f t="shared" si="255"/>
        <v>0</v>
      </c>
      <c r="T5767" s="128">
        <f t="shared" si="254"/>
        <v>0</v>
      </c>
      <c r="U5767" s="129" t="str">
        <f>IFERROR(IF(#REF!="S",VLOOKUP('Raw Data'!A5767,References!#REF!,2,FALSE),(VLOOKUP($S5767,References!$B$3:$C$7,2,FALSE))),"")</f>
        <v/>
      </c>
      <c r="W5767" s="74" t="str">
        <f>IFERROR(VLOOKUP($O5767,'Customer List'!$A$1:$J$488,10,FALSE),"")</f>
        <v/>
      </c>
    </row>
    <row r="5768" spans="18:23">
      <c r="R5768" s="127">
        <f t="shared" si="255"/>
        <v>0</v>
      </c>
      <c r="T5768" s="128">
        <f t="shared" si="254"/>
        <v>0</v>
      </c>
      <c r="U5768" s="129" t="str">
        <f>IFERROR(IF(#REF!="S",VLOOKUP('Raw Data'!A5768,References!#REF!,2,FALSE),(VLOOKUP($S5768,References!$B$3:$C$7,2,FALSE))),"")</f>
        <v/>
      </c>
      <c r="W5768" s="74" t="str">
        <f>IFERROR(VLOOKUP($O5768,'Customer List'!$A$1:$J$488,10,FALSE),"")</f>
        <v/>
      </c>
    </row>
    <row r="5769" spans="18:23">
      <c r="R5769" s="127">
        <f t="shared" si="255"/>
        <v>0</v>
      </c>
      <c r="T5769" s="128">
        <f t="shared" si="254"/>
        <v>0</v>
      </c>
      <c r="U5769" s="129" t="str">
        <f>IFERROR(IF(#REF!="S",VLOOKUP('Raw Data'!A5769,References!#REF!,2,FALSE),(VLOOKUP($S5769,References!$B$3:$C$7,2,FALSE))),"")</f>
        <v/>
      </c>
      <c r="W5769" s="74" t="str">
        <f>IFERROR(VLOOKUP($O5769,'Customer List'!$A$1:$J$488,10,FALSE),"")</f>
        <v/>
      </c>
    </row>
    <row r="5770" spans="18:23">
      <c r="R5770" s="127">
        <f t="shared" si="255"/>
        <v>0</v>
      </c>
      <c r="T5770" s="128">
        <f t="shared" ref="T5770:T5833" si="256">IF(S5770="50 - Cleaning Fee",1,HOUR($R5770)+MINUTE(R5770)/60)</f>
        <v>0</v>
      </c>
      <c r="U5770" s="129" t="str">
        <f>IFERROR(IF(#REF!="S",VLOOKUP('Raw Data'!A5770,References!#REF!,2,FALSE),(VLOOKUP($S5770,References!$B$3:$C$7,2,FALSE))),"")</f>
        <v/>
      </c>
      <c r="W5770" s="74" t="str">
        <f>IFERROR(VLOOKUP($O5770,'Customer List'!$A$1:$J$488,10,FALSE),"")</f>
        <v/>
      </c>
    </row>
    <row r="5771" spans="18:23">
      <c r="R5771" s="127">
        <f t="shared" si="255"/>
        <v>0</v>
      </c>
      <c r="T5771" s="128">
        <f t="shared" si="256"/>
        <v>0</v>
      </c>
      <c r="U5771" s="129" t="str">
        <f>IFERROR(IF(#REF!="S",VLOOKUP('Raw Data'!A5771,References!#REF!,2,FALSE),(VLOOKUP($S5771,References!$B$3:$C$7,2,FALSE))),"")</f>
        <v/>
      </c>
      <c r="W5771" s="74" t="str">
        <f>IFERROR(VLOOKUP($O5771,'Customer List'!$A$1:$J$488,10,FALSE),"")</f>
        <v/>
      </c>
    </row>
    <row r="5772" spans="18:23">
      <c r="R5772" s="127">
        <f t="shared" si="255"/>
        <v>0</v>
      </c>
      <c r="T5772" s="128">
        <f t="shared" si="256"/>
        <v>0</v>
      </c>
      <c r="U5772" s="129" t="str">
        <f>IFERROR(IF(#REF!="S",VLOOKUP('Raw Data'!A5772,References!#REF!,2,FALSE),(VLOOKUP($S5772,References!$B$3:$C$7,2,FALSE))),"")</f>
        <v/>
      </c>
      <c r="W5772" s="74" t="str">
        <f>IFERROR(VLOOKUP($O5772,'Customer List'!$A$1:$J$488,10,FALSE),"")</f>
        <v/>
      </c>
    </row>
    <row r="5773" spans="18:23">
      <c r="R5773" s="127">
        <f t="shared" si="255"/>
        <v>0</v>
      </c>
      <c r="T5773" s="128">
        <f t="shared" si="256"/>
        <v>0</v>
      </c>
      <c r="U5773" s="129" t="str">
        <f>IFERROR(IF(#REF!="S",VLOOKUP('Raw Data'!A5773,References!#REF!,2,FALSE),(VLOOKUP($S5773,References!$B$3:$C$7,2,FALSE))),"")</f>
        <v/>
      </c>
      <c r="W5773" s="74" t="str">
        <f>IFERROR(VLOOKUP($O5773,'Customer List'!$A$1:$J$488,10,FALSE),"")</f>
        <v/>
      </c>
    </row>
    <row r="5774" spans="18:23">
      <c r="R5774" s="127">
        <f t="shared" si="255"/>
        <v>0</v>
      </c>
      <c r="T5774" s="128">
        <f t="shared" si="256"/>
        <v>0</v>
      </c>
      <c r="U5774" s="129" t="str">
        <f>IFERROR(IF(#REF!="S",VLOOKUP('Raw Data'!A5774,References!#REF!,2,FALSE),(VLOOKUP($S5774,References!$B$3:$C$7,2,FALSE))),"")</f>
        <v/>
      </c>
      <c r="W5774" s="74" t="str">
        <f>IFERROR(VLOOKUP($O5774,'Customer List'!$A$1:$J$488,10,FALSE),"")</f>
        <v/>
      </c>
    </row>
    <row r="5775" spans="18:23">
      <c r="R5775" s="127">
        <f t="shared" si="255"/>
        <v>0</v>
      </c>
      <c r="T5775" s="128">
        <f t="shared" si="256"/>
        <v>0</v>
      </c>
      <c r="U5775" s="129" t="str">
        <f>IFERROR(IF(#REF!="S",VLOOKUP('Raw Data'!A5775,References!#REF!,2,FALSE),(VLOOKUP($S5775,References!$B$3:$C$7,2,FALSE))),"")</f>
        <v/>
      </c>
      <c r="W5775" s="74" t="str">
        <f>IFERROR(VLOOKUP($O5775,'Customer List'!$A$1:$J$488,10,FALSE),"")</f>
        <v/>
      </c>
    </row>
    <row r="5776" spans="18:23">
      <c r="R5776" s="127">
        <f t="shared" si="255"/>
        <v>0</v>
      </c>
      <c r="T5776" s="128">
        <f t="shared" si="256"/>
        <v>0</v>
      </c>
      <c r="U5776" s="129" t="str">
        <f>IFERROR(IF(#REF!="S",VLOOKUP('Raw Data'!A5776,References!#REF!,2,FALSE),(VLOOKUP($S5776,References!$B$3:$C$7,2,FALSE))),"")</f>
        <v/>
      </c>
      <c r="W5776" s="74" t="str">
        <f>IFERROR(VLOOKUP($O5776,'Customer List'!$A$1:$J$488,10,FALSE),"")</f>
        <v/>
      </c>
    </row>
    <row r="5777" spans="18:23">
      <c r="R5777" s="127">
        <f t="shared" si="255"/>
        <v>0</v>
      </c>
      <c r="T5777" s="128">
        <f t="shared" si="256"/>
        <v>0</v>
      </c>
      <c r="U5777" s="129" t="str">
        <f>IFERROR(IF(#REF!="S",VLOOKUP('Raw Data'!A5777,References!#REF!,2,FALSE),(VLOOKUP($S5777,References!$B$3:$C$7,2,FALSE))),"")</f>
        <v/>
      </c>
      <c r="W5777" s="74" t="str">
        <f>IFERROR(VLOOKUP($O5777,'Customer List'!$A$1:$J$488,10,FALSE),"")</f>
        <v/>
      </c>
    </row>
    <row r="5778" spans="18:23">
      <c r="R5778" s="127">
        <f t="shared" si="255"/>
        <v>0</v>
      </c>
      <c r="T5778" s="128">
        <f t="shared" si="256"/>
        <v>0</v>
      </c>
      <c r="U5778" s="129" t="str">
        <f>IFERROR(IF(#REF!="S",VLOOKUP('Raw Data'!A5778,References!#REF!,2,FALSE),(VLOOKUP($S5778,References!$B$3:$C$7,2,FALSE))),"")</f>
        <v/>
      </c>
      <c r="W5778" s="74" t="str">
        <f>IFERROR(VLOOKUP($O5778,'Customer List'!$A$1:$J$488,10,FALSE),"")</f>
        <v/>
      </c>
    </row>
    <row r="5779" spans="18:23">
      <c r="R5779" s="127">
        <f t="shared" si="255"/>
        <v>0</v>
      </c>
      <c r="T5779" s="128">
        <f t="shared" si="256"/>
        <v>0</v>
      </c>
      <c r="U5779" s="129" t="str">
        <f>IFERROR(IF(#REF!="S",VLOOKUP('Raw Data'!A5779,References!#REF!,2,FALSE),(VLOOKUP($S5779,References!$B$3:$C$7,2,FALSE))),"")</f>
        <v/>
      </c>
      <c r="W5779" s="74" t="str">
        <f>IFERROR(VLOOKUP($O5779,'Customer List'!$A$1:$J$488,10,FALSE),"")</f>
        <v/>
      </c>
    </row>
    <row r="5780" spans="18:23">
      <c r="R5780" s="127">
        <f t="shared" si="255"/>
        <v>0</v>
      </c>
      <c r="T5780" s="128">
        <f t="shared" si="256"/>
        <v>0</v>
      </c>
      <c r="U5780" s="129" t="str">
        <f>IFERROR(IF(#REF!="S",VLOOKUP('Raw Data'!A5780,References!#REF!,2,FALSE),(VLOOKUP($S5780,References!$B$3:$C$7,2,FALSE))),"")</f>
        <v/>
      </c>
      <c r="W5780" s="74" t="str">
        <f>IFERROR(VLOOKUP($O5780,'Customer List'!$A$1:$J$488,10,FALSE),"")</f>
        <v/>
      </c>
    </row>
    <row r="5781" spans="18:23">
      <c r="R5781" s="127">
        <f t="shared" si="255"/>
        <v>0</v>
      </c>
      <c r="T5781" s="128">
        <f t="shared" si="256"/>
        <v>0</v>
      </c>
      <c r="U5781" s="129" t="str">
        <f>IFERROR(IF(#REF!="S",VLOOKUP('Raw Data'!A5781,References!#REF!,2,FALSE),(VLOOKUP($S5781,References!$B$3:$C$7,2,FALSE))),"")</f>
        <v/>
      </c>
      <c r="W5781" s="74" t="str">
        <f>IFERROR(VLOOKUP($O5781,'Customer List'!$A$1:$J$488,10,FALSE),"")</f>
        <v/>
      </c>
    </row>
    <row r="5782" spans="18:23">
      <c r="R5782" s="127">
        <f t="shared" si="255"/>
        <v>0</v>
      </c>
      <c r="T5782" s="128">
        <f t="shared" si="256"/>
        <v>0</v>
      </c>
      <c r="U5782" s="129" t="str">
        <f>IFERROR(IF(#REF!="S",VLOOKUP('Raw Data'!A5782,References!#REF!,2,FALSE),(VLOOKUP($S5782,References!$B$3:$C$7,2,FALSE))),"")</f>
        <v/>
      </c>
      <c r="W5782" s="74" t="str">
        <f>IFERROR(VLOOKUP($O5782,'Customer List'!$A$1:$J$488,10,FALSE),"")</f>
        <v/>
      </c>
    </row>
    <row r="5783" spans="18:23">
      <c r="R5783" s="127">
        <f t="shared" si="255"/>
        <v>0</v>
      </c>
      <c r="T5783" s="128">
        <f t="shared" si="256"/>
        <v>0</v>
      </c>
      <c r="U5783" s="129" t="str">
        <f>IFERROR(IF(#REF!="S",VLOOKUP('Raw Data'!A5783,References!#REF!,2,FALSE),(VLOOKUP($S5783,References!$B$3:$C$7,2,FALSE))),"")</f>
        <v/>
      </c>
      <c r="W5783" s="74" t="str">
        <f>IFERROR(VLOOKUP($O5783,'Customer List'!$A$1:$J$488,10,FALSE),"")</f>
        <v/>
      </c>
    </row>
    <row r="5784" spans="18:23">
      <c r="R5784" s="127">
        <f t="shared" si="255"/>
        <v>0</v>
      </c>
      <c r="T5784" s="128">
        <f t="shared" si="256"/>
        <v>0</v>
      </c>
      <c r="U5784" s="129" t="str">
        <f>IFERROR(IF(#REF!="S",VLOOKUP('Raw Data'!A5784,References!#REF!,2,FALSE),(VLOOKUP($S5784,References!$B$3:$C$7,2,FALSE))),"")</f>
        <v/>
      </c>
      <c r="W5784" s="74" t="str">
        <f>IFERROR(VLOOKUP($O5784,'Customer List'!$A$1:$J$488,10,FALSE),"")</f>
        <v/>
      </c>
    </row>
    <row r="5785" spans="18:23">
      <c r="R5785" s="127">
        <f t="shared" si="255"/>
        <v>0</v>
      </c>
      <c r="T5785" s="128">
        <f t="shared" si="256"/>
        <v>0</v>
      </c>
      <c r="U5785" s="129" t="str">
        <f>IFERROR(IF(#REF!="S",VLOOKUP('Raw Data'!A5785,References!#REF!,2,FALSE),(VLOOKUP($S5785,References!$B$3:$C$7,2,FALSE))),"")</f>
        <v/>
      </c>
      <c r="W5785" s="74" t="str">
        <f>IFERROR(VLOOKUP($O5785,'Customer List'!$A$1:$J$488,10,FALSE),"")</f>
        <v/>
      </c>
    </row>
    <row r="5786" spans="18:23">
      <c r="R5786" s="127">
        <f t="shared" si="255"/>
        <v>0</v>
      </c>
      <c r="T5786" s="128">
        <f t="shared" si="256"/>
        <v>0</v>
      </c>
      <c r="U5786" s="129" t="str">
        <f>IFERROR(IF(#REF!="S",VLOOKUP('Raw Data'!A5786,References!#REF!,2,FALSE),(VLOOKUP($S5786,References!$B$3:$C$7,2,FALSE))),"")</f>
        <v/>
      </c>
      <c r="W5786" s="74" t="str">
        <f>IFERROR(VLOOKUP($O5786,'Customer List'!$A$1:$J$488,10,FALSE),"")</f>
        <v/>
      </c>
    </row>
    <row r="5787" spans="18:23">
      <c r="R5787" s="127">
        <f t="shared" si="255"/>
        <v>0</v>
      </c>
      <c r="T5787" s="128">
        <f t="shared" si="256"/>
        <v>0</v>
      </c>
      <c r="U5787" s="129" t="str">
        <f>IFERROR(IF(#REF!="S",VLOOKUP('Raw Data'!A5787,References!#REF!,2,FALSE),(VLOOKUP($S5787,References!$B$3:$C$7,2,FALSE))),"")</f>
        <v/>
      </c>
      <c r="W5787" s="74" t="str">
        <f>IFERROR(VLOOKUP($O5787,'Customer List'!$A$1:$J$488,10,FALSE),"")</f>
        <v/>
      </c>
    </row>
    <row r="5788" spans="18:23">
      <c r="R5788" s="127">
        <f t="shared" si="255"/>
        <v>0</v>
      </c>
      <c r="T5788" s="128">
        <f t="shared" si="256"/>
        <v>0</v>
      </c>
      <c r="U5788" s="129" t="str">
        <f>IFERROR(IF(#REF!="S",VLOOKUP('Raw Data'!A5788,References!#REF!,2,FALSE),(VLOOKUP($S5788,References!$B$3:$C$7,2,FALSE))),"")</f>
        <v/>
      </c>
      <c r="W5788" s="74" t="str">
        <f>IFERROR(VLOOKUP($O5788,'Customer List'!$A$1:$J$488,10,FALSE),"")</f>
        <v/>
      </c>
    </row>
    <row r="5789" spans="18:23">
      <c r="R5789" s="127">
        <f t="shared" si="255"/>
        <v>0</v>
      </c>
      <c r="T5789" s="128">
        <f t="shared" si="256"/>
        <v>0</v>
      </c>
      <c r="U5789" s="129" t="str">
        <f>IFERROR(IF(#REF!="S",VLOOKUP('Raw Data'!A5789,References!#REF!,2,FALSE),(VLOOKUP($S5789,References!$B$3:$C$7,2,FALSE))),"")</f>
        <v/>
      </c>
      <c r="W5789" s="74" t="str">
        <f>IFERROR(VLOOKUP($O5789,'Customer List'!$A$1:$J$488,10,FALSE),"")</f>
        <v/>
      </c>
    </row>
    <row r="5790" spans="18:23">
      <c r="R5790" s="127">
        <f t="shared" si="255"/>
        <v>0</v>
      </c>
      <c r="T5790" s="128">
        <f t="shared" si="256"/>
        <v>0</v>
      </c>
      <c r="U5790" s="129" t="str">
        <f>IFERROR(IF(#REF!="S",VLOOKUP('Raw Data'!A5790,References!#REF!,2,FALSE),(VLOOKUP($S5790,References!$B$3:$C$7,2,FALSE))),"")</f>
        <v/>
      </c>
      <c r="W5790" s="74" t="str">
        <f>IFERROR(VLOOKUP($O5790,'Customer List'!$A$1:$J$488,10,FALSE),"")</f>
        <v/>
      </c>
    </row>
    <row r="5791" spans="18:23">
      <c r="R5791" s="127">
        <f t="shared" si="255"/>
        <v>0</v>
      </c>
      <c r="T5791" s="128">
        <f t="shared" si="256"/>
        <v>0</v>
      </c>
      <c r="U5791" s="129" t="str">
        <f>IFERROR(IF(#REF!="S",VLOOKUP('Raw Data'!A5791,References!#REF!,2,FALSE),(VLOOKUP($S5791,References!$B$3:$C$7,2,FALSE))),"")</f>
        <v/>
      </c>
      <c r="W5791" s="74" t="str">
        <f>IFERROR(VLOOKUP($O5791,'Customer List'!$A$1:$J$488,10,FALSE),"")</f>
        <v/>
      </c>
    </row>
    <row r="5792" spans="18:23">
      <c r="R5792" s="127">
        <f t="shared" si="255"/>
        <v>0</v>
      </c>
      <c r="T5792" s="128">
        <f t="shared" si="256"/>
        <v>0</v>
      </c>
      <c r="U5792" s="129" t="str">
        <f>IFERROR(IF(#REF!="S",VLOOKUP('Raw Data'!A5792,References!#REF!,2,FALSE),(VLOOKUP($S5792,References!$B$3:$C$7,2,FALSE))),"")</f>
        <v/>
      </c>
      <c r="W5792" s="74" t="str">
        <f>IFERROR(VLOOKUP($O5792,'Customer List'!$A$1:$J$488,10,FALSE),"")</f>
        <v/>
      </c>
    </row>
    <row r="5793" spans="18:23">
      <c r="R5793" s="127">
        <f t="shared" si="255"/>
        <v>0</v>
      </c>
      <c r="T5793" s="128">
        <f t="shared" si="256"/>
        <v>0</v>
      </c>
      <c r="U5793" s="129" t="str">
        <f>IFERROR(IF(#REF!="S",VLOOKUP('Raw Data'!A5793,References!#REF!,2,FALSE),(VLOOKUP($S5793,References!$B$3:$C$7,2,FALSE))),"")</f>
        <v/>
      </c>
      <c r="W5793" s="74" t="str">
        <f>IFERROR(VLOOKUP($O5793,'Customer List'!$A$1:$J$488,10,FALSE),"")</f>
        <v/>
      </c>
    </row>
    <row r="5794" spans="18:23">
      <c r="R5794" s="127">
        <f t="shared" ref="R5794:R5857" si="257">L5794-K5794</f>
        <v>0</v>
      </c>
      <c r="T5794" s="128">
        <f t="shared" si="256"/>
        <v>0</v>
      </c>
      <c r="U5794" s="129" t="str">
        <f>IFERROR(IF(#REF!="S",VLOOKUP('Raw Data'!A5794,References!#REF!,2,FALSE),(VLOOKUP($S5794,References!$B$3:$C$7,2,FALSE))),"")</f>
        <v/>
      </c>
      <c r="W5794" s="74" t="str">
        <f>IFERROR(VLOOKUP($O5794,'Customer List'!$A$1:$J$488,10,FALSE),"")</f>
        <v/>
      </c>
    </row>
    <row r="5795" spans="18:23">
      <c r="R5795" s="127">
        <f t="shared" si="257"/>
        <v>0</v>
      </c>
      <c r="T5795" s="128">
        <f t="shared" si="256"/>
        <v>0</v>
      </c>
      <c r="U5795" s="129" t="str">
        <f>IFERROR(IF(#REF!="S",VLOOKUP('Raw Data'!A5795,References!#REF!,2,FALSE),(VLOOKUP($S5795,References!$B$3:$C$7,2,FALSE))),"")</f>
        <v/>
      </c>
      <c r="W5795" s="74" t="str">
        <f>IFERROR(VLOOKUP($O5795,'Customer List'!$A$1:$J$488,10,FALSE),"")</f>
        <v/>
      </c>
    </row>
    <row r="5796" spans="18:23">
      <c r="R5796" s="127">
        <f t="shared" si="257"/>
        <v>0</v>
      </c>
      <c r="T5796" s="128">
        <f t="shared" si="256"/>
        <v>0</v>
      </c>
      <c r="U5796" s="129" t="str">
        <f>IFERROR(IF(#REF!="S",VLOOKUP('Raw Data'!A5796,References!#REF!,2,FALSE),(VLOOKUP($S5796,References!$B$3:$C$7,2,FALSE))),"")</f>
        <v/>
      </c>
      <c r="W5796" s="74" t="str">
        <f>IFERROR(VLOOKUP($O5796,'Customer List'!$A$1:$J$488,10,FALSE),"")</f>
        <v/>
      </c>
    </row>
    <row r="5797" spans="18:23">
      <c r="R5797" s="127">
        <f t="shared" si="257"/>
        <v>0</v>
      </c>
      <c r="T5797" s="128">
        <f t="shared" si="256"/>
        <v>0</v>
      </c>
      <c r="U5797" s="129" t="str">
        <f>IFERROR(IF(#REF!="S",VLOOKUP('Raw Data'!A5797,References!#REF!,2,FALSE),(VLOOKUP($S5797,References!$B$3:$C$7,2,FALSE))),"")</f>
        <v/>
      </c>
      <c r="W5797" s="74" t="str">
        <f>IFERROR(VLOOKUP($O5797,'Customer List'!$A$1:$J$488,10,FALSE),"")</f>
        <v/>
      </c>
    </row>
    <row r="5798" spans="18:23">
      <c r="R5798" s="127">
        <f t="shared" si="257"/>
        <v>0</v>
      </c>
      <c r="T5798" s="128">
        <f t="shared" si="256"/>
        <v>0</v>
      </c>
      <c r="U5798" s="129" t="str">
        <f>IFERROR(IF(#REF!="S",VLOOKUP('Raw Data'!A5798,References!#REF!,2,FALSE),(VLOOKUP($S5798,References!$B$3:$C$7,2,FALSE))),"")</f>
        <v/>
      </c>
      <c r="W5798" s="74" t="str">
        <f>IFERROR(VLOOKUP($O5798,'Customer List'!$A$1:$J$488,10,FALSE),"")</f>
        <v/>
      </c>
    </row>
    <row r="5799" spans="18:23">
      <c r="R5799" s="127">
        <f t="shared" si="257"/>
        <v>0</v>
      </c>
      <c r="T5799" s="128">
        <f t="shared" si="256"/>
        <v>0</v>
      </c>
      <c r="U5799" s="129" t="str">
        <f>IFERROR(IF(#REF!="S",VLOOKUP('Raw Data'!A5799,References!#REF!,2,FALSE),(VLOOKUP($S5799,References!$B$3:$C$7,2,FALSE))),"")</f>
        <v/>
      </c>
      <c r="W5799" s="74" t="str">
        <f>IFERROR(VLOOKUP($O5799,'Customer List'!$A$1:$J$488,10,FALSE),"")</f>
        <v/>
      </c>
    </row>
    <row r="5800" spans="18:23">
      <c r="R5800" s="127">
        <f t="shared" si="257"/>
        <v>0</v>
      </c>
      <c r="T5800" s="128">
        <f t="shared" si="256"/>
        <v>0</v>
      </c>
      <c r="U5800" s="129" t="str">
        <f>IFERROR(IF(#REF!="S",VLOOKUP('Raw Data'!A5800,References!#REF!,2,FALSE),(VLOOKUP($S5800,References!$B$3:$C$7,2,FALSE))),"")</f>
        <v/>
      </c>
      <c r="W5800" s="74" t="str">
        <f>IFERROR(VLOOKUP($O5800,'Customer List'!$A$1:$J$488,10,FALSE),"")</f>
        <v/>
      </c>
    </row>
    <row r="5801" spans="18:23">
      <c r="R5801" s="127">
        <f t="shared" si="257"/>
        <v>0</v>
      </c>
      <c r="T5801" s="128">
        <f t="shared" si="256"/>
        <v>0</v>
      </c>
      <c r="U5801" s="129" t="str">
        <f>IFERROR(IF(#REF!="S",VLOOKUP('Raw Data'!A5801,References!#REF!,2,FALSE),(VLOOKUP($S5801,References!$B$3:$C$7,2,FALSE))),"")</f>
        <v/>
      </c>
      <c r="W5801" s="74" t="str">
        <f>IFERROR(VLOOKUP($O5801,'Customer List'!$A$1:$J$488,10,FALSE),"")</f>
        <v/>
      </c>
    </row>
    <row r="5802" spans="18:23">
      <c r="R5802" s="127">
        <f t="shared" si="257"/>
        <v>0</v>
      </c>
      <c r="T5802" s="128">
        <f t="shared" si="256"/>
        <v>0</v>
      </c>
      <c r="U5802" s="129" t="str">
        <f>IFERROR(IF(#REF!="S",VLOOKUP('Raw Data'!A5802,References!#REF!,2,FALSE),(VLOOKUP($S5802,References!$B$3:$C$7,2,FALSE))),"")</f>
        <v/>
      </c>
      <c r="W5802" s="74" t="str">
        <f>IFERROR(VLOOKUP($O5802,'Customer List'!$A$1:$J$488,10,FALSE),"")</f>
        <v/>
      </c>
    </row>
    <row r="5803" spans="18:23">
      <c r="R5803" s="127">
        <f t="shared" si="257"/>
        <v>0</v>
      </c>
      <c r="T5803" s="128">
        <f t="shared" si="256"/>
        <v>0</v>
      </c>
      <c r="U5803" s="129" t="str">
        <f>IFERROR(IF(#REF!="S",VLOOKUP('Raw Data'!A5803,References!#REF!,2,FALSE),(VLOOKUP($S5803,References!$B$3:$C$7,2,FALSE))),"")</f>
        <v/>
      </c>
      <c r="W5803" s="74" t="str">
        <f>IFERROR(VLOOKUP($O5803,'Customer List'!$A$1:$J$488,10,FALSE),"")</f>
        <v/>
      </c>
    </row>
    <row r="5804" spans="18:23">
      <c r="R5804" s="127">
        <f t="shared" si="257"/>
        <v>0</v>
      </c>
      <c r="T5804" s="128">
        <f t="shared" si="256"/>
        <v>0</v>
      </c>
      <c r="U5804" s="129" t="str">
        <f>IFERROR(IF(#REF!="S",VLOOKUP('Raw Data'!A5804,References!#REF!,2,FALSE),(VLOOKUP($S5804,References!$B$3:$C$7,2,FALSE))),"")</f>
        <v/>
      </c>
      <c r="W5804" s="74" t="str">
        <f>IFERROR(VLOOKUP($O5804,'Customer List'!$A$1:$J$488,10,FALSE),"")</f>
        <v/>
      </c>
    </row>
    <row r="5805" spans="18:23">
      <c r="R5805" s="127">
        <f t="shared" si="257"/>
        <v>0</v>
      </c>
      <c r="T5805" s="128">
        <f t="shared" si="256"/>
        <v>0</v>
      </c>
      <c r="U5805" s="129" t="str">
        <f>IFERROR(IF(#REF!="S",VLOOKUP('Raw Data'!A5805,References!#REF!,2,FALSE),(VLOOKUP($S5805,References!$B$3:$C$7,2,FALSE))),"")</f>
        <v/>
      </c>
      <c r="W5805" s="74" t="str">
        <f>IFERROR(VLOOKUP($O5805,'Customer List'!$A$1:$J$488,10,FALSE),"")</f>
        <v/>
      </c>
    </row>
    <row r="5806" spans="18:23">
      <c r="R5806" s="127">
        <f t="shared" si="257"/>
        <v>0</v>
      </c>
      <c r="T5806" s="128">
        <f t="shared" si="256"/>
        <v>0</v>
      </c>
      <c r="U5806" s="129" t="str">
        <f>IFERROR(IF(#REF!="S",VLOOKUP('Raw Data'!A5806,References!#REF!,2,FALSE),(VLOOKUP($S5806,References!$B$3:$C$7,2,FALSE))),"")</f>
        <v/>
      </c>
      <c r="W5806" s="74" t="str">
        <f>IFERROR(VLOOKUP($O5806,'Customer List'!$A$1:$J$488,10,FALSE),"")</f>
        <v/>
      </c>
    </row>
    <row r="5807" spans="18:23">
      <c r="R5807" s="127">
        <f t="shared" si="257"/>
        <v>0</v>
      </c>
      <c r="T5807" s="128">
        <f t="shared" si="256"/>
        <v>0</v>
      </c>
      <c r="U5807" s="129" t="str">
        <f>IFERROR(IF(#REF!="S",VLOOKUP('Raw Data'!A5807,References!#REF!,2,FALSE),(VLOOKUP($S5807,References!$B$3:$C$7,2,FALSE))),"")</f>
        <v/>
      </c>
      <c r="W5807" s="74" t="str">
        <f>IFERROR(VLOOKUP($O5807,'Customer List'!$A$1:$J$488,10,FALSE),"")</f>
        <v/>
      </c>
    </row>
    <row r="5808" spans="18:23">
      <c r="R5808" s="127">
        <f t="shared" si="257"/>
        <v>0</v>
      </c>
      <c r="T5808" s="128">
        <f t="shared" si="256"/>
        <v>0</v>
      </c>
      <c r="U5808" s="129" t="str">
        <f>IFERROR(IF(#REF!="S",VLOOKUP('Raw Data'!A5808,References!#REF!,2,FALSE),(VLOOKUP($S5808,References!$B$3:$C$7,2,FALSE))),"")</f>
        <v/>
      </c>
      <c r="W5808" s="74" t="str">
        <f>IFERROR(VLOOKUP($O5808,'Customer List'!$A$1:$J$488,10,FALSE),"")</f>
        <v/>
      </c>
    </row>
    <row r="5809" spans="18:23">
      <c r="R5809" s="127">
        <f t="shared" si="257"/>
        <v>0</v>
      </c>
      <c r="T5809" s="128">
        <f t="shared" si="256"/>
        <v>0</v>
      </c>
      <c r="U5809" s="129" t="str">
        <f>IFERROR(IF(#REF!="S",VLOOKUP('Raw Data'!A5809,References!#REF!,2,FALSE),(VLOOKUP($S5809,References!$B$3:$C$7,2,FALSE))),"")</f>
        <v/>
      </c>
      <c r="W5809" s="74" t="str">
        <f>IFERROR(VLOOKUP($O5809,'Customer List'!$A$1:$J$488,10,FALSE),"")</f>
        <v/>
      </c>
    </row>
    <row r="5810" spans="18:23">
      <c r="R5810" s="127">
        <f t="shared" si="257"/>
        <v>0</v>
      </c>
      <c r="T5810" s="128">
        <f t="shared" si="256"/>
        <v>0</v>
      </c>
      <c r="U5810" s="129" t="str">
        <f>IFERROR(IF(#REF!="S",VLOOKUP('Raw Data'!A5810,References!#REF!,2,FALSE),(VLOOKUP($S5810,References!$B$3:$C$7,2,FALSE))),"")</f>
        <v/>
      </c>
      <c r="W5810" s="74" t="str">
        <f>IFERROR(VLOOKUP($O5810,'Customer List'!$A$1:$J$488,10,FALSE),"")</f>
        <v/>
      </c>
    </row>
    <row r="5811" spans="18:23">
      <c r="R5811" s="127">
        <f t="shared" si="257"/>
        <v>0</v>
      </c>
      <c r="T5811" s="128">
        <f t="shared" si="256"/>
        <v>0</v>
      </c>
      <c r="U5811" s="129" t="str">
        <f>IFERROR(IF(#REF!="S",VLOOKUP('Raw Data'!A5811,References!#REF!,2,FALSE),(VLOOKUP($S5811,References!$B$3:$C$7,2,FALSE))),"")</f>
        <v/>
      </c>
      <c r="W5811" s="74" t="str">
        <f>IFERROR(VLOOKUP($O5811,'Customer List'!$A$1:$J$488,10,FALSE),"")</f>
        <v/>
      </c>
    </row>
    <row r="5812" spans="18:23">
      <c r="R5812" s="127">
        <f t="shared" si="257"/>
        <v>0</v>
      </c>
      <c r="T5812" s="128">
        <f t="shared" si="256"/>
        <v>0</v>
      </c>
      <c r="U5812" s="129" t="str">
        <f>IFERROR(IF(#REF!="S",VLOOKUP('Raw Data'!A5812,References!#REF!,2,FALSE),(VLOOKUP($S5812,References!$B$3:$C$7,2,FALSE))),"")</f>
        <v/>
      </c>
      <c r="W5812" s="74" t="str">
        <f>IFERROR(VLOOKUP($O5812,'Customer List'!$A$1:$J$488,10,FALSE),"")</f>
        <v/>
      </c>
    </row>
    <row r="5813" spans="18:23">
      <c r="R5813" s="127">
        <f t="shared" si="257"/>
        <v>0</v>
      </c>
      <c r="T5813" s="128">
        <f t="shared" si="256"/>
        <v>0</v>
      </c>
      <c r="U5813" s="129" t="str">
        <f>IFERROR(IF(#REF!="S",VLOOKUP('Raw Data'!A5813,References!#REF!,2,FALSE),(VLOOKUP($S5813,References!$B$3:$C$7,2,FALSE))),"")</f>
        <v/>
      </c>
      <c r="W5813" s="74" t="str">
        <f>IFERROR(VLOOKUP($O5813,'Customer List'!$A$1:$J$488,10,FALSE),"")</f>
        <v/>
      </c>
    </row>
    <row r="5814" spans="18:23">
      <c r="R5814" s="127">
        <f t="shared" si="257"/>
        <v>0</v>
      </c>
      <c r="T5814" s="128">
        <f t="shared" si="256"/>
        <v>0</v>
      </c>
      <c r="U5814" s="129" t="str">
        <f>IFERROR(IF(#REF!="S",VLOOKUP('Raw Data'!A5814,References!#REF!,2,FALSE),(VLOOKUP($S5814,References!$B$3:$C$7,2,FALSE))),"")</f>
        <v/>
      </c>
      <c r="W5814" s="74" t="str">
        <f>IFERROR(VLOOKUP($O5814,'Customer List'!$A$1:$J$488,10,FALSE),"")</f>
        <v/>
      </c>
    </row>
    <row r="5815" spans="18:23">
      <c r="R5815" s="127">
        <f t="shared" si="257"/>
        <v>0</v>
      </c>
      <c r="T5815" s="128">
        <f t="shared" si="256"/>
        <v>0</v>
      </c>
      <c r="U5815" s="129" t="str">
        <f>IFERROR(IF(#REF!="S",VLOOKUP('Raw Data'!A5815,References!#REF!,2,FALSE),(VLOOKUP($S5815,References!$B$3:$C$7,2,FALSE))),"")</f>
        <v/>
      </c>
      <c r="W5815" s="74" t="str">
        <f>IFERROR(VLOOKUP($O5815,'Customer List'!$A$1:$J$488,10,FALSE),"")</f>
        <v/>
      </c>
    </row>
    <row r="5816" spans="18:23">
      <c r="R5816" s="127">
        <f t="shared" si="257"/>
        <v>0</v>
      </c>
      <c r="T5816" s="128">
        <f t="shared" si="256"/>
        <v>0</v>
      </c>
      <c r="U5816" s="129" t="str">
        <f>IFERROR(IF(#REF!="S",VLOOKUP('Raw Data'!A5816,References!#REF!,2,FALSE),(VLOOKUP($S5816,References!$B$3:$C$7,2,FALSE))),"")</f>
        <v/>
      </c>
      <c r="W5816" s="74" t="str">
        <f>IFERROR(VLOOKUP($O5816,'Customer List'!$A$1:$J$488,10,FALSE),"")</f>
        <v/>
      </c>
    </row>
    <row r="5817" spans="18:23">
      <c r="R5817" s="127">
        <f t="shared" si="257"/>
        <v>0</v>
      </c>
      <c r="T5817" s="128">
        <f t="shared" si="256"/>
        <v>0</v>
      </c>
      <c r="U5817" s="129" t="str">
        <f>IFERROR(IF(#REF!="S",VLOOKUP('Raw Data'!A5817,References!#REF!,2,FALSE),(VLOOKUP($S5817,References!$B$3:$C$7,2,FALSE))),"")</f>
        <v/>
      </c>
      <c r="W5817" s="74" t="str">
        <f>IFERROR(VLOOKUP($O5817,'Customer List'!$A$1:$J$488,10,FALSE),"")</f>
        <v/>
      </c>
    </row>
    <row r="5818" spans="18:23">
      <c r="R5818" s="127">
        <f t="shared" si="257"/>
        <v>0</v>
      </c>
      <c r="T5818" s="128">
        <f t="shared" si="256"/>
        <v>0</v>
      </c>
      <c r="U5818" s="129" t="str">
        <f>IFERROR(IF(#REF!="S",VLOOKUP('Raw Data'!A5818,References!#REF!,2,FALSE),(VLOOKUP($S5818,References!$B$3:$C$7,2,FALSE))),"")</f>
        <v/>
      </c>
      <c r="W5818" s="74" t="str">
        <f>IFERROR(VLOOKUP($O5818,'Customer List'!$A$1:$J$488,10,FALSE),"")</f>
        <v/>
      </c>
    </row>
    <row r="5819" spans="18:23">
      <c r="R5819" s="127">
        <f t="shared" si="257"/>
        <v>0</v>
      </c>
      <c r="T5819" s="128">
        <f t="shared" si="256"/>
        <v>0</v>
      </c>
      <c r="U5819" s="129" t="str">
        <f>IFERROR(IF(#REF!="S",VLOOKUP('Raw Data'!A5819,References!#REF!,2,FALSE),(VLOOKUP($S5819,References!$B$3:$C$7,2,FALSE))),"")</f>
        <v/>
      </c>
      <c r="W5819" s="74" t="str">
        <f>IFERROR(VLOOKUP($O5819,'Customer List'!$A$1:$J$488,10,FALSE),"")</f>
        <v/>
      </c>
    </row>
    <row r="5820" spans="18:23">
      <c r="R5820" s="127">
        <f t="shared" si="257"/>
        <v>0</v>
      </c>
      <c r="T5820" s="128">
        <f t="shared" si="256"/>
        <v>0</v>
      </c>
      <c r="U5820" s="129" t="str">
        <f>IFERROR(IF(#REF!="S",VLOOKUP('Raw Data'!A5820,References!#REF!,2,FALSE),(VLOOKUP($S5820,References!$B$3:$C$7,2,FALSE))),"")</f>
        <v/>
      </c>
      <c r="W5820" s="74" t="str">
        <f>IFERROR(VLOOKUP($O5820,'Customer List'!$A$1:$J$488,10,FALSE),"")</f>
        <v/>
      </c>
    </row>
    <row r="5821" spans="18:23">
      <c r="R5821" s="127">
        <f t="shared" si="257"/>
        <v>0</v>
      </c>
      <c r="T5821" s="128">
        <f t="shared" si="256"/>
        <v>0</v>
      </c>
      <c r="U5821" s="129" t="str">
        <f>IFERROR(IF(#REF!="S",VLOOKUP('Raw Data'!A5821,References!#REF!,2,FALSE),(VLOOKUP($S5821,References!$B$3:$C$7,2,FALSE))),"")</f>
        <v/>
      </c>
      <c r="W5821" s="74" t="str">
        <f>IFERROR(VLOOKUP($O5821,'Customer List'!$A$1:$J$488,10,FALSE),"")</f>
        <v/>
      </c>
    </row>
    <row r="5822" spans="18:23">
      <c r="R5822" s="127">
        <f t="shared" si="257"/>
        <v>0</v>
      </c>
      <c r="T5822" s="128">
        <f t="shared" si="256"/>
        <v>0</v>
      </c>
      <c r="U5822" s="129" t="str">
        <f>IFERROR(IF(#REF!="S",VLOOKUP('Raw Data'!A5822,References!#REF!,2,FALSE),(VLOOKUP($S5822,References!$B$3:$C$7,2,FALSE))),"")</f>
        <v/>
      </c>
      <c r="W5822" s="74" t="str">
        <f>IFERROR(VLOOKUP($O5822,'Customer List'!$A$1:$J$488,10,FALSE),"")</f>
        <v/>
      </c>
    </row>
    <row r="5823" spans="18:23">
      <c r="R5823" s="127">
        <f t="shared" si="257"/>
        <v>0</v>
      </c>
      <c r="T5823" s="128">
        <f t="shared" si="256"/>
        <v>0</v>
      </c>
      <c r="U5823" s="129" t="str">
        <f>IFERROR(IF(#REF!="S",VLOOKUP('Raw Data'!A5823,References!#REF!,2,FALSE),(VLOOKUP($S5823,References!$B$3:$C$7,2,FALSE))),"")</f>
        <v/>
      </c>
      <c r="W5823" s="74" t="str">
        <f>IFERROR(VLOOKUP($O5823,'Customer List'!$A$1:$J$488,10,FALSE),"")</f>
        <v/>
      </c>
    </row>
    <row r="5824" spans="18:23">
      <c r="R5824" s="127">
        <f t="shared" si="257"/>
        <v>0</v>
      </c>
      <c r="T5824" s="128">
        <f t="shared" si="256"/>
        <v>0</v>
      </c>
      <c r="U5824" s="129" t="str">
        <f>IFERROR(IF(#REF!="S",VLOOKUP('Raw Data'!A5824,References!#REF!,2,FALSE),(VLOOKUP($S5824,References!$B$3:$C$7,2,FALSE))),"")</f>
        <v/>
      </c>
      <c r="W5824" s="74" t="str">
        <f>IFERROR(VLOOKUP($O5824,'Customer List'!$A$1:$J$488,10,FALSE),"")</f>
        <v/>
      </c>
    </row>
    <row r="5825" spans="18:23">
      <c r="R5825" s="127">
        <f t="shared" si="257"/>
        <v>0</v>
      </c>
      <c r="T5825" s="128">
        <f t="shared" si="256"/>
        <v>0</v>
      </c>
      <c r="U5825" s="129" t="str">
        <f>IFERROR(IF(#REF!="S",VLOOKUP('Raw Data'!A5825,References!#REF!,2,FALSE),(VLOOKUP($S5825,References!$B$3:$C$7,2,FALSE))),"")</f>
        <v/>
      </c>
      <c r="W5825" s="74" t="str">
        <f>IFERROR(VLOOKUP($O5825,'Customer List'!$A$1:$J$488,10,FALSE),"")</f>
        <v/>
      </c>
    </row>
    <row r="5826" spans="18:23">
      <c r="R5826" s="127">
        <f t="shared" si="257"/>
        <v>0</v>
      </c>
      <c r="T5826" s="128">
        <f t="shared" si="256"/>
        <v>0</v>
      </c>
      <c r="U5826" s="129" t="str">
        <f>IFERROR(IF(#REF!="S",VLOOKUP('Raw Data'!A5826,References!#REF!,2,FALSE),(VLOOKUP($S5826,References!$B$3:$C$7,2,FALSE))),"")</f>
        <v/>
      </c>
      <c r="W5826" s="74" t="str">
        <f>IFERROR(VLOOKUP($O5826,'Customer List'!$A$1:$J$488,10,FALSE),"")</f>
        <v/>
      </c>
    </row>
    <row r="5827" spans="18:23">
      <c r="R5827" s="127">
        <f t="shared" si="257"/>
        <v>0</v>
      </c>
      <c r="T5827" s="128">
        <f t="shared" si="256"/>
        <v>0</v>
      </c>
      <c r="U5827" s="129" t="str">
        <f>IFERROR(IF(#REF!="S",VLOOKUP('Raw Data'!A5827,References!#REF!,2,FALSE),(VLOOKUP($S5827,References!$B$3:$C$7,2,FALSE))),"")</f>
        <v/>
      </c>
      <c r="W5827" s="74" t="str">
        <f>IFERROR(VLOOKUP($O5827,'Customer List'!$A$1:$J$488,10,FALSE),"")</f>
        <v/>
      </c>
    </row>
    <row r="5828" spans="18:23">
      <c r="R5828" s="127">
        <f t="shared" si="257"/>
        <v>0</v>
      </c>
      <c r="T5828" s="128">
        <f t="shared" si="256"/>
        <v>0</v>
      </c>
      <c r="U5828" s="129" t="str">
        <f>IFERROR(IF(#REF!="S",VLOOKUP('Raw Data'!A5828,References!#REF!,2,FALSE),(VLOOKUP($S5828,References!$B$3:$C$7,2,FALSE))),"")</f>
        <v/>
      </c>
      <c r="W5828" s="74" t="str">
        <f>IFERROR(VLOOKUP($O5828,'Customer List'!$A$1:$J$488,10,FALSE),"")</f>
        <v/>
      </c>
    </row>
    <row r="5829" spans="18:23">
      <c r="R5829" s="127">
        <f t="shared" si="257"/>
        <v>0</v>
      </c>
      <c r="T5829" s="128">
        <f t="shared" si="256"/>
        <v>0</v>
      </c>
      <c r="U5829" s="129" t="str">
        <f>IFERROR(IF(#REF!="S",VLOOKUP('Raw Data'!A5829,References!#REF!,2,FALSE),(VLOOKUP($S5829,References!$B$3:$C$7,2,FALSE))),"")</f>
        <v/>
      </c>
      <c r="W5829" s="74" t="str">
        <f>IFERROR(VLOOKUP($O5829,'Customer List'!$A$1:$J$488,10,FALSE),"")</f>
        <v/>
      </c>
    </row>
    <row r="5830" spans="18:23">
      <c r="R5830" s="127">
        <f t="shared" si="257"/>
        <v>0</v>
      </c>
      <c r="T5830" s="128">
        <f t="shared" si="256"/>
        <v>0</v>
      </c>
      <c r="U5830" s="129" t="str">
        <f>IFERROR(IF(#REF!="S",VLOOKUP('Raw Data'!A5830,References!#REF!,2,FALSE),(VLOOKUP($S5830,References!$B$3:$C$7,2,FALSE))),"")</f>
        <v/>
      </c>
      <c r="W5830" s="74" t="str">
        <f>IFERROR(VLOOKUP($O5830,'Customer List'!$A$1:$J$488,10,FALSE),"")</f>
        <v/>
      </c>
    </row>
    <row r="5831" spans="18:23">
      <c r="R5831" s="127">
        <f t="shared" si="257"/>
        <v>0</v>
      </c>
      <c r="T5831" s="128">
        <f t="shared" si="256"/>
        <v>0</v>
      </c>
      <c r="U5831" s="129" t="str">
        <f>IFERROR(IF(#REF!="S",VLOOKUP('Raw Data'!A5831,References!#REF!,2,FALSE),(VLOOKUP($S5831,References!$B$3:$C$7,2,FALSE))),"")</f>
        <v/>
      </c>
      <c r="W5831" s="74" t="str">
        <f>IFERROR(VLOOKUP($O5831,'Customer List'!$A$1:$J$488,10,FALSE),"")</f>
        <v/>
      </c>
    </row>
    <row r="5832" spans="18:23">
      <c r="R5832" s="127">
        <f t="shared" si="257"/>
        <v>0</v>
      </c>
      <c r="T5832" s="128">
        <f t="shared" si="256"/>
        <v>0</v>
      </c>
      <c r="U5832" s="129" t="str">
        <f>IFERROR(IF(#REF!="S",VLOOKUP('Raw Data'!A5832,References!#REF!,2,FALSE),(VLOOKUP($S5832,References!$B$3:$C$7,2,FALSE))),"")</f>
        <v/>
      </c>
      <c r="W5832" s="74" t="str">
        <f>IFERROR(VLOOKUP($O5832,'Customer List'!$A$1:$J$488,10,FALSE),"")</f>
        <v/>
      </c>
    </row>
    <row r="5833" spans="18:23">
      <c r="R5833" s="127">
        <f t="shared" si="257"/>
        <v>0</v>
      </c>
      <c r="T5833" s="128">
        <f t="shared" si="256"/>
        <v>0</v>
      </c>
      <c r="U5833" s="129" t="str">
        <f>IFERROR(IF(#REF!="S",VLOOKUP('Raw Data'!A5833,References!#REF!,2,FALSE),(VLOOKUP($S5833,References!$B$3:$C$7,2,FALSE))),"")</f>
        <v/>
      </c>
      <c r="W5833" s="74" t="str">
        <f>IFERROR(VLOOKUP($O5833,'Customer List'!$A$1:$J$488,10,FALSE),"")</f>
        <v/>
      </c>
    </row>
    <row r="5834" spans="18:23">
      <c r="R5834" s="127">
        <f t="shared" si="257"/>
        <v>0</v>
      </c>
      <c r="T5834" s="128">
        <f t="shared" ref="T5834:T5897" si="258">IF(S5834="50 - Cleaning Fee",1,HOUR($R5834)+MINUTE(R5834)/60)</f>
        <v>0</v>
      </c>
      <c r="U5834" s="129" t="str">
        <f>IFERROR(IF(#REF!="S",VLOOKUP('Raw Data'!A5834,References!#REF!,2,FALSE),(VLOOKUP($S5834,References!$B$3:$C$7,2,FALSE))),"")</f>
        <v/>
      </c>
      <c r="W5834" s="74" t="str">
        <f>IFERROR(VLOOKUP($O5834,'Customer List'!$A$1:$J$488,10,FALSE),"")</f>
        <v/>
      </c>
    </row>
    <row r="5835" spans="18:23">
      <c r="R5835" s="127">
        <f t="shared" si="257"/>
        <v>0</v>
      </c>
      <c r="T5835" s="128">
        <f t="shared" si="258"/>
        <v>0</v>
      </c>
      <c r="U5835" s="129" t="str">
        <f>IFERROR(IF(#REF!="S",VLOOKUP('Raw Data'!A5835,References!#REF!,2,FALSE),(VLOOKUP($S5835,References!$B$3:$C$7,2,FALSE))),"")</f>
        <v/>
      </c>
      <c r="W5835" s="74" t="str">
        <f>IFERROR(VLOOKUP($O5835,'Customer List'!$A$1:$J$488,10,FALSE),"")</f>
        <v/>
      </c>
    </row>
    <row r="5836" spans="18:23">
      <c r="R5836" s="127">
        <f t="shared" si="257"/>
        <v>0</v>
      </c>
      <c r="T5836" s="128">
        <f t="shared" si="258"/>
        <v>0</v>
      </c>
      <c r="U5836" s="129" t="str">
        <f>IFERROR(IF(#REF!="S",VLOOKUP('Raw Data'!A5836,References!#REF!,2,FALSE),(VLOOKUP($S5836,References!$B$3:$C$7,2,FALSE))),"")</f>
        <v/>
      </c>
      <c r="W5836" s="74" t="str">
        <f>IFERROR(VLOOKUP($O5836,'Customer List'!$A$1:$J$488,10,FALSE),"")</f>
        <v/>
      </c>
    </row>
    <row r="5837" spans="18:23">
      <c r="R5837" s="127">
        <f t="shared" si="257"/>
        <v>0</v>
      </c>
      <c r="T5837" s="128">
        <f t="shared" si="258"/>
        <v>0</v>
      </c>
      <c r="U5837" s="129" t="str">
        <f>IFERROR(IF(#REF!="S",VLOOKUP('Raw Data'!A5837,References!#REF!,2,FALSE),(VLOOKUP($S5837,References!$B$3:$C$7,2,FALSE))),"")</f>
        <v/>
      </c>
      <c r="W5837" s="74" t="str">
        <f>IFERROR(VLOOKUP($O5837,'Customer List'!$A$1:$J$488,10,FALSE),"")</f>
        <v/>
      </c>
    </row>
    <row r="5838" spans="18:23">
      <c r="R5838" s="127">
        <f t="shared" si="257"/>
        <v>0</v>
      </c>
      <c r="T5838" s="128">
        <f t="shared" si="258"/>
        <v>0</v>
      </c>
      <c r="U5838" s="129" t="str">
        <f>IFERROR(IF(#REF!="S",VLOOKUP('Raw Data'!A5838,References!#REF!,2,FALSE),(VLOOKUP($S5838,References!$B$3:$C$7,2,FALSE))),"")</f>
        <v/>
      </c>
      <c r="W5838" s="74" t="str">
        <f>IFERROR(VLOOKUP($O5838,'Customer List'!$A$1:$J$488,10,FALSE),"")</f>
        <v/>
      </c>
    </row>
    <row r="5839" spans="18:23">
      <c r="R5839" s="127">
        <f t="shared" si="257"/>
        <v>0</v>
      </c>
      <c r="T5839" s="128">
        <f t="shared" si="258"/>
        <v>0</v>
      </c>
      <c r="U5839" s="129" t="str">
        <f>IFERROR(IF(#REF!="S",VLOOKUP('Raw Data'!A5839,References!#REF!,2,FALSE),(VLOOKUP($S5839,References!$B$3:$C$7,2,FALSE))),"")</f>
        <v/>
      </c>
      <c r="W5839" s="74" t="str">
        <f>IFERROR(VLOOKUP($O5839,'Customer List'!$A$1:$J$488,10,FALSE),"")</f>
        <v/>
      </c>
    </row>
    <row r="5840" spans="18:23">
      <c r="R5840" s="127">
        <f t="shared" si="257"/>
        <v>0</v>
      </c>
      <c r="T5840" s="128">
        <f t="shared" si="258"/>
        <v>0</v>
      </c>
      <c r="U5840" s="129" t="str">
        <f>IFERROR(IF(#REF!="S",VLOOKUP('Raw Data'!A5840,References!#REF!,2,FALSE),(VLOOKUP($S5840,References!$B$3:$C$7,2,FALSE))),"")</f>
        <v/>
      </c>
      <c r="W5840" s="74" t="str">
        <f>IFERROR(VLOOKUP($O5840,'Customer List'!$A$1:$J$488,10,FALSE),"")</f>
        <v/>
      </c>
    </row>
    <row r="5841" spans="18:23">
      <c r="R5841" s="127">
        <f t="shared" si="257"/>
        <v>0</v>
      </c>
      <c r="T5841" s="128">
        <f t="shared" si="258"/>
        <v>0</v>
      </c>
      <c r="U5841" s="129" t="str">
        <f>IFERROR(IF(#REF!="S",VLOOKUP('Raw Data'!A5841,References!#REF!,2,FALSE),(VLOOKUP($S5841,References!$B$3:$C$7,2,FALSE))),"")</f>
        <v/>
      </c>
      <c r="W5841" s="74" t="str">
        <f>IFERROR(VLOOKUP($O5841,'Customer List'!$A$1:$J$488,10,FALSE),"")</f>
        <v/>
      </c>
    </row>
    <row r="5842" spans="18:23">
      <c r="R5842" s="127">
        <f t="shared" si="257"/>
        <v>0</v>
      </c>
      <c r="T5842" s="128">
        <f t="shared" si="258"/>
        <v>0</v>
      </c>
      <c r="U5842" s="129" t="str">
        <f>IFERROR(IF(#REF!="S",VLOOKUP('Raw Data'!A5842,References!#REF!,2,FALSE),(VLOOKUP($S5842,References!$B$3:$C$7,2,FALSE))),"")</f>
        <v/>
      </c>
      <c r="W5842" s="74" t="str">
        <f>IFERROR(VLOOKUP($O5842,'Customer List'!$A$1:$J$488,10,FALSE),"")</f>
        <v/>
      </c>
    </row>
    <row r="5843" spans="18:23">
      <c r="R5843" s="127">
        <f t="shared" si="257"/>
        <v>0</v>
      </c>
      <c r="T5843" s="128">
        <f t="shared" si="258"/>
        <v>0</v>
      </c>
      <c r="U5843" s="129" t="str">
        <f>IFERROR(IF(#REF!="S",VLOOKUP('Raw Data'!A5843,References!#REF!,2,FALSE),(VLOOKUP($S5843,References!$B$3:$C$7,2,FALSE))),"")</f>
        <v/>
      </c>
      <c r="W5843" s="74" t="str">
        <f>IFERROR(VLOOKUP($O5843,'Customer List'!$A$1:$J$488,10,FALSE),"")</f>
        <v/>
      </c>
    </row>
    <row r="5844" spans="18:23">
      <c r="R5844" s="127">
        <f t="shared" si="257"/>
        <v>0</v>
      </c>
      <c r="T5844" s="128">
        <f t="shared" si="258"/>
        <v>0</v>
      </c>
      <c r="U5844" s="129" t="str">
        <f>IFERROR(IF(#REF!="S",VLOOKUP('Raw Data'!A5844,References!#REF!,2,FALSE),(VLOOKUP($S5844,References!$B$3:$C$7,2,FALSE))),"")</f>
        <v/>
      </c>
      <c r="W5844" s="74" t="str">
        <f>IFERROR(VLOOKUP($O5844,'Customer List'!$A$1:$J$488,10,FALSE),"")</f>
        <v/>
      </c>
    </row>
    <row r="5845" spans="18:23">
      <c r="R5845" s="127">
        <f t="shared" si="257"/>
        <v>0</v>
      </c>
      <c r="T5845" s="128">
        <f t="shared" si="258"/>
        <v>0</v>
      </c>
      <c r="U5845" s="129" t="str">
        <f>IFERROR(IF(#REF!="S",VLOOKUP('Raw Data'!A5845,References!#REF!,2,FALSE),(VLOOKUP($S5845,References!$B$3:$C$7,2,FALSE))),"")</f>
        <v/>
      </c>
      <c r="W5845" s="74" t="str">
        <f>IFERROR(VLOOKUP($O5845,'Customer List'!$A$1:$J$488,10,FALSE),"")</f>
        <v/>
      </c>
    </row>
    <row r="5846" spans="18:23">
      <c r="R5846" s="127">
        <f t="shared" si="257"/>
        <v>0</v>
      </c>
      <c r="T5846" s="128">
        <f t="shared" si="258"/>
        <v>0</v>
      </c>
      <c r="U5846" s="129" t="str">
        <f>IFERROR(IF(#REF!="S",VLOOKUP('Raw Data'!A5846,References!#REF!,2,FALSE),(VLOOKUP($S5846,References!$B$3:$C$7,2,FALSE))),"")</f>
        <v/>
      </c>
      <c r="W5846" s="74" t="str">
        <f>IFERROR(VLOOKUP($O5846,'Customer List'!$A$1:$J$488,10,FALSE),"")</f>
        <v/>
      </c>
    </row>
    <row r="5847" spans="18:23">
      <c r="R5847" s="127">
        <f t="shared" si="257"/>
        <v>0</v>
      </c>
      <c r="T5847" s="128">
        <f t="shared" si="258"/>
        <v>0</v>
      </c>
      <c r="U5847" s="129" t="str">
        <f>IFERROR(IF(#REF!="S",VLOOKUP('Raw Data'!A5847,References!#REF!,2,FALSE),(VLOOKUP($S5847,References!$B$3:$C$7,2,FALSE))),"")</f>
        <v/>
      </c>
      <c r="W5847" s="74" t="str">
        <f>IFERROR(VLOOKUP($O5847,'Customer List'!$A$1:$J$488,10,FALSE),"")</f>
        <v/>
      </c>
    </row>
    <row r="5848" spans="18:23">
      <c r="R5848" s="127">
        <f t="shared" si="257"/>
        <v>0</v>
      </c>
      <c r="T5848" s="128">
        <f t="shared" si="258"/>
        <v>0</v>
      </c>
      <c r="U5848" s="129" t="str">
        <f>IFERROR(IF(#REF!="S",VLOOKUP('Raw Data'!A5848,References!#REF!,2,FALSE),(VLOOKUP($S5848,References!$B$3:$C$7,2,FALSE))),"")</f>
        <v/>
      </c>
      <c r="W5848" s="74" t="str">
        <f>IFERROR(VLOOKUP($O5848,'Customer List'!$A$1:$J$488,10,FALSE),"")</f>
        <v/>
      </c>
    </row>
    <row r="5849" spans="18:23">
      <c r="R5849" s="127">
        <f t="shared" si="257"/>
        <v>0</v>
      </c>
      <c r="T5849" s="128">
        <f t="shared" si="258"/>
        <v>0</v>
      </c>
      <c r="U5849" s="129" t="str">
        <f>IFERROR(IF(#REF!="S",VLOOKUP('Raw Data'!A5849,References!#REF!,2,FALSE),(VLOOKUP($S5849,References!$B$3:$C$7,2,FALSE))),"")</f>
        <v/>
      </c>
      <c r="W5849" s="74" t="str">
        <f>IFERROR(VLOOKUP($O5849,'Customer List'!$A$1:$J$488,10,FALSE),"")</f>
        <v/>
      </c>
    </row>
    <row r="5850" spans="18:23">
      <c r="R5850" s="127">
        <f t="shared" si="257"/>
        <v>0</v>
      </c>
      <c r="T5850" s="128">
        <f t="shared" si="258"/>
        <v>0</v>
      </c>
      <c r="U5850" s="129" t="str">
        <f>IFERROR(IF(#REF!="S",VLOOKUP('Raw Data'!A5850,References!#REF!,2,FALSE),(VLOOKUP($S5850,References!$B$3:$C$7,2,FALSE))),"")</f>
        <v/>
      </c>
      <c r="W5850" s="74" t="str">
        <f>IFERROR(VLOOKUP($O5850,'Customer List'!$A$1:$J$488,10,FALSE),"")</f>
        <v/>
      </c>
    </row>
    <row r="5851" spans="18:23">
      <c r="R5851" s="127">
        <f t="shared" si="257"/>
        <v>0</v>
      </c>
      <c r="T5851" s="128">
        <f t="shared" si="258"/>
        <v>0</v>
      </c>
      <c r="U5851" s="129" t="str">
        <f>IFERROR(IF(#REF!="S",VLOOKUP('Raw Data'!A5851,References!#REF!,2,FALSE),(VLOOKUP($S5851,References!$B$3:$C$7,2,FALSE))),"")</f>
        <v/>
      </c>
      <c r="W5851" s="74" t="str">
        <f>IFERROR(VLOOKUP($O5851,'Customer List'!$A$1:$J$488,10,FALSE),"")</f>
        <v/>
      </c>
    </row>
    <row r="5852" spans="18:23">
      <c r="R5852" s="127">
        <f t="shared" si="257"/>
        <v>0</v>
      </c>
      <c r="T5852" s="128">
        <f t="shared" si="258"/>
        <v>0</v>
      </c>
      <c r="U5852" s="129" t="str">
        <f>IFERROR(IF(#REF!="S",VLOOKUP('Raw Data'!A5852,References!#REF!,2,FALSE),(VLOOKUP($S5852,References!$B$3:$C$7,2,FALSE))),"")</f>
        <v/>
      </c>
      <c r="W5852" s="74" t="str">
        <f>IFERROR(VLOOKUP($O5852,'Customer List'!$A$1:$J$488,10,FALSE),"")</f>
        <v/>
      </c>
    </row>
    <row r="5853" spans="18:23">
      <c r="R5853" s="127">
        <f t="shared" si="257"/>
        <v>0</v>
      </c>
      <c r="T5853" s="128">
        <f t="shared" si="258"/>
        <v>0</v>
      </c>
      <c r="U5853" s="129" t="str">
        <f>IFERROR(IF(#REF!="S",VLOOKUP('Raw Data'!A5853,References!#REF!,2,FALSE),(VLOOKUP($S5853,References!$B$3:$C$7,2,FALSE))),"")</f>
        <v/>
      </c>
      <c r="W5853" s="74" t="str">
        <f>IFERROR(VLOOKUP($O5853,'Customer List'!$A$1:$J$488,10,FALSE),"")</f>
        <v/>
      </c>
    </row>
    <row r="5854" spans="18:23">
      <c r="R5854" s="127">
        <f t="shared" si="257"/>
        <v>0</v>
      </c>
      <c r="T5854" s="128">
        <f t="shared" si="258"/>
        <v>0</v>
      </c>
      <c r="U5854" s="129" t="str">
        <f>IFERROR(IF(#REF!="S",VLOOKUP('Raw Data'!A5854,References!#REF!,2,FALSE),(VLOOKUP($S5854,References!$B$3:$C$7,2,FALSE))),"")</f>
        <v/>
      </c>
      <c r="W5854" s="74" t="str">
        <f>IFERROR(VLOOKUP($O5854,'Customer List'!$A$1:$J$488,10,FALSE),"")</f>
        <v/>
      </c>
    </row>
    <row r="5855" spans="18:23">
      <c r="R5855" s="127">
        <f t="shared" si="257"/>
        <v>0</v>
      </c>
      <c r="T5855" s="128">
        <f t="shared" si="258"/>
        <v>0</v>
      </c>
      <c r="U5855" s="129" t="str">
        <f>IFERROR(IF(#REF!="S",VLOOKUP('Raw Data'!A5855,References!#REF!,2,FALSE),(VLOOKUP($S5855,References!$B$3:$C$7,2,FALSE))),"")</f>
        <v/>
      </c>
      <c r="W5855" s="74" t="str">
        <f>IFERROR(VLOOKUP($O5855,'Customer List'!$A$1:$J$488,10,FALSE),"")</f>
        <v/>
      </c>
    </row>
    <row r="5856" spans="18:23">
      <c r="R5856" s="127">
        <f t="shared" si="257"/>
        <v>0</v>
      </c>
      <c r="T5856" s="128">
        <f t="shared" si="258"/>
        <v>0</v>
      </c>
      <c r="U5856" s="129" t="str">
        <f>IFERROR(IF(#REF!="S",VLOOKUP('Raw Data'!A5856,References!#REF!,2,FALSE),(VLOOKUP($S5856,References!$B$3:$C$7,2,FALSE))),"")</f>
        <v/>
      </c>
      <c r="W5856" s="74" t="str">
        <f>IFERROR(VLOOKUP($O5856,'Customer List'!$A$1:$J$488,10,FALSE),"")</f>
        <v/>
      </c>
    </row>
    <row r="5857" spans="18:23">
      <c r="R5857" s="127">
        <f t="shared" si="257"/>
        <v>0</v>
      </c>
      <c r="T5857" s="128">
        <f t="shared" si="258"/>
        <v>0</v>
      </c>
      <c r="U5857" s="129" t="str">
        <f>IFERROR(IF(#REF!="S",VLOOKUP('Raw Data'!A5857,References!#REF!,2,FALSE),(VLOOKUP($S5857,References!$B$3:$C$7,2,FALSE))),"")</f>
        <v/>
      </c>
      <c r="W5857" s="74" t="str">
        <f>IFERROR(VLOOKUP($O5857,'Customer List'!$A$1:$J$488,10,FALSE),"")</f>
        <v/>
      </c>
    </row>
    <row r="5858" spans="18:23">
      <c r="R5858" s="127">
        <f t="shared" ref="R5858:R5921" si="259">L5858-K5858</f>
        <v>0</v>
      </c>
      <c r="T5858" s="128">
        <f t="shared" si="258"/>
        <v>0</v>
      </c>
      <c r="U5858" s="129" t="str">
        <f>IFERROR(IF(#REF!="S",VLOOKUP('Raw Data'!A5858,References!#REF!,2,FALSE),(VLOOKUP($S5858,References!$B$3:$C$7,2,FALSE))),"")</f>
        <v/>
      </c>
      <c r="W5858" s="74" t="str">
        <f>IFERROR(VLOOKUP($O5858,'Customer List'!$A$1:$J$488,10,FALSE),"")</f>
        <v/>
      </c>
    </row>
    <row r="5859" spans="18:23">
      <c r="R5859" s="127">
        <f t="shared" si="259"/>
        <v>0</v>
      </c>
      <c r="T5859" s="128">
        <f t="shared" si="258"/>
        <v>0</v>
      </c>
      <c r="U5859" s="129" t="str">
        <f>IFERROR(IF(#REF!="S",VLOOKUP('Raw Data'!A5859,References!#REF!,2,FALSE),(VLOOKUP($S5859,References!$B$3:$C$7,2,FALSE))),"")</f>
        <v/>
      </c>
      <c r="W5859" s="74" t="str">
        <f>IFERROR(VLOOKUP($O5859,'Customer List'!$A$1:$J$488,10,FALSE),"")</f>
        <v/>
      </c>
    </row>
    <row r="5860" spans="18:23">
      <c r="R5860" s="127">
        <f t="shared" si="259"/>
        <v>0</v>
      </c>
      <c r="T5860" s="128">
        <f t="shared" si="258"/>
        <v>0</v>
      </c>
      <c r="U5860" s="129" t="str">
        <f>IFERROR(IF(#REF!="S",VLOOKUP('Raw Data'!A5860,References!#REF!,2,FALSE),(VLOOKUP($S5860,References!$B$3:$C$7,2,FALSE))),"")</f>
        <v/>
      </c>
      <c r="W5860" s="74" t="str">
        <f>IFERROR(VLOOKUP($O5860,'Customer List'!$A$1:$J$488,10,FALSE),"")</f>
        <v/>
      </c>
    </row>
    <row r="5861" spans="18:23">
      <c r="R5861" s="127">
        <f t="shared" si="259"/>
        <v>0</v>
      </c>
      <c r="T5861" s="128">
        <f t="shared" si="258"/>
        <v>0</v>
      </c>
      <c r="U5861" s="129" t="str">
        <f>IFERROR(IF(#REF!="S",VLOOKUP('Raw Data'!A5861,References!#REF!,2,FALSE),(VLOOKUP($S5861,References!$B$3:$C$7,2,FALSE))),"")</f>
        <v/>
      </c>
      <c r="W5861" s="74" t="str">
        <f>IFERROR(VLOOKUP($O5861,'Customer List'!$A$1:$J$488,10,FALSE),"")</f>
        <v/>
      </c>
    </row>
    <row r="5862" spans="18:23">
      <c r="R5862" s="127">
        <f t="shared" si="259"/>
        <v>0</v>
      </c>
      <c r="T5862" s="128">
        <f t="shared" si="258"/>
        <v>0</v>
      </c>
      <c r="U5862" s="129" t="str">
        <f>IFERROR(IF(#REF!="S",VLOOKUP('Raw Data'!A5862,References!#REF!,2,FALSE),(VLOOKUP($S5862,References!$B$3:$C$7,2,FALSE))),"")</f>
        <v/>
      </c>
      <c r="W5862" s="74" t="str">
        <f>IFERROR(VLOOKUP($O5862,'Customer List'!$A$1:$J$488,10,FALSE),"")</f>
        <v/>
      </c>
    </row>
    <row r="5863" spans="18:23">
      <c r="R5863" s="127">
        <f t="shared" si="259"/>
        <v>0</v>
      </c>
      <c r="T5863" s="128">
        <f t="shared" si="258"/>
        <v>0</v>
      </c>
      <c r="U5863" s="129" t="str">
        <f>IFERROR(IF(#REF!="S",VLOOKUP('Raw Data'!A5863,References!#REF!,2,FALSE),(VLOOKUP($S5863,References!$B$3:$C$7,2,FALSE))),"")</f>
        <v/>
      </c>
      <c r="W5863" s="74" t="str">
        <f>IFERROR(VLOOKUP($O5863,'Customer List'!$A$1:$J$488,10,FALSE),"")</f>
        <v/>
      </c>
    </row>
    <row r="5864" spans="18:23">
      <c r="R5864" s="127">
        <f t="shared" si="259"/>
        <v>0</v>
      </c>
      <c r="T5864" s="128">
        <f t="shared" si="258"/>
        <v>0</v>
      </c>
      <c r="U5864" s="129" t="str">
        <f>IFERROR(IF(#REF!="S",VLOOKUP('Raw Data'!A5864,References!#REF!,2,FALSE),(VLOOKUP($S5864,References!$B$3:$C$7,2,FALSE))),"")</f>
        <v/>
      </c>
      <c r="W5864" s="74" t="str">
        <f>IFERROR(VLOOKUP($O5864,'Customer List'!$A$1:$J$488,10,FALSE),"")</f>
        <v/>
      </c>
    </row>
    <row r="5865" spans="18:23">
      <c r="R5865" s="127">
        <f t="shared" si="259"/>
        <v>0</v>
      </c>
      <c r="T5865" s="128">
        <f t="shared" si="258"/>
        <v>0</v>
      </c>
      <c r="U5865" s="129" t="str">
        <f>IFERROR(IF(#REF!="S",VLOOKUP('Raw Data'!A5865,References!#REF!,2,FALSE),(VLOOKUP($S5865,References!$B$3:$C$7,2,FALSE))),"")</f>
        <v/>
      </c>
      <c r="W5865" s="74" t="str">
        <f>IFERROR(VLOOKUP($O5865,'Customer List'!$A$1:$J$488,10,FALSE),"")</f>
        <v/>
      </c>
    </row>
    <row r="5866" spans="18:23">
      <c r="R5866" s="127">
        <f t="shared" si="259"/>
        <v>0</v>
      </c>
      <c r="T5866" s="128">
        <f t="shared" si="258"/>
        <v>0</v>
      </c>
      <c r="U5866" s="129" t="str">
        <f>IFERROR(IF(#REF!="S",VLOOKUP('Raw Data'!A5866,References!#REF!,2,FALSE),(VLOOKUP($S5866,References!$B$3:$C$7,2,FALSE))),"")</f>
        <v/>
      </c>
      <c r="W5866" s="74" t="str">
        <f>IFERROR(VLOOKUP($O5866,'Customer List'!$A$1:$J$488,10,FALSE),"")</f>
        <v/>
      </c>
    </row>
    <row r="5867" spans="18:23">
      <c r="R5867" s="127">
        <f t="shared" si="259"/>
        <v>0</v>
      </c>
      <c r="T5867" s="128">
        <f t="shared" si="258"/>
        <v>0</v>
      </c>
      <c r="U5867" s="129" t="str">
        <f>IFERROR(IF(#REF!="S",VLOOKUP('Raw Data'!A5867,References!#REF!,2,FALSE),(VLOOKUP($S5867,References!$B$3:$C$7,2,FALSE))),"")</f>
        <v/>
      </c>
      <c r="W5867" s="74" t="str">
        <f>IFERROR(VLOOKUP($O5867,'Customer List'!$A$1:$J$488,10,FALSE),"")</f>
        <v/>
      </c>
    </row>
    <row r="5868" spans="18:23">
      <c r="R5868" s="127">
        <f t="shared" si="259"/>
        <v>0</v>
      </c>
      <c r="T5868" s="128">
        <f t="shared" si="258"/>
        <v>0</v>
      </c>
      <c r="U5868" s="129" t="str">
        <f>IFERROR(IF(#REF!="S",VLOOKUP('Raw Data'!A5868,References!#REF!,2,FALSE),(VLOOKUP($S5868,References!$B$3:$C$7,2,FALSE))),"")</f>
        <v/>
      </c>
      <c r="W5868" s="74" t="str">
        <f>IFERROR(VLOOKUP($O5868,'Customer List'!$A$1:$J$488,10,FALSE),"")</f>
        <v/>
      </c>
    </row>
    <row r="5869" spans="18:23">
      <c r="R5869" s="127">
        <f t="shared" si="259"/>
        <v>0</v>
      </c>
      <c r="T5869" s="128">
        <f t="shared" si="258"/>
        <v>0</v>
      </c>
      <c r="U5869" s="129" t="str">
        <f>IFERROR(IF(#REF!="S",VLOOKUP('Raw Data'!A5869,References!#REF!,2,FALSE),(VLOOKUP($S5869,References!$B$3:$C$7,2,FALSE))),"")</f>
        <v/>
      </c>
      <c r="W5869" s="74" t="str">
        <f>IFERROR(VLOOKUP($O5869,'Customer List'!$A$1:$J$488,10,FALSE),"")</f>
        <v/>
      </c>
    </row>
    <row r="5870" spans="18:23">
      <c r="R5870" s="127">
        <f t="shared" si="259"/>
        <v>0</v>
      </c>
      <c r="T5870" s="128">
        <f t="shared" si="258"/>
        <v>0</v>
      </c>
      <c r="U5870" s="129" t="str">
        <f>IFERROR(IF(#REF!="S",VLOOKUP('Raw Data'!A5870,References!#REF!,2,FALSE),(VLOOKUP($S5870,References!$B$3:$C$7,2,FALSE))),"")</f>
        <v/>
      </c>
      <c r="W5870" s="74" t="str">
        <f>IFERROR(VLOOKUP($O5870,'Customer List'!$A$1:$J$488,10,FALSE),"")</f>
        <v/>
      </c>
    </row>
    <row r="5871" spans="18:23">
      <c r="R5871" s="127">
        <f t="shared" si="259"/>
        <v>0</v>
      </c>
      <c r="T5871" s="128">
        <f t="shared" si="258"/>
        <v>0</v>
      </c>
      <c r="U5871" s="129" t="str">
        <f>IFERROR(IF(#REF!="S",VLOOKUP('Raw Data'!A5871,References!#REF!,2,FALSE),(VLOOKUP($S5871,References!$B$3:$C$7,2,FALSE))),"")</f>
        <v/>
      </c>
      <c r="W5871" s="74" t="str">
        <f>IFERROR(VLOOKUP($O5871,'Customer List'!$A$1:$J$488,10,FALSE),"")</f>
        <v/>
      </c>
    </row>
    <row r="5872" spans="18:23">
      <c r="R5872" s="127">
        <f t="shared" si="259"/>
        <v>0</v>
      </c>
      <c r="T5872" s="128">
        <f t="shared" si="258"/>
        <v>0</v>
      </c>
      <c r="U5872" s="129" t="str">
        <f>IFERROR(IF(#REF!="S",VLOOKUP('Raw Data'!A5872,References!#REF!,2,FALSE),(VLOOKUP($S5872,References!$B$3:$C$7,2,FALSE))),"")</f>
        <v/>
      </c>
      <c r="W5872" s="74" t="str">
        <f>IFERROR(VLOOKUP($O5872,'Customer List'!$A$1:$J$488,10,FALSE),"")</f>
        <v/>
      </c>
    </row>
    <row r="5873" spans="18:23">
      <c r="R5873" s="127">
        <f t="shared" si="259"/>
        <v>0</v>
      </c>
      <c r="T5873" s="128">
        <f t="shared" si="258"/>
        <v>0</v>
      </c>
      <c r="U5873" s="129" t="str">
        <f>IFERROR(IF(#REF!="S",VLOOKUP('Raw Data'!A5873,References!#REF!,2,FALSE),(VLOOKUP($S5873,References!$B$3:$C$7,2,FALSE))),"")</f>
        <v/>
      </c>
      <c r="W5873" s="74" t="str">
        <f>IFERROR(VLOOKUP($O5873,'Customer List'!$A$1:$J$488,10,FALSE),"")</f>
        <v/>
      </c>
    </row>
    <row r="5874" spans="18:23">
      <c r="R5874" s="127">
        <f t="shared" si="259"/>
        <v>0</v>
      </c>
      <c r="T5874" s="128">
        <f t="shared" si="258"/>
        <v>0</v>
      </c>
      <c r="U5874" s="129" t="str">
        <f>IFERROR(IF(#REF!="S",VLOOKUP('Raw Data'!A5874,References!#REF!,2,FALSE),(VLOOKUP($S5874,References!$B$3:$C$7,2,FALSE))),"")</f>
        <v/>
      </c>
      <c r="W5874" s="74" t="str">
        <f>IFERROR(VLOOKUP($O5874,'Customer List'!$A$1:$J$488,10,FALSE),"")</f>
        <v/>
      </c>
    </row>
    <row r="5875" spans="18:23">
      <c r="R5875" s="127">
        <f t="shared" si="259"/>
        <v>0</v>
      </c>
      <c r="T5875" s="128">
        <f t="shared" si="258"/>
        <v>0</v>
      </c>
      <c r="U5875" s="129" t="str">
        <f>IFERROR(IF(#REF!="S",VLOOKUP('Raw Data'!A5875,References!#REF!,2,FALSE),(VLOOKUP($S5875,References!$B$3:$C$7,2,FALSE))),"")</f>
        <v/>
      </c>
      <c r="W5875" s="74" t="str">
        <f>IFERROR(VLOOKUP($O5875,'Customer List'!$A$1:$J$488,10,FALSE),"")</f>
        <v/>
      </c>
    </row>
    <row r="5876" spans="18:23">
      <c r="R5876" s="127">
        <f t="shared" si="259"/>
        <v>0</v>
      </c>
      <c r="T5876" s="128">
        <f t="shared" si="258"/>
        <v>0</v>
      </c>
      <c r="U5876" s="129" t="str">
        <f>IFERROR(IF(#REF!="S",VLOOKUP('Raw Data'!A5876,References!#REF!,2,FALSE),(VLOOKUP($S5876,References!$B$3:$C$7,2,FALSE))),"")</f>
        <v/>
      </c>
      <c r="W5876" s="74" t="str">
        <f>IFERROR(VLOOKUP($O5876,'Customer List'!$A$1:$J$488,10,FALSE),"")</f>
        <v/>
      </c>
    </row>
    <row r="5877" spans="18:23">
      <c r="R5877" s="127">
        <f t="shared" si="259"/>
        <v>0</v>
      </c>
      <c r="T5877" s="128">
        <f t="shared" si="258"/>
        <v>0</v>
      </c>
      <c r="U5877" s="129" t="str">
        <f>IFERROR(IF(#REF!="S",VLOOKUP('Raw Data'!A5877,References!#REF!,2,FALSE),(VLOOKUP($S5877,References!$B$3:$C$7,2,FALSE))),"")</f>
        <v/>
      </c>
      <c r="W5877" s="74" t="str">
        <f>IFERROR(VLOOKUP($O5877,'Customer List'!$A$1:$J$488,10,FALSE),"")</f>
        <v/>
      </c>
    </row>
    <row r="5878" spans="18:23">
      <c r="R5878" s="127">
        <f t="shared" si="259"/>
        <v>0</v>
      </c>
      <c r="T5878" s="128">
        <f t="shared" si="258"/>
        <v>0</v>
      </c>
      <c r="U5878" s="129" t="str">
        <f>IFERROR(IF(#REF!="S",VLOOKUP('Raw Data'!A5878,References!#REF!,2,FALSE),(VLOOKUP($S5878,References!$B$3:$C$7,2,FALSE))),"")</f>
        <v/>
      </c>
      <c r="W5878" s="74" t="str">
        <f>IFERROR(VLOOKUP($O5878,'Customer List'!$A$1:$J$488,10,FALSE),"")</f>
        <v/>
      </c>
    </row>
    <row r="5879" spans="18:23">
      <c r="R5879" s="127">
        <f t="shared" si="259"/>
        <v>0</v>
      </c>
      <c r="T5879" s="128">
        <f t="shared" si="258"/>
        <v>0</v>
      </c>
      <c r="U5879" s="129" t="str">
        <f>IFERROR(IF(#REF!="S",VLOOKUP('Raw Data'!A5879,References!#REF!,2,FALSE),(VLOOKUP($S5879,References!$B$3:$C$7,2,FALSE))),"")</f>
        <v/>
      </c>
      <c r="W5879" s="74" t="str">
        <f>IFERROR(VLOOKUP($O5879,'Customer List'!$A$1:$J$488,10,FALSE),"")</f>
        <v/>
      </c>
    </row>
    <row r="5880" spans="18:23">
      <c r="R5880" s="127">
        <f t="shared" si="259"/>
        <v>0</v>
      </c>
      <c r="T5880" s="128">
        <f t="shared" si="258"/>
        <v>0</v>
      </c>
      <c r="U5880" s="129" t="str">
        <f>IFERROR(IF(#REF!="S",VLOOKUP('Raw Data'!A5880,References!#REF!,2,FALSE),(VLOOKUP($S5880,References!$B$3:$C$7,2,FALSE))),"")</f>
        <v/>
      </c>
      <c r="W5880" s="74" t="str">
        <f>IFERROR(VLOOKUP($O5880,'Customer List'!$A$1:$J$488,10,FALSE),"")</f>
        <v/>
      </c>
    </row>
    <row r="5881" spans="18:23">
      <c r="R5881" s="127">
        <f t="shared" si="259"/>
        <v>0</v>
      </c>
      <c r="T5881" s="128">
        <f t="shared" si="258"/>
        <v>0</v>
      </c>
      <c r="U5881" s="129" t="str">
        <f>IFERROR(IF(#REF!="S",VLOOKUP('Raw Data'!A5881,References!#REF!,2,FALSE),(VLOOKUP($S5881,References!$B$3:$C$7,2,FALSE))),"")</f>
        <v/>
      </c>
      <c r="W5881" s="74" t="str">
        <f>IFERROR(VLOOKUP($O5881,'Customer List'!$A$1:$J$488,10,FALSE),"")</f>
        <v/>
      </c>
    </row>
    <row r="5882" spans="18:23">
      <c r="R5882" s="127">
        <f t="shared" si="259"/>
        <v>0</v>
      </c>
      <c r="T5882" s="128">
        <f t="shared" si="258"/>
        <v>0</v>
      </c>
      <c r="U5882" s="129" t="str">
        <f>IFERROR(IF(#REF!="S",VLOOKUP('Raw Data'!A5882,References!#REF!,2,FALSE),(VLOOKUP($S5882,References!$B$3:$C$7,2,FALSE))),"")</f>
        <v/>
      </c>
      <c r="W5882" s="74" t="str">
        <f>IFERROR(VLOOKUP($O5882,'Customer List'!$A$1:$J$488,10,FALSE),"")</f>
        <v/>
      </c>
    </row>
    <row r="5883" spans="18:23">
      <c r="R5883" s="127">
        <f t="shared" si="259"/>
        <v>0</v>
      </c>
      <c r="T5883" s="128">
        <f t="shared" si="258"/>
        <v>0</v>
      </c>
      <c r="U5883" s="129" t="str">
        <f>IFERROR(IF(#REF!="S",VLOOKUP('Raw Data'!A5883,References!#REF!,2,FALSE),(VLOOKUP($S5883,References!$B$3:$C$7,2,FALSE))),"")</f>
        <v/>
      </c>
      <c r="W5883" s="74" t="str">
        <f>IFERROR(VLOOKUP($O5883,'Customer List'!$A$1:$J$488,10,FALSE),"")</f>
        <v/>
      </c>
    </row>
    <row r="5884" spans="18:23">
      <c r="R5884" s="127">
        <f t="shared" si="259"/>
        <v>0</v>
      </c>
      <c r="T5884" s="128">
        <f t="shared" si="258"/>
        <v>0</v>
      </c>
      <c r="U5884" s="129" t="str">
        <f>IFERROR(IF(#REF!="S",VLOOKUP('Raw Data'!A5884,References!#REF!,2,FALSE),(VLOOKUP($S5884,References!$B$3:$C$7,2,FALSE))),"")</f>
        <v/>
      </c>
      <c r="W5884" s="74" t="str">
        <f>IFERROR(VLOOKUP($O5884,'Customer List'!$A$1:$J$488,10,FALSE),"")</f>
        <v/>
      </c>
    </row>
    <row r="5885" spans="18:23">
      <c r="R5885" s="127">
        <f t="shared" si="259"/>
        <v>0</v>
      </c>
      <c r="T5885" s="128">
        <f t="shared" si="258"/>
        <v>0</v>
      </c>
      <c r="U5885" s="129" t="str">
        <f>IFERROR(IF(#REF!="S",VLOOKUP('Raw Data'!A5885,References!#REF!,2,FALSE),(VLOOKUP($S5885,References!$B$3:$C$7,2,FALSE))),"")</f>
        <v/>
      </c>
      <c r="W5885" s="74" t="str">
        <f>IFERROR(VLOOKUP($O5885,'Customer List'!$A$1:$J$488,10,FALSE),"")</f>
        <v/>
      </c>
    </row>
    <row r="5886" spans="18:23">
      <c r="R5886" s="127">
        <f t="shared" si="259"/>
        <v>0</v>
      </c>
      <c r="T5886" s="128">
        <f t="shared" si="258"/>
        <v>0</v>
      </c>
      <c r="U5886" s="129" t="str">
        <f>IFERROR(IF(#REF!="S",VLOOKUP('Raw Data'!A5886,References!#REF!,2,FALSE),(VLOOKUP($S5886,References!$B$3:$C$7,2,FALSE))),"")</f>
        <v/>
      </c>
      <c r="W5886" s="74" t="str">
        <f>IFERROR(VLOOKUP($O5886,'Customer List'!$A$1:$J$488,10,FALSE),"")</f>
        <v/>
      </c>
    </row>
    <row r="5887" spans="18:23">
      <c r="R5887" s="127">
        <f t="shared" si="259"/>
        <v>0</v>
      </c>
      <c r="T5887" s="128">
        <f t="shared" si="258"/>
        <v>0</v>
      </c>
      <c r="U5887" s="129" t="str">
        <f>IFERROR(IF(#REF!="S",VLOOKUP('Raw Data'!A5887,References!#REF!,2,FALSE),(VLOOKUP($S5887,References!$B$3:$C$7,2,FALSE))),"")</f>
        <v/>
      </c>
      <c r="W5887" s="74" t="str">
        <f>IFERROR(VLOOKUP($O5887,'Customer List'!$A$1:$J$488,10,FALSE),"")</f>
        <v/>
      </c>
    </row>
    <row r="5888" spans="18:23">
      <c r="R5888" s="127">
        <f t="shared" si="259"/>
        <v>0</v>
      </c>
      <c r="T5888" s="128">
        <f t="shared" si="258"/>
        <v>0</v>
      </c>
      <c r="U5888" s="129" t="str">
        <f>IFERROR(IF(#REF!="S",VLOOKUP('Raw Data'!A5888,References!#REF!,2,FALSE),(VLOOKUP($S5888,References!$B$3:$C$7,2,FALSE))),"")</f>
        <v/>
      </c>
      <c r="W5888" s="74" t="str">
        <f>IFERROR(VLOOKUP($O5888,'Customer List'!$A$1:$J$488,10,FALSE),"")</f>
        <v/>
      </c>
    </row>
    <row r="5889" spans="18:23">
      <c r="R5889" s="127">
        <f t="shared" si="259"/>
        <v>0</v>
      </c>
      <c r="T5889" s="128">
        <f t="shared" si="258"/>
        <v>0</v>
      </c>
      <c r="U5889" s="129" t="str">
        <f>IFERROR(IF(#REF!="S",VLOOKUP('Raw Data'!A5889,References!#REF!,2,FALSE),(VLOOKUP($S5889,References!$B$3:$C$7,2,FALSE))),"")</f>
        <v/>
      </c>
      <c r="W5889" s="74" t="str">
        <f>IFERROR(VLOOKUP($O5889,'Customer List'!$A$1:$J$488,10,FALSE),"")</f>
        <v/>
      </c>
    </row>
    <row r="5890" spans="18:23">
      <c r="R5890" s="127">
        <f t="shared" si="259"/>
        <v>0</v>
      </c>
      <c r="T5890" s="128">
        <f t="shared" si="258"/>
        <v>0</v>
      </c>
      <c r="U5890" s="129" t="str">
        <f>IFERROR(IF(#REF!="S",VLOOKUP('Raw Data'!A5890,References!#REF!,2,FALSE),(VLOOKUP($S5890,References!$B$3:$C$7,2,FALSE))),"")</f>
        <v/>
      </c>
      <c r="W5890" s="74" t="str">
        <f>IFERROR(VLOOKUP($O5890,'Customer List'!$A$1:$J$488,10,FALSE),"")</f>
        <v/>
      </c>
    </row>
    <row r="5891" spans="18:23">
      <c r="R5891" s="127">
        <f t="shared" si="259"/>
        <v>0</v>
      </c>
      <c r="T5891" s="128">
        <f t="shared" si="258"/>
        <v>0</v>
      </c>
      <c r="U5891" s="129" t="str">
        <f>IFERROR(IF(#REF!="S",VLOOKUP('Raw Data'!A5891,References!#REF!,2,FALSE),(VLOOKUP($S5891,References!$B$3:$C$7,2,FALSE))),"")</f>
        <v/>
      </c>
      <c r="W5891" s="74" t="str">
        <f>IFERROR(VLOOKUP($O5891,'Customer List'!$A$1:$J$488,10,FALSE),"")</f>
        <v/>
      </c>
    </row>
    <row r="5892" spans="18:23">
      <c r="R5892" s="127">
        <f t="shared" si="259"/>
        <v>0</v>
      </c>
      <c r="T5892" s="128">
        <f t="shared" si="258"/>
        <v>0</v>
      </c>
      <c r="U5892" s="129" t="str">
        <f>IFERROR(IF(#REF!="S",VLOOKUP('Raw Data'!A5892,References!#REF!,2,FALSE),(VLOOKUP($S5892,References!$B$3:$C$7,2,FALSE))),"")</f>
        <v/>
      </c>
      <c r="W5892" s="74" t="str">
        <f>IFERROR(VLOOKUP($O5892,'Customer List'!$A$1:$J$488,10,FALSE),"")</f>
        <v/>
      </c>
    </row>
    <row r="5893" spans="18:23">
      <c r="R5893" s="127">
        <f t="shared" si="259"/>
        <v>0</v>
      </c>
      <c r="T5893" s="128">
        <f t="shared" si="258"/>
        <v>0</v>
      </c>
      <c r="U5893" s="129" t="str">
        <f>IFERROR(IF(#REF!="S",VLOOKUP('Raw Data'!A5893,References!#REF!,2,FALSE),(VLOOKUP($S5893,References!$B$3:$C$7,2,FALSE))),"")</f>
        <v/>
      </c>
      <c r="W5893" s="74" t="str">
        <f>IFERROR(VLOOKUP($O5893,'Customer List'!$A$1:$J$488,10,FALSE),"")</f>
        <v/>
      </c>
    </row>
    <row r="5894" spans="18:23">
      <c r="R5894" s="127">
        <f t="shared" si="259"/>
        <v>0</v>
      </c>
      <c r="T5894" s="128">
        <f t="shared" si="258"/>
        <v>0</v>
      </c>
      <c r="U5894" s="129" t="str">
        <f>IFERROR(IF(#REF!="S",VLOOKUP('Raw Data'!A5894,References!#REF!,2,FALSE),(VLOOKUP($S5894,References!$B$3:$C$7,2,FALSE))),"")</f>
        <v/>
      </c>
      <c r="W5894" s="74" t="str">
        <f>IFERROR(VLOOKUP($O5894,'Customer List'!$A$1:$J$488,10,FALSE),"")</f>
        <v/>
      </c>
    </row>
    <row r="5895" spans="18:23">
      <c r="R5895" s="127">
        <f t="shared" si="259"/>
        <v>0</v>
      </c>
      <c r="T5895" s="128">
        <f t="shared" si="258"/>
        <v>0</v>
      </c>
      <c r="U5895" s="129" t="str">
        <f>IFERROR(IF(#REF!="S",VLOOKUP('Raw Data'!A5895,References!#REF!,2,FALSE),(VLOOKUP($S5895,References!$B$3:$C$7,2,FALSE))),"")</f>
        <v/>
      </c>
      <c r="W5895" s="74" t="str">
        <f>IFERROR(VLOOKUP($O5895,'Customer List'!$A$1:$J$488,10,FALSE),"")</f>
        <v/>
      </c>
    </row>
    <row r="5896" spans="18:23">
      <c r="R5896" s="127">
        <f t="shared" si="259"/>
        <v>0</v>
      </c>
      <c r="T5896" s="128">
        <f t="shared" si="258"/>
        <v>0</v>
      </c>
      <c r="U5896" s="129" t="str">
        <f>IFERROR(IF(#REF!="S",VLOOKUP('Raw Data'!A5896,References!#REF!,2,FALSE),(VLOOKUP($S5896,References!$B$3:$C$7,2,FALSE))),"")</f>
        <v/>
      </c>
      <c r="W5896" s="74" t="str">
        <f>IFERROR(VLOOKUP($O5896,'Customer List'!$A$1:$J$488,10,FALSE),"")</f>
        <v/>
      </c>
    </row>
    <row r="5897" spans="18:23">
      <c r="R5897" s="127">
        <f t="shared" si="259"/>
        <v>0</v>
      </c>
      <c r="T5897" s="128">
        <f t="shared" si="258"/>
        <v>0</v>
      </c>
      <c r="U5897" s="129" t="str">
        <f>IFERROR(IF(#REF!="S",VLOOKUP('Raw Data'!A5897,References!#REF!,2,FALSE),(VLOOKUP($S5897,References!$B$3:$C$7,2,FALSE))),"")</f>
        <v/>
      </c>
      <c r="W5897" s="74" t="str">
        <f>IFERROR(VLOOKUP($O5897,'Customer List'!$A$1:$J$488,10,FALSE),"")</f>
        <v/>
      </c>
    </row>
    <row r="5898" spans="18:23">
      <c r="R5898" s="127">
        <f t="shared" si="259"/>
        <v>0</v>
      </c>
      <c r="T5898" s="128">
        <f t="shared" ref="T5898:T5961" si="260">IF(S5898="50 - Cleaning Fee",1,HOUR($R5898)+MINUTE(R5898)/60)</f>
        <v>0</v>
      </c>
      <c r="U5898" s="129" t="str">
        <f>IFERROR(IF(#REF!="S",VLOOKUP('Raw Data'!A5898,References!#REF!,2,FALSE),(VLOOKUP($S5898,References!$B$3:$C$7,2,FALSE))),"")</f>
        <v/>
      </c>
      <c r="W5898" s="74" t="str">
        <f>IFERROR(VLOOKUP($O5898,'Customer List'!$A$1:$J$488,10,FALSE),"")</f>
        <v/>
      </c>
    </row>
    <row r="5899" spans="18:23">
      <c r="R5899" s="127">
        <f t="shared" si="259"/>
        <v>0</v>
      </c>
      <c r="T5899" s="128">
        <f t="shared" si="260"/>
        <v>0</v>
      </c>
      <c r="U5899" s="129" t="str">
        <f>IFERROR(IF(#REF!="S",VLOOKUP('Raw Data'!A5899,References!#REF!,2,FALSE),(VLOOKUP($S5899,References!$B$3:$C$7,2,FALSE))),"")</f>
        <v/>
      </c>
      <c r="W5899" s="74" t="str">
        <f>IFERROR(VLOOKUP($O5899,'Customer List'!$A$1:$J$488,10,FALSE),"")</f>
        <v/>
      </c>
    </row>
    <row r="5900" spans="18:23">
      <c r="R5900" s="127">
        <f t="shared" si="259"/>
        <v>0</v>
      </c>
      <c r="T5900" s="128">
        <f t="shared" si="260"/>
        <v>0</v>
      </c>
      <c r="U5900" s="129" t="str">
        <f>IFERROR(IF(#REF!="S",VLOOKUP('Raw Data'!A5900,References!#REF!,2,FALSE),(VLOOKUP($S5900,References!$B$3:$C$7,2,FALSE))),"")</f>
        <v/>
      </c>
      <c r="W5900" s="74" t="str">
        <f>IFERROR(VLOOKUP($O5900,'Customer List'!$A$1:$J$488,10,FALSE),"")</f>
        <v/>
      </c>
    </row>
    <row r="5901" spans="18:23">
      <c r="R5901" s="127">
        <f t="shared" si="259"/>
        <v>0</v>
      </c>
      <c r="T5901" s="128">
        <f t="shared" si="260"/>
        <v>0</v>
      </c>
      <c r="U5901" s="129" t="str">
        <f>IFERROR(IF(#REF!="S",VLOOKUP('Raw Data'!A5901,References!#REF!,2,FALSE),(VLOOKUP($S5901,References!$B$3:$C$7,2,FALSE))),"")</f>
        <v/>
      </c>
      <c r="W5901" s="74" t="str">
        <f>IFERROR(VLOOKUP($O5901,'Customer List'!$A$1:$J$488,10,FALSE),"")</f>
        <v/>
      </c>
    </row>
    <row r="5902" spans="18:23">
      <c r="R5902" s="127">
        <f t="shared" si="259"/>
        <v>0</v>
      </c>
      <c r="T5902" s="128">
        <f t="shared" si="260"/>
        <v>0</v>
      </c>
      <c r="U5902" s="129" t="str">
        <f>IFERROR(IF(#REF!="S",VLOOKUP('Raw Data'!A5902,References!#REF!,2,FALSE),(VLOOKUP($S5902,References!$B$3:$C$7,2,FALSE))),"")</f>
        <v/>
      </c>
      <c r="W5902" s="74" t="str">
        <f>IFERROR(VLOOKUP($O5902,'Customer List'!$A$1:$J$488,10,FALSE),"")</f>
        <v/>
      </c>
    </row>
    <row r="5903" spans="18:23">
      <c r="R5903" s="127">
        <f t="shared" si="259"/>
        <v>0</v>
      </c>
      <c r="T5903" s="128">
        <f t="shared" si="260"/>
        <v>0</v>
      </c>
      <c r="U5903" s="129" t="str">
        <f>IFERROR(IF(#REF!="S",VLOOKUP('Raw Data'!A5903,References!#REF!,2,FALSE),(VLOOKUP($S5903,References!$B$3:$C$7,2,FALSE))),"")</f>
        <v/>
      </c>
      <c r="W5903" s="74" t="str">
        <f>IFERROR(VLOOKUP($O5903,'Customer List'!$A$1:$J$488,10,FALSE),"")</f>
        <v/>
      </c>
    </row>
    <row r="5904" spans="18:23">
      <c r="R5904" s="127">
        <f t="shared" si="259"/>
        <v>0</v>
      </c>
      <c r="T5904" s="128">
        <f t="shared" si="260"/>
        <v>0</v>
      </c>
      <c r="U5904" s="129" t="str">
        <f>IFERROR(IF(#REF!="S",VLOOKUP('Raw Data'!A5904,References!#REF!,2,FALSE),(VLOOKUP($S5904,References!$B$3:$C$7,2,FALSE))),"")</f>
        <v/>
      </c>
      <c r="W5904" s="74" t="str">
        <f>IFERROR(VLOOKUP($O5904,'Customer List'!$A$1:$J$488,10,FALSE),"")</f>
        <v/>
      </c>
    </row>
    <row r="5905" spans="18:23">
      <c r="R5905" s="127">
        <f t="shared" si="259"/>
        <v>0</v>
      </c>
      <c r="T5905" s="128">
        <f t="shared" si="260"/>
        <v>0</v>
      </c>
      <c r="U5905" s="129" t="str">
        <f>IFERROR(IF(#REF!="S",VLOOKUP('Raw Data'!A5905,References!#REF!,2,FALSE),(VLOOKUP($S5905,References!$B$3:$C$7,2,FALSE))),"")</f>
        <v/>
      </c>
      <c r="W5905" s="74" t="str">
        <f>IFERROR(VLOOKUP($O5905,'Customer List'!$A$1:$J$488,10,FALSE),"")</f>
        <v/>
      </c>
    </row>
    <row r="5906" spans="18:23">
      <c r="R5906" s="127">
        <f t="shared" si="259"/>
        <v>0</v>
      </c>
      <c r="T5906" s="128">
        <f t="shared" si="260"/>
        <v>0</v>
      </c>
      <c r="U5906" s="129" t="str">
        <f>IFERROR(IF(#REF!="S",VLOOKUP('Raw Data'!A5906,References!#REF!,2,FALSE),(VLOOKUP($S5906,References!$B$3:$C$7,2,FALSE))),"")</f>
        <v/>
      </c>
      <c r="W5906" s="74" t="str">
        <f>IFERROR(VLOOKUP($O5906,'Customer List'!$A$1:$J$488,10,FALSE),"")</f>
        <v/>
      </c>
    </row>
    <row r="5907" spans="18:23">
      <c r="R5907" s="127">
        <f t="shared" si="259"/>
        <v>0</v>
      </c>
      <c r="T5907" s="128">
        <f t="shared" si="260"/>
        <v>0</v>
      </c>
      <c r="U5907" s="129" t="str">
        <f>IFERROR(IF(#REF!="S",VLOOKUP('Raw Data'!A5907,References!#REF!,2,FALSE),(VLOOKUP($S5907,References!$B$3:$C$7,2,FALSE))),"")</f>
        <v/>
      </c>
      <c r="W5907" s="74" t="str">
        <f>IFERROR(VLOOKUP($O5907,'Customer List'!$A$1:$J$488,10,FALSE),"")</f>
        <v/>
      </c>
    </row>
    <row r="5908" spans="18:23">
      <c r="R5908" s="127">
        <f t="shared" si="259"/>
        <v>0</v>
      </c>
      <c r="T5908" s="128">
        <f t="shared" si="260"/>
        <v>0</v>
      </c>
      <c r="U5908" s="129" t="str">
        <f>IFERROR(IF(#REF!="S",VLOOKUP('Raw Data'!A5908,References!#REF!,2,FALSE),(VLOOKUP($S5908,References!$B$3:$C$7,2,FALSE))),"")</f>
        <v/>
      </c>
      <c r="W5908" s="74" t="str">
        <f>IFERROR(VLOOKUP($O5908,'Customer List'!$A$1:$J$488,10,FALSE),"")</f>
        <v/>
      </c>
    </row>
    <row r="5909" spans="18:23">
      <c r="R5909" s="127">
        <f t="shared" si="259"/>
        <v>0</v>
      </c>
      <c r="T5909" s="128">
        <f t="shared" si="260"/>
        <v>0</v>
      </c>
      <c r="U5909" s="129" t="str">
        <f>IFERROR(IF(#REF!="S",VLOOKUP('Raw Data'!A5909,References!#REF!,2,FALSE),(VLOOKUP($S5909,References!$B$3:$C$7,2,FALSE))),"")</f>
        <v/>
      </c>
      <c r="W5909" s="74" t="str">
        <f>IFERROR(VLOOKUP($O5909,'Customer List'!$A$1:$J$488,10,FALSE),"")</f>
        <v/>
      </c>
    </row>
    <row r="5910" spans="18:23">
      <c r="R5910" s="127">
        <f t="shared" si="259"/>
        <v>0</v>
      </c>
      <c r="T5910" s="128">
        <f t="shared" si="260"/>
        <v>0</v>
      </c>
      <c r="U5910" s="129" t="str">
        <f>IFERROR(IF(#REF!="S",VLOOKUP('Raw Data'!A5910,References!#REF!,2,FALSE),(VLOOKUP($S5910,References!$B$3:$C$7,2,FALSE))),"")</f>
        <v/>
      </c>
      <c r="W5910" s="74" t="str">
        <f>IFERROR(VLOOKUP($O5910,'Customer List'!$A$1:$J$488,10,FALSE),"")</f>
        <v/>
      </c>
    </row>
    <row r="5911" spans="18:23">
      <c r="R5911" s="127">
        <f t="shared" si="259"/>
        <v>0</v>
      </c>
      <c r="T5911" s="128">
        <f t="shared" si="260"/>
        <v>0</v>
      </c>
      <c r="U5911" s="129" t="str">
        <f>IFERROR(IF(#REF!="S",VLOOKUP('Raw Data'!A5911,References!#REF!,2,FALSE),(VLOOKUP($S5911,References!$B$3:$C$7,2,FALSE))),"")</f>
        <v/>
      </c>
      <c r="W5911" s="74" t="str">
        <f>IFERROR(VLOOKUP($O5911,'Customer List'!$A$1:$J$488,10,FALSE),"")</f>
        <v/>
      </c>
    </row>
    <row r="5912" spans="18:23">
      <c r="R5912" s="127">
        <f t="shared" si="259"/>
        <v>0</v>
      </c>
      <c r="T5912" s="128">
        <f t="shared" si="260"/>
        <v>0</v>
      </c>
      <c r="U5912" s="129" t="str">
        <f>IFERROR(IF(#REF!="S",VLOOKUP('Raw Data'!A5912,References!#REF!,2,FALSE),(VLOOKUP($S5912,References!$B$3:$C$7,2,FALSE))),"")</f>
        <v/>
      </c>
      <c r="W5912" s="74" t="str">
        <f>IFERROR(VLOOKUP($O5912,'Customer List'!$A$1:$J$488,10,FALSE),"")</f>
        <v/>
      </c>
    </row>
    <row r="5913" spans="18:23">
      <c r="R5913" s="127">
        <f t="shared" si="259"/>
        <v>0</v>
      </c>
      <c r="T5913" s="128">
        <f t="shared" si="260"/>
        <v>0</v>
      </c>
      <c r="U5913" s="129" t="str">
        <f>IFERROR(IF(#REF!="S",VLOOKUP('Raw Data'!A5913,References!#REF!,2,FALSE),(VLOOKUP($S5913,References!$B$3:$C$7,2,FALSE))),"")</f>
        <v/>
      </c>
      <c r="W5913" s="74" t="str">
        <f>IFERROR(VLOOKUP($O5913,'Customer List'!$A$1:$J$488,10,FALSE),"")</f>
        <v/>
      </c>
    </row>
    <row r="5914" spans="18:23">
      <c r="R5914" s="127">
        <f t="shared" si="259"/>
        <v>0</v>
      </c>
      <c r="T5914" s="128">
        <f t="shared" si="260"/>
        <v>0</v>
      </c>
      <c r="U5914" s="129" t="str">
        <f>IFERROR(IF(#REF!="S",VLOOKUP('Raw Data'!A5914,References!#REF!,2,FALSE),(VLOOKUP($S5914,References!$B$3:$C$7,2,FALSE))),"")</f>
        <v/>
      </c>
      <c r="W5914" s="74" t="str">
        <f>IFERROR(VLOOKUP($O5914,'Customer List'!$A$1:$J$488,10,FALSE),"")</f>
        <v/>
      </c>
    </row>
    <row r="5915" spans="18:23">
      <c r="R5915" s="127">
        <f t="shared" si="259"/>
        <v>0</v>
      </c>
      <c r="T5915" s="128">
        <f t="shared" si="260"/>
        <v>0</v>
      </c>
      <c r="U5915" s="129" t="str">
        <f>IFERROR(IF(#REF!="S",VLOOKUP('Raw Data'!A5915,References!#REF!,2,FALSE),(VLOOKUP($S5915,References!$B$3:$C$7,2,FALSE))),"")</f>
        <v/>
      </c>
      <c r="W5915" s="74" t="str">
        <f>IFERROR(VLOOKUP($O5915,'Customer List'!$A$1:$J$488,10,FALSE),"")</f>
        <v/>
      </c>
    </row>
    <row r="5916" spans="18:23">
      <c r="R5916" s="127">
        <f t="shared" si="259"/>
        <v>0</v>
      </c>
      <c r="T5916" s="128">
        <f t="shared" si="260"/>
        <v>0</v>
      </c>
      <c r="U5916" s="129" t="str">
        <f>IFERROR(IF(#REF!="S",VLOOKUP('Raw Data'!A5916,References!#REF!,2,FALSE),(VLOOKUP($S5916,References!$B$3:$C$7,2,FALSE))),"")</f>
        <v/>
      </c>
      <c r="W5916" s="74" t="str">
        <f>IFERROR(VLOOKUP($O5916,'Customer List'!$A$1:$J$488,10,FALSE),"")</f>
        <v/>
      </c>
    </row>
    <row r="5917" spans="18:23">
      <c r="R5917" s="127">
        <f t="shared" si="259"/>
        <v>0</v>
      </c>
      <c r="T5917" s="128">
        <f t="shared" si="260"/>
        <v>0</v>
      </c>
      <c r="U5917" s="129" t="str">
        <f>IFERROR(IF(#REF!="S",VLOOKUP('Raw Data'!A5917,References!#REF!,2,FALSE),(VLOOKUP($S5917,References!$B$3:$C$7,2,FALSE))),"")</f>
        <v/>
      </c>
      <c r="W5917" s="74" t="str">
        <f>IFERROR(VLOOKUP($O5917,'Customer List'!$A$1:$J$488,10,FALSE),"")</f>
        <v/>
      </c>
    </row>
    <row r="5918" spans="18:23">
      <c r="R5918" s="127">
        <f t="shared" si="259"/>
        <v>0</v>
      </c>
      <c r="T5918" s="128">
        <f t="shared" si="260"/>
        <v>0</v>
      </c>
      <c r="U5918" s="129" t="str">
        <f>IFERROR(IF(#REF!="S",VLOOKUP('Raw Data'!A5918,References!#REF!,2,FALSE),(VLOOKUP($S5918,References!$B$3:$C$7,2,FALSE))),"")</f>
        <v/>
      </c>
      <c r="W5918" s="74" t="str">
        <f>IFERROR(VLOOKUP($O5918,'Customer List'!$A$1:$J$488,10,FALSE),"")</f>
        <v/>
      </c>
    </row>
    <row r="5919" spans="18:23">
      <c r="R5919" s="127">
        <f t="shared" si="259"/>
        <v>0</v>
      </c>
      <c r="T5919" s="128">
        <f t="shared" si="260"/>
        <v>0</v>
      </c>
      <c r="U5919" s="129" t="str">
        <f>IFERROR(IF(#REF!="S",VLOOKUP('Raw Data'!A5919,References!#REF!,2,FALSE),(VLOOKUP($S5919,References!$B$3:$C$7,2,FALSE))),"")</f>
        <v/>
      </c>
      <c r="W5919" s="74" t="str">
        <f>IFERROR(VLOOKUP($O5919,'Customer List'!$A$1:$J$488,10,FALSE),"")</f>
        <v/>
      </c>
    </row>
    <row r="5920" spans="18:23">
      <c r="R5920" s="127">
        <f t="shared" si="259"/>
        <v>0</v>
      </c>
      <c r="T5920" s="128">
        <f t="shared" si="260"/>
        <v>0</v>
      </c>
      <c r="U5920" s="129" t="str">
        <f>IFERROR(IF(#REF!="S",VLOOKUP('Raw Data'!A5920,References!#REF!,2,FALSE),(VLOOKUP($S5920,References!$B$3:$C$7,2,FALSE))),"")</f>
        <v/>
      </c>
      <c r="W5920" s="74" t="str">
        <f>IFERROR(VLOOKUP($O5920,'Customer List'!$A$1:$J$488,10,FALSE),"")</f>
        <v/>
      </c>
    </row>
    <row r="5921" spans="18:23">
      <c r="R5921" s="127">
        <f t="shared" si="259"/>
        <v>0</v>
      </c>
      <c r="T5921" s="128">
        <f t="shared" si="260"/>
        <v>0</v>
      </c>
      <c r="U5921" s="129" t="str">
        <f>IFERROR(IF(#REF!="S",VLOOKUP('Raw Data'!A5921,References!#REF!,2,FALSE),(VLOOKUP($S5921,References!$B$3:$C$7,2,FALSE))),"")</f>
        <v/>
      </c>
      <c r="W5921" s="74" t="str">
        <f>IFERROR(VLOOKUP($O5921,'Customer List'!$A$1:$J$488,10,FALSE),"")</f>
        <v/>
      </c>
    </row>
    <row r="5922" spans="18:23">
      <c r="R5922" s="127">
        <f t="shared" ref="R5922:R5985" si="261">L5922-K5922</f>
        <v>0</v>
      </c>
      <c r="T5922" s="128">
        <f t="shared" si="260"/>
        <v>0</v>
      </c>
      <c r="U5922" s="129" t="str">
        <f>IFERROR(IF(#REF!="S",VLOOKUP('Raw Data'!A5922,References!#REF!,2,FALSE),(VLOOKUP($S5922,References!$B$3:$C$7,2,FALSE))),"")</f>
        <v/>
      </c>
      <c r="W5922" s="74" t="str">
        <f>IFERROR(VLOOKUP($O5922,'Customer List'!$A$1:$J$488,10,FALSE),"")</f>
        <v/>
      </c>
    </row>
    <row r="5923" spans="18:23">
      <c r="R5923" s="127">
        <f t="shared" si="261"/>
        <v>0</v>
      </c>
      <c r="T5923" s="128">
        <f t="shared" si="260"/>
        <v>0</v>
      </c>
      <c r="U5923" s="129" t="str">
        <f>IFERROR(IF(#REF!="S",VLOOKUP('Raw Data'!A5923,References!#REF!,2,FALSE),(VLOOKUP($S5923,References!$B$3:$C$7,2,FALSE))),"")</f>
        <v/>
      </c>
      <c r="W5923" s="74" t="str">
        <f>IFERROR(VLOOKUP($O5923,'Customer List'!$A$1:$J$488,10,FALSE),"")</f>
        <v/>
      </c>
    </row>
    <row r="5924" spans="18:23">
      <c r="R5924" s="127">
        <f t="shared" si="261"/>
        <v>0</v>
      </c>
      <c r="T5924" s="128">
        <f t="shared" si="260"/>
        <v>0</v>
      </c>
      <c r="U5924" s="129" t="str">
        <f>IFERROR(IF(#REF!="S",VLOOKUP('Raw Data'!A5924,References!#REF!,2,FALSE),(VLOOKUP($S5924,References!$B$3:$C$7,2,FALSE))),"")</f>
        <v/>
      </c>
      <c r="W5924" s="74" t="str">
        <f>IFERROR(VLOOKUP($O5924,'Customer List'!$A$1:$J$488,10,FALSE),"")</f>
        <v/>
      </c>
    </row>
    <row r="5925" spans="18:23">
      <c r="R5925" s="127">
        <f t="shared" si="261"/>
        <v>0</v>
      </c>
      <c r="T5925" s="128">
        <f t="shared" si="260"/>
        <v>0</v>
      </c>
      <c r="U5925" s="129" t="str">
        <f>IFERROR(IF(#REF!="S",VLOOKUP('Raw Data'!A5925,References!#REF!,2,FALSE),(VLOOKUP($S5925,References!$B$3:$C$7,2,FALSE))),"")</f>
        <v/>
      </c>
      <c r="W5925" s="74" t="str">
        <f>IFERROR(VLOOKUP($O5925,'Customer List'!$A$1:$J$488,10,FALSE),"")</f>
        <v/>
      </c>
    </row>
    <row r="5926" spans="18:23">
      <c r="R5926" s="127">
        <f t="shared" si="261"/>
        <v>0</v>
      </c>
      <c r="T5926" s="128">
        <f t="shared" si="260"/>
        <v>0</v>
      </c>
      <c r="U5926" s="129" t="str">
        <f>IFERROR(IF(#REF!="S",VLOOKUP('Raw Data'!A5926,References!#REF!,2,FALSE),(VLOOKUP($S5926,References!$B$3:$C$7,2,FALSE))),"")</f>
        <v/>
      </c>
      <c r="W5926" s="74" t="str">
        <f>IFERROR(VLOOKUP($O5926,'Customer List'!$A$1:$J$488,10,FALSE),"")</f>
        <v/>
      </c>
    </row>
    <row r="5927" spans="18:23">
      <c r="R5927" s="127">
        <f t="shared" si="261"/>
        <v>0</v>
      </c>
      <c r="T5927" s="128">
        <f t="shared" si="260"/>
        <v>0</v>
      </c>
      <c r="U5927" s="129" t="str">
        <f>IFERROR(IF(#REF!="S",VLOOKUP('Raw Data'!A5927,References!#REF!,2,FALSE),(VLOOKUP($S5927,References!$B$3:$C$7,2,FALSE))),"")</f>
        <v/>
      </c>
      <c r="W5927" s="74" t="str">
        <f>IFERROR(VLOOKUP($O5927,'Customer List'!$A$1:$J$488,10,FALSE),"")</f>
        <v/>
      </c>
    </row>
    <row r="5928" spans="18:23">
      <c r="R5928" s="127">
        <f t="shared" si="261"/>
        <v>0</v>
      </c>
      <c r="T5928" s="128">
        <f t="shared" si="260"/>
        <v>0</v>
      </c>
      <c r="U5928" s="129" t="str">
        <f>IFERROR(IF(#REF!="S",VLOOKUP('Raw Data'!A5928,References!#REF!,2,FALSE),(VLOOKUP($S5928,References!$B$3:$C$7,2,FALSE))),"")</f>
        <v/>
      </c>
      <c r="W5928" s="74" t="str">
        <f>IFERROR(VLOOKUP($O5928,'Customer List'!$A$1:$J$488,10,FALSE),"")</f>
        <v/>
      </c>
    </row>
    <row r="5929" spans="18:23">
      <c r="R5929" s="127">
        <f t="shared" si="261"/>
        <v>0</v>
      </c>
      <c r="T5929" s="128">
        <f t="shared" si="260"/>
        <v>0</v>
      </c>
      <c r="U5929" s="129" t="str">
        <f>IFERROR(IF(#REF!="S",VLOOKUP('Raw Data'!A5929,References!#REF!,2,FALSE),(VLOOKUP($S5929,References!$B$3:$C$7,2,FALSE))),"")</f>
        <v/>
      </c>
      <c r="W5929" s="74" t="str">
        <f>IFERROR(VLOOKUP($O5929,'Customer List'!$A$1:$J$488,10,FALSE),"")</f>
        <v/>
      </c>
    </row>
    <row r="5930" spans="18:23">
      <c r="R5930" s="127">
        <f t="shared" si="261"/>
        <v>0</v>
      </c>
      <c r="T5930" s="128">
        <f t="shared" si="260"/>
        <v>0</v>
      </c>
      <c r="U5930" s="129" t="str">
        <f>IFERROR(IF(#REF!="S",VLOOKUP('Raw Data'!A5930,References!#REF!,2,FALSE),(VLOOKUP($S5930,References!$B$3:$C$7,2,FALSE))),"")</f>
        <v/>
      </c>
      <c r="W5930" s="74" t="str">
        <f>IFERROR(VLOOKUP($O5930,'Customer List'!$A$1:$J$488,10,FALSE),"")</f>
        <v/>
      </c>
    </row>
    <row r="5931" spans="18:23">
      <c r="R5931" s="127">
        <f t="shared" si="261"/>
        <v>0</v>
      </c>
      <c r="T5931" s="128">
        <f t="shared" si="260"/>
        <v>0</v>
      </c>
      <c r="U5931" s="129" t="str">
        <f>IFERROR(IF(#REF!="S",VLOOKUP('Raw Data'!A5931,References!#REF!,2,FALSE),(VLOOKUP($S5931,References!$B$3:$C$7,2,FALSE))),"")</f>
        <v/>
      </c>
      <c r="W5931" s="74" t="str">
        <f>IFERROR(VLOOKUP($O5931,'Customer List'!$A$1:$J$488,10,FALSE),"")</f>
        <v/>
      </c>
    </row>
    <row r="5932" spans="18:23">
      <c r="R5932" s="127">
        <f t="shared" si="261"/>
        <v>0</v>
      </c>
      <c r="T5932" s="128">
        <f t="shared" si="260"/>
        <v>0</v>
      </c>
      <c r="U5932" s="129" t="str">
        <f>IFERROR(IF(#REF!="S",VLOOKUP('Raw Data'!A5932,References!#REF!,2,FALSE),(VLOOKUP($S5932,References!$B$3:$C$7,2,FALSE))),"")</f>
        <v/>
      </c>
      <c r="W5932" s="74" t="str">
        <f>IFERROR(VLOOKUP($O5932,'Customer List'!$A$1:$J$488,10,FALSE),"")</f>
        <v/>
      </c>
    </row>
    <row r="5933" spans="18:23">
      <c r="R5933" s="127">
        <f t="shared" si="261"/>
        <v>0</v>
      </c>
      <c r="T5933" s="128">
        <f t="shared" si="260"/>
        <v>0</v>
      </c>
      <c r="U5933" s="129" t="str">
        <f>IFERROR(IF(#REF!="S",VLOOKUP('Raw Data'!A5933,References!#REF!,2,FALSE),(VLOOKUP($S5933,References!$B$3:$C$7,2,FALSE))),"")</f>
        <v/>
      </c>
      <c r="W5933" s="74" t="str">
        <f>IFERROR(VLOOKUP($O5933,'Customer List'!$A$1:$J$488,10,FALSE),"")</f>
        <v/>
      </c>
    </row>
    <row r="5934" spans="18:23">
      <c r="R5934" s="127">
        <f t="shared" si="261"/>
        <v>0</v>
      </c>
      <c r="T5934" s="128">
        <f t="shared" si="260"/>
        <v>0</v>
      </c>
      <c r="U5934" s="129" t="str">
        <f>IFERROR(IF(#REF!="S",VLOOKUP('Raw Data'!A5934,References!#REF!,2,FALSE),(VLOOKUP($S5934,References!$B$3:$C$7,2,FALSE))),"")</f>
        <v/>
      </c>
      <c r="W5934" s="74" t="str">
        <f>IFERROR(VLOOKUP($O5934,'Customer List'!$A$1:$J$488,10,FALSE),"")</f>
        <v/>
      </c>
    </row>
    <row r="5935" spans="18:23">
      <c r="R5935" s="127">
        <f t="shared" si="261"/>
        <v>0</v>
      </c>
      <c r="T5935" s="128">
        <f t="shared" si="260"/>
        <v>0</v>
      </c>
      <c r="U5935" s="129" t="str">
        <f>IFERROR(IF(#REF!="S",VLOOKUP('Raw Data'!A5935,References!#REF!,2,FALSE),(VLOOKUP($S5935,References!$B$3:$C$7,2,FALSE))),"")</f>
        <v/>
      </c>
      <c r="W5935" s="74" t="str">
        <f>IFERROR(VLOOKUP($O5935,'Customer List'!$A$1:$J$488,10,FALSE),"")</f>
        <v/>
      </c>
    </row>
    <row r="5936" spans="18:23">
      <c r="R5936" s="127">
        <f t="shared" si="261"/>
        <v>0</v>
      </c>
      <c r="T5936" s="128">
        <f t="shared" si="260"/>
        <v>0</v>
      </c>
      <c r="U5936" s="129" t="str">
        <f>IFERROR(IF(#REF!="S",VLOOKUP('Raw Data'!A5936,References!#REF!,2,FALSE),(VLOOKUP($S5936,References!$B$3:$C$7,2,FALSE))),"")</f>
        <v/>
      </c>
      <c r="W5936" s="74" t="str">
        <f>IFERROR(VLOOKUP($O5936,'Customer List'!$A$1:$J$488,10,FALSE),"")</f>
        <v/>
      </c>
    </row>
    <row r="5937" spans="18:23">
      <c r="R5937" s="127">
        <f t="shared" si="261"/>
        <v>0</v>
      </c>
      <c r="T5937" s="128">
        <f t="shared" si="260"/>
        <v>0</v>
      </c>
      <c r="U5937" s="129" t="str">
        <f>IFERROR(IF(#REF!="S",VLOOKUP('Raw Data'!A5937,References!#REF!,2,FALSE),(VLOOKUP($S5937,References!$B$3:$C$7,2,FALSE))),"")</f>
        <v/>
      </c>
      <c r="W5937" s="74" t="str">
        <f>IFERROR(VLOOKUP($O5937,'Customer List'!$A$1:$J$488,10,FALSE),"")</f>
        <v/>
      </c>
    </row>
    <row r="5938" spans="18:23">
      <c r="R5938" s="127">
        <f t="shared" si="261"/>
        <v>0</v>
      </c>
      <c r="T5938" s="128">
        <f t="shared" si="260"/>
        <v>0</v>
      </c>
      <c r="U5938" s="129" t="str">
        <f>IFERROR(IF(#REF!="S",VLOOKUP('Raw Data'!A5938,References!#REF!,2,FALSE),(VLOOKUP($S5938,References!$B$3:$C$7,2,FALSE))),"")</f>
        <v/>
      </c>
      <c r="W5938" s="74" t="str">
        <f>IFERROR(VLOOKUP($O5938,'Customer List'!$A$1:$J$488,10,FALSE),"")</f>
        <v/>
      </c>
    </row>
    <row r="5939" spans="18:23">
      <c r="R5939" s="127">
        <f t="shared" si="261"/>
        <v>0</v>
      </c>
      <c r="T5939" s="128">
        <f t="shared" si="260"/>
        <v>0</v>
      </c>
      <c r="U5939" s="129" t="str">
        <f>IFERROR(IF(#REF!="S",VLOOKUP('Raw Data'!A5939,References!#REF!,2,FALSE),(VLOOKUP($S5939,References!$B$3:$C$7,2,FALSE))),"")</f>
        <v/>
      </c>
      <c r="W5939" s="74" t="str">
        <f>IFERROR(VLOOKUP($O5939,'Customer List'!$A$1:$J$488,10,FALSE),"")</f>
        <v/>
      </c>
    </row>
    <row r="5940" spans="18:23">
      <c r="R5940" s="127">
        <f t="shared" si="261"/>
        <v>0</v>
      </c>
      <c r="T5940" s="128">
        <f t="shared" si="260"/>
        <v>0</v>
      </c>
      <c r="U5940" s="129" t="str">
        <f>IFERROR(IF(#REF!="S",VLOOKUP('Raw Data'!A5940,References!#REF!,2,FALSE),(VLOOKUP($S5940,References!$B$3:$C$7,2,FALSE))),"")</f>
        <v/>
      </c>
      <c r="W5940" s="74" t="str">
        <f>IFERROR(VLOOKUP($O5940,'Customer List'!$A$1:$J$488,10,FALSE),"")</f>
        <v/>
      </c>
    </row>
    <row r="5941" spans="18:23">
      <c r="R5941" s="127">
        <f t="shared" si="261"/>
        <v>0</v>
      </c>
      <c r="T5941" s="128">
        <f t="shared" si="260"/>
        <v>0</v>
      </c>
      <c r="U5941" s="129" t="str">
        <f>IFERROR(IF(#REF!="S",VLOOKUP('Raw Data'!A5941,References!#REF!,2,FALSE),(VLOOKUP($S5941,References!$B$3:$C$7,2,FALSE))),"")</f>
        <v/>
      </c>
      <c r="W5941" s="74" t="str">
        <f>IFERROR(VLOOKUP($O5941,'Customer List'!$A$1:$J$488,10,FALSE),"")</f>
        <v/>
      </c>
    </row>
    <row r="5942" spans="18:23">
      <c r="R5942" s="127">
        <f t="shared" si="261"/>
        <v>0</v>
      </c>
      <c r="T5942" s="128">
        <f t="shared" si="260"/>
        <v>0</v>
      </c>
      <c r="U5942" s="129" t="str">
        <f>IFERROR(IF(#REF!="S",VLOOKUP('Raw Data'!A5942,References!#REF!,2,FALSE),(VLOOKUP($S5942,References!$B$3:$C$7,2,FALSE))),"")</f>
        <v/>
      </c>
      <c r="W5942" s="74" t="str">
        <f>IFERROR(VLOOKUP($O5942,'Customer List'!$A$1:$J$488,10,FALSE),"")</f>
        <v/>
      </c>
    </row>
    <row r="5943" spans="18:23">
      <c r="R5943" s="127">
        <f t="shared" si="261"/>
        <v>0</v>
      </c>
      <c r="T5943" s="128">
        <f t="shared" si="260"/>
        <v>0</v>
      </c>
      <c r="U5943" s="129" t="str">
        <f>IFERROR(IF(#REF!="S",VLOOKUP('Raw Data'!A5943,References!#REF!,2,FALSE),(VLOOKUP($S5943,References!$B$3:$C$7,2,FALSE))),"")</f>
        <v/>
      </c>
      <c r="W5943" s="74" t="str">
        <f>IFERROR(VLOOKUP($O5943,'Customer List'!$A$1:$J$488,10,FALSE),"")</f>
        <v/>
      </c>
    </row>
    <row r="5944" spans="18:23">
      <c r="R5944" s="127">
        <f t="shared" si="261"/>
        <v>0</v>
      </c>
      <c r="T5944" s="128">
        <f t="shared" si="260"/>
        <v>0</v>
      </c>
      <c r="U5944" s="129" t="str">
        <f>IFERROR(IF(#REF!="S",VLOOKUP('Raw Data'!A5944,References!#REF!,2,FALSE),(VLOOKUP($S5944,References!$B$3:$C$7,2,FALSE))),"")</f>
        <v/>
      </c>
      <c r="W5944" s="74" t="str">
        <f>IFERROR(VLOOKUP($O5944,'Customer List'!$A$1:$J$488,10,FALSE),"")</f>
        <v/>
      </c>
    </row>
    <row r="5945" spans="18:23">
      <c r="R5945" s="127">
        <f t="shared" si="261"/>
        <v>0</v>
      </c>
      <c r="T5945" s="128">
        <f t="shared" si="260"/>
        <v>0</v>
      </c>
      <c r="U5945" s="129" t="str">
        <f>IFERROR(IF(#REF!="S",VLOOKUP('Raw Data'!A5945,References!#REF!,2,FALSE),(VLOOKUP($S5945,References!$B$3:$C$7,2,FALSE))),"")</f>
        <v/>
      </c>
      <c r="W5945" s="74" t="str">
        <f>IFERROR(VLOOKUP($O5945,'Customer List'!$A$1:$J$488,10,FALSE),"")</f>
        <v/>
      </c>
    </row>
    <row r="5946" spans="18:23">
      <c r="R5946" s="127">
        <f t="shared" si="261"/>
        <v>0</v>
      </c>
      <c r="T5946" s="128">
        <f t="shared" si="260"/>
        <v>0</v>
      </c>
      <c r="U5946" s="129" t="str">
        <f>IFERROR(IF(#REF!="S",VLOOKUP('Raw Data'!A5946,References!#REF!,2,FALSE),(VLOOKUP($S5946,References!$B$3:$C$7,2,FALSE))),"")</f>
        <v/>
      </c>
      <c r="W5946" s="74" t="str">
        <f>IFERROR(VLOOKUP($O5946,'Customer List'!$A$1:$J$488,10,FALSE),"")</f>
        <v/>
      </c>
    </row>
    <row r="5947" spans="18:23">
      <c r="R5947" s="127">
        <f t="shared" si="261"/>
        <v>0</v>
      </c>
      <c r="T5947" s="128">
        <f t="shared" si="260"/>
        <v>0</v>
      </c>
      <c r="U5947" s="129" t="str">
        <f>IFERROR(IF(#REF!="S",VLOOKUP('Raw Data'!A5947,References!#REF!,2,FALSE),(VLOOKUP($S5947,References!$B$3:$C$7,2,FALSE))),"")</f>
        <v/>
      </c>
      <c r="W5947" s="74" t="str">
        <f>IFERROR(VLOOKUP($O5947,'Customer List'!$A$1:$J$488,10,FALSE),"")</f>
        <v/>
      </c>
    </row>
    <row r="5948" spans="18:23">
      <c r="R5948" s="127">
        <f t="shared" si="261"/>
        <v>0</v>
      </c>
      <c r="T5948" s="128">
        <f t="shared" si="260"/>
        <v>0</v>
      </c>
      <c r="U5948" s="129" t="str">
        <f>IFERROR(IF(#REF!="S",VLOOKUP('Raw Data'!A5948,References!#REF!,2,FALSE),(VLOOKUP($S5948,References!$B$3:$C$7,2,FALSE))),"")</f>
        <v/>
      </c>
      <c r="W5948" s="74" t="str">
        <f>IFERROR(VLOOKUP($O5948,'Customer List'!$A$1:$J$488,10,FALSE),"")</f>
        <v/>
      </c>
    </row>
    <row r="5949" spans="18:23">
      <c r="R5949" s="127">
        <f t="shared" si="261"/>
        <v>0</v>
      </c>
      <c r="T5949" s="128">
        <f t="shared" si="260"/>
        <v>0</v>
      </c>
      <c r="U5949" s="129" t="str">
        <f>IFERROR(IF(#REF!="S",VLOOKUP('Raw Data'!A5949,References!#REF!,2,FALSE),(VLOOKUP($S5949,References!$B$3:$C$7,2,FALSE))),"")</f>
        <v/>
      </c>
      <c r="W5949" s="74" t="str">
        <f>IFERROR(VLOOKUP($O5949,'Customer List'!$A$1:$J$488,10,FALSE),"")</f>
        <v/>
      </c>
    </row>
    <row r="5950" spans="18:23">
      <c r="R5950" s="127">
        <f t="shared" si="261"/>
        <v>0</v>
      </c>
      <c r="T5950" s="128">
        <f t="shared" si="260"/>
        <v>0</v>
      </c>
      <c r="U5950" s="129" t="str">
        <f>IFERROR(IF(#REF!="S",VLOOKUP('Raw Data'!A5950,References!#REF!,2,FALSE),(VLOOKUP($S5950,References!$B$3:$C$7,2,FALSE))),"")</f>
        <v/>
      </c>
      <c r="W5950" s="74" t="str">
        <f>IFERROR(VLOOKUP($O5950,'Customer List'!$A$1:$J$488,10,FALSE),"")</f>
        <v/>
      </c>
    </row>
    <row r="5951" spans="18:23">
      <c r="R5951" s="127">
        <f t="shared" si="261"/>
        <v>0</v>
      </c>
      <c r="T5951" s="128">
        <f t="shared" si="260"/>
        <v>0</v>
      </c>
      <c r="U5951" s="129" t="str">
        <f>IFERROR(IF(#REF!="S",VLOOKUP('Raw Data'!A5951,References!#REF!,2,FALSE),(VLOOKUP($S5951,References!$B$3:$C$7,2,FALSE))),"")</f>
        <v/>
      </c>
      <c r="W5951" s="74" t="str">
        <f>IFERROR(VLOOKUP($O5951,'Customer List'!$A$1:$J$488,10,FALSE),"")</f>
        <v/>
      </c>
    </row>
    <row r="5952" spans="18:23">
      <c r="R5952" s="127">
        <f t="shared" si="261"/>
        <v>0</v>
      </c>
      <c r="T5952" s="128">
        <f t="shared" si="260"/>
        <v>0</v>
      </c>
      <c r="U5952" s="129" t="str">
        <f>IFERROR(IF(#REF!="S",VLOOKUP('Raw Data'!A5952,References!#REF!,2,FALSE),(VLOOKUP($S5952,References!$B$3:$C$7,2,FALSE))),"")</f>
        <v/>
      </c>
      <c r="W5952" s="74" t="str">
        <f>IFERROR(VLOOKUP($O5952,'Customer List'!$A$1:$J$488,10,FALSE),"")</f>
        <v/>
      </c>
    </row>
    <row r="5953" spans="18:23">
      <c r="R5953" s="127">
        <f t="shared" si="261"/>
        <v>0</v>
      </c>
      <c r="T5953" s="128">
        <f t="shared" si="260"/>
        <v>0</v>
      </c>
      <c r="U5953" s="129" t="str">
        <f>IFERROR(IF(#REF!="S",VLOOKUP('Raw Data'!A5953,References!#REF!,2,FALSE),(VLOOKUP($S5953,References!$B$3:$C$7,2,FALSE))),"")</f>
        <v/>
      </c>
      <c r="W5953" s="74" t="str">
        <f>IFERROR(VLOOKUP($O5953,'Customer List'!$A$1:$J$488,10,FALSE),"")</f>
        <v/>
      </c>
    </row>
    <row r="5954" spans="18:23">
      <c r="R5954" s="127">
        <f t="shared" si="261"/>
        <v>0</v>
      </c>
      <c r="T5954" s="128">
        <f t="shared" si="260"/>
        <v>0</v>
      </c>
      <c r="U5954" s="129" t="str">
        <f>IFERROR(IF(#REF!="S",VLOOKUP('Raw Data'!A5954,References!#REF!,2,FALSE),(VLOOKUP($S5954,References!$B$3:$C$7,2,FALSE))),"")</f>
        <v/>
      </c>
      <c r="W5954" s="74" t="str">
        <f>IFERROR(VLOOKUP($O5954,'Customer List'!$A$1:$J$488,10,FALSE),"")</f>
        <v/>
      </c>
    </row>
    <row r="5955" spans="18:23">
      <c r="R5955" s="127">
        <f t="shared" si="261"/>
        <v>0</v>
      </c>
      <c r="T5955" s="128">
        <f t="shared" si="260"/>
        <v>0</v>
      </c>
      <c r="U5955" s="129" t="str">
        <f>IFERROR(IF(#REF!="S",VLOOKUP('Raw Data'!A5955,References!#REF!,2,FALSE),(VLOOKUP($S5955,References!$B$3:$C$7,2,FALSE))),"")</f>
        <v/>
      </c>
      <c r="W5955" s="74" t="str">
        <f>IFERROR(VLOOKUP($O5955,'Customer List'!$A$1:$J$488,10,FALSE),"")</f>
        <v/>
      </c>
    </row>
    <row r="5956" spans="18:23">
      <c r="R5956" s="127">
        <f t="shared" si="261"/>
        <v>0</v>
      </c>
      <c r="T5956" s="128">
        <f t="shared" si="260"/>
        <v>0</v>
      </c>
      <c r="U5956" s="129" t="str">
        <f>IFERROR(IF(#REF!="S",VLOOKUP('Raw Data'!A5956,References!#REF!,2,FALSE),(VLOOKUP($S5956,References!$B$3:$C$7,2,FALSE))),"")</f>
        <v/>
      </c>
      <c r="W5956" s="74" t="str">
        <f>IFERROR(VLOOKUP($O5956,'Customer List'!$A$1:$J$488,10,FALSE),"")</f>
        <v/>
      </c>
    </row>
    <row r="5957" spans="18:23">
      <c r="R5957" s="127">
        <f t="shared" si="261"/>
        <v>0</v>
      </c>
      <c r="T5957" s="128">
        <f t="shared" si="260"/>
        <v>0</v>
      </c>
      <c r="U5957" s="129" t="str">
        <f>IFERROR(IF(#REF!="S",VLOOKUP('Raw Data'!A5957,References!#REF!,2,FALSE),(VLOOKUP($S5957,References!$B$3:$C$7,2,FALSE))),"")</f>
        <v/>
      </c>
      <c r="W5957" s="74" t="str">
        <f>IFERROR(VLOOKUP($O5957,'Customer List'!$A$1:$J$488,10,FALSE),"")</f>
        <v/>
      </c>
    </row>
    <row r="5958" spans="18:23">
      <c r="R5958" s="127">
        <f t="shared" si="261"/>
        <v>0</v>
      </c>
      <c r="T5958" s="128">
        <f t="shared" si="260"/>
        <v>0</v>
      </c>
      <c r="U5958" s="129" t="str">
        <f>IFERROR(IF(#REF!="S",VLOOKUP('Raw Data'!A5958,References!#REF!,2,FALSE),(VLOOKUP($S5958,References!$B$3:$C$7,2,FALSE))),"")</f>
        <v/>
      </c>
      <c r="W5958" s="74" t="str">
        <f>IFERROR(VLOOKUP($O5958,'Customer List'!$A$1:$J$488,10,FALSE),"")</f>
        <v/>
      </c>
    </row>
    <row r="5959" spans="18:23">
      <c r="R5959" s="127">
        <f t="shared" si="261"/>
        <v>0</v>
      </c>
      <c r="T5959" s="128">
        <f t="shared" si="260"/>
        <v>0</v>
      </c>
      <c r="U5959" s="129" t="str">
        <f>IFERROR(IF(#REF!="S",VLOOKUP('Raw Data'!A5959,References!#REF!,2,FALSE),(VLOOKUP($S5959,References!$B$3:$C$7,2,FALSE))),"")</f>
        <v/>
      </c>
      <c r="W5959" s="74" t="str">
        <f>IFERROR(VLOOKUP($O5959,'Customer List'!$A$1:$J$488,10,FALSE),"")</f>
        <v/>
      </c>
    </row>
    <row r="5960" spans="18:23">
      <c r="R5960" s="127">
        <f t="shared" si="261"/>
        <v>0</v>
      </c>
      <c r="T5960" s="128">
        <f t="shared" si="260"/>
        <v>0</v>
      </c>
      <c r="U5960" s="129" t="str">
        <f>IFERROR(IF(#REF!="S",VLOOKUP('Raw Data'!A5960,References!#REF!,2,FALSE),(VLOOKUP($S5960,References!$B$3:$C$7,2,FALSE))),"")</f>
        <v/>
      </c>
      <c r="W5960" s="74" t="str">
        <f>IFERROR(VLOOKUP($O5960,'Customer List'!$A$1:$J$488,10,FALSE),"")</f>
        <v/>
      </c>
    </row>
    <row r="5961" spans="18:23">
      <c r="R5961" s="127">
        <f t="shared" si="261"/>
        <v>0</v>
      </c>
      <c r="T5961" s="128">
        <f t="shared" si="260"/>
        <v>0</v>
      </c>
      <c r="U5961" s="129" t="str">
        <f>IFERROR(IF(#REF!="S",VLOOKUP('Raw Data'!A5961,References!#REF!,2,FALSE),(VLOOKUP($S5961,References!$B$3:$C$7,2,FALSE))),"")</f>
        <v/>
      </c>
      <c r="W5961" s="74" t="str">
        <f>IFERROR(VLOOKUP($O5961,'Customer List'!$A$1:$J$488,10,FALSE),"")</f>
        <v/>
      </c>
    </row>
    <row r="5962" spans="18:23">
      <c r="R5962" s="127">
        <f t="shared" si="261"/>
        <v>0</v>
      </c>
      <c r="T5962" s="128">
        <f t="shared" ref="T5962:T6025" si="262">IF(S5962="50 - Cleaning Fee",1,HOUR($R5962)+MINUTE(R5962)/60)</f>
        <v>0</v>
      </c>
      <c r="U5962" s="129" t="str">
        <f>IFERROR(IF(#REF!="S",VLOOKUP('Raw Data'!A5962,References!#REF!,2,FALSE),(VLOOKUP($S5962,References!$B$3:$C$7,2,FALSE))),"")</f>
        <v/>
      </c>
      <c r="W5962" s="74" t="str">
        <f>IFERROR(VLOOKUP($O5962,'Customer List'!$A$1:$J$488,10,FALSE),"")</f>
        <v/>
      </c>
    </row>
    <row r="5963" spans="18:23">
      <c r="R5963" s="127">
        <f t="shared" si="261"/>
        <v>0</v>
      </c>
      <c r="T5963" s="128">
        <f t="shared" si="262"/>
        <v>0</v>
      </c>
      <c r="U5963" s="129" t="str">
        <f>IFERROR(IF(#REF!="S",VLOOKUP('Raw Data'!A5963,References!#REF!,2,FALSE),(VLOOKUP($S5963,References!$B$3:$C$7,2,FALSE))),"")</f>
        <v/>
      </c>
      <c r="W5963" s="74" t="str">
        <f>IFERROR(VLOOKUP($O5963,'Customer List'!$A$1:$J$488,10,FALSE),"")</f>
        <v/>
      </c>
    </row>
    <row r="5964" spans="18:23">
      <c r="R5964" s="127">
        <f t="shared" si="261"/>
        <v>0</v>
      </c>
      <c r="T5964" s="128">
        <f t="shared" si="262"/>
        <v>0</v>
      </c>
      <c r="U5964" s="129" t="str">
        <f>IFERROR(IF(#REF!="S",VLOOKUP('Raw Data'!A5964,References!#REF!,2,FALSE),(VLOOKUP($S5964,References!$B$3:$C$7,2,FALSE))),"")</f>
        <v/>
      </c>
      <c r="W5964" s="74" t="str">
        <f>IFERROR(VLOOKUP($O5964,'Customer List'!$A$1:$J$488,10,FALSE),"")</f>
        <v/>
      </c>
    </row>
    <row r="5965" spans="18:23">
      <c r="R5965" s="127">
        <f t="shared" si="261"/>
        <v>0</v>
      </c>
      <c r="T5965" s="128">
        <f t="shared" si="262"/>
        <v>0</v>
      </c>
      <c r="U5965" s="129" t="str">
        <f>IFERROR(IF(#REF!="S",VLOOKUP('Raw Data'!A5965,References!#REF!,2,FALSE),(VLOOKUP($S5965,References!$B$3:$C$7,2,FALSE))),"")</f>
        <v/>
      </c>
      <c r="W5965" s="74" t="str">
        <f>IFERROR(VLOOKUP($O5965,'Customer List'!$A$1:$J$488,10,FALSE),"")</f>
        <v/>
      </c>
    </row>
    <row r="5966" spans="18:23">
      <c r="R5966" s="127">
        <f t="shared" si="261"/>
        <v>0</v>
      </c>
      <c r="T5966" s="128">
        <f t="shared" si="262"/>
        <v>0</v>
      </c>
      <c r="U5966" s="129" t="str">
        <f>IFERROR(IF(#REF!="S",VLOOKUP('Raw Data'!A5966,References!#REF!,2,FALSE),(VLOOKUP($S5966,References!$B$3:$C$7,2,FALSE))),"")</f>
        <v/>
      </c>
      <c r="W5966" s="74" t="str">
        <f>IFERROR(VLOOKUP($O5966,'Customer List'!$A$1:$J$488,10,FALSE),"")</f>
        <v/>
      </c>
    </row>
    <row r="5967" spans="18:23">
      <c r="R5967" s="127">
        <f t="shared" si="261"/>
        <v>0</v>
      </c>
      <c r="T5967" s="128">
        <f t="shared" si="262"/>
        <v>0</v>
      </c>
      <c r="U5967" s="129" t="str">
        <f>IFERROR(IF(#REF!="S",VLOOKUP('Raw Data'!A5967,References!#REF!,2,FALSE),(VLOOKUP($S5967,References!$B$3:$C$7,2,FALSE))),"")</f>
        <v/>
      </c>
      <c r="W5967" s="74" t="str">
        <f>IFERROR(VLOOKUP($O5967,'Customer List'!$A$1:$J$488,10,FALSE),"")</f>
        <v/>
      </c>
    </row>
    <row r="5968" spans="18:23">
      <c r="R5968" s="127">
        <f t="shared" si="261"/>
        <v>0</v>
      </c>
      <c r="T5968" s="128">
        <f t="shared" si="262"/>
        <v>0</v>
      </c>
      <c r="U5968" s="129" t="str">
        <f>IFERROR(IF(#REF!="S",VLOOKUP('Raw Data'!A5968,References!#REF!,2,FALSE),(VLOOKUP($S5968,References!$B$3:$C$7,2,FALSE))),"")</f>
        <v/>
      </c>
      <c r="W5968" s="74" t="str">
        <f>IFERROR(VLOOKUP($O5968,'Customer List'!$A$1:$J$488,10,FALSE),"")</f>
        <v/>
      </c>
    </row>
    <row r="5969" spans="18:23">
      <c r="R5969" s="127">
        <f t="shared" si="261"/>
        <v>0</v>
      </c>
      <c r="T5969" s="128">
        <f t="shared" si="262"/>
        <v>0</v>
      </c>
      <c r="U5969" s="129" t="str">
        <f>IFERROR(IF(#REF!="S",VLOOKUP('Raw Data'!A5969,References!#REF!,2,FALSE),(VLOOKUP($S5969,References!$B$3:$C$7,2,FALSE))),"")</f>
        <v/>
      </c>
      <c r="W5969" s="74" t="str">
        <f>IFERROR(VLOOKUP($O5969,'Customer List'!$A$1:$J$488,10,FALSE),"")</f>
        <v/>
      </c>
    </row>
    <row r="5970" spans="18:23">
      <c r="R5970" s="127">
        <f t="shared" si="261"/>
        <v>0</v>
      </c>
      <c r="T5970" s="128">
        <f t="shared" si="262"/>
        <v>0</v>
      </c>
      <c r="U5970" s="129" t="str">
        <f>IFERROR(IF(#REF!="S",VLOOKUP('Raw Data'!A5970,References!#REF!,2,FALSE),(VLOOKUP($S5970,References!$B$3:$C$7,2,FALSE))),"")</f>
        <v/>
      </c>
      <c r="W5970" s="74" t="str">
        <f>IFERROR(VLOOKUP($O5970,'Customer List'!$A$1:$J$488,10,FALSE),"")</f>
        <v/>
      </c>
    </row>
    <row r="5971" spans="18:23">
      <c r="R5971" s="127">
        <f t="shared" si="261"/>
        <v>0</v>
      </c>
      <c r="T5971" s="128">
        <f t="shared" si="262"/>
        <v>0</v>
      </c>
      <c r="U5971" s="129" t="str">
        <f>IFERROR(IF(#REF!="S",VLOOKUP('Raw Data'!A5971,References!#REF!,2,FALSE),(VLOOKUP($S5971,References!$B$3:$C$7,2,FALSE))),"")</f>
        <v/>
      </c>
      <c r="W5971" s="74" t="str">
        <f>IFERROR(VLOOKUP($O5971,'Customer List'!$A$1:$J$488,10,FALSE),"")</f>
        <v/>
      </c>
    </row>
    <row r="5972" spans="18:23">
      <c r="R5972" s="127">
        <f t="shared" si="261"/>
        <v>0</v>
      </c>
      <c r="T5972" s="128">
        <f t="shared" si="262"/>
        <v>0</v>
      </c>
      <c r="U5972" s="129" t="str">
        <f>IFERROR(IF(#REF!="S",VLOOKUP('Raw Data'!A5972,References!#REF!,2,FALSE),(VLOOKUP($S5972,References!$B$3:$C$7,2,FALSE))),"")</f>
        <v/>
      </c>
      <c r="W5972" s="74" t="str">
        <f>IFERROR(VLOOKUP($O5972,'Customer List'!$A$1:$J$488,10,FALSE),"")</f>
        <v/>
      </c>
    </row>
    <row r="5973" spans="18:23">
      <c r="R5973" s="127">
        <f t="shared" si="261"/>
        <v>0</v>
      </c>
      <c r="T5973" s="128">
        <f t="shared" si="262"/>
        <v>0</v>
      </c>
      <c r="U5973" s="129" t="str">
        <f>IFERROR(IF(#REF!="S",VLOOKUP('Raw Data'!A5973,References!#REF!,2,FALSE),(VLOOKUP($S5973,References!$B$3:$C$7,2,FALSE))),"")</f>
        <v/>
      </c>
      <c r="W5973" s="74" t="str">
        <f>IFERROR(VLOOKUP($O5973,'Customer List'!$A$1:$J$488,10,FALSE),"")</f>
        <v/>
      </c>
    </row>
    <row r="5974" spans="18:23">
      <c r="R5974" s="127">
        <f t="shared" si="261"/>
        <v>0</v>
      </c>
      <c r="T5974" s="128">
        <f t="shared" si="262"/>
        <v>0</v>
      </c>
      <c r="U5974" s="129" t="str">
        <f>IFERROR(IF(#REF!="S",VLOOKUP('Raw Data'!A5974,References!#REF!,2,FALSE),(VLOOKUP($S5974,References!$B$3:$C$7,2,FALSE))),"")</f>
        <v/>
      </c>
      <c r="W5974" s="74" t="str">
        <f>IFERROR(VLOOKUP($O5974,'Customer List'!$A$1:$J$488,10,FALSE),"")</f>
        <v/>
      </c>
    </row>
    <row r="5975" spans="18:23">
      <c r="R5975" s="127">
        <f t="shared" si="261"/>
        <v>0</v>
      </c>
      <c r="T5975" s="128">
        <f t="shared" si="262"/>
        <v>0</v>
      </c>
      <c r="U5975" s="129" t="str">
        <f>IFERROR(IF(#REF!="S",VLOOKUP('Raw Data'!A5975,References!#REF!,2,FALSE),(VLOOKUP($S5975,References!$B$3:$C$7,2,FALSE))),"")</f>
        <v/>
      </c>
      <c r="W5975" s="74" t="str">
        <f>IFERROR(VLOOKUP($O5975,'Customer List'!$A$1:$J$488,10,FALSE),"")</f>
        <v/>
      </c>
    </row>
    <row r="5976" spans="18:23">
      <c r="R5976" s="127">
        <f t="shared" si="261"/>
        <v>0</v>
      </c>
      <c r="T5976" s="128">
        <f t="shared" si="262"/>
        <v>0</v>
      </c>
      <c r="U5976" s="129" t="str">
        <f>IFERROR(IF(#REF!="S",VLOOKUP('Raw Data'!A5976,References!#REF!,2,FALSE),(VLOOKUP($S5976,References!$B$3:$C$7,2,FALSE))),"")</f>
        <v/>
      </c>
      <c r="W5976" s="74" t="str">
        <f>IFERROR(VLOOKUP($O5976,'Customer List'!$A$1:$J$488,10,FALSE),"")</f>
        <v/>
      </c>
    </row>
    <row r="5977" spans="18:23">
      <c r="R5977" s="127">
        <f t="shared" si="261"/>
        <v>0</v>
      </c>
      <c r="T5977" s="128">
        <f t="shared" si="262"/>
        <v>0</v>
      </c>
      <c r="U5977" s="129" t="str">
        <f>IFERROR(IF(#REF!="S",VLOOKUP('Raw Data'!A5977,References!#REF!,2,FALSE),(VLOOKUP($S5977,References!$B$3:$C$7,2,FALSE))),"")</f>
        <v/>
      </c>
      <c r="W5977" s="74" t="str">
        <f>IFERROR(VLOOKUP($O5977,'Customer List'!$A$1:$J$488,10,FALSE),"")</f>
        <v/>
      </c>
    </row>
    <row r="5978" spans="18:23">
      <c r="R5978" s="127">
        <f t="shared" si="261"/>
        <v>0</v>
      </c>
      <c r="T5978" s="128">
        <f t="shared" si="262"/>
        <v>0</v>
      </c>
      <c r="U5978" s="129" t="str">
        <f>IFERROR(IF(#REF!="S",VLOOKUP('Raw Data'!A5978,References!#REF!,2,FALSE),(VLOOKUP($S5978,References!$B$3:$C$7,2,FALSE))),"")</f>
        <v/>
      </c>
      <c r="W5978" s="74" t="str">
        <f>IFERROR(VLOOKUP($O5978,'Customer List'!$A$1:$J$488,10,FALSE),"")</f>
        <v/>
      </c>
    </row>
    <row r="5979" spans="18:23">
      <c r="R5979" s="127">
        <f t="shared" si="261"/>
        <v>0</v>
      </c>
      <c r="T5979" s="128">
        <f t="shared" si="262"/>
        <v>0</v>
      </c>
      <c r="U5979" s="129" t="str">
        <f>IFERROR(IF(#REF!="S",VLOOKUP('Raw Data'!A5979,References!#REF!,2,FALSE),(VLOOKUP($S5979,References!$B$3:$C$7,2,FALSE))),"")</f>
        <v/>
      </c>
      <c r="W5979" s="74" t="str">
        <f>IFERROR(VLOOKUP($O5979,'Customer List'!$A$1:$J$488,10,FALSE),"")</f>
        <v/>
      </c>
    </row>
    <row r="5980" spans="18:23">
      <c r="R5980" s="127">
        <f t="shared" si="261"/>
        <v>0</v>
      </c>
      <c r="T5980" s="128">
        <f t="shared" si="262"/>
        <v>0</v>
      </c>
      <c r="U5980" s="129" t="str">
        <f>IFERROR(IF(#REF!="S",VLOOKUP('Raw Data'!A5980,References!#REF!,2,FALSE),(VLOOKUP($S5980,References!$B$3:$C$7,2,FALSE))),"")</f>
        <v/>
      </c>
      <c r="W5980" s="74" t="str">
        <f>IFERROR(VLOOKUP($O5980,'Customer List'!$A$1:$J$488,10,FALSE),"")</f>
        <v/>
      </c>
    </row>
    <row r="5981" spans="18:23">
      <c r="R5981" s="127">
        <f t="shared" si="261"/>
        <v>0</v>
      </c>
      <c r="T5981" s="128">
        <f t="shared" si="262"/>
        <v>0</v>
      </c>
      <c r="U5981" s="129" t="str">
        <f>IFERROR(IF(#REF!="S",VLOOKUP('Raw Data'!A5981,References!#REF!,2,FALSE),(VLOOKUP($S5981,References!$B$3:$C$7,2,FALSE))),"")</f>
        <v/>
      </c>
      <c r="W5981" s="74" t="str">
        <f>IFERROR(VLOOKUP($O5981,'Customer List'!$A$1:$J$488,10,FALSE),"")</f>
        <v/>
      </c>
    </row>
    <row r="5982" spans="18:23">
      <c r="R5982" s="127">
        <f t="shared" si="261"/>
        <v>0</v>
      </c>
      <c r="T5982" s="128">
        <f t="shared" si="262"/>
        <v>0</v>
      </c>
      <c r="U5982" s="129" t="str">
        <f>IFERROR(IF(#REF!="S",VLOOKUP('Raw Data'!A5982,References!#REF!,2,FALSE),(VLOOKUP($S5982,References!$B$3:$C$7,2,FALSE))),"")</f>
        <v/>
      </c>
      <c r="W5982" s="74" t="str">
        <f>IFERROR(VLOOKUP($O5982,'Customer List'!$A$1:$J$488,10,FALSE),"")</f>
        <v/>
      </c>
    </row>
    <row r="5983" spans="18:23">
      <c r="R5983" s="127">
        <f t="shared" si="261"/>
        <v>0</v>
      </c>
      <c r="T5983" s="128">
        <f t="shared" si="262"/>
        <v>0</v>
      </c>
      <c r="U5983" s="129" t="str">
        <f>IFERROR(IF(#REF!="S",VLOOKUP('Raw Data'!A5983,References!#REF!,2,FALSE),(VLOOKUP($S5983,References!$B$3:$C$7,2,FALSE))),"")</f>
        <v/>
      </c>
      <c r="W5983" s="74" t="str">
        <f>IFERROR(VLOOKUP($O5983,'Customer List'!$A$1:$J$488,10,FALSE),"")</f>
        <v/>
      </c>
    </row>
    <row r="5984" spans="18:23">
      <c r="R5984" s="127">
        <f t="shared" si="261"/>
        <v>0</v>
      </c>
      <c r="T5984" s="128">
        <f t="shared" si="262"/>
        <v>0</v>
      </c>
      <c r="U5984" s="129" t="str">
        <f>IFERROR(IF(#REF!="S",VLOOKUP('Raw Data'!A5984,References!#REF!,2,FALSE),(VLOOKUP($S5984,References!$B$3:$C$7,2,FALSE))),"")</f>
        <v/>
      </c>
      <c r="W5984" s="74" t="str">
        <f>IFERROR(VLOOKUP($O5984,'Customer List'!$A$1:$J$488,10,FALSE),"")</f>
        <v/>
      </c>
    </row>
    <row r="5985" spans="18:23">
      <c r="R5985" s="127">
        <f t="shared" si="261"/>
        <v>0</v>
      </c>
      <c r="T5985" s="128">
        <f t="shared" si="262"/>
        <v>0</v>
      </c>
      <c r="U5985" s="129" t="str">
        <f>IFERROR(IF(#REF!="S",VLOOKUP('Raw Data'!A5985,References!#REF!,2,FALSE),(VLOOKUP($S5985,References!$B$3:$C$7,2,FALSE))),"")</f>
        <v/>
      </c>
      <c r="W5985" s="74" t="str">
        <f>IFERROR(VLOOKUP($O5985,'Customer List'!$A$1:$J$488,10,FALSE),"")</f>
        <v/>
      </c>
    </row>
    <row r="5986" spans="18:23">
      <c r="R5986" s="127">
        <f t="shared" ref="R5986:R6049" si="263">L5986-K5986</f>
        <v>0</v>
      </c>
      <c r="T5986" s="128">
        <f t="shared" si="262"/>
        <v>0</v>
      </c>
      <c r="U5986" s="129" t="str">
        <f>IFERROR(IF(#REF!="S",VLOOKUP('Raw Data'!A5986,References!#REF!,2,FALSE),(VLOOKUP($S5986,References!$B$3:$C$7,2,FALSE))),"")</f>
        <v/>
      </c>
      <c r="W5986" s="74" t="str">
        <f>IFERROR(VLOOKUP($O5986,'Customer List'!$A$1:$J$488,10,FALSE),"")</f>
        <v/>
      </c>
    </row>
    <row r="5987" spans="18:23">
      <c r="R5987" s="127">
        <f t="shared" si="263"/>
        <v>0</v>
      </c>
      <c r="T5987" s="128">
        <f t="shared" si="262"/>
        <v>0</v>
      </c>
      <c r="U5987" s="129" t="str">
        <f>IFERROR(IF(#REF!="S",VLOOKUP('Raw Data'!A5987,References!#REF!,2,FALSE),(VLOOKUP($S5987,References!$B$3:$C$7,2,FALSE))),"")</f>
        <v/>
      </c>
      <c r="W5987" s="74" t="str">
        <f>IFERROR(VLOOKUP($O5987,'Customer List'!$A$1:$J$488,10,FALSE),"")</f>
        <v/>
      </c>
    </row>
    <row r="5988" spans="18:23">
      <c r="R5988" s="127">
        <f t="shared" si="263"/>
        <v>0</v>
      </c>
      <c r="T5988" s="128">
        <f t="shared" si="262"/>
        <v>0</v>
      </c>
      <c r="U5988" s="129" t="str">
        <f>IFERROR(IF(#REF!="S",VLOOKUP('Raw Data'!A5988,References!#REF!,2,FALSE),(VLOOKUP($S5988,References!$B$3:$C$7,2,FALSE))),"")</f>
        <v/>
      </c>
      <c r="W5988" s="74" t="str">
        <f>IFERROR(VLOOKUP($O5988,'Customer List'!$A$1:$J$488,10,FALSE),"")</f>
        <v/>
      </c>
    </row>
    <row r="5989" spans="18:23">
      <c r="R5989" s="127">
        <f t="shared" si="263"/>
        <v>0</v>
      </c>
      <c r="T5989" s="128">
        <f t="shared" si="262"/>
        <v>0</v>
      </c>
      <c r="U5989" s="129" t="str">
        <f>IFERROR(IF(#REF!="S",VLOOKUP('Raw Data'!A5989,References!#REF!,2,FALSE),(VLOOKUP($S5989,References!$B$3:$C$7,2,FALSE))),"")</f>
        <v/>
      </c>
      <c r="W5989" s="74" t="str">
        <f>IFERROR(VLOOKUP($O5989,'Customer List'!$A$1:$J$488,10,FALSE),"")</f>
        <v/>
      </c>
    </row>
    <row r="5990" spans="18:23">
      <c r="R5990" s="127">
        <f t="shared" si="263"/>
        <v>0</v>
      </c>
      <c r="T5990" s="128">
        <f t="shared" si="262"/>
        <v>0</v>
      </c>
      <c r="U5990" s="129" t="str">
        <f>IFERROR(IF(#REF!="S",VLOOKUP('Raw Data'!A5990,References!#REF!,2,FALSE),(VLOOKUP($S5990,References!$B$3:$C$7,2,FALSE))),"")</f>
        <v/>
      </c>
      <c r="W5990" s="74" t="str">
        <f>IFERROR(VLOOKUP($O5990,'Customer List'!$A$1:$J$488,10,FALSE),"")</f>
        <v/>
      </c>
    </row>
    <row r="5991" spans="18:23">
      <c r="R5991" s="127">
        <f t="shared" si="263"/>
        <v>0</v>
      </c>
      <c r="T5991" s="128">
        <f t="shared" si="262"/>
        <v>0</v>
      </c>
      <c r="U5991" s="129" t="str">
        <f>IFERROR(IF(#REF!="S",VLOOKUP('Raw Data'!A5991,References!#REF!,2,FALSE),(VLOOKUP($S5991,References!$B$3:$C$7,2,FALSE))),"")</f>
        <v/>
      </c>
      <c r="W5991" s="74" t="str">
        <f>IFERROR(VLOOKUP($O5991,'Customer List'!$A$1:$J$488,10,FALSE),"")</f>
        <v/>
      </c>
    </row>
    <row r="5992" spans="18:23">
      <c r="R5992" s="127">
        <f t="shared" si="263"/>
        <v>0</v>
      </c>
      <c r="T5992" s="128">
        <f t="shared" si="262"/>
        <v>0</v>
      </c>
      <c r="U5992" s="129" t="str">
        <f>IFERROR(IF(#REF!="S",VLOOKUP('Raw Data'!A5992,References!#REF!,2,FALSE),(VLOOKUP($S5992,References!$B$3:$C$7,2,FALSE))),"")</f>
        <v/>
      </c>
      <c r="W5992" s="74" t="str">
        <f>IFERROR(VLOOKUP($O5992,'Customer List'!$A$1:$J$488,10,FALSE),"")</f>
        <v/>
      </c>
    </row>
    <row r="5993" spans="18:23">
      <c r="R5993" s="127">
        <f t="shared" si="263"/>
        <v>0</v>
      </c>
      <c r="T5993" s="128">
        <f t="shared" si="262"/>
        <v>0</v>
      </c>
      <c r="U5993" s="129" t="str">
        <f>IFERROR(IF(#REF!="S",VLOOKUP('Raw Data'!A5993,References!#REF!,2,FALSE),(VLOOKUP($S5993,References!$B$3:$C$7,2,FALSE))),"")</f>
        <v/>
      </c>
      <c r="W5993" s="74" t="str">
        <f>IFERROR(VLOOKUP($O5993,'Customer List'!$A$1:$J$488,10,FALSE),"")</f>
        <v/>
      </c>
    </row>
    <row r="5994" spans="18:23">
      <c r="R5994" s="127">
        <f t="shared" si="263"/>
        <v>0</v>
      </c>
      <c r="T5994" s="128">
        <f t="shared" si="262"/>
        <v>0</v>
      </c>
      <c r="U5994" s="129" t="str">
        <f>IFERROR(IF(#REF!="S",VLOOKUP('Raw Data'!A5994,References!#REF!,2,FALSE),(VLOOKUP($S5994,References!$B$3:$C$7,2,FALSE))),"")</f>
        <v/>
      </c>
      <c r="W5994" s="74" t="str">
        <f>IFERROR(VLOOKUP($O5994,'Customer List'!$A$1:$J$488,10,FALSE),"")</f>
        <v/>
      </c>
    </row>
    <row r="5995" spans="18:23">
      <c r="R5995" s="127">
        <f t="shared" si="263"/>
        <v>0</v>
      </c>
      <c r="T5995" s="128">
        <f t="shared" si="262"/>
        <v>0</v>
      </c>
      <c r="U5995" s="129" t="str">
        <f>IFERROR(IF(#REF!="S",VLOOKUP('Raw Data'!A5995,References!#REF!,2,FALSE),(VLOOKUP($S5995,References!$B$3:$C$7,2,FALSE))),"")</f>
        <v/>
      </c>
      <c r="W5995" s="74" t="str">
        <f>IFERROR(VLOOKUP($O5995,'Customer List'!$A$1:$J$488,10,FALSE),"")</f>
        <v/>
      </c>
    </row>
    <row r="5996" spans="18:23">
      <c r="R5996" s="127">
        <f t="shared" si="263"/>
        <v>0</v>
      </c>
      <c r="T5996" s="128">
        <f t="shared" si="262"/>
        <v>0</v>
      </c>
      <c r="U5996" s="129" t="str">
        <f>IFERROR(IF(#REF!="S",VLOOKUP('Raw Data'!A5996,References!#REF!,2,FALSE),(VLOOKUP($S5996,References!$B$3:$C$7,2,FALSE))),"")</f>
        <v/>
      </c>
      <c r="W5996" s="74" t="str">
        <f>IFERROR(VLOOKUP($O5996,'Customer List'!$A$1:$J$488,10,FALSE),"")</f>
        <v/>
      </c>
    </row>
    <row r="5997" spans="18:23">
      <c r="R5997" s="127">
        <f t="shared" si="263"/>
        <v>0</v>
      </c>
      <c r="T5997" s="128">
        <f t="shared" si="262"/>
        <v>0</v>
      </c>
      <c r="U5997" s="129" t="str">
        <f>IFERROR(IF(#REF!="S",VLOOKUP('Raw Data'!A5997,References!#REF!,2,FALSE),(VLOOKUP($S5997,References!$B$3:$C$7,2,FALSE))),"")</f>
        <v/>
      </c>
      <c r="W5997" s="74" t="str">
        <f>IFERROR(VLOOKUP($O5997,'Customer List'!$A$1:$J$488,10,FALSE),"")</f>
        <v/>
      </c>
    </row>
    <row r="5998" spans="18:23">
      <c r="R5998" s="127">
        <f t="shared" si="263"/>
        <v>0</v>
      </c>
      <c r="T5998" s="128">
        <f t="shared" si="262"/>
        <v>0</v>
      </c>
      <c r="U5998" s="129" t="str">
        <f>IFERROR(IF(#REF!="S",VLOOKUP('Raw Data'!A5998,References!#REF!,2,FALSE),(VLOOKUP($S5998,References!$B$3:$C$7,2,FALSE))),"")</f>
        <v/>
      </c>
      <c r="W5998" s="74" t="str">
        <f>IFERROR(VLOOKUP($O5998,'Customer List'!$A$1:$J$488,10,FALSE),"")</f>
        <v/>
      </c>
    </row>
    <row r="5999" spans="18:23">
      <c r="R5999" s="127">
        <f t="shared" si="263"/>
        <v>0</v>
      </c>
      <c r="T5999" s="128">
        <f t="shared" si="262"/>
        <v>0</v>
      </c>
      <c r="U5999" s="129" t="str">
        <f>IFERROR(IF(#REF!="S",VLOOKUP('Raw Data'!A5999,References!#REF!,2,FALSE),(VLOOKUP($S5999,References!$B$3:$C$7,2,FALSE))),"")</f>
        <v/>
      </c>
      <c r="W5999" s="74" t="str">
        <f>IFERROR(VLOOKUP($O5999,'Customer List'!$A$1:$J$488,10,FALSE),"")</f>
        <v/>
      </c>
    </row>
    <row r="6000" spans="18:23">
      <c r="R6000" s="127">
        <f t="shared" si="263"/>
        <v>0</v>
      </c>
      <c r="T6000" s="128">
        <f t="shared" si="262"/>
        <v>0</v>
      </c>
      <c r="U6000" s="129" t="str">
        <f>IFERROR(IF(#REF!="S",VLOOKUP('Raw Data'!A6000,References!#REF!,2,FALSE),(VLOOKUP($S6000,References!$B$3:$C$7,2,FALSE))),"")</f>
        <v/>
      </c>
      <c r="W6000" s="74" t="str">
        <f>IFERROR(VLOOKUP($O6000,'Customer List'!$A$1:$J$488,10,FALSE),"")</f>
        <v/>
      </c>
    </row>
    <row r="6001" spans="18:23">
      <c r="R6001" s="127">
        <f t="shared" si="263"/>
        <v>0</v>
      </c>
      <c r="T6001" s="128">
        <f t="shared" si="262"/>
        <v>0</v>
      </c>
      <c r="U6001" s="129" t="str">
        <f>IFERROR(IF(#REF!="S",VLOOKUP('Raw Data'!A6001,References!#REF!,2,FALSE),(VLOOKUP($S6001,References!$B$3:$C$7,2,FALSE))),"")</f>
        <v/>
      </c>
      <c r="W6001" s="74" t="str">
        <f>IFERROR(VLOOKUP($O6001,'Customer List'!$A$1:$J$488,10,FALSE),"")</f>
        <v/>
      </c>
    </row>
    <row r="6002" spans="18:23">
      <c r="R6002" s="127">
        <f t="shared" si="263"/>
        <v>0</v>
      </c>
      <c r="T6002" s="128">
        <f t="shared" si="262"/>
        <v>0</v>
      </c>
      <c r="U6002" s="129" t="str">
        <f>IFERROR(IF(#REF!="S",VLOOKUP('Raw Data'!A6002,References!#REF!,2,FALSE),(VLOOKUP($S6002,References!$B$3:$C$7,2,FALSE))),"")</f>
        <v/>
      </c>
      <c r="W6002" s="74" t="str">
        <f>IFERROR(VLOOKUP($O6002,'Customer List'!$A$1:$J$488,10,FALSE),"")</f>
        <v/>
      </c>
    </row>
    <row r="6003" spans="18:23">
      <c r="R6003" s="127">
        <f t="shared" si="263"/>
        <v>0</v>
      </c>
      <c r="T6003" s="128">
        <f t="shared" si="262"/>
        <v>0</v>
      </c>
      <c r="U6003" s="129" t="str">
        <f>IFERROR(IF(#REF!="S",VLOOKUP('Raw Data'!A6003,References!#REF!,2,FALSE),(VLOOKUP($S6003,References!$B$3:$C$7,2,FALSE))),"")</f>
        <v/>
      </c>
      <c r="W6003" s="74" t="str">
        <f>IFERROR(VLOOKUP($O6003,'Customer List'!$A$1:$J$488,10,FALSE),"")</f>
        <v/>
      </c>
    </row>
    <row r="6004" spans="18:23">
      <c r="R6004" s="127">
        <f t="shared" si="263"/>
        <v>0</v>
      </c>
      <c r="T6004" s="128">
        <f t="shared" si="262"/>
        <v>0</v>
      </c>
      <c r="U6004" s="129" t="str">
        <f>IFERROR(IF(#REF!="S",VLOOKUP('Raw Data'!A6004,References!#REF!,2,FALSE),(VLOOKUP($S6004,References!$B$3:$C$7,2,FALSE))),"")</f>
        <v/>
      </c>
      <c r="W6004" s="74" t="str">
        <f>IFERROR(VLOOKUP($O6004,'Customer List'!$A$1:$J$488,10,FALSE),"")</f>
        <v/>
      </c>
    </row>
    <row r="6005" spans="18:23">
      <c r="R6005" s="127">
        <f t="shared" si="263"/>
        <v>0</v>
      </c>
      <c r="T6005" s="128">
        <f t="shared" si="262"/>
        <v>0</v>
      </c>
      <c r="U6005" s="129" t="str">
        <f>IFERROR(IF(#REF!="S",VLOOKUP('Raw Data'!A6005,References!#REF!,2,FALSE),(VLOOKUP($S6005,References!$B$3:$C$7,2,FALSE))),"")</f>
        <v/>
      </c>
      <c r="W6005" s="74" t="str">
        <f>IFERROR(VLOOKUP($O6005,'Customer List'!$A$1:$J$488,10,FALSE),"")</f>
        <v/>
      </c>
    </row>
    <row r="6006" spans="18:23">
      <c r="R6006" s="127">
        <f t="shared" si="263"/>
        <v>0</v>
      </c>
      <c r="T6006" s="128">
        <f t="shared" si="262"/>
        <v>0</v>
      </c>
      <c r="U6006" s="129" t="str">
        <f>IFERROR(IF(#REF!="S",VLOOKUP('Raw Data'!A6006,References!#REF!,2,FALSE),(VLOOKUP($S6006,References!$B$3:$C$7,2,FALSE))),"")</f>
        <v/>
      </c>
      <c r="W6006" s="74" t="str">
        <f>IFERROR(VLOOKUP($O6006,'Customer List'!$A$1:$J$488,10,FALSE),"")</f>
        <v/>
      </c>
    </row>
    <row r="6007" spans="18:23">
      <c r="R6007" s="127">
        <f t="shared" si="263"/>
        <v>0</v>
      </c>
      <c r="T6007" s="128">
        <f t="shared" si="262"/>
        <v>0</v>
      </c>
      <c r="U6007" s="129" t="str">
        <f>IFERROR(IF(#REF!="S",VLOOKUP('Raw Data'!A6007,References!#REF!,2,FALSE),(VLOOKUP($S6007,References!$B$3:$C$7,2,FALSE))),"")</f>
        <v/>
      </c>
      <c r="W6007" s="74" t="str">
        <f>IFERROR(VLOOKUP($O6007,'Customer List'!$A$1:$J$488,10,FALSE),"")</f>
        <v/>
      </c>
    </row>
    <row r="6008" spans="18:23">
      <c r="R6008" s="127">
        <f t="shared" si="263"/>
        <v>0</v>
      </c>
      <c r="T6008" s="128">
        <f t="shared" si="262"/>
        <v>0</v>
      </c>
      <c r="U6008" s="129" t="str">
        <f>IFERROR(IF(#REF!="S",VLOOKUP('Raw Data'!A6008,References!#REF!,2,FALSE),(VLOOKUP($S6008,References!$B$3:$C$7,2,FALSE))),"")</f>
        <v/>
      </c>
      <c r="W6008" s="74" t="str">
        <f>IFERROR(VLOOKUP($O6008,'Customer List'!$A$1:$J$488,10,FALSE),"")</f>
        <v/>
      </c>
    </row>
    <row r="6009" spans="18:23">
      <c r="R6009" s="127">
        <f t="shared" si="263"/>
        <v>0</v>
      </c>
      <c r="T6009" s="128">
        <f t="shared" si="262"/>
        <v>0</v>
      </c>
      <c r="U6009" s="129" t="str">
        <f>IFERROR(IF(#REF!="S",VLOOKUP('Raw Data'!A6009,References!#REF!,2,FALSE),(VLOOKUP($S6009,References!$B$3:$C$7,2,FALSE))),"")</f>
        <v/>
      </c>
      <c r="W6009" s="74" t="str">
        <f>IFERROR(VLOOKUP($O6009,'Customer List'!$A$1:$J$488,10,FALSE),"")</f>
        <v/>
      </c>
    </row>
    <row r="6010" spans="18:23">
      <c r="R6010" s="127">
        <f t="shared" si="263"/>
        <v>0</v>
      </c>
      <c r="T6010" s="128">
        <f t="shared" si="262"/>
        <v>0</v>
      </c>
      <c r="U6010" s="129" t="str">
        <f>IFERROR(IF(#REF!="S",VLOOKUP('Raw Data'!A6010,References!#REF!,2,FALSE),(VLOOKUP($S6010,References!$B$3:$C$7,2,FALSE))),"")</f>
        <v/>
      </c>
      <c r="W6010" s="74" t="str">
        <f>IFERROR(VLOOKUP($O6010,'Customer List'!$A$1:$J$488,10,FALSE),"")</f>
        <v/>
      </c>
    </row>
    <row r="6011" spans="18:23">
      <c r="R6011" s="127">
        <f t="shared" si="263"/>
        <v>0</v>
      </c>
      <c r="T6011" s="128">
        <f t="shared" si="262"/>
        <v>0</v>
      </c>
      <c r="U6011" s="129" t="str">
        <f>IFERROR(IF(#REF!="S",VLOOKUP('Raw Data'!A6011,References!#REF!,2,FALSE),(VLOOKUP($S6011,References!$B$3:$C$7,2,FALSE))),"")</f>
        <v/>
      </c>
      <c r="W6011" s="74" t="str">
        <f>IFERROR(VLOOKUP($O6011,'Customer List'!$A$1:$J$488,10,FALSE),"")</f>
        <v/>
      </c>
    </row>
    <row r="6012" spans="18:23">
      <c r="R6012" s="127">
        <f t="shared" si="263"/>
        <v>0</v>
      </c>
      <c r="T6012" s="128">
        <f t="shared" si="262"/>
        <v>0</v>
      </c>
      <c r="U6012" s="129" t="str">
        <f>IFERROR(IF(#REF!="S",VLOOKUP('Raw Data'!A6012,References!#REF!,2,FALSE),(VLOOKUP($S6012,References!$B$3:$C$7,2,FALSE))),"")</f>
        <v/>
      </c>
      <c r="W6012" s="74" t="str">
        <f>IFERROR(VLOOKUP($O6012,'Customer List'!$A$1:$J$488,10,FALSE),"")</f>
        <v/>
      </c>
    </row>
    <row r="6013" spans="18:23">
      <c r="R6013" s="127">
        <f t="shared" si="263"/>
        <v>0</v>
      </c>
      <c r="T6013" s="128">
        <f t="shared" si="262"/>
        <v>0</v>
      </c>
      <c r="U6013" s="129" t="str">
        <f>IFERROR(IF(#REF!="S",VLOOKUP('Raw Data'!A6013,References!#REF!,2,FALSE),(VLOOKUP($S6013,References!$B$3:$C$7,2,FALSE))),"")</f>
        <v/>
      </c>
      <c r="W6013" s="74" t="str">
        <f>IFERROR(VLOOKUP($O6013,'Customer List'!$A$1:$J$488,10,FALSE),"")</f>
        <v/>
      </c>
    </row>
    <row r="6014" spans="18:23">
      <c r="R6014" s="127">
        <f t="shared" si="263"/>
        <v>0</v>
      </c>
      <c r="T6014" s="128">
        <f t="shared" si="262"/>
        <v>0</v>
      </c>
      <c r="U6014" s="129" t="str">
        <f>IFERROR(IF(#REF!="S",VLOOKUP('Raw Data'!A6014,References!#REF!,2,FALSE),(VLOOKUP($S6014,References!$B$3:$C$7,2,FALSE))),"")</f>
        <v/>
      </c>
      <c r="W6014" s="74" t="str">
        <f>IFERROR(VLOOKUP($O6014,'Customer List'!$A$1:$J$488,10,FALSE),"")</f>
        <v/>
      </c>
    </row>
    <row r="6015" spans="18:23">
      <c r="R6015" s="127">
        <f t="shared" si="263"/>
        <v>0</v>
      </c>
      <c r="T6015" s="128">
        <f t="shared" si="262"/>
        <v>0</v>
      </c>
      <c r="U6015" s="129" t="str">
        <f>IFERROR(IF(#REF!="S",VLOOKUP('Raw Data'!A6015,References!#REF!,2,FALSE),(VLOOKUP($S6015,References!$B$3:$C$7,2,FALSE))),"")</f>
        <v/>
      </c>
      <c r="W6015" s="74" t="str">
        <f>IFERROR(VLOOKUP($O6015,'Customer List'!$A$1:$J$488,10,FALSE),"")</f>
        <v/>
      </c>
    </row>
    <row r="6016" spans="18:23">
      <c r="R6016" s="127">
        <f t="shared" si="263"/>
        <v>0</v>
      </c>
      <c r="T6016" s="128">
        <f t="shared" si="262"/>
        <v>0</v>
      </c>
      <c r="U6016" s="129" t="str">
        <f>IFERROR(IF(#REF!="S",VLOOKUP('Raw Data'!A6016,References!#REF!,2,FALSE),(VLOOKUP($S6016,References!$B$3:$C$7,2,FALSE))),"")</f>
        <v/>
      </c>
      <c r="W6016" s="74" t="str">
        <f>IFERROR(VLOOKUP($O6016,'Customer List'!$A$1:$J$488,10,FALSE),"")</f>
        <v/>
      </c>
    </row>
    <row r="6017" spans="18:23">
      <c r="R6017" s="127">
        <f t="shared" si="263"/>
        <v>0</v>
      </c>
      <c r="T6017" s="128">
        <f t="shared" si="262"/>
        <v>0</v>
      </c>
      <c r="U6017" s="129" t="str">
        <f>IFERROR(IF(#REF!="S",VLOOKUP('Raw Data'!A6017,References!#REF!,2,FALSE),(VLOOKUP($S6017,References!$B$3:$C$7,2,FALSE))),"")</f>
        <v/>
      </c>
      <c r="W6017" s="74" t="str">
        <f>IFERROR(VLOOKUP($O6017,'Customer List'!$A$1:$J$488,10,FALSE),"")</f>
        <v/>
      </c>
    </row>
    <row r="6018" spans="18:23">
      <c r="R6018" s="127">
        <f t="shared" si="263"/>
        <v>0</v>
      </c>
      <c r="T6018" s="128">
        <f t="shared" si="262"/>
        <v>0</v>
      </c>
      <c r="U6018" s="129" t="str">
        <f>IFERROR(IF(#REF!="S",VLOOKUP('Raw Data'!A6018,References!#REF!,2,FALSE),(VLOOKUP($S6018,References!$B$3:$C$7,2,FALSE))),"")</f>
        <v/>
      </c>
      <c r="W6018" s="74" t="str">
        <f>IFERROR(VLOOKUP($O6018,'Customer List'!$A$1:$J$488,10,FALSE),"")</f>
        <v/>
      </c>
    </row>
    <row r="6019" spans="18:23">
      <c r="R6019" s="127">
        <f t="shared" si="263"/>
        <v>0</v>
      </c>
      <c r="T6019" s="128">
        <f t="shared" si="262"/>
        <v>0</v>
      </c>
      <c r="U6019" s="129" t="str">
        <f>IFERROR(IF(#REF!="S",VLOOKUP('Raw Data'!A6019,References!#REF!,2,FALSE),(VLOOKUP($S6019,References!$B$3:$C$7,2,FALSE))),"")</f>
        <v/>
      </c>
      <c r="W6019" s="74" t="str">
        <f>IFERROR(VLOOKUP($O6019,'Customer List'!$A$1:$J$488,10,FALSE),"")</f>
        <v/>
      </c>
    </row>
    <row r="6020" spans="18:23">
      <c r="R6020" s="127">
        <f t="shared" si="263"/>
        <v>0</v>
      </c>
      <c r="T6020" s="128">
        <f t="shared" si="262"/>
        <v>0</v>
      </c>
      <c r="U6020" s="129" t="str">
        <f>IFERROR(IF(#REF!="S",VLOOKUP('Raw Data'!A6020,References!#REF!,2,FALSE),(VLOOKUP($S6020,References!$B$3:$C$7,2,FALSE))),"")</f>
        <v/>
      </c>
      <c r="W6020" s="74" t="str">
        <f>IFERROR(VLOOKUP($O6020,'Customer List'!$A$1:$J$488,10,FALSE),"")</f>
        <v/>
      </c>
    </row>
    <row r="6021" spans="18:23">
      <c r="R6021" s="127">
        <f t="shared" si="263"/>
        <v>0</v>
      </c>
      <c r="T6021" s="128">
        <f t="shared" si="262"/>
        <v>0</v>
      </c>
      <c r="U6021" s="129" t="str">
        <f>IFERROR(IF(#REF!="S",VLOOKUP('Raw Data'!A6021,References!#REF!,2,FALSE),(VLOOKUP($S6021,References!$B$3:$C$7,2,FALSE))),"")</f>
        <v/>
      </c>
      <c r="W6021" s="74" t="str">
        <f>IFERROR(VLOOKUP($O6021,'Customer List'!$A$1:$J$488,10,FALSE),"")</f>
        <v/>
      </c>
    </row>
    <row r="6022" spans="18:23">
      <c r="R6022" s="127">
        <f t="shared" si="263"/>
        <v>0</v>
      </c>
      <c r="T6022" s="128">
        <f t="shared" si="262"/>
        <v>0</v>
      </c>
      <c r="U6022" s="129" t="str">
        <f>IFERROR(IF(#REF!="S",VLOOKUP('Raw Data'!A6022,References!#REF!,2,FALSE),(VLOOKUP($S6022,References!$B$3:$C$7,2,FALSE))),"")</f>
        <v/>
      </c>
      <c r="W6022" s="74" t="str">
        <f>IFERROR(VLOOKUP($O6022,'Customer List'!$A$1:$J$488,10,FALSE),"")</f>
        <v/>
      </c>
    </row>
    <row r="6023" spans="18:23">
      <c r="R6023" s="127">
        <f t="shared" si="263"/>
        <v>0</v>
      </c>
      <c r="T6023" s="128">
        <f t="shared" si="262"/>
        <v>0</v>
      </c>
      <c r="U6023" s="129" t="str">
        <f>IFERROR(IF(#REF!="S",VLOOKUP('Raw Data'!A6023,References!#REF!,2,FALSE),(VLOOKUP($S6023,References!$B$3:$C$7,2,FALSE))),"")</f>
        <v/>
      </c>
      <c r="W6023" s="74" t="str">
        <f>IFERROR(VLOOKUP($O6023,'Customer List'!$A$1:$J$488,10,FALSE),"")</f>
        <v/>
      </c>
    </row>
    <row r="6024" spans="18:23">
      <c r="R6024" s="127">
        <f t="shared" si="263"/>
        <v>0</v>
      </c>
      <c r="T6024" s="128">
        <f t="shared" si="262"/>
        <v>0</v>
      </c>
      <c r="U6024" s="129" t="str">
        <f>IFERROR(IF(#REF!="S",VLOOKUP('Raw Data'!A6024,References!#REF!,2,FALSE),(VLOOKUP($S6024,References!$B$3:$C$7,2,FALSE))),"")</f>
        <v/>
      </c>
      <c r="W6024" s="74" t="str">
        <f>IFERROR(VLOOKUP($O6024,'Customer List'!$A$1:$J$488,10,FALSE),"")</f>
        <v/>
      </c>
    </row>
    <row r="6025" spans="18:23">
      <c r="R6025" s="127">
        <f t="shared" si="263"/>
        <v>0</v>
      </c>
      <c r="T6025" s="128">
        <f t="shared" si="262"/>
        <v>0</v>
      </c>
      <c r="U6025" s="129" t="str">
        <f>IFERROR(IF(#REF!="S",VLOOKUP('Raw Data'!A6025,References!#REF!,2,FALSE),(VLOOKUP($S6025,References!$B$3:$C$7,2,FALSE))),"")</f>
        <v/>
      </c>
      <c r="W6025" s="74" t="str">
        <f>IFERROR(VLOOKUP($O6025,'Customer List'!$A$1:$J$488,10,FALSE),"")</f>
        <v/>
      </c>
    </row>
    <row r="6026" spans="18:23">
      <c r="R6026" s="127">
        <f t="shared" si="263"/>
        <v>0</v>
      </c>
      <c r="T6026" s="128">
        <f t="shared" ref="T6026:T6089" si="264">IF(S6026="50 - Cleaning Fee",1,HOUR($R6026)+MINUTE(R6026)/60)</f>
        <v>0</v>
      </c>
      <c r="U6026" s="129" t="str">
        <f>IFERROR(IF(#REF!="S",VLOOKUP('Raw Data'!A6026,References!#REF!,2,FALSE),(VLOOKUP($S6026,References!$B$3:$C$7,2,FALSE))),"")</f>
        <v/>
      </c>
      <c r="W6026" s="74" t="str">
        <f>IFERROR(VLOOKUP($O6026,'Customer List'!$A$1:$J$488,10,FALSE),"")</f>
        <v/>
      </c>
    </row>
    <row r="6027" spans="18:23">
      <c r="R6027" s="127">
        <f t="shared" si="263"/>
        <v>0</v>
      </c>
      <c r="T6027" s="128">
        <f t="shared" si="264"/>
        <v>0</v>
      </c>
      <c r="U6027" s="129" t="str">
        <f>IFERROR(IF(#REF!="S",VLOOKUP('Raw Data'!A6027,References!#REF!,2,FALSE),(VLOOKUP($S6027,References!$B$3:$C$7,2,FALSE))),"")</f>
        <v/>
      </c>
      <c r="W6027" s="74" t="str">
        <f>IFERROR(VLOOKUP($O6027,'Customer List'!$A$1:$J$488,10,FALSE),"")</f>
        <v/>
      </c>
    </row>
    <row r="6028" spans="18:23">
      <c r="R6028" s="127">
        <f t="shared" si="263"/>
        <v>0</v>
      </c>
      <c r="T6028" s="128">
        <f t="shared" si="264"/>
        <v>0</v>
      </c>
      <c r="U6028" s="129" t="str">
        <f>IFERROR(IF(#REF!="S",VLOOKUP('Raw Data'!A6028,References!#REF!,2,FALSE),(VLOOKUP($S6028,References!$B$3:$C$7,2,FALSE))),"")</f>
        <v/>
      </c>
      <c r="W6028" s="74" t="str">
        <f>IFERROR(VLOOKUP($O6028,'Customer List'!$A$1:$J$488,10,FALSE),"")</f>
        <v/>
      </c>
    </row>
    <row r="6029" spans="18:23">
      <c r="R6029" s="127">
        <f t="shared" si="263"/>
        <v>0</v>
      </c>
      <c r="T6029" s="128">
        <f t="shared" si="264"/>
        <v>0</v>
      </c>
      <c r="U6029" s="129" t="str">
        <f>IFERROR(IF(#REF!="S",VLOOKUP('Raw Data'!A6029,References!#REF!,2,FALSE),(VLOOKUP($S6029,References!$B$3:$C$7,2,FALSE))),"")</f>
        <v/>
      </c>
      <c r="W6029" s="74" t="str">
        <f>IFERROR(VLOOKUP($O6029,'Customer List'!$A$1:$J$488,10,FALSE),"")</f>
        <v/>
      </c>
    </row>
    <row r="6030" spans="18:23">
      <c r="R6030" s="127">
        <f t="shared" si="263"/>
        <v>0</v>
      </c>
      <c r="T6030" s="128">
        <f t="shared" si="264"/>
        <v>0</v>
      </c>
      <c r="U6030" s="129" t="str">
        <f>IFERROR(IF(#REF!="S",VLOOKUP('Raw Data'!A6030,References!#REF!,2,FALSE),(VLOOKUP($S6030,References!$B$3:$C$7,2,FALSE))),"")</f>
        <v/>
      </c>
      <c r="W6030" s="74" t="str">
        <f>IFERROR(VLOOKUP($O6030,'Customer List'!$A$1:$J$488,10,FALSE),"")</f>
        <v/>
      </c>
    </row>
    <row r="6031" spans="18:23">
      <c r="R6031" s="127">
        <f t="shared" si="263"/>
        <v>0</v>
      </c>
      <c r="T6031" s="128">
        <f t="shared" si="264"/>
        <v>0</v>
      </c>
      <c r="U6031" s="129" t="str">
        <f>IFERROR(IF(#REF!="S",VLOOKUP('Raw Data'!A6031,References!#REF!,2,FALSE),(VLOOKUP($S6031,References!$B$3:$C$7,2,FALSE))),"")</f>
        <v/>
      </c>
      <c r="W6031" s="74" t="str">
        <f>IFERROR(VLOOKUP($O6031,'Customer List'!$A$1:$J$488,10,FALSE),"")</f>
        <v/>
      </c>
    </row>
    <row r="6032" spans="18:23">
      <c r="R6032" s="127">
        <f t="shared" si="263"/>
        <v>0</v>
      </c>
      <c r="T6032" s="128">
        <f t="shared" si="264"/>
        <v>0</v>
      </c>
      <c r="U6032" s="129" t="str">
        <f>IFERROR(IF(#REF!="S",VLOOKUP('Raw Data'!A6032,References!#REF!,2,FALSE),(VLOOKUP($S6032,References!$B$3:$C$7,2,FALSE))),"")</f>
        <v/>
      </c>
      <c r="W6032" s="74" t="str">
        <f>IFERROR(VLOOKUP($O6032,'Customer List'!$A$1:$J$488,10,FALSE),"")</f>
        <v/>
      </c>
    </row>
    <row r="6033" spans="18:23">
      <c r="R6033" s="127">
        <f t="shared" si="263"/>
        <v>0</v>
      </c>
      <c r="T6033" s="128">
        <f t="shared" si="264"/>
        <v>0</v>
      </c>
      <c r="U6033" s="129" t="str">
        <f>IFERROR(IF(#REF!="S",VLOOKUP('Raw Data'!A6033,References!#REF!,2,FALSE),(VLOOKUP($S6033,References!$B$3:$C$7,2,FALSE))),"")</f>
        <v/>
      </c>
      <c r="W6033" s="74" t="str">
        <f>IFERROR(VLOOKUP($O6033,'Customer List'!$A$1:$J$488,10,FALSE),"")</f>
        <v/>
      </c>
    </row>
    <row r="6034" spans="18:23">
      <c r="R6034" s="127">
        <f t="shared" si="263"/>
        <v>0</v>
      </c>
      <c r="T6034" s="128">
        <f t="shared" si="264"/>
        <v>0</v>
      </c>
      <c r="U6034" s="129" t="str">
        <f>IFERROR(IF(#REF!="S",VLOOKUP('Raw Data'!A6034,References!#REF!,2,FALSE),(VLOOKUP($S6034,References!$B$3:$C$7,2,FALSE))),"")</f>
        <v/>
      </c>
      <c r="W6034" s="74" t="str">
        <f>IFERROR(VLOOKUP($O6034,'Customer List'!$A$1:$J$488,10,FALSE),"")</f>
        <v/>
      </c>
    </row>
    <row r="6035" spans="18:23">
      <c r="R6035" s="127">
        <f t="shared" si="263"/>
        <v>0</v>
      </c>
      <c r="T6035" s="128">
        <f t="shared" si="264"/>
        <v>0</v>
      </c>
      <c r="U6035" s="129" t="str">
        <f>IFERROR(IF(#REF!="S",VLOOKUP('Raw Data'!A6035,References!#REF!,2,FALSE),(VLOOKUP($S6035,References!$B$3:$C$7,2,FALSE))),"")</f>
        <v/>
      </c>
      <c r="W6035" s="74" t="str">
        <f>IFERROR(VLOOKUP($O6035,'Customer List'!$A$1:$J$488,10,FALSE),"")</f>
        <v/>
      </c>
    </row>
    <row r="6036" spans="18:23">
      <c r="R6036" s="127">
        <f t="shared" si="263"/>
        <v>0</v>
      </c>
      <c r="T6036" s="128">
        <f t="shared" si="264"/>
        <v>0</v>
      </c>
      <c r="U6036" s="129" t="str">
        <f>IFERROR(IF(#REF!="S",VLOOKUP('Raw Data'!A6036,References!#REF!,2,FALSE),(VLOOKUP($S6036,References!$B$3:$C$7,2,FALSE))),"")</f>
        <v/>
      </c>
      <c r="W6036" s="74" t="str">
        <f>IFERROR(VLOOKUP($O6036,'Customer List'!$A$1:$J$488,10,FALSE),"")</f>
        <v/>
      </c>
    </row>
    <row r="6037" spans="18:23">
      <c r="R6037" s="127">
        <f t="shared" si="263"/>
        <v>0</v>
      </c>
      <c r="T6037" s="128">
        <f t="shared" si="264"/>
        <v>0</v>
      </c>
      <c r="U6037" s="129" t="str">
        <f>IFERROR(IF(#REF!="S",VLOOKUP('Raw Data'!A6037,References!#REF!,2,FALSE),(VLOOKUP($S6037,References!$B$3:$C$7,2,FALSE))),"")</f>
        <v/>
      </c>
      <c r="W6037" s="74" t="str">
        <f>IFERROR(VLOOKUP($O6037,'Customer List'!$A$1:$J$488,10,FALSE),"")</f>
        <v/>
      </c>
    </row>
    <row r="6038" spans="18:23">
      <c r="R6038" s="127">
        <f t="shared" si="263"/>
        <v>0</v>
      </c>
      <c r="T6038" s="128">
        <f t="shared" si="264"/>
        <v>0</v>
      </c>
      <c r="U6038" s="129" t="str">
        <f>IFERROR(IF(#REF!="S",VLOOKUP('Raw Data'!A6038,References!#REF!,2,FALSE),(VLOOKUP($S6038,References!$B$3:$C$7,2,FALSE))),"")</f>
        <v/>
      </c>
      <c r="W6038" s="74" t="str">
        <f>IFERROR(VLOOKUP($O6038,'Customer List'!$A$1:$J$488,10,FALSE),"")</f>
        <v/>
      </c>
    </row>
    <row r="6039" spans="18:23">
      <c r="R6039" s="127">
        <f t="shared" si="263"/>
        <v>0</v>
      </c>
      <c r="T6039" s="128">
        <f t="shared" si="264"/>
        <v>0</v>
      </c>
      <c r="U6039" s="129" t="str">
        <f>IFERROR(IF(#REF!="S",VLOOKUP('Raw Data'!A6039,References!#REF!,2,FALSE),(VLOOKUP($S6039,References!$B$3:$C$7,2,FALSE))),"")</f>
        <v/>
      </c>
      <c r="W6039" s="74" t="str">
        <f>IFERROR(VLOOKUP($O6039,'Customer List'!$A$1:$J$488,10,FALSE),"")</f>
        <v/>
      </c>
    </row>
    <row r="6040" spans="18:23">
      <c r="R6040" s="127">
        <f t="shared" si="263"/>
        <v>0</v>
      </c>
      <c r="T6040" s="128">
        <f t="shared" si="264"/>
        <v>0</v>
      </c>
      <c r="U6040" s="129" t="str">
        <f>IFERROR(IF(#REF!="S",VLOOKUP('Raw Data'!A6040,References!#REF!,2,FALSE),(VLOOKUP($S6040,References!$B$3:$C$7,2,FALSE))),"")</f>
        <v/>
      </c>
      <c r="W6040" s="74" t="str">
        <f>IFERROR(VLOOKUP($O6040,'Customer List'!$A$1:$J$488,10,FALSE),"")</f>
        <v/>
      </c>
    </row>
    <row r="6041" spans="18:23">
      <c r="R6041" s="127">
        <f t="shared" si="263"/>
        <v>0</v>
      </c>
      <c r="T6041" s="128">
        <f t="shared" si="264"/>
        <v>0</v>
      </c>
      <c r="U6041" s="129" t="str">
        <f>IFERROR(IF(#REF!="S",VLOOKUP('Raw Data'!A6041,References!#REF!,2,FALSE),(VLOOKUP($S6041,References!$B$3:$C$7,2,FALSE))),"")</f>
        <v/>
      </c>
      <c r="W6041" s="74" t="str">
        <f>IFERROR(VLOOKUP($O6041,'Customer List'!$A$1:$J$488,10,FALSE),"")</f>
        <v/>
      </c>
    </row>
    <row r="6042" spans="18:23">
      <c r="R6042" s="127">
        <f t="shared" si="263"/>
        <v>0</v>
      </c>
      <c r="T6042" s="128">
        <f t="shared" si="264"/>
        <v>0</v>
      </c>
      <c r="U6042" s="129" t="str">
        <f>IFERROR(IF(#REF!="S",VLOOKUP('Raw Data'!A6042,References!#REF!,2,FALSE),(VLOOKUP($S6042,References!$B$3:$C$7,2,FALSE))),"")</f>
        <v/>
      </c>
      <c r="W6042" s="74" t="str">
        <f>IFERROR(VLOOKUP($O6042,'Customer List'!$A$1:$J$488,10,FALSE),"")</f>
        <v/>
      </c>
    </row>
    <row r="6043" spans="18:23">
      <c r="R6043" s="127">
        <f t="shared" si="263"/>
        <v>0</v>
      </c>
      <c r="T6043" s="128">
        <f t="shared" si="264"/>
        <v>0</v>
      </c>
      <c r="U6043" s="129" t="str">
        <f>IFERROR(IF(#REF!="S",VLOOKUP('Raw Data'!A6043,References!#REF!,2,FALSE),(VLOOKUP($S6043,References!$B$3:$C$7,2,FALSE))),"")</f>
        <v/>
      </c>
      <c r="W6043" s="74" t="str">
        <f>IFERROR(VLOOKUP($O6043,'Customer List'!$A$1:$J$488,10,FALSE),"")</f>
        <v/>
      </c>
    </row>
    <row r="6044" spans="18:23">
      <c r="R6044" s="127">
        <f t="shared" si="263"/>
        <v>0</v>
      </c>
      <c r="T6044" s="128">
        <f t="shared" si="264"/>
        <v>0</v>
      </c>
      <c r="U6044" s="129" t="str">
        <f>IFERROR(IF(#REF!="S",VLOOKUP('Raw Data'!A6044,References!#REF!,2,FALSE),(VLOOKUP($S6044,References!$B$3:$C$7,2,FALSE))),"")</f>
        <v/>
      </c>
      <c r="W6044" s="74" t="str">
        <f>IFERROR(VLOOKUP($O6044,'Customer List'!$A$1:$J$488,10,FALSE),"")</f>
        <v/>
      </c>
    </row>
    <row r="6045" spans="18:23">
      <c r="R6045" s="127">
        <f t="shared" si="263"/>
        <v>0</v>
      </c>
      <c r="T6045" s="128">
        <f t="shared" si="264"/>
        <v>0</v>
      </c>
      <c r="U6045" s="129" t="str">
        <f>IFERROR(IF(#REF!="S",VLOOKUP('Raw Data'!A6045,References!#REF!,2,FALSE),(VLOOKUP($S6045,References!$B$3:$C$7,2,FALSE))),"")</f>
        <v/>
      </c>
      <c r="W6045" s="74" t="str">
        <f>IFERROR(VLOOKUP($O6045,'Customer List'!$A$1:$J$488,10,FALSE),"")</f>
        <v/>
      </c>
    </row>
    <row r="6046" spans="18:23">
      <c r="R6046" s="127">
        <f t="shared" si="263"/>
        <v>0</v>
      </c>
      <c r="T6046" s="128">
        <f t="shared" si="264"/>
        <v>0</v>
      </c>
      <c r="U6046" s="129" t="str">
        <f>IFERROR(IF(#REF!="S",VLOOKUP('Raw Data'!A6046,References!#REF!,2,FALSE),(VLOOKUP($S6046,References!$B$3:$C$7,2,FALSE))),"")</f>
        <v/>
      </c>
      <c r="W6046" s="74" t="str">
        <f>IFERROR(VLOOKUP($O6046,'Customer List'!$A$1:$J$488,10,FALSE),"")</f>
        <v/>
      </c>
    </row>
    <row r="6047" spans="18:23">
      <c r="R6047" s="127">
        <f t="shared" si="263"/>
        <v>0</v>
      </c>
      <c r="T6047" s="128">
        <f t="shared" si="264"/>
        <v>0</v>
      </c>
      <c r="U6047" s="129" t="str">
        <f>IFERROR(IF(#REF!="S",VLOOKUP('Raw Data'!A6047,References!#REF!,2,FALSE),(VLOOKUP($S6047,References!$B$3:$C$7,2,FALSE))),"")</f>
        <v/>
      </c>
      <c r="W6047" s="74" t="str">
        <f>IFERROR(VLOOKUP($O6047,'Customer List'!$A$1:$J$488,10,FALSE),"")</f>
        <v/>
      </c>
    </row>
    <row r="6048" spans="18:23">
      <c r="R6048" s="127">
        <f t="shared" si="263"/>
        <v>0</v>
      </c>
      <c r="T6048" s="128">
        <f t="shared" si="264"/>
        <v>0</v>
      </c>
      <c r="U6048" s="129" t="str">
        <f>IFERROR(IF(#REF!="S",VLOOKUP('Raw Data'!A6048,References!#REF!,2,FALSE),(VLOOKUP($S6048,References!$B$3:$C$7,2,FALSE))),"")</f>
        <v/>
      </c>
      <c r="W6048" s="74" t="str">
        <f>IFERROR(VLOOKUP($O6048,'Customer List'!$A$1:$J$488,10,FALSE),"")</f>
        <v/>
      </c>
    </row>
    <row r="6049" spans="18:23">
      <c r="R6049" s="127">
        <f t="shared" si="263"/>
        <v>0</v>
      </c>
      <c r="T6049" s="128">
        <f t="shared" si="264"/>
        <v>0</v>
      </c>
      <c r="U6049" s="129" t="str">
        <f>IFERROR(IF(#REF!="S",VLOOKUP('Raw Data'!A6049,References!#REF!,2,FALSE),(VLOOKUP($S6049,References!$B$3:$C$7,2,FALSE))),"")</f>
        <v/>
      </c>
      <c r="W6049" s="74" t="str">
        <f>IFERROR(VLOOKUP($O6049,'Customer List'!$A$1:$J$488,10,FALSE),"")</f>
        <v/>
      </c>
    </row>
    <row r="6050" spans="18:23">
      <c r="R6050" s="127">
        <f t="shared" ref="R6050:R6113" si="265">L6050-K6050</f>
        <v>0</v>
      </c>
      <c r="T6050" s="128">
        <f t="shared" si="264"/>
        <v>0</v>
      </c>
      <c r="U6050" s="129" t="str">
        <f>IFERROR(IF(#REF!="S",VLOOKUP('Raw Data'!A6050,References!#REF!,2,FALSE),(VLOOKUP($S6050,References!$B$3:$C$7,2,FALSE))),"")</f>
        <v/>
      </c>
      <c r="W6050" s="74" t="str">
        <f>IFERROR(VLOOKUP($O6050,'Customer List'!$A$1:$J$488,10,FALSE),"")</f>
        <v/>
      </c>
    </row>
    <row r="6051" spans="18:23">
      <c r="R6051" s="127">
        <f t="shared" si="265"/>
        <v>0</v>
      </c>
      <c r="T6051" s="128">
        <f t="shared" si="264"/>
        <v>0</v>
      </c>
      <c r="U6051" s="129" t="str">
        <f>IFERROR(IF(#REF!="S",VLOOKUP('Raw Data'!A6051,References!#REF!,2,FALSE),(VLOOKUP($S6051,References!$B$3:$C$7,2,FALSE))),"")</f>
        <v/>
      </c>
      <c r="W6051" s="74" t="str">
        <f>IFERROR(VLOOKUP($O6051,'Customer List'!$A$1:$J$488,10,FALSE),"")</f>
        <v/>
      </c>
    </row>
    <row r="6052" spans="18:23">
      <c r="R6052" s="127">
        <f t="shared" si="265"/>
        <v>0</v>
      </c>
      <c r="T6052" s="128">
        <f t="shared" si="264"/>
        <v>0</v>
      </c>
      <c r="U6052" s="129" t="str">
        <f>IFERROR(IF(#REF!="S",VLOOKUP('Raw Data'!A6052,References!#REF!,2,FALSE),(VLOOKUP($S6052,References!$B$3:$C$7,2,FALSE))),"")</f>
        <v/>
      </c>
      <c r="W6052" s="74" t="str">
        <f>IFERROR(VLOOKUP($O6052,'Customer List'!$A$1:$J$488,10,FALSE),"")</f>
        <v/>
      </c>
    </row>
    <row r="6053" spans="18:23">
      <c r="R6053" s="127">
        <f t="shared" si="265"/>
        <v>0</v>
      </c>
      <c r="T6053" s="128">
        <f t="shared" si="264"/>
        <v>0</v>
      </c>
      <c r="U6053" s="129" t="str">
        <f>IFERROR(IF(#REF!="S",VLOOKUP('Raw Data'!A6053,References!#REF!,2,FALSE),(VLOOKUP($S6053,References!$B$3:$C$7,2,FALSE))),"")</f>
        <v/>
      </c>
      <c r="W6053" s="74" t="str">
        <f>IFERROR(VLOOKUP($O6053,'Customer List'!$A$1:$J$488,10,FALSE),"")</f>
        <v/>
      </c>
    </row>
    <row r="6054" spans="18:23">
      <c r="R6054" s="127">
        <f t="shared" si="265"/>
        <v>0</v>
      </c>
      <c r="T6054" s="128">
        <f t="shared" si="264"/>
        <v>0</v>
      </c>
      <c r="U6054" s="129" t="str">
        <f>IFERROR(IF(#REF!="S",VLOOKUP('Raw Data'!A6054,References!#REF!,2,FALSE),(VLOOKUP($S6054,References!$B$3:$C$7,2,FALSE))),"")</f>
        <v/>
      </c>
      <c r="W6054" s="74" t="str">
        <f>IFERROR(VLOOKUP($O6054,'Customer List'!$A$1:$J$488,10,FALSE),"")</f>
        <v/>
      </c>
    </row>
    <row r="6055" spans="18:23">
      <c r="R6055" s="127">
        <f t="shared" si="265"/>
        <v>0</v>
      </c>
      <c r="T6055" s="128">
        <f t="shared" si="264"/>
        <v>0</v>
      </c>
      <c r="U6055" s="129" t="str">
        <f>IFERROR(IF(#REF!="S",VLOOKUP('Raw Data'!A6055,References!#REF!,2,FALSE),(VLOOKUP($S6055,References!$B$3:$C$7,2,FALSE))),"")</f>
        <v/>
      </c>
      <c r="W6055" s="74" t="str">
        <f>IFERROR(VLOOKUP($O6055,'Customer List'!$A$1:$J$488,10,FALSE),"")</f>
        <v/>
      </c>
    </row>
    <row r="6056" spans="18:23">
      <c r="R6056" s="127">
        <f t="shared" si="265"/>
        <v>0</v>
      </c>
      <c r="T6056" s="128">
        <f t="shared" si="264"/>
        <v>0</v>
      </c>
      <c r="U6056" s="129" t="str">
        <f>IFERROR(IF(#REF!="S",VLOOKUP('Raw Data'!A6056,References!#REF!,2,FALSE),(VLOOKUP($S6056,References!$B$3:$C$7,2,FALSE))),"")</f>
        <v/>
      </c>
      <c r="W6056" s="74" t="str">
        <f>IFERROR(VLOOKUP($O6056,'Customer List'!$A$1:$J$488,10,FALSE),"")</f>
        <v/>
      </c>
    </row>
    <row r="6057" spans="18:23">
      <c r="R6057" s="127">
        <f t="shared" si="265"/>
        <v>0</v>
      </c>
      <c r="T6057" s="128">
        <f t="shared" si="264"/>
        <v>0</v>
      </c>
      <c r="U6057" s="129" t="str">
        <f>IFERROR(IF(#REF!="S",VLOOKUP('Raw Data'!A6057,References!#REF!,2,FALSE),(VLOOKUP($S6057,References!$B$3:$C$7,2,FALSE))),"")</f>
        <v/>
      </c>
      <c r="W6057" s="74" t="str">
        <f>IFERROR(VLOOKUP($O6057,'Customer List'!$A$1:$J$488,10,FALSE),"")</f>
        <v/>
      </c>
    </row>
    <row r="6058" spans="18:23">
      <c r="R6058" s="127">
        <f t="shared" si="265"/>
        <v>0</v>
      </c>
      <c r="T6058" s="128">
        <f t="shared" si="264"/>
        <v>0</v>
      </c>
      <c r="U6058" s="129" t="str">
        <f>IFERROR(IF(#REF!="S",VLOOKUP('Raw Data'!A6058,References!#REF!,2,FALSE),(VLOOKUP($S6058,References!$B$3:$C$7,2,FALSE))),"")</f>
        <v/>
      </c>
      <c r="W6058" s="74" t="str">
        <f>IFERROR(VLOOKUP($O6058,'Customer List'!$A$1:$J$488,10,FALSE),"")</f>
        <v/>
      </c>
    </row>
    <row r="6059" spans="18:23">
      <c r="R6059" s="127">
        <f t="shared" si="265"/>
        <v>0</v>
      </c>
      <c r="T6059" s="128">
        <f t="shared" si="264"/>
        <v>0</v>
      </c>
      <c r="U6059" s="129" t="str">
        <f>IFERROR(IF(#REF!="S",VLOOKUP('Raw Data'!A6059,References!#REF!,2,FALSE),(VLOOKUP($S6059,References!$B$3:$C$7,2,FALSE))),"")</f>
        <v/>
      </c>
      <c r="W6059" s="74" t="str">
        <f>IFERROR(VLOOKUP($O6059,'Customer List'!$A$1:$J$488,10,FALSE),"")</f>
        <v/>
      </c>
    </row>
    <row r="6060" spans="18:23">
      <c r="R6060" s="127">
        <f t="shared" si="265"/>
        <v>0</v>
      </c>
      <c r="T6060" s="128">
        <f t="shared" si="264"/>
        <v>0</v>
      </c>
      <c r="U6060" s="129" t="str">
        <f>IFERROR(IF(#REF!="S",VLOOKUP('Raw Data'!A6060,References!#REF!,2,FALSE),(VLOOKUP($S6060,References!$B$3:$C$7,2,FALSE))),"")</f>
        <v/>
      </c>
      <c r="W6060" s="74" t="str">
        <f>IFERROR(VLOOKUP($O6060,'Customer List'!$A$1:$J$488,10,FALSE),"")</f>
        <v/>
      </c>
    </row>
    <row r="6061" spans="18:23">
      <c r="R6061" s="127">
        <f t="shared" si="265"/>
        <v>0</v>
      </c>
      <c r="T6061" s="128">
        <f t="shared" si="264"/>
        <v>0</v>
      </c>
      <c r="U6061" s="129" t="str">
        <f>IFERROR(IF(#REF!="S",VLOOKUP('Raw Data'!A6061,References!#REF!,2,FALSE),(VLOOKUP($S6061,References!$B$3:$C$7,2,FALSE))),"")</f>
        <v/>
      </c>
      <c r="W6061" s="74" t="str">
        <f>IFERROR(VLOOKUP($O6061,'Customer List'!$A$1:$J$488,10,FALSE),"")</f>
        <v/>
      </c>
    </row>
    <row r="6062" spans="18:23">
      <c r="R6062" s="127">
        <f t="shared" si="265"/>
        <v>0</v>
      </c>
      <c r="T6062" s="128">
        <f t="shared" si="264"/>
        <v>0</v>
      </c>
      <c r="U6062" s="129" t="str">
        <f>IFERROR(IF(#REF!="S",VLOOKUP('Raw Data'!A6062,References!#REF!,2,FALSE),(VLOOKUP($S6062,References!$B$3:$C$7,2,FALSE))),"")</f>
        <v/>
      </c>
      <c r="W6062" s="74" t="str">
        <f>IFERROR(VLOOKUP($O6062,'Customer List'!$A$1:$J$488,10,FALSE),"")</f>
        <v/>
      </c>
    </row>
    <row r="6063" spans="18:23">
      <c r="R6063" s="127">
        <f t="shared" si="265"/>
        <v>0</v>
      </c>
      <c r="T6063" s="128">
        <f t="shared" si="264"/>
        <v>0</v>
      </c>
      <c r="U6063" s="129" t="str">
        <f>IFERROR(IF(#REF!="S",VLOOKUP('Raw Data'!A6063,References!#REF!,2,FALSE),(VLOOKUP($S6063,References!$B$3:$C$7,2,FALSE))),"")</f>
        <v/>
      </c>
      <c r="W6063" s="74" t="str">
        <f>IFERROR(VLOOKUP($O6063,'Customer List'!$A$1:$J$488,10,FALSE),"")</f>
        <v/>
      </c>
    </row>
    <row r="6064" spans="18:23">
      <c r="R6064" s="127">
        <f t="shared" si="265"/>
        <v>0</v>
      </c>
      <c r="T6064" s="128">
        <f t="shared" si="264"/>
        <v>0</v>
      </c>
      <c r="U6064" s="129" t="str">
        <f>IFERROR(IF(#REF!="S",VLOOKUP('Raw Data'!A6064,References!#REF!,2,FALSE),(VLOOKUP($S6064,References!$B$3:$C$7,2,FALSE))),"")</f>
        <v/>
      </c>
      <c r="W6064" s="74" t="str">
        <f>IFERROR(VLOOKUP($O6064,'Customer List'!$A$1:$J$488,10,FALSE),"")</f>
        <v/>
      </c>
    </row>
    <row r="6065" spans="18:23">
      <c r="R6065" s="127">
        <f t="shared" si="265"/>
        <v>0</v>
      </c>
      <c r="T6065" s="128">
        <f t="shared" si="264"/>
        <v>0</v>
      </c>
      <c r="U6065" s="129" t="str">
        <f>IFERROR(IF(#REF!="S",VLOOKUP('Raw Data'!A6065,References!#REF!,2,FALSE),(VLOOKUP($S6065,References!$B$3:$C$7,2,FALSE))),"")</f>
        <v/>
      </c>
      <c r="W6065" s="74" t="str">
        <f>IFERROR(VLOOKUP($O6065,'Customer List'!$A$1:$J$488,10,FALSE),"")</f>
        <v/>
      </c>
    </row>
    <row r="6066" spans="18:23">
      <c r="R6066" s="127">
        <f t="shared" si="265"/>
        <v>0</v>
      </c>
      <c r="T6066" s="128">
        <f t="shared" si="264"/>
        <v>0</v>
      </c>
      <c r="U6066" s="129" t="str">
        <f>IFERROR(IF(#REF!="S",VLOOKUP('Raw Data'!A6066,References!#REF!,2,FALSE),(VLOOKUP($S6066,References!$B$3:$C$7,2,FALSE))),"")</f>
        <v/>
      </c>
      <c r="W6066" s="74" t="str">
        <f>IFERROR(VLOOKUP($O6066,'Customer List'!$A$1:$J$488,10,FALSE),"")</f>
        <v/>
      </c>
    </row>
    <row r="6067" spans="18:23">
      <c r="R6067" s="127">
        <f t="shared" si="265"/>
        <v>0</v>
      </c>
      <c r="T6067" s="128">
        <f t="shared" si="264"/>
        <v>0</v>
      </c>
      <c r="U6067" s="129" t="str">
        <f>IFERROR(IF(#REF!="S",VLOOKUP('Raw Data'!A6067,References!#REF!,2,FALSE),(VLOOKUP($S6067,References!$B$3:$C$7,2,FALSE))),"")</f>
        <v/>
      </c>
      <c r="W6067" s="74" t="str">
        <f>IFERROR(VLOOKUP($O6067,'Customer List'!$A$1:$J$488,10,FALSE),"")</f>
        <v/>
      </c>
    </row>
    <row r="6068" spans="18:23">
      <c r="R6068" s="127">
        <f t="shared" si="265"/>
        <v>0</v>
      </c>
      <c r="T6068" s="128">
        <f t="shared" si="264"/>
        <v>0</v>
      </c>
      <c r="U6068" s="129" t="str">
        <f>IFERROR(IF(#REF!="S",VLOOKUP('Raw Data'!A6068,References!#REF!,2,FALSE),(VLOOKUP($S6068,References!$B$3:$C$7,2,FALSE))),"")</f>
        <v/>
      </c>
      <c r="W6068" s="74" t="str">
        <f>IFERROR(VLOOKUP($O6068,'Customer List'!$A$1:$J$488,10,FALSE),"")</f>
        <v/>
      </c>
    </row>
    <row r="6069" spans="18:23">
      <c r="R6069" s="127">
        <f t="shared" si="265"/>
        <v>0</v>
      </c>
      <c r="T6069" s="128">
        <f t="shared" si="264"/>
        <v>0</v>
      </c>
      <c r="U6069" s="129" t="str">
        <f>IFERROR(IF(#REF!="S",VLOOKUP('Raw Data'!A6069,References!#REF!,2,FALSE),(VLOOKUP($S6069,References!$B$3:$C$7,2,FALSE))),"")</f>
        <v/>
      </c>
      <c r="W6069" s="74" t="str">
        <f>IFERROR(VLOOKUP($O6069,'Customer List'!$A$1:$J$488,10,FALSE),"")</f>
        <v/>
      </c>
    </row>
    <row r="6070" spans="18:23">
      <c r="R6070" s="127">
        <f t="shared" si="265"/>
        <v>0</v>
      </c>
      <c r="T6070" s="128">
        <f t="shared" si="264"/>
        <v>0</v>
      </c>
      <c r="U6070" s="129" t="str">
        <f>IFERROR(IF(#REF!="S",VLOOKUP('Raw Data'!A6070,References!#REF!,2,FALSE),(VLOOKUP($S6070,References!$B$3:$C$7,2,FALSE))),"")</f>
        <v/>
      </c>
      <c r="W6070" s="74" t="str">
        <f>IFERROR(VLOOKUP($O6070,'Customer List'!$A$1:$J$488,10,FALSE),"")</f>
        <v/>
      </c>
    </row>
    <row r="6071" spans="18:23">
      <c r="R6071" s="127">
        <f t="shared" si="265"/>
        <v>0</v>
      </c>
      <c r="T6071" s="128">
        <f t="shared" si="264"/>
        <v>0</v>
      </c>
      <c r="U6071" s="129" t="str">
        <f>IFERROR(IF(#REF!="S",VLOOKUP('Raw Data'!A6071,References!#REF!,2,FALSE),(VLOOKUP($S6071,References!$B$3:$C$7,2,FALSE))),"")</f>
        <v/>
      </c>
      <c r="W6071" s="74" t="str">
        <f>IFERROR(VLOOKUP($O6071,'Customer List'!$A$1:$J$488,10,FALSE),"")</f>
        <v/>
      </c>
    </row>
    <row r="6072" spans="18:23">
      <c r="R6072" s="127">
        <f t="shared" si="265"/>
        <v>0</v>
      </c>
      <c r="T6072" s="128">
        <f t="shared" si="264"/>
        <v>0</v>
      </c>
      <c r="U6072" s="129" t="str">
        <f>IFERROR(IF(#REF!="S",VLOOKUP('Raw Data'!A6072,References!#REF!,2,FALSE),(VLOOKUP($S6072,References!$B$3:$C$7,2,FALSE))),"")</f>
        <v/>
      </c>
      <c r="W6072" s="74" t="str">
        <f>IFERROR(VLOOKUP($O6072,'Customer List'!$A$1:$J$488,10,FALSE),"")</f>
        <v/>
      </c>
    </row>
    <row r="6073" spans="18:23">
      <c r="R6073" s="127">
        <f t="shared" si="265"/>
        <v>0</v>
      </c>
      <c r="T6073" s="128">
        <f t="shared" si="264"/>
        <v>0</v>
      </c>
      <c r="U6073" s="129" t="str">
        <f>IFERROR(IF(#REF!="S",VLOOKUP('Raw Data'!A6073,References!#REF!,2,FALSE),(VLOOKUP($S6073,References!$B$3:$C$7,2,FALSE))),"")</f>
        <v/>
      </c>
      <c r="W6073" s="74" t="str">
        <f>IFERROR(VLOOKUP($O6073,'Customer List'!$A$1:$J$488,10,FALSE),"")</f>
        <v/>
      </c>
    </row>
    <row r="6074" spans="18:23">
      <c r="R6074" s="127">
        <f t="shared" si="265"/>
        <v>0</v>
      </c>
      <c r="T6074" s="128">
        <f t="shared" si="264"/>
        <v>0</v>
      </c>
      <c r="U6074" s="129" t="str">
        <f>IFERROR(IF(#REF!="S",VLOOKUP('Raw Data'!A6074,References!#REF!,2,FALSE),(VLOOKUP($S6074,References!$B$3:$C$7,2,FALSE))),"")</f>
        <v/>
      </c>
      <c r="W6074" s="74" t="str">
        <f>IFERROR(VLOOKUP($O6074,'Customer List'!$A$1:$J$488,10,FALSE),"")</f>
        <v/>
      </c>
    </row>
    <row r="6075" spans="18:23">
      <c r="R6075" s="127">
        <f t="shared" si="265"/>
        <v>0</v>
      </c>
      <c r="T6075" s="128">
        <f t="shared" si="264"/>
        <v>0</v>
      </c>
      <c r="U6075" s="129" t="str">
        <f>IFERROR(IF(#REF!="S",VLOOKUP('Raw Data'!A6075,References!#REF!,2,FALSE),(VLOOKUP($S6075,References!$B$3:$C$7,2,FALSE))),"")</f>
        <v/>
      </c>
      <c r="W6075" s="74" t="str">
        <f>IFERROR(VLOOKUP($O6075,'Customer List'!$A$1:$J$488,10,FALSE),"")</f>
        <v/>
      </c>
    </row>
    <row r="6076" spans="18:23">
      <c r="R6076" s="127">
        <f t="shared" si="265"/>
        <v>0</v>
      </c>
      <c r="T6076" s="128">
        <f t="shared" si="264"/>
        <v>0</v>
      </c>
      <c r="U6076" s="129" t="str">
        <f>IFERROR(IF(#REF!="S",VLOOKUP('Raw Data'!A6076,References!#REF!,2,FALSE),(VLOOKUP($S6076,References!$B$3:$C$7,2,FALSE))),"")</f>
        <v/>
      </c>
      <c r="W6076" s="74" t="str">
        <f>IFERROR(VLOOKUP($O6076,'Customer List'!$A$1:$J$488,10,FALSE),"")</f>
        <v/>
      </c>
    </row>
    <row r="6077" spans="18:23">
      <c r="R6077" s="127">
        <f t="shared" si="265"/>
        <v>0</v>
      </c>
      <c r="T6077" s="128">
        <f t="shared" si="264"/>
        <v>0</v>
      </c>
      <c r="U6077" s="129" t="str">
        <f>IFERROR(IF(#REF!="S",VLOOKUP('Raw Data'!A6077,References!#REF!,2,FALSE),(VLOOKUP($S6077,References!$B$3:$C$7,2,FALSE))),"")</f>
        <v/>
      </c>
      <c r="W6077" s="74" t="str">
        <f>IFERROR(VLOOKUP($O6077,'Customer List'!$A$1:$J$488,10,FALSE),"")</f>
        <v/>
      </c>
    </row>
    <row r="6078" spans="18:23">
      <c r="R6078" s="127">
        <f t="shared" si="265"/>
        <v>0</v>
      </c>
      <c r="T6078" s="128">
        <f t="shared" si="264"/>
        <v>0</v>
      </c>
      <c r="U6078" s="129" t="str">
        <f>IFERROR(IF(#REF!="S",VLOOKUP('Raw Data'!A6078,References!#REF!,2,FALSE),(VLOOKUP($S6078,References!$B$3:$C$7,2,FALSE))),"")</f>
        <v/>
      </c>
      <c r="W6078" s="74" t="str">
        <f>IFERROR(VLOOKUP($O6078,'Customer List'!$A$1:$J$488,10,FALSE),"")</f>
        <v/>
      </c>
    </row>
    <row r="6079" spans="18:23">
      <c r="R6079" s="127">
        <f t="shared" si="265"/>
        <v>0</v>
      </c>
      <c r="T6079" s="128">
        <f t="shared" si="264"/>
        <v>0</v>
      </c>
      <c r="U6079" s="129" t="str">
        <f>IFERROR(IF(#REF!="S",VLOOKUP('Raw Data'!A6079,References!#REF!,2,FALSE),(VLOOKUP($S6079,References!$B$3:$C$7,2,FALSE))),"")</f>
        <v/>
      </c>
      <c r="W6079" s="74" t="str">
        <f>IFERROR(VLOOKUP($O6079,'Customer List'!$A$1:$J$488,10,FALSE),"")</f>
        <v/>
      </c>
    </row>
    <row r="6080" spans="18:23">
      <c r="R6080" s="127">
        <f t="shared" si="265"/>
        <v>0</v>
      </c>
      <c r="T6080" s="128">
        <f t="shared" si="264"/>
        <v>0</v>
      </c>
      <c r="U6080" s="129" t="str">
        <f>IFERROR(IF(#REF!="S",VLOOKUP('Raw Data'!A6080,References!#REF!,2,FALSE),(VLOOKUP($S6080,References!$B$3:$C$7,2,FALSE))),"")</f>
        <v/>
      </c>
      <c r="W6080" s="74" t="str">
        <f>IFERROR(VLOOKUP($O6080,'Customer List'!$A$1:$J$488,10,FALSE),"")</f>
        <v/>
      </c>
    </row>
    <row r="6081" spans="18:23">
      <c r="R6081" s="127">
        <f t="shared" si="265"/>
        <v>0</v>
      </c>
      <c r="T6081" s="128">
        <f t="shared" si="264"/>
        <v>0</v>
      </c>
      <c r="U6081" s="129" t="str">
        <f>IFERROR(IF(#REF!="S",VLOOKUP('Raw Data'!A6081,References!#REF!,2,FALSE),(VLOOKUP($S6081,References!$B$3:$C$7,2,FALSE))),"")</f>
        <v/>
      </c>
      <c r="W6081" s="74" t="str">
        <f>IFERROR(VLOOKUP($O6081,'Customer List'!$A$1:$J$488,10,FALSE),"")</f>
        <v/>
      </c>
    </row>
    <row r="6082" spans="18:23">
      <c r="R6082" s="127">
        <f t="shared" si="265"/>
        <v>0</v>
      </c>
      <c r="T6082" s="128">
        <f t="shared" si="264"/>
        <v>0</v>
      </c>
      <c r="U6082" s="129" t="str">
        <f>IFERROR(IF(#REF!="S",VLOOKUP('Raw Data'!A6082,References!#REF!,2,FALSE),(VLOOKUP($S6082,References!$B$3:$C$7,2,FALSE))),"")</f>
        <v/>
      </c>
      <c r="W6082" s="74" t="str">
        <f>IFERROR(VLOOKUP($O6082,'Customer List'!$A$1:$J$488,10,FALSE),"")</f>
        <v/>
      </c>
    </row>
    <row r="6083" spans="18:23">
      <c r="R6083" s="127">
        <f t="shared" si="265"/>
        <v>0</v>
      </c>
      <c r="T6083" s="128">
        <f t="shared" si="264"/>
        <v>0</v>
      </c>
      <c r="U6083" s="129" t="str">
        <f>IFERROR(IF(#REF!="S",VLOOKUP('Raw Data'!A6083,References!#REF!,2,FALSE),(VLOOKUP($S6083,References!$B$3:$C$7,2,FALSE))),"")</f>
        <v/>
      </c>
      <c r="W6083" s="74" t="str">
        <f>IFERROR(VLOOKUP($O6083,'Customer List'!$A$1:$J$488,10,FALSE),"")</f>
        <v/>
      </c>
    </row>
    <row r="6084" spans="18:23">
      <c r="R6084" s="127">
        <f t="shared" si="265"/>
        <v>0</v>
      </c>
      <c r="T6084" s="128">
        <f t="shared" si="264"/>
        <v>0</v>
      </c>
      <c r="U6084" s="129" t="str">
        <f>IFERROR(IF(#REF!="S",VLOOKUP('Raw Data'!A6084,References!#REF!,2,FALSE),(VLOOKUP($S6084,References!$B$3:$C$7,2,FALSE))),"")</f>
        <v/>
      </c>
      <c r="W6084" s="74" t="str">
        <f>IFERROR(VLOOKUP($O6084,'Customer List'!$A$1:$J$488,10,FALSE),"")</f>
        <v/>
      </c>
    </row>
    <row r="6085" spans="18:23">
      <c r="R6085" s="127">
        <f t="shared" si="265"/>
        <v>0</v>
      </c>
      <c r="T6085" s="128">
        <f t="shared" si="264"/>
        <v>0</v>
      </c>
      <c r="U6085" s="129" t="str">
        <f>IFERROR(IF(#REF!="S",VLOOKUP('Raw Data'!A6085,References!#REF!,2,FALSE),(VLOOKUP($S6085,References!$B$3:$C$7,2,FALSE))),"")</f>
        <v/>
      </c>
      <c r="W6085" s="74" t="str">
        <f>IFERROR(VLOOKUP($O6085,'Customer List'!$A$1:$J$488,10,FALSE),"")</f>
        <v/>
      </c>
    </row>
    <row r="6086" spans="18:23">
      <c r="R6086" s="127">
        <f t="shared" si="265"/>
        <v>0</v>
      </c>
      <c r="T6086" s="128">
        <f t="shared" si="264"/>
        <v>0</v>
      </c>
      <c r="U6086" s="129" t="str">
        <f>IFERROR(IF(#REF!="S",VLOOKUP('Raw Data'!A6086,References!#REF!,2,FALSE),(VLOOKUP($S6086,References!$B$3:$C$7,2,FALSE))),"")</f>
        <v/>
      </c>
      <c r="W6086" s="74" t="str">
        <f>IFERROR(VLOOKUP($O6086,'Customer List'!$A$1:$J$488,10,FALSE),"")</f>
        <v/>
      </c>
    </row>
    <row r="6087" spans="18:23">
      <c r="R6087" s="127">
        <f t="shared" si="265"/>
        <v>0</v>
      </c>
      <c r="T6087" s="128">
        <f t="shared" si="264"/>
        <v>0</v>
      </c>
      <c r="U6087" s="129" t="str">
        <f>IFERROR(IF(#REF!="S",VLOOKUP('Raw Data'!A6087,References!#REF!,2,FALSE),(VLOOKUP($S6087,References!$B$3:$C$7,2,FALSE))),"")</f>
        <v/>
      </c>
      <c r="W6087" s="74" t="str">
        <f>IFERROR(VLOOKUP($O6087,'Customer List'!$A$1:$J$488,10,FALSE),"")</f>
        <v/>
      </c>
    </row>
    <row r="6088" spans="18:23">
      <c r="R6088" s="127">
        <f t="shared" si="265"/>
        <v>0</v>
      </c>
      <c r="T6088" s="128">
        <f t="shared" si="264"/>
        <v>0</v>
      </c>
      <c r="U6088" s="129" t="str">
        <f>IFERROR(IF(#REF!="S",VLOOKUP('Raw Data'!A6088,References!#REF!,2,FALSE),(VLOOKUP($S6088,References!$B$3:$C$7,2,FALSE))),"")</f>
        <v/>
      </c>
      <c r="W6088" s="74" t="str">
        <f>IFERROR(VLOOKUP($O6088,'Customer List'!$A$1:$J$488,10,FALSE),"")</f>
        <v/>
      </c>
    </row>
    <row r="6089" spans="18:23">
      <c r="R6089" s="127">
        <f t="shared" si="265"/>
        <v>0</v>
      </c>
      <c r="T6089" s="128">
        <f t="shared" si="264"/>
        <v>0</v>
      </c>
      <c r="U6089" s="129" t="str">
        <f>IFERROR(IF(#REF!="S",VLOOKUP('Raw Data'!A6089,References!#REF!,2,FALSE),(VLOOKUP($S6089,References!$B$3:$C$7,2,FALSE))),"")</f>
        <v/>
      </c>
      <c r="W6089" s="74" t="str">
        <f>IFERROR(VLOOKUP($O6089,'Customer List'!$A$1:$J$488,10,FALSE),"")</f>
        <v/>
      </c>
    </row>
    <row r="6090" spans="18:23">
      <c r="R6090" s="127">
        <f t="shared" si="265"/>
        <v>0</v>
      </c>
      <c r="T6090" s="128">
        <f t="shared" ref="T6090:T6153" si="266">IF(S6090="50 - Cleaning Fee",1,HOUR($R6090)+MINUTE(R6090)/60)</f>
        <v>0</v>
      </c>
      <c r="U6090" s="129" t="str">
        <f>IFERROR(IF(#REF!="S",VLOOKUP('Raw Data'!A6090,References!#REF!,2,FALSE),(VLOOKUP($S6090,References!$B$3:$C$7,2,FALSE))),"")</f>
        <v/>
      </c>
      <c r="W6090" s="74" t="str">
        <f>IFERROR(VLOOKUP($O6090,'Customer List'!$A$1:$J$488,10,FALSE),"")</f>
        <v/>
      </c>
    </row>
    <row r="6091" spans="18:23">
      <c r="R6091" s="127">
        <f t="shared" si="265"/>
        <v>0</v>
      </c>
      <c r="T6091" s="128">
        <f t="shared" si="266"/>
        <v>0</v>
      </c>
      <c r="U6091" s="129" t="str">
        <f>IFERROR(IF(#REF!="S",VLOOKUP('Raw Data'!A6091,References!#REF!,2,FALSE),(VLOOKUP($S6091,References!$B$3:$C$7,2,FALSE))),"")</f>
        <v/>
      </c>
      <c r="W6091" s="74" t="str">
        <f>IFERROR(VLOOKUP($O6091,'Customer List'!$A$1:$J$488,10,FALSE),"")</f>
        <v/>
      </c>
    </row>
    <row r="6092" spans="18:23">
      <c r="R6092" s="127">
        <f t="shared" si="265"/>
        <v>0</v>
      </c>
      <c r="T6092" s="128">
        <f t="shared" si="266"/>
        <v>0</v>
      </c>
      <c r="U6092" s="129" t="str">
        <f>IFERROR(IF(#REF!="S",VLOOKUP('Raw Data'!A6092,References!#REF!,2,FALSE),(VLOOKUP($S6092,References!$B$3:$C$7,2,FALSE))),"")</f>
        <v/>
      </c>
      <c r="W6092" s="74" t="str">
        <f>IFERROR(VLOOKUP($O6092,'Customer List'!$A$1:$J$488,10,FALSE),"")</f>
        <v/>
      </c>
    </row>
    <row r="6093" spans="18:23">
      <c r="R6093" s="127">
        <f t="shared" si="265"/>
        <v>0</v>
      </c>
      <c r="T6093" s="128">
        <f t="shared" si="266"/>
        <v>0</v>
      </c>
      <c r="U6093" s="129" t="str">
        <f>IFERROR(IF(#REF!="S",VLOOKUP('Raw Data'!A6093,References!#REF!,2,FALSE),(VLOOKUP($S6093,References!$B$3:$C$7,2,FALSE))),"")</f>
        <v/>
      </c>
      <c r="W6093" s="74" t="str">
        <f>IFERROR(VLOOKUP($O6093,'Customer List'!$A$1:$J$488,10,FALSE),"")</f>
        <v/>
      </c>
    </row>
    <row r="6094" spans="18:23">
      <c r="R6094" s="127">
        <f t="shared" si="265"/>
        <v>0</v>
      </c>
      <c r="T6094" s="128">
        <f t="shared" si="266"/>
        <v>0</v>
      </c>
      <c r="U6094" s="129" t="str">
        <f>IFERROR(IF(#REF!="S",VLOOKUP('Raw Data'!A6094,References!#REF!,2,FALSE),(VLOOKUP($S6094,References!$B$3:$C$7,2,FALSE))),"")</f>
        <v/>
      </c>
      <c r="W6094" s="74" t="str">
        <f>IFERROR(VLOOKUP($O6094,'Customer List'!$A$1:$J$488,10,FALSE),"")</f>
        <v/>
      </c>
    </row>
    <row r="6095" spans="18:23">
      <c r="R6095" s="127">
        <f t="shared" si="265"/>
        <v>0</v>
      </c>
      <c r="T6095" s="128">
        <f t="shared" si="266"/>
        <v>0</v>
      </c>
      <c r="U6095" s="129" t="str">
        <f>IFERROR(IF(#REF!="S",VLOOKUP('Raw Data'!A6095,References!#REF!,2,FALSE),(VLOOKUP($S6095,References!$B$3:$C$7,2,FALSE))),"")</f>
        <v/>
      </c>
      <c r="W6095" s="74" t="str">
        <f>IFERROR(VLOOKUP($O6095,'Customer List'!$A$1:$J$488,10,FALSE),"")</f>
        <v/>
      </c>
    </row>
    <row r="6096" spans="18:23">
      <c r="R6096" s="127">
        <f t="shared" si="265"/>
        <v>0</v>
      </c>
      <c r="T6096" s="128">
        <f t="shared" si="266"/>
        <v>0</v>
      </c>
      <c r="U6096" s="129" t="str">
        <f>IFERROR(IF(#REF!="S",VLOOKUP('Raw Data'!A6096,References!#REF!,2,FALSE),(VLOOKUP($S6096,References!$B$3:$C$7,2,FALSE))),"")</f>
        <v/>
      </c>
      <c r="W6096" s="74" t="str">
        <f>IFERROR(VLOOKUP($O6096,'Customer List'!$A$1:$J$488,10,FALSE),"")</f>
        <v/>
      </c>
    </row>
    <row r="6097" spans="18:23">
      <c r="R6097" s="127">
        <f t="shared" si="265"/>
        <v>0</v>
      </c>
      <c r="T6097" s="128">
        <f t="shared" si="266"/>
        <v>0</v>
      </c>
      <c r="U6097" s="129" t="str">
        <f>IFERROR(IF(#REF!="S",VLOOKUP('Raw Data'!A6097,References!#REF!,2,FALSE),(VLOOKUP($S6097,References!$B$3:$C$7,2,FALSE))),"")</f>
        <v/>
      </c>
      <c r="W6097" s="74" t="str">
        <f>IFERROR(VLOOKUP($O6097,'Customer List'!$A$1:$J$488,10,FALSE),"")</f>
        <v/>
      </c>
    </row>
    <row r="6098" spans="18:23">
      <c r="R6098" s="127">
        <f t="shared" si="265"/>
        <v>0</v>
      </c>
      <c r="T6098" s="128">
        <f t="shared" si="266"/>
        <v>0</v>
      </c>
      <c r="U6098" s="129" t="str">
        <f>IFERROR(IF(#REF!="S",VLOOKUP('Raw Data'!A6098,References!#REF!,2,FALSE),(VLOOKUP($S6098,References!$B$3:$C$7,2,FALSE))),"")</f>
        <v/>
      </c>
      <c r="W6098" s="74" t="str">
        <f>IFERROR(VLOOKUP($O6098,'Customer List'!$A$1:$J$488,10,FALSE),"")</f>
        <v/>
      </c>
    </row>
    <row r="6099" spans="18:23">
      <c r="R6099" s="127">
        <f t="shared" si="265"/>
        <v>0</v>
      </c>
      <c r="T6099" s="128">
        <f t="shared" si="266"/>
        <v>0</v>
      </c>
      <c r="U6099" s="129" t="str">
        <f>IFERROR(IF(#REF!="S",VLOOKUP('Raw Data'!A6099,References!#REF!,2,FALSE),(VLOOKUP($S6099,References!$B$3:$C$7,2,FALSE))),"")</f>
        <v/>
      </c>
      <c r="W6099" s="74" t="str">
        <f>IFERROR(VLOOKUP($O6099,'Customer List'!$A$1:$J$488,10,FALSE),"")</f>
        <v/>
      </c>
    </row>
    <row r="6100" spans="18:23">
      <c r="R6100" s="127">
        <f t="shared" si="265"/>
        <v>0</v>
      </c>
      <c r="T6100" s="128">
        <f t="shared" si="266"/>
        <v>0</v>
      </c>
      <c r="U6100" s="129" t="str">
        <f>IFERROR(IF(#REF!="S",VLOOKUP('Raw Data'!A6100,References!#REF!,2,FALSE),(VLOOKUP($S6100,References!$B$3:$C$7,2,FALSE))),"")</f>
        <v/>
      </c>
      <c r="W6100" s="74" t="str">
        <f>IFERROR(VLOOKUP($O6100,'Customer List'!$A$1:$J$488,10,FALSE),"")</f>
        <v/>
      </c>
    </row>
    <row r="6101" spans="18:23">
      <c r="R6101" s="127">
        <f t="shared" si="265"/>
        <v>0</v>
      </c>
      <c r="T6101" s="128">
        <f t="shared" si="266"/>
        <v>0</v>
      </c>
      <c r="U6101" s="129" t="str">
        <f>IFERROR(IF(#REF!="S",VLOOKUP('Raw Data'!A6101,References!#REF!,2,FALSE),(VLOOKUP($S6101,References!$B$3:$C$7,2,FALSE))),"")</f>
        <v/>
      </c>
      <c r="W6101" s="74" t="str">
        <f>IFERROR(VLOOKUP($O6101,'Customer List'!$A$1:$J$488,10,FALSE),"")</f>
        <v/>
      </c>
    </row>
    <row r="6102" spans="18:23">
      <c r="R6102" s="127">
        <f t="shared" si="265"/>
        <v>0</v>
      </c>
      <c r="T6102" s="128">
        <f t="shared" si="266"/>
        <v>0</v>
      </c>
      <c r="U6102" s="129" t="str">
        <f>IFERROR(IF(#REF!="S",VLOOKUP('Raw Data'!A6102,References!#REF!,2,FALSE),(VLOOKUP($S6102,References!$B$3:$C$7,2,FALSE))),"")</f>
        <v/>
      </c>
      <c r="W6102" s="74" t="str">
        <f>IFERROR(VLOOKUP($O6102,'Customer List'!$A$1:$J$488,10,FALSE),"")</f>
        <v/>
      </c>
    </row>
    <row r="6103" spans="18:23">
      <c r="R6103" s="127">
        <f t="shared" si="265"/>
        <v>0</v>
      </c>
      <c r="T6103" s="128">
        <f t="shared" si="266"/>
        <v>0</v>
      </c>
      <c r="U6103" s="129" t="str">
        <f>IFERROR(IF(#REF!="S",VLOOKUP('Raw Data'!A6103,References!#REF!,2,FALSE),(VLOOKUP($S6103,References!$B$3:$C$7,2,FALSE))),"")</f>
        <v/>
      </c>
      <c r="W6103" s="74" t="str">
        <f>IFERROR(VLOOKUP($O6103,'Customer List'!$A$1:$J$488,10,FALSE),"")</f>
        <v/>
      </c>
    </row>
    <row r="6104" spans="18:23">
      <c r="R6104" s="127">
        <f t="shared" si="265"/>
        <v>0</v>
      </c>
      <c r="T6104" s="128">
        <f t="shared" si="266"/>
        <v>0</v>
      </c>
      <c r="U6104" s="129" t="str">
        <f>IFERROR(IF(#REF!="S",VLOOKUP('Raw Data'!A6104,References!#REF!,2,FALSE),(VLOOKUP($S6104,References!$B$3:$C$7,2,FALSE))),"")</f>
        <v/>
      </c>
      <c r="W6104" s="74" t="str">
        <f>IFERROR(VLOOKUP($O6104,'Customer List'!$A$1:$J$488,10,FALSE),"")</f>
        <v/>
      </c>
    </row>
    <row r="6105" spans="18:23">
      <c r="R6105" s="127">
        <f t="shared" si="265"/>
        <v>0</v>
      </c>
      <c r="T6105" s="128">
        <f t="shared" si="266"/>
        <v>0</v>
      </c>
      <c r="U6105" s="129" t="str">
        <f>IFERROR(IF(#REF!="S",VLOOKUP('Raw Data'!A6105,References!#REF!,2,FALSE),(VLOOKUP($S6105,References!$B$3:$C$7,2,FALSE))),"")</f>
        <v/>
      </c>
      <c r="W6105" s="74" t="str">
        <f>IFERROR(VLOOKUP($O6105,'Customer List'!$A$1:$J$488,10,FALSE),"")</f>
        <v/>
      </c>
    </row>
    <row r="6106" spans="18:23">
      <c r="R6106" s="127">
        <f t="shared" si="265"/>
        <v>0</v>
      </c>
      <c r="T6106" s="128">
        <f t="shared" si="266"/>
        <v>0</v>
      </c>
      <c r="U6106" s="129" t="str">
        <f>IFERROR(IF(#REF!="S",VLOOKUP('Raw Data'!A6106,References!#REF!,2,FALSE),(VLOOKUP($S6106,References!$B$3:$C$7,2,FALSE))),"")</f>
        <v/>
      </c>
      <c r="W6106" s="74" t="str">
        <f>IFERROR(VLOOKUP($O6106,'Customer List'!$A$1:$J$488,10,FALSE),"")</f>
        <v/>
      </c>
    </row>
    <row r="6107" spans="18:23">
      <c r="R6107" s="127">
        <f t="shared" si="265"/>
        <v>0</v>
      </c>
      <c r="T6107" s="128">
        <f t="shared" si="266"/>
        <v>0</v>
      </c>
      <c r="U6107" s="129" t="str">
        <f>IFERROR(IF(#REF!="S",VLOOKUP('Raw Data'!A6107,References!#REF!,2,FALSE),(VLOOKUP($S6107,References!$B$3:$C$7,2,FALSE))),"")</f>
        <v/>
      </c>
      <c r="W6107" s="74" t="str">
        <f>IFERROR(VLOOKUP($O6107,'Customer List'!$A$1:$J$488,10,FALSE),"")</f>
        <v/>
      </c>
    </row>
    <row r="6108" spans="18:23">
      <c r="R6108" s="127">
        <f t="shared" si="265"/>
        <v>0</v>
      </c>
      <c r="T6108" s="128">
        <f t="shared" si="266"/>
        <v>0</v>
      </c>
      <c r="U6108" s="129" t="str">
        <f>IFERROR(IF(#REF!="S",VLOOKUP('Raw Data'!A6108,References!#REF!,2,FALSE),(VLOOKUP($S6108,References!$B$3:$C$7,2,FALSE))),"")</f>
        <v/>
      </c>
      <c r="W6108" s="74" t="str">
        <f>IFERROR(VLOOKUP($O6108,'Customer List'!$A$1:$J$488,10,FALSE),"")</f>
        <v/>
      </c>
    </row>
    <row r="6109" spans="18:23">
      <c r="R6109" s="127">
        <f t="shared" si="265"/>
        <v>0</v>
      </c>
      <c r="T6109" s="128">
        <f t="shared" si="266"/>
        <v>0</v>
      </c>
      <c r="U6109" s="129" t="str">
        <f>IFERROR(IF(#REF!="S",VLOOKUP('Raw Data'!A6109,References!#REF!,2,FALSE),(VLOOKUP($S6109,References!$B$3:$C$7,2,FALSE))),"")</f>
        <v/>
      </c>
      <c r="W6109" s="74" t="str">
        <f>IFERROR(VLOOKUP($O6109,'Customer List'!$A$1:$J$488,10,FALSE),"")</f>
        <v/>
      </c>
    </row>
    <row r="6110" spans="18:23">
      <c r="R6110" s="127">
        <f t="shared" si="265"/>
        <v>0</v>
      </c>
      <c r="T6110" s="128">
        <f t="shared" si="266"/>
        <v>0</v>
      </c>
      <c r="U6110" s="129" t="str">
        <f>IFERROR(IF(#REF!="S",VLOOKUP('Raw Data'!A6110,References!#REF!,2,FALSE),(VLOOKUP($S6110,References!$B$3:$C$7,2,FALSE))),"")</f>
        <v/>
      </c>
      <c r="W6110" s="74" t="str">
        <f>IFERROR(VLOOKUP($O6110,'Customer List'!$A$1:$J$488,10,FALSE),"")</f>
        <v/>
      </c>
    </row>
    <row r="6111" spans="18:23">
      <c r="R6111" s="127">
        <f t="shared" si="265"/>
        <v>0</v>
      </c>
      <c r="T6111" s="128">
        <f t="shared" si="266"/>
        <v>0</v>
      </c>
      <c r="U6111" s="129" t="str">
        <f>IFERROR(IF(#REF!="S",VLOOKUP('Raw Data'!A6111,References!#REF!,2,FALSE),(VLOOKUP($S6111,References!$B$3:$C$7,2,FALSE))),"")</f>
        <v/>
      </c>
      <c r="W6111" s="74" t="str">
        <f>IFERROR(VLOOKUP($O6111,'Customer List'!$A$1:$J$488,10,FALSE),"")</f>
        <v/>
      </c>
    </row>
    <row r="6112" spans="18:23">
      <c r="R6112" s="127">
        <f t="shared" si="265"/>
        <v>0</v>
      </c>
      <c r="T6112" s="128">
        <f t="shared" si="266"/>
        <v>0</v>
      </c>
      <c r="U6112" s="129" t="str">
        <f>IFERROR(IF(#REF!="S",VLOOKUP('Raw Data'!A6112,References!#REF!,2,FALSE),(VLOOKUP($S6112,References!$B$3:$C$7,2,FALSE))),"")</f>
        <v/>
      </c>
      <c r="W6112" s="74" t="str">
        <f>IFERROR(VLOOKUP($O6112,'Customer List'!$A$1:$J$488,10,FALSE),"")</f>
        <v/>
      </c>
    </row>
    <row r="6113" spans="18:23">
      <c r="R6113" s="127">
        <f t="shared" si="265"/>
        <v>0</v>
      </c>
      <c r="T6113" s="128">
        <f t="shared" si="266"/>
        <v>0</v>
      </c>
      <c r="U6113" s="129" t="str">
        <f>IFERROR(IF(#REF!="S",VLOOKUP('Raw Data'!A6113,References!#REF!,2,FALSE),(VLOOKUP($S6113,References!$B$3:$C$7,2,FALSE))),"")</f>
        <v/>
      </c>
      <c r="W6113" s="74" t="str">
        <f>IFERROR(VLOOKUP($O6113,'Customer List'!$A$1:$J$488,10,FALSE),"")</f>
        <v/>
      </c>
    </row>
    <row r="6114" spans="18:23">
      <c r="R6114" s="127">
        <f t="shared" ref="R6114:R6177" si="267">L6114-K6114</f>
        <v>0</v>
      </c>
      <c r="T6114" s="128">
        <f t="shared" si="266"/>
        <v>0</v>
      </c>
      <c r="U6114" s="129" t="str">
        <f>IFERROR(IF(#REF!="S",VLOOKUP('Raw Data'!A6114,References!#REF!,2,FALSE),(VLOOKUP($S6114,References!$B$3:$C$7,2,FALSE))),"")</f>
        <v/>
      </c>
      <c r="W6114" s="74" t="str">
        <f>IFERROR(VLOOKUP($O6114,'Customer List'!$A$1:$J$488,10,FALSE),"")</f>
        <v/>
      </c>
    </row>
    <row r="6115" spans="18:23">
      <c r="R6115" s="127">
        <f t="shared" si="267"/>
        <v>0</v>
      </c>
      <c r="T6115" s="128">
        <f t="shared" si="266"/>
        <v>0</v>
      </c>
      <c r="U6115" s="129" t="str">
        <f>IFERROR(IF(#REF!="S",VLOOKUP('Raw Data'!A6115,References!#REF!,2,FALSE),(VLOOKUP($S6115,References!$B$3:$C$7,2,FALSE))),"")</f>
        <v/>
      </c>
      <c r="W6115" s="74" t="str">
        <f>IFERROR(VLOOKUP($O6115,'Customer List'!$A$1:$J$488,10,FALSE),"")</f>
        <v/>
      </c>
    </row>
    <row r="6116" spans="18:23">
      <c r="R6116" s="127">
        <f t="shared" si="267"/>
        <v>0</v>
      </c>
      <c r="T6116" s="128">
        <f t="shared" si="266"/>
        <v>0</v>
      </c>
      <c r="U6116" s="129" t="str">
        <f>IFERROR(IF(#REF!="S",VLOOKUP('Raw Data'!A6116,References!#REF!,2,FALSE),(VLOOKUP($S6116,References!$B$3:$C$7,2,FALSE))),"")</f>
        <v/>
      </c>
      <c r="W6116" s="74" t="str">
        <f>IFERROR(VLOOKUP($O6116,'Customer List'!$A$1:$J$488,10,FALSE),"")</f>
        <v/>
      </c>
    </row>
    <row r="6117" spans="18:23">
      <c r="R6117" s="127">
        <f t="shared" si="267"/>
        <v>0</v>
      </c>
      <c r="T6117" s="128">
        <f t="shared" si="266"/>
        <v>0</v>
      </c>
      <c r="U6117" s="129" t="str">
        <f>IFERROR(IF(#REF!="S",VLOOKUP('Raw Data'!A6117,References!#REF!,2,FALSE),(VLOOKUP($S6117,References!$B$3:$C$7,2,FALSE))),"")</f>
        <v/>
      </c>
      <c r="W6117" s="74" t="str">
        <f>IFERROR(VLOOKUP($O6117,'Customer List'!$A$1:$J$488,10,FALSE),"")</f>
        <v/>
      </c>
    </row>
    <row r="6118" spans="18:23">
      <c r="R6118" s="127">
        <f t="shared" si="267"/>
        <v>0</v>
      </c>
      <c r="T6118" s="128">
        <f t="shared" si="266"/>
        <v>0</v>
      </c>
      <c r="U6118" s="129" t="str">
        <f>IFERROR(IF(#REF!="S",VLOOKUP('Raw Data'!A6118,References!#REF!,2,FALSE),(VLOOKUP($S6118,References!$B$3:$C$7,2,FALSE))),"")</f>
        <v/>
      </c>
      <c r="W6118" s="74" t="str">
        <f>IFERROR(VLOOKUP($O6118,'Customer List'!$A$1:$J$488,10,FALSE),"")</f>
        <v/>
      </c>
    </row>
    <row r="6119" spans="18:23">
      <c r="R6119" s="127">
        <f t="shared" si="267"/>
        <v>0</v>
      </c>
      <c r="T6119" s="128">
        <f t="shared" si="266"/>
        <v>0</v>
      </c>
      <c r="U6119" s="129" t="str">
        <f>IFERROR(IF(#REF!="S",VLOOKUP('Raw Data'!A6119,References!#REF!,2,FALSE),(VLOOKUP($S6119,References!$B$3:$C$7,2,FALSE))),"")</f>
        <v/>
      </c>
      <c r="W6119" s="74" t="str">
        <f>IFERROR(VLOOKUP($O6119,'Customer List'!$A$1:$J$488,10,FALSE),"")</f>
        <v/>
      </c>
    </row>
    <row r="6120" spans="18:23">
      <c r="R6120" s="127">
        <f t="shared" si="267"/>
        <v>0</v>
      </c>
      <c r="T6120" s="128">
        <f t="shared" si="266"/>
        <v>0</v>
      </c>
      <c r="U6120" s="129" t="str">
        <f>IFERROR(IF(#REF!="S",VLOOKUP('Raw Data'!A6120,References!#REF!,2,FALSE),(VLOOKUP($S6120,References!$B$3:$C$7,2,FALSE))),"")</f>
        <v/>
      </c>
      <c r="W6120" s="74" t="str">
        <f>IFERROR(VLOOKUP($O6120,'Customer List'!$A$1:$J$488,10,FALSE),"")</f>
        <v/>
      </c>
    </row>
    <row r="6121" spans="18:23">
      <c r="R6121" s="127">
        <f t="shared" si="267"/>
        <v>0</v>
      </c>
      <c r="T6121" s="128">
        <f t="shared" si="266"/>
        <v>0</v>
      </c>
      <c r="U6121" s="129" t="str">
        <f>IFERROR(IF(#REF!="S",VLOOKUP('Raw Data'!A6121,References!#REF!,2,FALSE),(VLOOKUP($S6121,References!$B$3:$C$7,2,FALSE))),"")</f>
        <v/>
      </c>
      <c r="W6121" s="74" t="str">
        <f>IFERROR(VLOOKUP($O6121,'Customer List'!$A$1:$J$488,10,FALSE),"")</f>
        <v/>
      </c>
    </row>
    <row r="6122" spans="18:23">
      <c r="R6122" s="127">
        <f t="shared" si="267"/>
        <v>0</v>
      </c>
      <c r="T6122" s="128">
        <f t="shared" si="266"/>
        <v>0</v>
      </c>
      <c r="U6122" s="129" t="str">
        <f>IFERROR(IF(#REF!="S",VLOOKUP('Raw Data'!A6122,References!#REF!,2,FALSE),(VLOOKUP($S6122,References!$B$3:$C$7,2,FALSE))),"")</f>
        <v/>
      </c>
      <c r="W6122" s="74" t="str">
        <f>IFERROR(VLOOKUP($O6122,'Customer List'!$A$1:$J$488,10,FALSE),"")</f>
        <v/>
      </c>
    </row>
    <row r="6123" spans="18:23">
      <c r="R6123" s="127">
        <f t="shared" si="267"/>
        <v>0</v>
      </c>
      <c r="T6123" s="128">
        <f t="shared" si="266"/>
        <v>0</v>
      </c>
      <c r="U6123" s="129" t="str">
        <f>IFERROR(IF(#REF!="S",VLOOKUP('Raw Data'!A6123,References!#REF!,2,FALSE),(VLOOKUP($S6123,References!$B$3:$C$7,2,FALSE))),"")</f>
        <v/>
      </c>
      <c r="W6123" s="74" t="str">
        <f>IFERROR(VLOOKUP($O6123,'Customer List'!$A$1:$J$488,10,FALSE),"")</f>
        <v/>
      </c>
    </row>
    <row r="6124" spans="18:23">
      <c r="R6124" s="127">
        <f t="shared" si="267"/>
        <v>0</v>
      </c>
      <c r="T6124" s="128">
        <f t="shared" si="266"/>
        <v>0</v>
      </c>
      <c r="U6124" s="129" t="str">
        <f>IFERROR(IF(#REF!="S",VLOOKUP('Raw Data'!A6124,References!#REF!,2,FALSE),(VLOOKUP($S6124,References!$B$3:$C$7,2,FALSE))),"")</f>
        <v/>
      </c>
      <c r="W6124" s="74" t="str">
        <f>IFERROR(VLOOKUP($O6124,'Customer List'!$A$1:$J$488,10,FALSE),"")</f>
        <v/>
      </c>
    </row>
    <row r="6125" spans="18:23">
      <c r="R6125" s="127">
        <f t="shared" si="267"/>
        <v>0</v>
      </c>
      <c r="T6125" s="128">
        <f t="shared" si="266"/>
        <v>0</v>
      </c>
      <c r="U6125" s="129" t="str">
        <f>IFERROR(IF(#REF!="S",VLOOKUP('Raw Data'!A6125,References!#REF!,2,FALSE),(VLOOKUP($S6125,References!$B$3:$C$7,2,FALSE))),"")</f>
        <v/>
      </c>
      <c r="W6125" s="74" t="str">
        <f>IFERROR(VLOOKUP($O6125,'Customer List'!$A$1:$J$488,10,FALSE),"")</f>
        <v/>
      </c>
    </row>
    <row r="6126" spans="18:23">
      <c r="R6126" s="127">
        <f t="shared" si="267"/>
        <v>0</v>
      </c>
      <c r="T6126" s="128">
        <f t="shared" si="266"/>
        <v>0</v>
      </c>
      <c r="U6126" s="129" t="str">
        <f>IFERROR(IF(#REF!="S",VLOOKUP('Raw Data'!A6126,References!#REF!,2,FALSE),(VLOOKUP($S6126,References!$B$3:$C$7,2,FALSE))),"")</f>
        <v/>
      </c>
      <c r="W6126" s="74" t="str">
        <f>IFERROR(VLOOKUP($O6126,'Customer List'!$A$1:$J$488,10,FALSE),"")</f>
        <v/>
      </c>
    </row>
    <row r="6127" spans="18:23">
      <c r="R6127" s="127">
        <f t="shared" si="267"/>
        <v>0</v>
      </c>
      <c r="T6127" s="128">
        <f t="shared" si="266"/>
        <v>0</v>
      </c>
      <c r="U6127" s="129" t="str">
        <f>IFERROR(IF(#REF!="S",VLOOKUP('Raw Data'!A6127,References!#REF!,2,FALSE),(VLOOKUP($S6127,References!$B$3:$C$7,2,FALSE))),"")</f>
        <v/>
      </c>
      <c r="W6127" s="74" t="str">
        <f>IFERROR(VLOOKUP($O6127,'Customer List'!$A$1:$J$488,10,FALSE),"")</f>
        <v/>
      </c>
    </row>
    <row r="6128" spans="18:23">
      <c r="R6128" s="127">
        <f t="shared" si="267"/>
        <v>0</v>
      </c>
      <c r="T6128" s="128">
        <f t="shared" si="266"/>
        <v>0</v>
      </c>
      <c r="U6128" s="129" t="str">
        <f>IFERROR(IF(#REF!="S",VLOOKUP('Raw Data'!A6128,References!#REF!,2,FALSE),(VLOOKUP($S6128,References!$B$3:$C$7,2,FALSE))),"")</f>
        <v/>
      </c>
      <c r="W6128" s="74" t="str">
        <f>IFERROR(VLOOKUP($O6128,'Customer List'!$A$1:$J$488,10,FALSE),"")</f>
        <v/>
      </c>
    </row>
    <row r="6129" spans="18:23">
      <c r="R6129" s="127">
        <f t="shared" si="267"/>
        <v>0</v>
      </c>
      <c r="T6129" s="128">
        <f t="shared" si="266"/>
        <v>0</v>
      </c>
      <c r="U6129" s="129" t="str">
        <f>IFERROR(IF(#REF!="S",VLOOKUP('Raw Data'!A6129,References!#REF!,2,FALSE),(VLOOKUP($S6129,References!$B$3:$C$7,2,FALSE))),"")</f>
        <v/>
      </c>
      <c r="W6129" s="74" t="str">
        <f>IFERROR(VLOOKUP($O6129,'Customer List'!$A$1:$J$488,10,FALSE),"")</f>
        <v/>
      </c>
    </row>
    <row r="6130" spans="18:23">
      <c r="R6130" s="127">
        <f t="shared" si="267"/>
        <v>0</v>
      </c>
      <c r="T6130" s="128">
        <f t="shared" si="266"/>
        <v>0</v>
      </c>
      <c r="U6130" s="129" t="str">
        <f>IFERROR(IF(#REF!="S",VLOOKUP('Raw Data'!A6130,References!#REF!,2,FALSE),(VLOOKUP($S6130,References!$B$3:$C$7,2,FALSE))),"")</f>
        <v/>
      </c>
      <c r="W6130" s="74" t="str">
        <f>IFERROR(VLOOKUP($O6130,'Customer List'!$A$1:$J$488,10,FALSE),"")</f>
        <v/>
      </c>
    </row>
    <row r="6131" spans="18:23">
      <c r="R6131" s="127">
        <f t="shared" si="267"/>
        <v>0</v>
      </c>
      <c r="T6131" s="128">
        <f t="shared" si="266"/>
        <v>0</v>
      </c>
      <c r="U6131" s="129" t="str">
        <f>IFERROR(IF(#REF!="S",VLOOKUP('Raw Data'!A6131,References!#REF!,2,FALSE),(VLOOKUP($S6131,References!$B$3:$C$7,2,FALSE))),"")</f>
        <v/>
      </c>
      <c r="W6131" s="74" t="str">
        <f>IFERROR(VLOOKUP($O6131,'Customer List'!$A$1:$J$488,10,FALSE),"")</f>
        <v/>
      </c>
    </row>
    <row r="6132" spans="18:23">
      <c r="R6132" s="127">
        <f t="shared" si="267"/>
        <v>0</v>
      </c>
      <c r="T6132" s="128">
        <f t="shared" si="266"/>
        <v>0</v>
      </c>
      <c r="U6132" s="129" t="str">
        <f>IFERROR(IF(#REF!="S",VLOOKUP('Raw Data'!A6132,References!#REF!,2,FALSE),(VLOOKUP($S6132,References!$B$3:$C$7,2,FALSE))),"")</f>
        <v/>
      </c>
      <c r="W6132" s="74" t="str">
        <f>IFERROR(VLOOKUP($O6132,'Customer List'!$A$1:$J$488,10,FALSE),"")</f>
        <v/>
      </c>
    </row>
    <row r="6133" spans="18:23">
      <c r="R6133" s="127">
        <f t="shared" si="267"/>
        <v>0</v>
      </c>
      <c r="T6133" s="128">
        <f t="shared" si="266"/>
        <v>0</v>
      </c>
      <c r="U6133" s="129" t="str">
        <f>IFERROR(IF(#REF!="S",VLOOKUP('Raw Data'!A6133,References!#REF!,2,FALSE),(VLOOKUP($S6133,References!$B$3:$C$7,2,FALSE))),"")</f>
        <v/>
      </c>
      <c r="W6133" s="74" t="str">
        <f>IFERROR(VLOOKUP($O6133,'Customer List'!$A$1:$J$488,10,FALSE),"")</f>
        <v/>
      </c>
    </row>
    <row r="6134" spans="18:23">
      <c r="R6134" s="127">
        <f t="shared" si="267"/>
        <v>0</v>
      </c>
      <c r="T6134" s="128">
        <f t="shared" si="266"/>
        <v>0</v>
      </c>
      <c r="U6134" s="129" t="str">
        <f>IFERROR(IF(#REF!="S",VLOOKUP('Raw Data'!A6134,References!#REF!,2,FALSE),(VLOOKUP($S6134,References!$B$3:$C$7,2,FALSE))),"")</f>
        <v/>
      </c>
      <c r="W6134" s="74" t="str">
        <f>IFERROR(VLOOKUP($O6134,'Customer List'!$A$1:$J$488,10,FALSE),"")</f>
        <v/>
      </c>
    </row>
    <row r="6135" spans="18:23">
      <c r="R6135" s="127">
        <f t="shared" si="267"/>
        <v>0</v>
      </c>
      <c r="T6135" s="128">
        <f t="shared" si="266"/>
        <v>0</v>
      </c>
      <c r="U6135" s="129" t="str">
        <f>IFERROR(IF(#REF!="S",VLOOKUP('Raw Data'!A6135,References!#REF!,2,FALSE),(VLOOKUP($S6135,References!$B$3:$C$7,2,FALSE))),"")</f>
        <v/>
      </c>
      <c r="W6135" s="74" t="str">
        <f>IFERROR(VLOOKUP($O6135,'Customer List'!$A$1:$J$488,10,FALSE),"")</f>
        <v/>
      </c>
    </row>
    <row r="6136" spans="18:23">
      <c r="R6136" s="127">
        <f t="shared" si="267"/>
        <v>0</v>
      </c>
      <c r="T6136" s="128">
        <f t="shared" si="266"/>
        <v>0</v>
      </c>
      <c r="U6136" s="129" t="str">
        <f>IFERROR(IF(#REF!="S",VLOOKUP('Raw Data'!A6136,References!#REF!,2,FALSE),(VLOOKUP($S6136,References!$B$3:$C$7,2,FALSE))),"")</f>
        <v/>
      </c>
      <c r="W6136" s="74" t="str">
        <f>IFERROR(VLOOKUP($O6136,'Customer List'!$A$1:$J$488,10,FALSE),"")</f>
        <v/>
      </c>
    </row>
    <row r="6137" spans="18:23">
      <c r="R6137" s="127">
        <f t="shared" si="267"/>
        <v>0</v>
      </c>
      <c r="T6137" s="128">
        <f t="shared" si="266"/>
        <v>0</v>
      </c>
      <c r="U6137" s="129" t="str">
        <f>IFERROR(IF(#REF!="S",VLOOKUP('Raw Data'!A6137,References!#REF!,2,FALSE),(VLOOKUP($S6137,References!$B$3:$C$7,2,FALSE))),"")</f>
        <v/>
      </c>
      <c r="W6137" s="74" t="str">
        <f>IFERROR(VLOOKUP($O6137,'Customer List'!$A$1:$J$488,10,FALSE),"")</f>
        <v/>
      </c>
    </row>
    <row r="6138" spans="18:23">
      <c r="R6138" s="127">
        <f t="shared" si="267"/>
        <v>0</v>
      </c>
      <c r="T6138" s="128">
        <f t="shared" si="266"/>
        <v>0</v>
      </c>
      <c r="U6138" s="129" t="str">
        <f>IFERROR(IF(#REF!="S",VLOOKUP('Raw Data'!A6138,References!#REF!,2,FALSE),(VLOOKUP($S6138,References!$B$3:$C$7,2,FALSE))),"")</f>
        <v/>
      </c>
      <c r="W6138" s="74" t="str">
        <f>IFERROR(VLOOKUP($O6138,'Customer List'!$A$1:$J$488,10,FALSE),"")</f>
        <v/>
      </c>
    </row>
    <row r="6139" spans="18:23">
      <c r="R6139" s="127">
        <f t="shared" si="267"/>
        <v>0</v>
      </c>
      <c r="T6139" s="128">
        <f t="shared" si="266"/>
        <v>0</v>
      </c>
      <c r="U6139" s="129" t="str">
        <f>IFERROR(IF(#REF!="S",VLOOKUP('Raw Data'!A6139,References!#REF!,2,FALSE),(VLOOKUP($S6139,References!$B$3:$C$7,2,FALSE))),"")</f>
        <v/>
      </c>
      <c r="W6139" s="74" t="str">
        <f>IFERROR(VLOOKUP($O6139,'Customer List'!$A$1:$J$488,10,FALSE),"")</f>
        <v/>
      </c>
    </row>
    <row r="6140" spans="18:23">
      <c r="R6140" s="127">
        <f t="shared" si="267"/>
        <v>0</v>
      </c>
      <c r="T6140" s="128">
        <f t="shared" si="266"/>
        <v>0</v>
      </c>
      <c r="U6140" s="129" t="str">
        <f>IFERROR(IF(#REF!="S",VLOOKUP('Raw Data'!A6140,References!#REF!,2,FALSE),(VLOOKUP($S6140,References!$B$3:$C$7,2,FALSE))),"")</f>
        <v/>
      </c>
      <c r="W6140" s="74" t="str">
        <f>IFERROR(VLOOKUP($O6140,'Customer List'!$A$1:$J$488,10,FALSE),"")</f>
        <v/>
      </c>
    </row>
    <row r="6141" spans="18:23">
      <c r="R6141" s="127">
        <f t="shared" si="267"/>
        <v>0</v>
      </c>
      <c r="T6141" s="128">
        <f t="shared" si="266"/>
        <v>0</v>
      </c>
      <c r="U6141" s="129" t="str">
        <f>IFERROR(IF(#REF!="S",VLOOKUP('Raw Data'!A6141,References!#REF!,2,FALSE),(VLOOKUP($S6141,References!$B$3:$C$7,2,FALSE))),"")</f>
        <v/>
      </c>
      <c r="W6141" s="74" t="str">
        <f>IFERROR(VLOOKUP($O6141,'Customer List'!$A$1:$J$488,10,FALSE),"")</f>
        <v/>
      </c>
    </row>
    <row r="6142" spans="18:23">
      <c r="R6142" s="127">
        <f t="shared" si="267"/>
        <v>0</v>
      </c>
      <c r="T6142" s="128">
        <f t="shared" si="266"/>
        <v>0</v>
      </c>
      <c r="U6142" s="129" t="str">
        <f>IFERROR(IF(#REF!="S",VLOOKUP('Raw Data'!A6142,References!#REF!,2,FALSE),(VLOOKUP($S6142,References!$B$3:$C$7,2,FALSE))),"")</f>
        <v/>
      </c>
      <c r="W6142" s="74" t="str">
        <f>IFERROR(VLOOKUP($O6142,'Customer List'!$A$1:$J$488,10,FALSE),"")</f>
        <v/>
      </c>
    </row>
    <row r="6143" spans="18:23">
      <c r="R6143" s="127">
        <f t="shared" si="267"/>
        <v>0</v>
      </c>
      <c r="T6143" s="128">
        <f t="shared" si="266"/>
        <v>0</v>
      </c>
      <c r="U6143" s="129" t="str">
        <f>IFERROR(IF(#REF!="S",VLOOKUP('Raw Data'!A6143,References!#REF!,2,FALSE),(VLOOKUP($S6143,References!$B$3:$C$7,2,FALSE))),"")</f>
        <v/>
      </c>
      <c r="W6143" s="74" t="str">
        <f>IFERROR(VLOOKUP($O6143,'Customer List'!$A$1:$J$488,10,FALSE),"")</f>
        <v/>
      </c>
    </row>
    <row r="6144" spans="18:23">
      <c r="R6144" s="127">
        <f t="shared" si="267"/>
        <v>0</v>
      </c>
      <c r="T6144" s="128">
        <f t="shared" si="266"/>
        <v>0</v>
      </c>
      <c r="U6144" s="129" t="str">
        <f>IFERROR(IF(#REF!="S",VLOOKUP('Raw Data'!A6144,References!#REF!,2,FALSE),(VLOOKUP($S6144,References!$B$3:$C$7,2,FALSE))),"")</f>
        <v/>
      </c>
      <c r="W6144" s="74" t="str">
        <f>IFERROR(VLOOKUP($O6144,'Customer List'!$A$1:$J$488,10,FALSE),"")</f>
        <v/>
      </c>
    </row>
    <row r="6145" spans="18:23">
      <c r="R6145" s="127">
        <f t="shared" si="267"/>
        <v>0</v>
      </c>
      <c r="T6145" s="128">
        <f t="shared" si="266"/>
        <v>0</v>
      </c>
      <c r="U6145" s="129" t="str">
        <f>IFERROR(IF(#REF!="S",VLOOKUP('Raw Data'!A6145,References!#REF!,2,FALSE),(VLOOKUP($S6145,References!$B$3:$C$7,2,FALSE))),"")</f>
        <v/>
      </c>
      <c r="W6145" s="74" t="str">
        <f>IFERROR(VLOOKUP($O6145,'Customer List'!$A$1:$J$488,10,FALSE),"")</f>
        <v/>
      </c>
    </row>
    <row r="6146" spans="18:23">
      <c r="R6146" s="127">
        <f t="shared" si="267"/>
        <v>0</v>
      </c>
      <c r="T6146" s="128">
        <f t="shared" si="266"/>
        <v>0</v>
      </c>
      <c r="U6146" s="129" t="str">
        <f>IFERROR(IF(#REF!="S",VLOOKUP('Raw Data'!A6146,References!#REF!,2,FALSE),(VLOOKUP($S6146,References!$B$3:$C$7,2,FALSE))),"")</f>
        <v/>
      </c>
      <c r="W6146" s="74" t="str">
        <f>IFERROR(VLOOKUP($O6146,'Customer List'!$A$1:$J$488,10,FALSE),"")</f>
        <v/>
      </c>
    </row>
    <row r="6147" spans="18:23">
      <c r="R6147" s="127">
        <f t="shared" si="267"/>
        <v>0</v>
      </c>
      <c r="T6147" s="128">
        <f t="shared" si="266"/>
        <v>0</v>
      </c>
      <c r="U6147" s="129" t="str">
        <f>IFERROR(IF(#REF!="S",VLOOKUP('Raw Data'!A6147,References!#REF!,2,FALSE),(VLOOKUP($S6147,References!$B$3:$C$7,2,FALSE))),"")</f>
        <v/>
      </c>
      <c r="W6147" s="74" t="str">
        <f>IFERROR(VLOOKUP($O6147,'Customer List'!$A$1:$J$488,10,FALSE),"")</f>
        <v/>
      </c>
    </row>
    <row r="6148" spans="18:23">
      <c r="R6148" s="127">
        <f t="shared" si="267"/>
        <v>0</v>
      </c>
      <c r="T6148" s="128">
        <f t="shared" si="266"/>
        <v>0</v>
      </c>
      <c r="U6148" s="129" t="str">
        <f>IFERROR(IF(#REF!="S",VLOOKUP('Raw Data'!A6148,References!#REF!,2,FALSE),(VLOOKUP($S6148,References!$B$3:$C$7,2,FALSE))),"")</f>
        <v/>
      </c>
      <c r="W6148" s="74" t="str">
        <f>IFERROR(VLOOKUP($O6148,'Customer List'!$A$1:$J$488,10,FALSE),"")</f>
        <v/>
      </c>
    </row>
    <row r="6149" spans="18:23">
      <c r="R6149" s="127">
        <f t="shared" si="267"/>
        <v>0</v>
      </c>
      <c r="T6149" s="128">
        <f t="shared" si="266"/>
        <v>0</v>
      </c>
      <c r="U6149" s="129" t="str">
        <f>IFERROR(IF(#REF!="S",VLOOKUP('Raw Data'!A6149,References!#REF!,2,FALSE),(VLOOKUP($S6149,References!$B$3:$C$7,2,FALSE))),"")</f>
        <v/>
      </c>
      <c r="W6149" s="74" t="str">
        <f>IFERROR(VLOOKUP($O6149,'Customer List'!$A$1:$J$488,10,FALSE),"")</f>
        <v/>
      </c>
    </row>
    <row r="6150" spans="18:23">
      <c r="R6150" s="127">
        <f t="shared" si="267"/>
        <v>0</v>
      </c>
      <c r="T6150" s="128">
        <f t="shared" si="266"/>
        <v>0</v>
      </c>
      <c r="U6150" s="129" t="str">
        <f>IFERROR(IF(#REF!="S",VLOOKUP('Raw Data'!A6150,References!#REF!,2,FALSE),(VLOOKUP($S6150,References!$B$3:$C$7,2,FALSE))),"")</f>
        <v/>
      </c>
      <c r="W6150" s="74" t="str">
        <f>IFERROR(VLOOKUP($O6150,'Customer List'!$A$1:$J$488,10,FALSE),"")</f>
        <v/>
      </c>
    </row>
    <row r="6151" spans="18:23">
      <c r="R6151" s="127">
        <f t="shared" si="267"/>
        <v>0</v>
      </c>
      <c r="T6151" s="128">
        <f t="shared" si="266"/>
        <v>0</v>
      </c>
      <c r="U6151" s="129" t="str">
        <f>IFERROR(IF(#REF!="S",VLOOKUP('Raw Data'!A6151,References!#REF!,2,FALSE),(VLOOKUP($S6151,References!$B$3:$C$7,2,FALSE))),"")</f>
        <v/>
      </c>
      <c r="W6151" s="74" t="str">
        <f>IFERROR(VLOOKUP($O6151,'Customer List'!$A$1:$J$488,10,FALSE),"")</f>
        <v/>
      </c>
    </row>
    <row r="6152" spans="18:23">
      <c r="R6152" s="127">
        <f t="shared" si="267"/>
        <v>0</v>
      </c>
      <c r="T6152" s="128">
        <f t="shared" si="266"/>
        <v>0</v>
      </c>
      <c r="U6152" s="129" t="str">
        <f>IFERROR(IF(#REF!="S",VLOOKUP('Raw Data'!A6152,References!#REF!,2,FALSE),(VLOOKUP($S6152,References!$B$3:$C$7,2,FALSE))),"")</f>
        <v/>
      </c>
      <c r="W6152" s="74" t="str">
        <f>IFERROR(VLOOKUP($O6152,'Customer List'!$A$1:$J$488,10,FALSE),"")</f>
        <v/>
      </c>
    </row>
    <row r="6153" spans="18:23">
      <c r="R6153" s="127">
        <f t="shared" si="267"/>
        <v>0</v>
      </c>
      <c r="T6153" s="128">
        <f t="shared" si="266"/>
        <v>0</v>
      </c>
      <c r="U6153" s="129" t="str">
        <f>IFERROR(IF(#REF!="S",VLOOKUP('Raw Data'!A6153,References!#REF!,2,FALSE),(VLOOKUP($S6153,References!$B$3:$C$7,2,FALSE))),"")</f>
        <v/>
      </c>
      <c r="W6153" s="74" t="str">
        <f>IFERROR(VLOOKUP($O6153,'Customer List'!$A$1:$J$488,10,FALSE),"")</f>
        <v/>
      </c>
    </row>
    <row r="6154" spans="18:23">
      <c r="R6154" s="127">
        <f t="shared" si="267"/>
        <v>0</v>
      </c>
      <c r="T6154" s="128">
        <f t="shared" ref="T6154:T6217" si="268">IF(S6154="50 - Cleaning Fee",1,HOUR($R6154)+MINUTE(R6154)/60)</f>
        <v>0</v>
      </c>
      <c r="U6154" s="129" t="str">
        <f>IFERROR(IF(#REF!="S",VLOOKUP('Raw Data'!A6154,References!#REF!,2,FALSE),(VLOOKUP($S6154,References!$B$3:$C$7,2,FALSE))),"")</f>
        <v/>
      </c>
      <c r="W6154" s="74" t="str">
        <f>IFERROR(VLOOKUP($O6154,'Customer List'!$A$1:$J$488,10,FALSE),"")</f>
        <v/>
      </c>
    </row>
    <row r="6155" spans="18:23">
      <c r="R6155" s="127">
        <f t="shared" si="267"/>
        <v>0</v>
      </c>
      <c r="T6155" s="128">
        <f t="shared" si="268"/>
        <v>0</v>
      </c>
      <c r="U6155" s="129" t="str">
        <f>IFERROR(IF(#REF!="S",VLOOKUP('Raw Data'!A6155,References!#REF!,2,FALSE),(VLOOKUP($S6155,References!$B$3:$C$7,2,FALSE))),"")</f>
        <v/>
      </c>
      <c r="W6155" s="74" t="str">
        <f>IFERROR(VLOOKUP($O6155,'Customer List'!$A$1:$J$488,10,FALSE),"")</f>
        <v/>
      </c>
    </row>
    <row r="6156" spans="18:23">
      <c r="R6156" s="127">
        <f t="shared" si="267"/>
        <v>0</v>
      </c>
      <c r="T6156" s="128">
        <f t="shared" si="268"/>
        <v>0</v>
      </c>
      <c r="U6156" s="129" t="str">
        <f>IFERROR(IF(#REF!="S",VLOOKUP('Raw Data'!A6156,References!#REF!,2,FALSE),(VLOOKUP($S6156,References!$B$3:$C$7,2,FALSE))),"")</f>
        <v/>
      </c>
      <c r="W6156" s="74" t="str">
        <f>IFERROR(VLOOKUP($O6156,'Customer List'!$A$1:$J$488,10,FALSE),"")</f>
        <v/>
      </c>
    </row>
    <row r="6157" spans="18:23">
      <c r="R6157" s="127">
        <f t="shared" si="267"/>
        <v>0</v>
      </c>
      <c r="T6157" s="128">
        <f t="shared" si="268"/>
        <v>0</v>
      </c>
      <c r="U6157" s="129" t="str">
        <f>IFERROR(IF(#REF!="S",VLOOKUP('Raw Data'!A6157,References!#REF!,2,FALSE),(VLOOKUP($S6157,References!$B$3:$C$7,2,FALSE))),"")</f>
        <v/>
      </c>
      <c r="W6157" s="74" t="str">
        <f>IFERROR(VLOOKUP($O6157,'Customer List'!$A$1:$J$488,10,FALSE),"")</f>
        <v/>
      </c>
    </row>
    <row r="6158" spans="18:23">
      <c r="R6158" s="127">
        <f t="shared" si="267"/>
        <v>0</v>
      </c>
      <c r="T6158" s="128">
        <f t="shared" si="268"/>
        <v>0</v>
      </c>
      <c r="U6158" s="129" t="str">
        <f>IFERROR(IF(#REF!="S",VLOOKUP('Raw Data'!A6158,References!#REF!,2,FALSE),(VLOOKUP($S6158,References!$B$3:$C$7,2,FALSE))),"")</f>
        <v/>
      </c>
      <c r="W6158" s="74" t="str">
        <f>IFERROR(VLOOKUP($O6158,'Customer List'!$A$1:$J$488,10,FALSE),"")</f>
        <v/>
      </c>
    </row>
    <row r="6159" spans="18:23">
      <c r="R6159" s="127">
        <f t="shared" si="267"/>
        <v>0</v>
      </c>
      <c r="T6159" s="128">
        <f t="shared" si="268"/>
        <v>0</v>
      </c>
      <c r="U6159" s="129" t="str">
        <f>IFERROR(IF(#REF!="S",VLOOKUP('Raw Data'!A6159,References!#REF!,2,FALSE),(VLOOKUP($S6159,References!$B$3:$C$7,2,FALSE))),"")</f>
        <v/>
      </c>
      <c r="W6159" s="74" t="str">
        <f>IFERROR(VLOOKUP($O6159,'Customer List'!$A$1:$J$488,10,FALSE),"")</f>
        <v/>
      </c>
    </row>
    <row r="6160" spans="18:23">
      <c r="R6160" s="127">
        <f t="shared" si="267"/>
        <v>0</v>
      </c>
      <c r="T6160" s="128">
        <f t="shared" si="268"/>
        <v>0</v>
      </c>
      <c r="U6160" s="129" t="str">
        <f>IFERROR(IF(#REF!="S",VLOOKUP('Raw Data'!A6160,References!#REF!,2,FALSE),(VLOOKUP($S6160,References!$B$3:$C$7,2,FALSE))),"")</f>
        <v/>
      </c>
      <c r="W6160" s="74" t="str">
        <f>IFERROR(VLOOKUP($O6160,'Customer List'!$A$1:$J$488,10,FALSE),"")</f>
        <v/>
      </c>
    </row>
    <row r="6161" spans="18:23">
      <c r="R6161" s="127">
        <f t="shared" si="267"/>
        <v>0</v>
      </c>
      <c r="T6161" s="128">
        <f t="shared" si="268"/>
        <v>0</v>
      </c>
      <c r="U6161" s="129" t="str">
        <f>IFERROR(IF(#REF!="S",VLOOKUP('Raw Data'!A6161,References!#REF!,2,FALSE),(VLOOKUP($S6161,References!$B$3:$C$7,2,FALSE))),"")</f>
        <v/>
      </c>
      <c r="W6161" s="74" t="str">
        <f>IFERROR(VLOOKUP($O6161,'Customer List'!$A$1:$J$488,10,FALSE),"")</f>
        <v/>
      </c>
    </row>
    <row r="6162" spans="18:23">
      <c r="R6162" s="127">
        <f t="shared" si="267"/>
        <v>0</v>
      </c>
      <c r="T6162" s="128">
        <f t="shared" si="268"/>
        <v>0</v>
      </c>
      <c r="U6162" s="129" t="str">
        <f>IFERROR(IF(#REF!="S",VLOOKUP('Raw Data'!A6162,References!#REF!,2,FALSE),(VLOOKUP($S6162,References!$B$3:$C$7,2,FALSE))),"")</f>
        <v/>
      </c>
      <c r="W6162" s="74" t="str">
        <f>IFERROR(VLOOKUP($O6162,'Customer List'!$A$1:$J$488,10,FALSE),"")</f>
        <v/>
      </c>
    </row>
    <row r="6163" spans="18:23">
      <c r="R6163" s="127">
        <f t="shared" si="267"/>
        <v>0</v>
      </c>
      <c r="T6163" s="128">
        <f t="shared" si="268"/>
        <v>0</v>
      </c>
      <c r="U6163" s="129" t="str">
        <f>IFERROR(IF(#REF!="S",VLOOKUP('Raw Data'!A6163,References!#REF!,2,FALSE),(VLOOKUP($S6163,References!$B$3:$C$7,2,FALSE))),"")</f>
        <v/>
      </c>
      <c r="W6163" s="74" t="str">
        <f>IFERROR(VLOOKUP($O6163,'Customer List'!$A$1:$J$488,10,FALSE),"")</f>
        <v/>
      </c>
    </row>
    <row r="6164" spans="18:23">
      <c r="R6164" s="127">
        <f t="shared" si="267"/>
        <v>0</v>
      </c>
      <c r="T6164" s="128">
        <f t="shared" si="268"/>
        <v>0</v>
      </c>
      <c r="U6164" s="129" t="str">
        <f>IFERROR(IF(#REF!="S",VLOOKUP('Raw Data'!A6164,References!#REF!,2,FALSE),(VLOOKUP($S6164,References!$B$3:$C$7,2,FALSE))),"")</f>
        <v/>
      </c>
      <c r="W6164" s="74" t="str">
        <f>IFERROR(VLOOKUP($O6164,'Customer List'!$A$1:$J$488,10,FALSE),"")</f>
        <v/>
      </c>
    </row>
    <row r="6165" spans="18:23">
      <c r="R6165" s="127">
        <f t="shared" si="267"/>
        <v>0</v>
      </c>
      <c r="T6165" s="128">
        <f t="shared" si="268"/>
        <v>0</v>
      </c>
      <c r="U6165" s="129" t="str">
        <f>IFERROR(IF(#REF!="S",VLOOKUP('Raw Data'!A6165,References!#REF!,2,FALSE),(VLOOKUP($S6165,References!$B$3:$C$7,2,FALSE))),"")</f>
        <v/>
      </c>
      <c r="W6165" s="74" t="str">
        <f>IFERROR(VLOOKUP($O6165,'Customer List'!$A$1:$J$488,10,FALSE),"")</f>
        <v/>
      </c>
    </row>
    <row r="6166" spans="18:23">
      <c r="R6166" s="127">
        <f t="shared" si="267"/>
        <v>0</v>
      </c>
      <c r="T6166" s="128">
        <f t="shared" si="268"/>
        <v>0</v>
      </c>
      <c r="U6166" s="129" t="str">
        <f>IFERROR(IF(#REF!="S",VLOOKUP('Raw Data'!A6166,References!#REF!,2,FALSE),(VLOOKUP($S6166,References!$B$3:$C$7,2,FALSE))),"")</f>
        <v/>
      </c>
      <c r="W6166" s="74" t="str">
        <f>IFERROR(VLOOKUP($O6166,'Customer List'!$A$1:$J$488,10,FALSE),"")</f>
        <v/>
      </c>
    </row>
    <row r="6167" spans="18:23">
      <c r="R6167" s="127">
        <f t="shared" si="267"/>
        <v>0</v>
      </c>
      <c r="T6167" s="128">
        <f t="shared" si="268"/>
        <v>0</v>
      </c>
      <c r="U6167" s="129" t="str">
        <f>IFERROR(IF(#REF!="S",VLOOKUP('Raw Data'!A6167,References!#REF!,2,FALSE),(VLOOKUP($S6167,References!$B$3:$C$7,2,FALSE))),"")</f>
        <v/>
      </c>
      <c r="W6167" s="74" t="str">
        <f>IFERROR(VLOOKUP($O6167,'Customer List'!$A$1:$J$488,10,FALSE),"")</f>
        <v/>
      </c>
    </row>
    <row r="6168" spans="18:23">
      <c r="R6168" s="127">
        <f t="shared" si="267"/>
        <v>0</v>
      </c>
      <c r="T6168" s="128">
        <f t="shared" si="268"/>
        <v>0</v>
      </c>
      <c r="U6168" s="129" t="str">
        <f>IFERROR(IF(#REF!="S",VLOOKUP('Raw Data'!A6168,References!#REF!,2,FALSE),(VLOOKUP($S6168,References!$B$3:$C$7,2,FALSE))),"")</f>
        <v/>
      </c>
      <c r="W6168" s="74" t="str">
        <f>IFERROR(VLOOKUP($O6168,'Customer List'!$A$1:$J$488,10,FALSE),"")</f>
        <v/>
      </c>
    </row>
    <row r="6169" spans="18:23">
      <c r="R6169" s="127">
        <f t="shared" si="267"/>
        <v>0</v>
      </c>
      <c r="T6169" s="128">
        <f t="shared" si="268"/>
        <v>0</v>
      </c>
      <c r="U6169" s="129" t="str">
        <f>IFERROR(IF(#REF!="S",VLOOKUP('Raw Data'!A6169,References!#REF!,2,FALSE),(VLOOKUP($S6169,References!$B$3:$C$7,2,FALSE))),"")</f>
        <v/>
      </c>
      <c r="W6169" s="74" t="str">
        <f>IFERROR(VLOOKUP($O6169,'Customer List'!$A$1:$J$488,10,FALSE),"")</f>
        <v/>
      </c>
    </row>
    <row r="6170" spans="18:23">
      <c r="R6170" s="127">
        <f t="shared" si="267"/>
        <v>0</v>
      </c>
      <c r="T6170" s="128">
        <f t="shared" si="268"/>
        <v>0</v>
      </c>
      <c r="U6170" s="129" t="str">
        <f>IFERROR(IF(#REF!="S",VLOOKUP('Raw Data'!A6170,References!#REF!,2,FALSE),(VLOOKUP($S6170,References!$B$3:$C$7,2,FALSE))),"")</f>
        <v/>
      </c>
      <c r="W6170" s="74" t="str">
        <f>IFERROR(VLOOKUP($O6170,'Customer List'!$A$1:$J$488,10,FALSE),"")</f>
        <v/>
      </c>
    </row>
    <row r="6171" spans="18:23">
      <c r="R6171" s="127">
        <f t="shared" si="267"/>
        <v>0</v>
      </c>
      <c r="T6171" s="128">
        <f t="shared" si="268"/>
        <v>0</v>
      </c>
      <c r="U6171" s="129" t="str">
        <f>IFERROR(IF(#REF!="S",VLOOKUP('Raw Data'!A6171,References!#REF!,2,FALSE),(VLOOKUP($S6171,References!$B$3:$C$7,2,FALSE))),"")</f>
        <v/>
      </c>
      <c r="W6171" s="74" t="str">
        <f>IFERROR(VLOOKUP($O6171,'Customer List'!$A$1:$J$488,10,FALSE),"")</f>
        <v/>
      </c>
    </row>
    <row r="6172" spans="18:23">
      <c r="R6172" s="127">
        <f t="shared" si="267"/>
        <v>0</v>
      </c>
      <c r="T6172" s="128">
        <f t="shared" si="268"/>
        <v>0</v>
      </c>
      <c r="U6172" s="129" t="str">
        <f>IFERROR(IF(#REF!="S",VLOOKUP('Raw Data'!A6172,References!#REF!,2,FALSE),(VLOOKUP($S6172,References!$B$3:$C$7,2,FALSE))),"")</f>
        <v/>
      </c>
      <c r="W6172" s="74" t="str">
        <f>IFERROR(VLOOKUP($O6172,'Customer List'!$A$1:$J$488,10,FALSE),"")</f>
        <v/>
      </c>
    </row>
    <row r="6173" spans="18:23">
      <c r="R6173" s="127">
        <f t="shared" si="267"/>
        <v>0</v>
      </c>
      <c r="T6173" s="128">
        <f t="shared" si="268"/>
        <v>0</v>
      </c>
      <c r="U6173" s="129" t="str">
        <f>IFERROR(IF(#REF!="S",VLOOKUP('Raw Data'!A6173,References!#REF!,2,FALSE),(VLOOKUP($S6173,References!$B$3:$C$7,2,FALSE))),"")</f>
        <v/>
      </c>
      <c r="W6173" s="74" t="str">
        <f>IFERROR(VLOOKUP($O6173,'Customer List'!$A$1:$J$488,10,FALSE),"")</f>
        <v/>
      </c>
    </row>
    <row r="6174" spans="18:23">
      <c r="R6174" s="127">
        <f t="shared" si="267"/>
        <v>0</v>
      </c>
      <c r="T6174" s="128">
        <f t="shared" si="268"/>
        <v>0</v>
      </c>
      <c r="U6174" s="129" t="str">
        <f>IFERROR(IF(#REF!="S",VLOOKUP('Raw Data'!A6174,References!#REF!,2,FALSE),(VLOOKUP($S6174,References!$B$3:$C$7,2,FALSE))),"")</f>
        <v/>
      </c>
      <c r="W6174" s="74" t="str">
        <f>IFERROR(VLOOKUP($O6174,'Customer List'!$A$1:$J$488,10,FALSE),"")</f>
        <v/>
      </c>
    </row>
    <row r="6175" spans="18:23">
      <c r="R6175" s="127">
        <f t="shared" si="267"/>
        <v>0</v>
      </c>
      <c r="T6175" s="128">
        <f t="shared" si="268"/>
        <v>0</v>
      </c>
      <c r="U6175" s="129" t="str">
        <f>IFERROR(IF(#REF!="S",VLOOKUP('Raw Data'!A6175,References!#REF!,2,FALSE),(VLOOKUP($S6175,References!$B$3:$C$7,2,FALSE))),"")</f>
        <v/>
      </c>
      <c r="W6175" s="74" t="str">
        <f>IFERROR(VLOOKUP($O6175,'Customer List'!$A$1:$J$488,10,FALSE),"")</f>
        <v/>
      </c>
    </row>
    <row r="6176" spans="18:23">
      <c r="R6176" s="127">
        <f t="shared" si="267"/>
        <v>0</v>
      </c>
      <c r="T6176" s="128">
        <f t="shared" si="268"/>
        <v>0</v>
      </c>
      <c r="U6176" s="129" t="str">
        <f>IFERROR(IF(#REF!="S",VLOOKUP('Raw Data'!A6176,References!#REF!,2,FALSE),(VLOOKUP($S6176,References!$B$3:$C$7,2,FALSE))),"")</f>
        <v/>
      </c>
      <c r="W6176" s="74" t="str">
        <f>IFERROR(VLOOKUP($O6176,'Customer List'!$A$1:$J$488,10,FALSE),"")</f>
        <v/>
      </c>
    </row>
    <row r="6177" spans="18:23">
      <c r="R6177" s="127">
        <f t="shared" si="267"/>
        <v>0</v>
      </c>
      <c r="T6177" s="128">
        <f t="shared" si="268"/>
        <v>0</v>
      </c>
      <c r="U6177" s="129" t="str">
        <f>IFERROR(IF(#REF!="S",VLOOKUP('Raw Data'!A6177,References!#REF!,2,FALSE),(VLOOKUP($S6177,References!$B$3:$C$7,2,FALSE))),"")</f>
        <v/>
      </c>
      <c r="W6177" s="74" t="str">
        <f>IFERROR(VLOOKUP($O6177,'Customer List'!$A$1:$J$488,10,FALSE),"")</f>
        <v/>
      </c>
    </row>
    <row r="6178" spans="18:23">
      <c r="R6178" s="127">
        <f t="shared" ref="R6178:R6241" si="269">L6178-K6178</f>
        <v>0</v>
      </c>
      <c r="T6178" s="128">
        <f t="shared" si="268"/>
        <v>0</v>
      </c>
      <c r="U6178" s="129" t="str">
        <f>IFERROR(IF(#REF!="S",VLOOKUP('Raw Data'!A6178,References!#REF!,2,FALSE),(VLOOKUP($S6178,References!$B$3:$C$7,2,FALSE))),"")</f>
        <v/>
      </c>
      <c r="W6178" s="74" t="str">
        <f>IFERROR(VLOOKUP($O6178,'Customer List'!$A$1:$J$488,10,FALSE),"")</f>
        <v/>
      </c>
    </row>
    <row r="6179" spans="18:23">
      <c r="R6179" s="127">
        <f t="shared" si="269"/>
        <v>0</v>
      </c>
      <c r="T6179" s="128">
        <f t="shared" si="268"/>
        <v>0</v>
      </c>
      <c r="U6179" s="129" t="str">
        <f>IFERROR(IF(#REF!="S",VLOOKUP('Raw Data'!A6179,References!#REF!,2,FALSE),(VLOOKUP($S6179,References!$B$3:$C$7,2,FALSE))),"")</f>
        <v/>
      </c>
      <c r="W6179" s="74" t="str">
        <f>IFERROR(VLOOKUP($O6179,'Customer List'!$A$1:$J$488,10,FALSE),"")</f>
        <v/>
      </c>
    </row>
    <row r="6180" spans="18:23">
      <c r="R6180" s="127">
        <f t="shared" si="269"/>
        <v>0</v>
      </c>
      <c r="T6180" s="128">
        <f t="shared" si="268"/>
        <v>0</v>
      </c>
      <c r="U6180" s="129" t="str">
        <f>IFERROR(IF(#REF!="S",VLOOKUP('Raw Data'!A6180,References!#REF!,2,FALSE),(VLOOKUP($S6180,References!$B$3:$C$7,2,FALSE))),"")</f>
        <v/>
      </c>
      <c r="W6180" s="74" t="str">
        <f>IFERROR(VLOOKUP($O6180,'Customer List'!$A$1:$J$488,10,FALSE),"")</f>
        <v/>
      </c>
    </row>
    <row r="6181" spans="18:23">
      <c r="R6181" s="127">
        <f t="shared" si="269"/>
        <v>0</v>
      </c>
      <c r="T6181" s="128">
        <f t="shared" si="268"/>
        <v>0</v>
      </c>
      <c r="U6181" s="129" t="str">
        <f>IFERROR(IF(#REF!="S",VLOOKUP('Raw Data'!A6181,References!#REF!,2,FALSE),(VLOOKUP($S6181,References!$B$3:$C$7,2,FALSE))),"")</f>
        <v/>
      </c>
      <c r="W6181" s="74" t="str">
        <f>IFERROR(VLOOKUP($O6181,'Customer List'!$A$1:$J$488,10,FALSE),"")</f>
        <v/>
      </c>
    </row>
    <row r="6182" spans="18:23">
      <c r="R6182" s="127">
        <f t="shared" si="269"/>
        <v>0</v>
      </c>
      <c r="T6182" s="128">
        <f t="shared" si="268"/>
        <v>0</v>
      </c>
      <c r="U6182" s="129" t="str">
        <f>IFERROR(IF(#REF!="S",VLOOKUP('Raw Data'!A6182,References!#REF!,2,FALSE),(VLOOKUP($S6182,References!$B$3:$C$7,2,FALSE))),"")</f>
        <v/>
      </c>
      <c r="W6182" s="74" t="str">
        <f>IFERROR(VLOOKUP($O6182,'Customer List'!$A$1:$J$488,10,FALSE),"")</f>
        <v/>
      </c>
    </row>
    <row r="6183" spans="18:23">
      <c r="R6183" s="127">
        <f t="shared" si="269"/>
        <v>0</v>
      </c>
      <c r="T6183" s="128">
        <f t="shared" si="268"/>
        <v>0</v>
      </c>
      <c r="U6183" s="129" t="str">
        <f>IFERROR(IF(#REF!="S",VLOOKUP('Raw Data'!A6183,References!#REF!,2,FALSE),(VLOOKUP($S6183,References!$B$3:$C$7,2,FALSE))),"")</f>
        <v/>
      </c>
      <c r="W6183" s="74" t="str">
        <f>IFERROR(VLOOKUP($O6183,'Customer List'!$A$1:$J$488,10,FALSE),"")</f>
        <v/>
      </c>
    </row>
    <row r="6184" spans="18:23">
      <c r="R6184" s="127">
        <f t="shared" si="269"/>
        <v>0</v>
      </c>
      <c r="T6184" s="128">
        <f t="shared" si="268"/>
        <v>0</v>
      </c>
      <c r="U6184" s="129" t="str">
        <f>IFERROR(IF(#REF!="S",VLOOKUP('Raw Data'!A6184,References!#REF!,2,FALSE),(VLOOKUP($S6184,References!$B$3:$C$7,2,FALSE))),"")</f>
        <v/>
      </c>
      <c r="W6184" s="74" t="str">
        <f>IFERROR(VLOOKUP($O6184,'Customer List'!$A$1:$J$488,10,FALSE),"")</f>
        <v/>
      </c>
    </row>
    <row r="6185" spans="18:23">
      <c r="R6185" s="127">
        <f t="shared" si="269"/>
        <v>0</v>
      </c>
      <c r="T6185" s="128">
        <f t="shared" si="268"/>
        <v>0</v>
      </c>
      <c r="U6185" s="129" t="str">
        <f>IFERROR(IF(#REF!="S",VLOOKUP('Raw Data'!A6185,References!#REF!,2,FALSE),(VLOOKUP($S6185,References!$B$3:$C$7,2,FALSE))),"")</f>
        <v/>
      </c>
      <c r="W6185" s="74" t="str">
        <f>IFERROR(VLOOKUP($O6185,'Customer List'!$A$1:$J$488,10,FALSE),"")</f>
        <v/>
      </c>
    </row>
    <row r="6186" spans="18:23">
      <c r="R6186" s="127">
        <f t="shared" si="269"/>
        <v>0</v>
      </c>
      <c r="T6186" s="128">
        <f t="shared" si="268"/>
        <v>0</v>
      </c>
      <c r="U6186" s="129" t="str">
        <f>IFERROR(IF(#REF!="S",VLOOKUP('Raw Data'!A6186,References!#REF!,2,FALSE),(VLOOKUP($S6186,References!$B$3:$C$7,2,FALSE))),"")</f>
        <v/>
      </c>
      <c r="W6186" s="74" t="str">
        <f>IFERROR(VLOOKUP($O6186,'Customer List'!$A$1:$J$488,10,FALSE),"")</f>
        <v/>
      </c>
    </row>
    <row r="6187" spans="18:23">
      <c r="R6187" s="127">
        <f t="shared" si="269"/>
        <v>0</v>
      </c>
      <c r="T6187" s="128">
        <f t="shared" si="268"/>
        <v>0</v>
      </c>
      <c r="U6187" s="129" t="str">
        <f>IFERROR(IF(#REF!="S",VLOOKUP('Raw Data'!A6187,References!#REF!,2,FALSE),(VLOOKUP($S6187,References!$B$3:$C$7,2,FALSE))),"")</f>
        <v/>
      </c>
      <c r="W6187" s="74" t="str">
        <f>IFERROR(VLOOKUP($O6187,'Customer List'!$A$1:$J$488,10,FALSE),"")</f>
        <v/>
      </c>
    </row>
    <row r="6188" spans="18:23">
      <c r="R6188" s="127">
        <f t="shared" si="269"/>
        <v>0</v>
      </c>
      <c r="T6188" s="128">
        <f t="shared" si="268"/>
        <v>0</v>
      </c>
      <c r="U6188" s="129" t="str">
        <f>IFERROR(IF(#REF!="S",VLOOKUP('Raw Data'!A6188,References!#REF!,2,FALSE),(VLOOKUP($S6188,References!$B$3:$C$7,2,FALSE))),"")</f>
        <v/>
      </c>
      <c r="W6188" s="74" t="str">
        <f>IFERROR(VLOOKUP($O6188,'Customer List'!$A$1:$J$488,10,FALSE),"")</f>
        <v/>
      </c>
    </row>
    <row r="6189" spans="18:23">
      <c r="R6189" s="127">
        <f t="shared" si="269"/>
        <v>0</v>
      </c>
      <c r="T6189" s="128">
        <f t="shared" si="268"/>
        <v>0</v>
      </c>
      <c r="U6189" s="129" t="str">
        <f>IFERROR(IF(#REF!="S",VLOOKUP('Raw Data'!A6189,References!#REF!,2,FALSE),(VLOOKUP($S6189,References!$B$3:$C$7,2,FALSE))),"")</f>
        <v/>
      </c>
      <c r="W6189" s="74" t="str">
        <f>IFERROR(VLOOKUP($O6189,'Customer List'!$A$1:$J$488,10,FALSE),"")</f>
        <v/>
      </c>
    </row>
    <row r="6190" spans="18:23">
      <c r="R6190" s="127">
        <f t="shared" si="269"/>
        <v>0</v>
      </c>
      <c r="T6190" s="128">
        <f t="shared" si="268"/>
        <v>0</v>
      </c>
      <c r="U6190" s="129" t="str">
        <f>IFERROR(IF(#REF!="S",VLOOKUP('Raw Data'!A6190,References!#REF!,2,FALSE),(VLOOKUP($S6190,References!$B$3:$C$7,2,FALSE))),"")</f>
        <v/>
      </c>
      <c r="W6190" s="74" t="str">
        <f>IFERROR(VLOOKUP($O6190,'Customer List'!$A$1:$J$488,10,FALSE),"")</f>
        <v/>
      </c>
    </row>
    <row r="6191" spans="18:23">
      <c r="R6191" s="127">
        <f t="shared" si="269"/>
        <v>0</v>
      </c>
      <c r="T6191" s="128">
        <f t="shared" si="268"/>
        <v>0</v>
      </c>
      <c r="U6191" s="129" t="str">
        <f>IFERROR(IF(#REF!="S",VLOOKUP('Raw Data'!A6191,References!#REF!,2,FALSE),(VLOOKUP($S6191,References!$B$3:$C$7,2,FALSE))),"")</f>
        <v/>
      </c>
      <c r="W6191" s="74" t="str">
        <f>IFERROR(VLOOKUP($O6191,'Customer List'!$A$1:$J$488,10,FALSE),"")</f>
        <v/>
      </c>
    </row>
    <row r="6192" spans="18:23">
      <c r="R6192" s="127">
        <f t="shared" si="269"/>
        <v>0</v>
      </c>
      <c r="T6192" s="128">
        <f t="shared" si="268"/>
        <v>0</v>
      </c>
      <c r="U6192" s="129" t="str">
        <f>IFERROR(IF(#REF!="S",VLOOKUP('Raw Data'!A6192,References!#REF!,2,FALSE),(VLOOKUP($S6192,References!$B$3:$C$7,2,FALSE))),"")</f>
        <v/>
      </c>
      <c r="W6192" s="74" t="str">
        <f>IFERROR(VLOOKUP($O6192,'Customer List'!$A$1:$J$488,10,FALSE),"")</f>
        <v/>
      </c>
    </row>
    <row r="6193" spans="18:23">
      <c r="R6193" s="127">
        <f t="shared" si="269"/>
        <v>0</v>
      </c>
      <c r="T6193" s="128">
        <f t="shared" si="268"/>
        <v>0</v>
      </c>
      <c r="U6193" s="129" t="str">
        <f>IFERROR(IF(#REF!="S",VLOOKUP('Raw Data'!A6193,References!#REF!,2,FALSE),(VLOOKUP($S6193,References!$B$3:$C$7,2,FALSE))),"")</f>
        <v/>
      </c>
      <c r="W6193" s="74" t="str">
        <f>IFERROR(VLOOKUP($O6193,'Customer List'!$A$1:$J$488,10,FALSE),"")</f>
        <v/>
      </c>
    </row>
    <row r="6194" spans="18:23">
      <c r="R6194" s="127">
        <f t="shared" si="269"/>
        <v>0</v>
      </c>
      <c r="T6194" s="128">
        <f t="shared" si="268"/>
        <v>0</v>
      </c>
      <c r="U6194" s="129" t="str">
        <f>IFERROR(IF(#REF!="S",VLOOKUP('Raw Data'!A6194,References!#REF!,2,FALSE),(VLOOKUP($S6194,References!$B$3:$C$7,2,FALSE))),"")</f>
        <v/>
      </c>
      <c r="W6194" s="74" t="str">
        <f>IFERROR(VLOOKUP($O6194,'Customer List'!$A$1:$J$488,10,FALSE),"")</f>
        <v/>
      </c>
    </row>
    <row r="6195" spans="18:23">
      <c r="R6195" s="127">
        <f t="shared" si="269"/>
        <v>0</v>
      </c>
      <c r="T6195" s="128">
        <f t="shared" si="268"/>
        <v>0</v>
      </c>
      <c r="U6195" s="129" t="str">
        <f>IFERROR(IF(#REF!="S",VLOOKUP('Raw Data'!A6195,References!#REF!,2,FALSE),(VLOOKUP($S6195,References!$B$3:$C$7,2,FALSE))),"")</f>
        <v/>
      </c>
      <c r="W6195" s="74" t="str">
        <f>IFERROR(VLOOKUP($O6195,'Customer List'!$A$1:$J$488,10,FALSE),"")</f>
        <v/>
      </c>
    </row>
    <row r="6196" spans="18:23">
      <c r="R6196" s="127">
        <f t="shared" si="269"/>
        <v>0</v>
      </c>
      <c r="T6196" s="128">
        <f t="shared" si="268"/>
        <v>0</v>
      </c>
      <c r="U6196" s="129" t="str">
        <f>IFERROR(IF(#REF!="S",VLOOKUP('Raw Data'!A6196,References!#REF!,2,FALSE),(VLOOKUP($S6196,References!$B$3:$C$7,2,FALSE))),"")</f>
        <v/>
      </c>
      <c r="W6196" s="74" t="str">
        <f>IFERROR(VLOOKUP($O6196,'Customer List'!$A$1:$J$488,10,FALSE),"")</f>
        <v/>
      </c>
    </row>
    <row r="6197" spans="18:23">
      <c r="R6197" s="127">
        <f t="shared" si="269"/>
        <v>0</v>
      </c>
      <c r="T6197" s="128">
        <f t="shared" si="268"/>
        <v>0</v>
      </c>
      <c r="U6197" s="129" t="str">
        <f>IFERROR(IF(#REF!="S",VLOOKUP('Raw Data'!A6197,References!#REF!,2,FALSE),(VLOOKUP($S6197,References!$B$3:$C$7,2,FALSE))),"")</f>
        <v/>
      </c>
      <c r="W6197" s="74" t="str">
        <f>IFERROR(VLOOKUP($O6197,'Customer List'!$A$1:$J$488,10,FALSE),"")</f>
        <v/>
      </c>
    </row>
    <row r="6198" spans="18:23">
      <c r="R6198" s="127">
        <f t="shared" si="269"/>
        <v>0</v>
      </c>
      <c r="T6198" s="128">
        <f t="shared" si="268"/>
        <v>0</v>
      </c>
      <c r="U6198" s="129" t="str">
        <f>IFERROR(IF(#REF!="S",VLOOKUP('Raw Data'!A6198,References!#REF!,2,FALSE),(VLOOKUP($S6198,References!$B$3:$C$7,2,FALSE))),"")</f>
        <v/>
      </c>
      <c r="W6198" s="74" t="str">
        <f>IFERROR(VLOOKUP($O6198,'Customer List'!$A$1:$J$488,10,FALSE),"")</f>
        <v/>
      </c>
    </row>
    <row r="6199" spans="18:23">
      <c r="R6199" s="127">
        <f t="shared" si="269"/>
        <v>0</v>
      </c>
      <c r="T6199" s="128">
        <f t="shared" si="268"/>
        <v>0</v>
      </c>
      <c r="U6199" s="129" t="str">
        <f>IFERROR(IF(#REF!="S",VLOOKUP('Raw Data'!A6199,References!#REF!,2,FALSE),(VLOOKUP($S6199,References!$B$3:$C$7,2,FALSE))),"")</f>
        <v/>
      </c>
      <c r="W6199" s="74" t="str">
        <f>IFERROR(VLOOKUP($O6199,'Customer List'!$A$1:$J$488,10,FALSE),"")</f>
        <v/>
      </c>
    </row>
    <row r="6200" spans="18:23">
      <c r="R6200" s="127">
        <f t="shared" si="269"/>
        <v>0</v>
      </c>
      <c r="T6200" s="128">
        <f t="shared" si="268"/>
        <v>0</v>
      </c>
      <c r="U6200" s="129" t="str">
        <f>IFERROR(IF(#REF!="S",VLOOKUP('Raw Data'!A6200,References!#REF!,2,FALSE),(VLOOKUP($S6200,References!$B$3:$C$7,2,FALSE))),"")</f>
        <v/>
      </c>
      <c r="W6200" s="74" t="str">
        <f>IFERROR(VLOOKUP($O6200,'Customer List'!$A$1:$J$488,10,FALSE),"")</f>
        <v/>
      </c>
    </row>
    <row r="6201" spans="18:23">
      <c r="R6201" s="127">
        <f t="shared" si="269"/>
        <v>0</v>
      </c>
      <c r="T6201" s="128">
        <f t="shared" si="268"/>
        <v>0</v>
      </c>
      <c r="U6201" s="129" t="str">
        <f>IFERROR(IF(#REF!="S",VLOOKUP('Raw Data'!A6201,References!#REF!,2,FALSE),(VLOOKUP($S6201,References!$B$3:$C$7,2,FALSE))),"")</f>
        <v/>
      </c>
      <c r="W6201" s="74" t="str">
        <f>IFERROR(VLOOKUP($O6201,'Customer List'!$A$1:$J$488,10,FALSE),"")</f>
        <v/>
      </c>
    </row>
    <row r="6202" spans="18:23">
      <c r="R6202" s="127">
        <f t="shared" si="269"/>
        <v>0</v>
      </c>
      <c r="T6202" s="128">
        <f t="shared" si="268"/>
        <v>0</v>
      </c>
      <c r="U6202" s="129" t="str">
        <f>IFERROR(IF(#REF!="S",VLOOKUP('Raw Data'!A6202,References!#REF!,2,FALSE),(VLOOKUP($S6202,References!$B$3:$C$7,2,FALSE))),"")</f>
        <v/>
      </c>
      <c r="W6202" s="74" t="str">
        <f>IFERROR(VLOOKUP($O6202,'Customer List'!$A$1:$J$488,10,FALSE),"")</f>
        <v/>
      </c>
    </row>
    <row r="6203" spans="18:23">
      <c r="R6203" s="127">
        <f t="shared" si="269"/>
        <v>0</v>
      </c>
      <c r="T6203" s="128">
        <f t="shared" si="268"/>
        <v>0</v>
      </c>
      <c r="U6203" s="129" t="str">
        <f>IFERROR(IF(#REF!="S",VLOOKUP('Raw Data'!A6203,References!#REF!,2,FALSE),(VLOOKUP($S6203,References!$B$3:$C$7,2,FALSE))),"")</f>
        <v/>
      </c>
      <c r="W6203" s="74" t="str">
        <f>IFERROR(VLOOKUP($O6203,'Customer List'!$A$1:$J$488,10,FALSE),"")</f>
        <v/>
      </c>
    </row>
    <row r="6204" spans="18:23">
      <c r="R6204" s="127">
        <f t="shared" si="269"/>
        <v>0</v>
      </c>
      <c r="T6204" s="128">
        <f t="shared" si="268"/>
        <v>0</v>
      </c>
      <c r="U6204" s="129" t="str">
        <f>IFERROR(IF(#REF!="S",VLOOKUP('Raw Data'!A6204,References!#REF!,2,FALSE),(VLOOKUP($S6204,References!$B$3:$C$7,2,FALSE))),"")</f>
        <v/>
      </c>
      <c r="W6204" s="74" t="str">
        <f>IFERROR(VLOOKUP($O6204,'Customer List'!$A$1:$J$488,10,FALSE),"")</f>
        <v/>
      </c>
    </row>
    <row r="6205" spans="18:23">
      <c r="R6205" s="127">
        <f t="shared" si="269"/>
        <v>0</v>
      </c>
      <c r="T6205" s="128">
        <f t="shared" si="268"/>
        <v>0</v>
      </c>
      <c r="U6205" s="129" t="str">
        <f>IFERROR(IF(#REF!="S",VLOOKUP('Raw Data'!A6205,References!#REF!,2,FALSE),(VLOOKUP($S6205,References!$B$3:$C$7,2,FALSE))),"")</f>
        <v/>
      </c>
      <c r="W6205" s="74" t="str">
        <f>IFERROR(VLOOKUP($O6205,'Customer List'!$A$1:$J$488,10,FALSE),"")</f>
        <v/>
      </c>
    </row>
    <row r="6206" spans="18:23">
      <c r="R6206" s="127">
        <f t="shared" si="269"/>
        <v>0</v>
      </c>
      <c r="T6206" s="128">
        <f t="shared" si="268"/>
        <v>0</v>
      </c>
      <c r="U6206" s="129" t="str">
        <f>IFERROR(IF(#REF!="S",VLOOKUP('Raw Data'!A6206,References!#REF!,2,FALSE),(VLOOKUP($S6206,References!$B$3:$C$7,2,FALSE))),"")</f>
        <v/>
      </c>
      <c r="W6206" s="74" t="str">
        <f>IFERROR(VLOOKUP($O6206,'Customer List'!$A$1:$J$488,10,FALSE),"")</f>
        <v/>
      </c>
    </row>
    <row r="6207" spans="18:23">
      <c r="R6207" s="127">
        <f t="shared" si="269"/>
        <v>0</v>
      </c>
      <c r="T6207" s="128">
        <f t="shared" si="268"/>
        <v>0</v>
      </c>
      <c r="U6207" s="129" t="str">
        <f>IFERROR(IF(#REF!="S",VLOOKUP('Raw Data'!A6207,References!#REF!,2,FALSE),(VLOOKUP($S6207,References!$B$3:$C$7,2,FALSE))),"")</f>
        <v/>
      </c>
      <c r="W6207" s="74" t="str">
        <f>IFERROR(VLOOKUP($O6207,'Customer List'!$A$1:$J$488,10,FALSE),"")</f>
        <v/>
      </c>
    </row>
    <row r="6208" spans="18:23">
      <c r="R6208" s="127">
        <f t="shared" si="269"/>
        <v>0</v>
      </c>
      <c r="T6208" s="128">
        <f t="shared" si="268"/>
        <v>0</v>
      </c>
      <c r="U6208" s="129" t="str">
        <f>IFERROR(IF(#REF!="S",VLOOKUP('Raw Data'!A6208,References!#REF!,2,FALSE),(VLOOKUP($S6208,References!$B$3:$C$7,2,FALSE))),"")</f>
        <v/>
      </c>
      <c r="W6208" s="74" t="str">
        <f>IFERROR(VLOOKUP($O6208,'Customer List'!$A$1:$J$488,10,FALSE),"")</f>
        <v/>
      </c>
    </row>
    <row r="6209" spans="18:23">
      <c r="R6209" s="127">
        <f t="shared" si="269"/>
        <v>0</v>
      </c>
      <c r="T6209" s="128">
        <f t="shared" si="268"/>
        <v>0</v>
      </c>
      <c r="U6209" s="129" t="str">
        <f>IFERROR(IF(#REF!="S",VLOOKUP('Raw Data'!A6209,References!#REF!,2,FALSE),(VLOOKUP($S6209,References!$B$3:$C$7,2,FALSE))),"")</f>
        <v/>
      </c>
      <c r="W6209" s="74" t="str">
        <f>IFERROR(VLOOKUP($O6209,'Customer List'!$A$1:$J$488,10,FALSE),"")</f>
        <v/>
      </c>
    </row>
    <row r="6210" spans="18:23">
      <c r="R6210" s="127">
        <f t="shared" si="269"/>
        <v>0</v>
      </c>
      <c r="T6210" s="128">
        <f t="shared" si="268"/>
        <v>0</v>
      </c>
      <c r="U6210" s="129" t="str">
        <f>IFERROR(IF(#REF!="S",VLOOKUP('Raw Data'!A6210,References!#REF!,2,FALSE),(VLOOKUP($S6210,References!$B$3:$C$7,2,FALSE))),"")</f>
        <v/>
      </c>
      <c r="W6210" s="74" t="str">
        <f>IFERROR(VLOOKUP($O6210,'Customer List'!$A$1:$J$488,10,FALSE),"")</f>
        <v/>
      </c>
    </row>
    <row r="6211" spans="18:23">
      <c r="R6211" s="127">
        <f t="shared" si="269"/>
        <v>0</v>
      </c>
      <c r="T6211" s="128">
        <f t="shared" si="268"/>
        <v>0</v>
      </c>
      <c r="U6211" s="129" t="str">
        <f>IFERROR(IF(#REF!="S",VLOOKUP('Raw Data'!A6211,References!#REF!,2,FALSE),(VLOOKUP($S6211,References!$B$3:$C$7,2,FALSE))),"")</f>
        <v/>
      </c>
      <c r="W6211" s="74" t="str">
        <f>IFERROR(VLOOKUP($O6211,'Customer List'!$A$1:$J$488,10,FALSE),"")</f>
        <v/>
      </c>
    </row>
    <row r="6212" spans="18:23">
      <c r="R6212" s="127">
        <f t="shared" si="269"/>
        <v>0</v>
      </c>
      <c r="T6212" s="128">
        <f t="shared" si="268"/>
        <v>0</v>
      </c>
      <c r="U6212" s="129" t="str">
        <f>IFERROR(IF(#REF!="S",VLOOKUP('Raw Data'!A6212,References!#REF!,2,FALSE),(VLOOKUP($S6212,References!$B$3:$C$7,2,FALSE))),"")</f>
        <v/>
      </c>
      <c r="W6212" s="74" t="str">
        <f>IFERROR(VLOOKUP($O6212,'Customer List'!$A$1:$J$488,10,FALSE),"")</f>
        <v/>
      </c>
    </row>
    <row r="6213" spans="18:23">
      <c r="R6213" s="127">
        <f t="shared" si="269"/>
        <v>0</v>
      </c>
      <c r="T6213" s="128">
        <f t="shared" si="268"/>
        <v>0</v>
      </c>
      <c r="U6213" s="129" t="str">
        <f>IFERROR(IF(#REF!="S",VLOOKUP('Raw Data'!A6213,References!#REF!,2,FALSE),(VLOOKUP($S6213,References!$B$3:$C$7,2,FALSE))),"")</f>
        <v/>
      </c>
      <c r="W6213" s="74" t="str">
        <f>IFERROR(VLOOKUP($O6213,'Customer List'!$A$1:$J$488,10,FALSE),"")</f>
        <v/>
      </c>
    </row>
    <row r="6214" spans="18:23">
      <c r="R6214" s="127">
        <f t="shared" si="269"/>
        <v>0</v>
      </c>
      <c r="T6214" s="128">
        <f t="shared" si="268"/>
        <v>0</v>
      </c>
      <c r="U6214" s="129" t="str">
        <f>IFERROR(IF(#REF!="S",VLOOKUP('Raw Data'!A6214,References!#REF!,2,FALSE),(VLOOKUP($S6214,References!$B$3:$C$7,2,FALSE))),"")</f>
        <v/>
      </c>
      <c r="W6214" s="74" t="str">
        <f>IFERROR(VLOOKUP($O6214,'Customer List'!$A$1:$J$488,10,FALSE),"")</f>
        <v/>
      </c>
    </row>
    <row r="6215" spans="18:23">
      <c r="R6215" s="127">
        <f t="shared" si="269"/>
        <v>0</v>
      </c>
      <c r="T6215" s="128">
        <f t="shared" si="268"/>
        <v>0</v>
      </c>
      <c r="U6215" s="129" t="str">
        <f>IFERROR(IF(#REF!="S",VLOOKUP('Raw Data'!A6215,References!#REF!,2,FALSE),(VLOOKUP($S6215,References!$B$3:$C$7,2,FALSE))),"")</f>
        <v/>
      </c>
      <c r="W6215" s="74" t="str">
        <f>IFERROR(VLOOKUP($O6215,'Customer List'!$A$1:$J$488,10,FALSE),"")</f>
        <v/>
      </c>
    </row>
    <row r="6216" spans="18:23">
      <c r="R6216" s="127">
        <f t="shared" si="269"/>
        <v>0</v>
      </c>
      <c r="T6216" s="128">
        <f t="shared" si="268"/>
        <v>0</v>
      </c>
      <c r="U6216" s="129" t="str">
        <f>IFERROR(IF(#REF!="S",VLOOKUP('Raw Data'!A6216,References!#REF!,2,FALSE),(VLOOKUP($S6216,References!$B$3:$C$7,2,FALSE))),"")</f>
        <v/>
      </c>
      <c r="W6216" s="74" t="str">
        <f>IFERROR(VLOOKUP($O6216,'Customer List'!$A$1:$J$488,10,FALSE),"")</f>
        <v/>
      </c>
    </row>
    <row r="6217" spans="18:23">
      <c r="R6217" s="127">
        <f t="shared" si="269"/>
        <v>0</v>
      </c>
      <c r="T6217" s="128">
        <f t="shared" si="268"/>
        <v>0</v>
      </c>
      <c r="U6217" s="129" t="str">
        <f>IFERROR(IF(#REF!="S",VLOOKUP('Raw Data'!A6217,References!#REF!,2,FALSE),(VLOOKUP($S6217,References!$B$3:$C$7,2,FALSE))),"")</f>
        <v/>
      </c>
      <c r="W6217" s="74" t="str">
        <f>IFERROR(VLOOKUP($O6217,'Customer List'!$A$1:$J$488,10,FALSE),"")</f>
        <v/>
      </c>
    </row>
    <row r="6218" spans="18:23">
      <c r="R6218" s="127">
        <f t="shared" si="269"/>
        <v>0</v>
      </c>
      <c r="T6218" s="128">
        <f t="shared" ref="T6218:T6281" si="270">IF(S6218="50 - Cleaning Fee",1,HOUR($R6218)+MINUTE(R6218)/60)</f>
        <v>0</v>
      </c>
      <c r="U6218" s="129" t="str">
        <f>IFERROR(IF(#REF!="S",VLOOKUP('Raw Data'!A6218,References!#REF!,2,FALSE),(VLOOKUP($S6218,References!$B$3:$C$7,2,FALSE))),"")</f>
        <v/>
      </c>
      <c r="W6218" s="74" t="str">
        <f>IFERROR(VLOOKUP($O6218,'Customer List'!$A$1:$J$488,10,FALSE),"")</f>
        <v/>
      </c>
    </row>
    <row r="6219" spans="18:23">
      <c r="R6219" s="127">
        <f t="shared" si="269"/>
        <v>0</v>
      </c>
      <c r="T6219" s="128">
        <f t="shared" si="270"/>
        <v>0</v>
      </c>
      <c r="U6219" s="129" t="str">
        <f>IFERROR(IF(#REF!="S",VLOOKUP('Raw Data'!A6219,References!#REF!,2,FALSE),(VLOOKUP($S6219,References!$B$3:$C$7,2,FALSE))),"")</f>
        <v/>
      </c>
      <c r="W6219" s="74" t="str">
        <f>IFERROR(VLOOKUP($O6219,'Customer List'!$A$1:$J$488,10,FALSE),"")</f>
        <v/>
      </c>
    </row>
    <row r="6220" spans="18:23">
      <c r="R6220" s="127">
        <f t="shared" si="269"/>
        <v>0</v>
      </c>
      <c r="T6220" s="128">
        <f t="shared" si="270"/>
        <v>0</v>
      </c>
      <c r="U6220" s="129" t="str">
        <f>IFERROR(IF(#REF!="S",VLOOKUP('Raw Data'!A6220,References!#REF!,2,FALSE),(VLOOKUP($S6220,References!$B$3:$C$7,2,FALSE))),"")</f>
        <v/>
      </c>
      <c r="W6220" s="74" t="str">
        <f>IFERROR(VLOOKUP($O6220,'Customer List'!$A$1:$J$488,10,FALSE),"")</f>
        <v/>
      </c>
    </row>
    <row r="6221" spans="18:23">
      <c r="R6221" s="127">
        <f t="shared" si="269"/>
        <v>0</v>
      </c>
      <c r="T6221" s="128">
        <f t="shared" si="270"/>
        <v>0</v>
      </c>
      <c r="U6221" s="129" t="str">
        <f>IFERROR(IF(#REF!="S",VLOOKUP('Raw Data'!A6221,References!#REF!,2,FALSE),(VLOOKUP($S6221,References!$B$3:$C$7,2,FALSE))),"")</f>
        <v/>
      </c>
      <c r="W6221" s="74" t="str">
        <f>IFERROR(VLOOKUP($O6221,'Customer List'!$A$1:$J$488,10,FALSE),"")</f>
        <v/>
      </c>
    </row>
    <row r="6222" spans="18:23">
      <c r="R6222" s="127">
        <f t="shared" si="269"/>
        <v>0</v>
      </c>
      <c r="T6222" s="128">
        <f t="shared" si="270"/>
        <v>0</v>
      </c>
      <c r="U6222" s="129" t="str">
        <f>IFERROR(IF(#REF!="S",VLOOKUP('Raw Data'!A6222,References!#REF!,2,FALSE),(VLOOKUP($S6222,References!$B$3:$C$7,2,FALSE))),"")</f>
        <v/>
      </c>
      <c r="W6222" s="74" t="str">
        <f>IFERROR(VLOOKUP($O6222,'Customer List'!$A$1:$J$488,10,FALSE),"")</f>
        <v/>
      </c>
    </row>
    <row r="6223" spans="18:23">
      <c r="R6223" s="127">
        <f t="shared" si="269"/>
        <v>0</v>
      </c>
      <c r="T6223" s="128">
        <f t="shared" si="270"/>
        <v>0</v>
      </c>
      <c r="U6223" s="129" t="str">
        <f>IFERROR(IF(#REF!="S",VLOOKUP('Raw Data'!A6223,References!#REF!,2,FALSE),(VLOOKUP($S6223,References!$B$3:$C$7,2,FALSE))),"")</f>
        <v/>
      </c>
      <c r="W6223" s="74" t="str">
        <f>IFERROR(VLOOKUP($O6223,'Customer List'!$A$1:$J$488,10,FALSE),"")</f>
        <v/>
      </c>
    </row>
    <row r="6224" spans="18:23">
      <c r="R6224" s="127">
        <f t="shared" si="269"/>
        <v>0</v>
      </c>
      <c r="T6224" s="128">
        <f t="shared" si="270"/>
        <v>0</v>
      </c>
      <c r="U6224" s="129" t="str">
        <f>IFERROR(IF(#REF!="S",VLOOKUP('Raw Data'!A6224,References!#REF!,2,FALSE),(VLOOKUP($S6224,References!$B$3:$C$7,2,FALSE))),"")</f>
        <v/>
      </c>
      <c r="W6224" s="74" t="str">
        <f>IFERROR(VLOOKUP($O6224,'Customer List'!$A$1:$J$488,10,FALSE),"")</f>
        <v/>
      </c>
    </row>
    <row r="6225" spans="18:23">
      <c r="R6225" s="127">
        <f t="shared" si="269"/>
        <v>0</v>
      </c>
      <c r="T6225" s="128">
        <f t="shared" si="270"/>
        <v>0</v>
      </c>
      <c r="U6225" s="129" t="str">
        <f>IFERROR(IF(#REF!="S",VLOOKUP('Raw Data'!A6225,References!#REF!,2,FALSE),(VLOOKUP($S6225,References!$B$3:$C$7,2,FALSE))),"")</f>
        <v/>
      </c>
      <c r="W6225" s="74" t="str">
        <f>IFERROR(VLOOKUP($O6225,'Customer List'!$A$1:$J$488,10,FALSE),"")</f>
        <v/>
      </c>
    </row>
    <row r="6226" spans="18:23">
      <c r="R6226" s="127">
        <f t="shared" si="269"/>
        <v>0</v>
      </c>
      <c r="T6226" s="128">
        <f t="shared" si="270"/>
        <v>0</v>
      </c>
      <c r="U6226" s="129" t="str">
        <f>IFERROR(IF(#REF!="S",VLOOKUP('Raw Data'!A6226,References!#REF!,2,FALSE),(VLOOKUP($S6226,References!$B$3:$C$7,2,FALSE))),"")</f>
        <v/>
      </c>
      <c r="W6226" s="74" t="str">
        <f>IFERROR(VLOOKUP($O6226,'Customer List'!$A$1:$J$488,10,FALSE),"")</f>
        <v/>
      </c>
    </row>
    <row r="6227" spans="18:23">
      <c r="R6227" s="127">
        <f t="shared" si="269"/>
        <v>0</v>
      </c>
      <c r="T6227" s="128">
        <f t="shared" si="270"/>
        <v>0</v>
      </c>
      <c r="U6227" s="129" t="str">
        <f>IFERROR(IF(#REF!="S",VLOOKUP('Raw Data'!A6227,References!#REF!,2,FALSE),(VLOOKUP($S6227,References!$B$3:$C$7,2,FALSE))),"")</f>
        <v/>
      </c>
      <c r="W6227" s="74" t="str">
        <f>IFERROR(VLOOKUP($O6227,'Customer List'!$A$1:$J$488,10,FALSE),"")</f>
        <v/>
      </c>
    </row>
    <row r="6228" spans="18:23">
      <c r="R6228" s="127">
        <f t="shared" si="269"/>
        <v>0</v>
      </c>
      <c r="T6228" s="128">
        <f t="shared" si="270"/>
        <v>0</v>
      </c>
      <c r="U6228" s="129" t="str">
        <f>IFERROR(IF(#REF!="S",VLOOKUP('Raw Data'!A6228,References!#REF!,2,FALSE),(VLOOKUP($S6228,References!$B$3:$C$7,2,FALSE))),"")</f>
        <v/>
      </c>
      <c r="W6228" s="74" t="str">
        <f>IFERROR(VLOOKUP($O6228,'Customer List'!$A$1:$J$488,10,FALSE),"")</f>
        <v/>
      </c>
    </row>
    <row r="6229" spans="18:23">
      <c r="R6229" s="127">
        <f t="shared" si="269"/>
        <v>0</v>
      </c>
      <c r="T6229" s="128">
        <f t="shared" si="270"/>
        <v>0</v>
      </c>
      <c r="U6229" s="129" t="str">
        <f>IFERROR(IF(#REF!="S",VLOOKUP('Raw Data'!A6229,References!#REF!,2,FALSE),(VLOOKUP($S6229,References!$B$3:$C$7,2,FALSE))),"")</f>
        <v/>
      </c>
      <c r="W6229" s="74" t="str">
        <f>IFERROR(VLOOKUP($O6229,'Customer List'!$A$1:$J$488,10,FALSE),"")</f>
        <v/>
      </c>
    </row>
    <row r="6230" spans="18:23">
      <c r="R6230" s="127">
        <f t="shared" si="269"/>
        <v>0</v>
      </c>
      <c r="T6230" s="128">
        <f t="shared" si="270"/>
        <v>0</v>
      </c>
      <c r="U6230" s="129" t="str">
        <f>IFERROR(IF(#REF!="S",VLOOKUP('Raw Data'!A6230,References!#REF!,2,FALSE),(VLOOKUP($S6230,References!$B$3:$C$7,2,FALSE))),"")</f>
        <v/>
      </c>
      <c r="W6230" s="74" t="str">
        <f>IFERROR(VLOOKUP($O6230,'Customer List'!$A$1:$J$488,10,FALSE),"")</f>
        <v/>
      </c>
    </row>
    <row r="6231" spans="18:23">
      <c r="R6231" s="127">
        <f t="shared" si="269"/>
        <v>0</v>
      </c>
      <c r="T6231" s="128">
        <f t="shared" si="270"/>
        <v>0</v>
      </c>
      <c r="U6231" s="129" t="str">
        <f>IFERROR(IF(#REF!="S",VLOOKUP('Raw Data'!A6231,References!#REF!,2,FALSE),(VLOOKUP($S6231,References!$B$3:$C$7,2,FALSE))),"")</f>
        <v/>
      </c>
      <c r="W6231" s="74" t="str">
        <f>IFERROR(VLOOKUP($O6231,'Customer List'!$A$1:$J$488,10,FALSE),"")</f>
        <v/>
      </c>
    </row>
    <row r="6232" spans="18:23">
      <c r="R6232" s="127">
        <f t="shared" si="269"/>
        <v>0</v>
      </c>
      <c r="T6232" s="128">
        <f t="shared" si="270"/>
        <v>0</v>
      </c>
      <c r="U6232" s="129" t="str">
        <f>IFERROR(IF(#REF!="S",VLOOKUP('Raw Data'!A6232,References!#REF!,2,FALSE),(VLOOKUP($S6232,References!$B$3:$C$7,2,FALSE))),"")</f>
        <v/>
      </c>
      <c r="W6232" s="74" t="str">
        <f>IFERROR(VLOOKUP($O6232,'Customer List'!$A$1:$J$488,10,FALSE),"")</f>
        <v/>
      </c>
    </row>
    <row r="6233" spans="18:23">
      <c r="R6233" s="127">
        <f t="shared" si="269"/>
        <v>0</v>
      </c>
      <c r="T6233" s="128">
        <f t="shared" si="270"/>
        <v>0</v>
      </c>
      <c r="U6233" s="129" t="str">
        <f>IFERROR(IF(#REF!="S",VLOOKUP('Raw Data'!A6233,References!#REF!,2,FALSE),(VLOOKUP($S6233,References!$B$3:$C$7,2,FALSE))),"")</f>
        <v/>
      </c>
      <c r="W6233" s="74" t="str">
        <f>IFERROR(VLOOKUP($O6233,'Customer List'!$A$1:$J$488,10,FALSE),"")</f>
        <v/>
      </c>
    </row>
    <row r="6234" spans="18:23">
      <c r="R6234" s="127">
        <f t="shared" si="269"/>
        <v>0</v>
      </c>
      <c r="T6234" s="128">
        <f t="shared" si="270"/>
        <v>0</v>
      </c>
      <c r="U6234" s="129" t="str">
        <f>IFERROR(IF(#REF!="S",VLOOKUP('Raw Data'!A6234,References!#REF!,2,FALSE),(VLOOKUP($S6234,References!$B$3:$C$7,2,FALSE))),"")</f>
        <v/>
      </c>
      <c r="W6234" s="74" t="str">
        <f>IFERROR(VLOOKUP($O6234,'Customer List'!$A$1:$J$488,10,FALSE),"")</f>
        <v/>
      </c>
    </row>
    <row r="6235" spans="18:23">
      <c r="R6235" s="127">
        <f t="shared" si="269"/>
        <v>0</v>
      </c>
      <c r="T6235" s="128">
        <f t="shared" si="270"/>
        <v>0</v>
      </c>
      <c r="U6235" s="129" t="str">
        <f>IFERROR(IF(#REF!="S",VLOOKUP('Raw Data'!A6235,References!#REF!,2,FALSE),(VLOOKUP($S6235,References!$B$3:$C$7,2,FALSE))),"")</f>
        <v/>
      </c>
      <c r="W6235" s="74" t="str">
        <f>IFERROR(VLOOKUP($O6235,'Customer List'!$A$1:$J$488,10,FALSE),"")</f>
        <v/>
      </c>
    </row>
    <row r="6236" spans="18:23">
      <c r="R6236" s="127">
        <f t="shared" si="269"/>
        <v>0</v>
      </c>
      <c r="T6236" s="128">
        <f t="shared" si="270"/>
        <v>0</v>
      </c>
      <c r="U6236" s="129" t="str">
        <f>IFERROR(IF(#REF!="S",VLOOKUP('Raw Data'!A6236,References!#REF!,2,FALSE),(VLOOKUP($S6236,References!$B$3:$C$7,2,FALSE))),"")</f>
        <v/>
      </c>
      <c r="W6236" s="74" t="str">
        <f>IFERROR(VLOOKUP($O6236,'Customer List'!$A$1:$J$488,10,FALSE),"")</f>
        <v/>
      </c>
    </row>
    <row r="6237" spans="18:23">
      <c r="R6237" s="127">
        <f t="shared" si="269"/>
        <v>0</v>
      </c>
      <c r="T6237" s="128">
        <f t="shared" si="270"/>
        <v>0</v>
      </c>
      <c r="U6237" s="129" t="str">
        <f>IFERROR(IF(#REF!="S",VLOOKUP('Raw Data'!A6237,References!#REF!,2,FALSE),(VLOOKUP($S6237,References!$B$3:$C$7,2,FALSE))),"")</f>
        <v/>
      </c>
      <c r="W6237" s="74" t="str">
        <f>IFERROR(VLOOKUP($O6237,'Customer List'!$A$1:$J$488,10,FALSE),"")</f>
        <v/>
      </c>
    </row>
    <row r="6238" spans="18:23">
      <c r="R6238" s="127">
        <f t="shared" si="269"/>
        <v>0</v>
      </c>
      <c r="T6238" s="128">
        <f t="shared" si="270"/>
        <v>0</v>
      </c>
      <c r="U6238" s="129" t="str">
        <f>IFERROR(IF(#REF!="S",VLOOKUP('Raw Data'!A6238,References!#REF!,2,FALSE),(VLOOKUP($S6238,References!$B$3:$C$7,2,FALSE))),"")</f>
        <v/>
      </c>
      <c r="W6238" s="74" t="str">
        <f>IFERROR(VLOOKUP($O6238,'Customer List'!$A$1:$J$488,10,FALSE),"")</f>
        <v/>
      </c>
    </row>
    <row r="6239" spans="18:23">
      <c r="R6239" s="127">
        <f t="shared" si="269"/>
        <v>0</v>
      </c>
      <c r="T6239" s="128">
        <f t="shared" si="270"/>
        <v>0</v>
      </c>
      <c r="U6239" s="129" t="str">
        <f>IFERROR(IF(#REF!="S",VLOOKUP('Raw Data'!A6239,References!#REF!,2,FALSE),(VLOOKUP($S6239,References!$B$3:$C$7,2,FALSE))),"")</f>
        <v/>
      </c>
      <c r="W6239" s="74" t="str">
        <f>IFERROR(VLOOKUP($O6239,'Customer List'!$A$1:$J$488,10,FALSE),"")</f>
        <v/>
      </c>
    </row>
    <row r="6240" spans="18:23">
      <c r="R6240" s="127">
        <f t="shared" si="269"/>
        <v>0</v>
      </c>
      <c r="T6240" s="128">
        <f t="shared" si="270"/>
        <v>0</v>
      </c>
      <c r="U6240" s="129" t="str">
        <f>IFERROR(IF(#REF!="S",VLOOKUP('Raw Data'!A6240,References!#REF!,2,FALSE),(VLOOKUP($S6240,References!$B$3:$C$7,2,FALSE))),"")</f>
        <v/>
      </c>
      <c r="W6240" s="74" t="str">
        <f>IFERROR(VLOOKUP($O6240,'Customer List'!$A$1:$J$488,10,FALSE),"")</f>
        <v/>
      </c>
    </row>
    <row r="6241" spans="18:23">
      <c r="R6241" s="127">
        <f t="shared" si="269"/>
        <v>0</v>
      </c>
      <c r="T6241" s="128">
        <f t="shared" si="270"/>
        <v>0</v>
      </c>
      <c r="U6241" s="129" t="str">
        <f>IFERROR(IF(#REF!="S",VLOOKUP('Raw Data'!A6241,References!#REF!,2,FALSE),(VLOOKUP($S6241,References!$B$3:$C$7,2,FALSE))),"")</f>
        <v/>
      </c>
      <c r="W6241" s="74" t="str">
        <f>IFERROR(VLOOKUP($O6241,'Customer List'!$A$1:$J$488,10,FALSE),"")</f>
        <v/>
      </c>
    </row>
    <row r="6242" spans="18:23">
      <c r="R6242" s="127">
        <f t="shared" ref="R6242:R6305" si="271">L6242-K6242</f>
        <v>0</v>
      </c>
      <c r="T6242" s="128">
        <f t="shared" si="270"/>
        <v>0</v>
      </c>
      <c r="U6242" s="129" t="str">
        <f>IFERROR(IF(#REF!="S",VLOOKUP('Raw Data'!A6242,References!#REF!,2,FALSE),(VLOOKUP($S6242,References!$B$3:$C$7,2,FALSE))),"")</f>
        <v/>
      </c>
      <c r="W6242" s="74" t="str">
        <f>IFERROR(VLOOKUP($O6242,'Customer List'!$A$1:$J$488,10,FALSE),"")</f>
        <v/>
      </c>
    </row>
    <row r="6243" spans="18:23">
      <c r="R6243" s="127">
        <f t="shared" si="271"/>
        <v>0</v>
      </c>
      <c r="T6243" s="128">
        <f t="shared" si="270"/>
        <v>0</v>
      </c>
      <c r="U6243" s="129" t="str">
        <f>IFERROR(IF(#REF!="S",VLOOKUP('Raw Data'!A6243,References!#REF!,2,FALSE),(VLOOKUP($S6243,References!$B$3:$C$7,2,FALSE))),"")</f>
        <v/>
      </c>
      <c r="W6243" s="74" t="str">
        <f>IFERROR(VLOOKUP($O6243,'Customer List'!$A$1:$J$488,10,FALSE),"")</f>
        <v/>
      </c>
    </row>
    <row r="6244" spans="18:23">
      <c r="R6244" s="127">
        <f t="shared" si="271"/>
        <v>0</v>
      </c>
      <c r="T6244" s="128">
        <f t="shared" si="270"/>
        <v>0</v>
      </c>
      <c r="U6244" s="129" t="str">
        <f>IFERROR(IF(#REF!="S",VLOOKUP('Raw Data'!A6244,References!#REF!,2,FALSE),(VLOOKUP($S6244,References!$B$3:$C$7,2,FALSE))),"")</f>
        <v/>
      </c>
      <c r="W6244" s="74" t="str">
        <f>IFERROR(VLOOKUP($O6244,'Customer List'!$A$1:$J$488,10,FALSE),"")</f>
        <v/>
      </c>
    </row>
    <row r="6245" spans="18:23">
      <c r="R6245" s="127">
        <f t="shared" si="271"/>
        <v>0</v>
      </c>
      <c r="T6245" s="128">
        <f t="shared" si="270"/>
        <v>0</v>
      </c>
      <c r="U6245" s="129" t="str">
        <f>IFERROR(IF(#REF!="S",VLOOKUP('Raw Data'!A6245,References!#REF!,2,FALSE),(VLOOKUP($S6245,References!$B$3:$C$7,2,FALSE))),"")</f>
        <v/>
      </c>
      <c r="W6245" s="74" t="str">
        <f>IFERROR(VLOOKUP($O6245,'Customer List'!$A$1:$J$488,10,FALSE),"")</f>
        <v/>
      </c>
    </row>
    <row r="6246" spans="18:23">
      <c r="R6246" s="127">
        <f t="shared" si="271"/>
        <v>0</v>
      </c>
      <c r="T6246" s="128">
        <f t="shared" si="270"/>
        <v>0</v>
      </c>
      <c r="U6246" s="129" t="str">
        <f>IFERROR(IF(#REF!="S",VLOOKUP('Raw Data'!A6246,References!#REF!,2,FALSE),(VLOOKUP($S6246,References!$B$3:$C$7,2,FALSE))),"")</f>
        <v/>
      </c>
      <c r="W6246" s="74" t="str">
        <f>IFERROR(VLOOKUP($O6246,'Customer List'!$A$1:$J$488,10,FALSE),"")</f>
        <v/>
      </c>
    </row>
    <row r="6247" spans="18:23">
      <c r="R6247" s="127">
        <f t="shared" si="271"/>
        <v>0</v>
      </c>
      <c r="T6247" s="128">
        <f t="shared" si="270"/>
        <v>0</v>
      </c>
      <c r="U6247" s="129" t="str">
        <f>IFERROR(IF(#REF!="S",VLOOKUP('Raw Data'!A6247,References!#REF!,2,FALSE),(VLOOKUP($S6247,References!$B$3:$C$7,2,FALSE))),"")</f>
        <v/>
      </c>
      <c r="W6247" s="74" t="str">
        <f>IFERROR(VLOOKUP($O6247,'Customer List'!$A$1:$J$488,10,FALSE),"")</f>
        <v/>
      </c>
    </row>
    <row r="6248" spans="18:23">
      <c r="R6248" s="127">
        <f t="shared" si="271"/>
        <v>0</v>
      </c>
      <c r="T6248" s="128">
        <f t="shared" si="270"/>
        <v>0</v>
      </c>
      <c r="U6248" s="129" t="str">
        <f>IFERROR(IF(#REF!="S",VLOOKUP('Raw Data'!A6248,References!#REF!,2,FALSE),(VLOOKUP($S6248,References!$B$3:$C$7,2,FALSE))),"")</f>
        <v/>
      </c>
      <c r="W6248" s="74" t="str">
        <f>IFERROR(VLOOKUP($O6248,'Customer List'!$A$1:$J$488,10,FALSE),"")</f>
        <v/>
      </c>
    </row>
    <row r="6249" spans="18:23">
      <c r="R6249" s="127">
        <f t="shared" si="271"/>
        <v>0</v>
      </c>
      <c r="T6249" s="128">
        <f t="shared" si="270"/>
        <v>0</v>
      </c>
      <c r="U6249" s="129" t="str">
        <f>IFERROR(IF(#REF!="S",VLOOKUP('Raw Data'!A6249,References!#REF!,2,FALSE),(VLOOKUP($S6249,References!$B$3:$C$7,2,FALSE))),"")</f>
        <v/>
      </c>
      <c r="W6249" s="74" t="str">
        <f>IFERROR(VLOOKUP($O6249,'Customer List'!$A$1:$J$488,10,FALSE),"")</f>
        <v/>
      </c>
    </row>
    <row r="6250" spans="18:23">
      <c r="R6250" s="127">
        <f t="shared" si="271"/>
        <v>0</v>
      </c>
      <c r="T6250" s="128">
        <f t="shared" si="270"/>
        <v>0</v>
      </c>
      <c r="U6250" s="129" t="str">
        <f>IFERROR(IF(#REF!="S",VLOOKUP('Raw Data'!A6250,References!#REF!,2,FALSE),(VLOOKUP($S6250,References!$B$3:$C$7,2,FALSE))),"")</f>
        <v/>
      </c>
      <c r="W6250" s="74" t="str">
        <f>IFERROR(VLOOKUP($O6250,'Customer List'!$A$1:$J$488,10,FALSE),"")</f>
        <v/>
      </c>
    </row>
    <row r="6251" spans="18:23">
      <c r="R6251" s="127">
        <f t="shared" si="271"/>
        <v>0</v>
      </c>
      <c r="T6251" s="128">
        <f t="shared" si="270"/>
        <v>0</v>
      </c>
      <c r="U6251" s="129" t="str">
        <f>IFERROR(IF(#REF!="S",VLOOKUP('Raw Data'!A6251,References!#REF!,2,FALSE),(VLOOKUP($S6251,References!$B$3:$C$7,2,FALSE))),"")</f>
        <v/>
      </c>
      <c r="W6251" s="74" t="str">
        <f>IFERROR(VLOOKUP($O6251,'Customer List'!$A$1:$J$488,10,FALSE),"")</f>
        <v/>
      </c>
    </row>
    <row r="6252" spans="18:23">
      <c r="R6252" s="127">
        <f t="shared" si="271"/>
        <v>0</v>
      </c>
      <c r="T6252" s="128">
        <f t="shared" si="270"/>
        <v>0</v>
      </c>
      <c r="U6252" s="129" t="str">
        <f>IFERROR(IF(#REF!="S",VLOOKUP('Raw Data'!A6252,References!#REF!,2,FALSE),(VLOOKUP($S6252,References!$B$3:$C$7,2,FALSE))),"")</f>
        <v/>
      </c>
      <c r="W6252" s="74" t="str">
        <f>IFERROR(VLOOKUP($O6252,'Customer List'!$A$1:$J$488,10,FALSE),"")</f>
        <v/>
      </c>
    </row>
    <row r="6253" spans="18:23">
      <c r="R6253" s="127">
        <f t="shared" si="271"/>
        <v>0</v>
      </c>
      <c r="T6253" s="128">
        <f t="shared" si="270"/>
        <v>0</v>
      </c>
      <c r="U6253" s="129" t="str">
        <f>IFERROR(IF(#REF!="S",VLOOKUP('Raw Data'!A6253,References!#REF!,2,FALSE),(VLOOKUP($S6253,References!$B$3:$C$7,2,FALSE))),"")</f>
        <v/>
      </c>
      <c r="W6253" s="74" t="str">
        <f>IFERROR(VLOOKUP($O6253,'Customer List'!$A$1:$J$488,10,FALSE),"")</f>
        <v/>
      </c>
    </row>
    <row r="6254" spans="18:23">
      <c r="R6254" s="127">
        <f t="shared" si="271"/>
        <v>0</v>
      </c>
      <c r="T6254" s="128">
        <f t="shared" si="270"/>
        <v>0</v>
      </c>
      <c r="U6254" s="129" t="str">
        <f>IFERROR(IF(#REF!="S",VLOOKUP('Raw Data'!A6254,References!#REF!,2,FALSE),(VLOOKUP($S6254,References!$B$3:$C$7,2,FALSE))),"")</f>
        <v/>
      </c>
      <c r="W6254" s="74" t="str">
        <f>IFERROR(VLOOKUP($O6254,'Customer List'!$A$1:$J$488,10,FALSE),"")</f>
        <v/>
      </c>
    </row>
    <row r="6255" spans="18:23">
      <c r="R6255" s="127">
        <f t="shared" si="271"/>
        <v>0</v>
      </c>
      <c r="T6255" s="128">
        <f t="shared" si="270"/>
        <v>0</v>
      </c>
      <c r="U6255" s="129" t="str">
        <f>IFERROR(IF(#REF!="S",VLOOKUP('Raw Data'!A6255,References!#REF!,2,FALSE),(VLOOKUP($S6255,References!$B$3:$C$7,2,FALSE))),"")</f>
        <v/>
      </c>
      <c r="W6255" s="74" t="str">
        <f>IFERROR(VLOOKUP($O6255,'Customer List'!$A$1:$J$488,10,FALSE),"")</f>
        <v/>
      </c>
    </row>
    <row r="6256" spans="18:23">
      <c r="R6256" s="127">
        <f t="shared" si="271"/>
        <v>0</v>
      </c>
      <c r="T6256" s="128">
        <f t="shared" si="270"/>
        <v>0</v>
      </c>
      <c r="U6256" s="129" t="str">
        <f>IFERROR(IF(#REF!="S",VLOOKUP('Raw Data'!A6256,References!#REF!,2,FALSE),(VLOOKUP($S6256,References!$B$3:$C$7,2,FALSE))),"")</f>
        <v/>
      </c>
      <c r="W6256" s="74" t="str">
        <f>IFERROR(VLOOKUP($O6256,'Customer List'!$A$1:$J$488,10,FALSE),"")</f>
        <v/>
      </c>
    </row>
    <row r="6257" spans="18:23">
      <c r="R6257" s="127">
        <f t="shared" si="271"/>
        <v>0</v>
      </c>
      <c r="T6257" s="128">
        <f t="shared" si="270"/>
        <v>0</v>
      </c>
      <c r="U6257" s="129" t="str">
        <f>IFERROR(IF(#REF!="S",VLOOKUP('Raw Data'!A6257,References!#REF!,2,FALSE),(VLOOKUP($S6257,References!$B$3:$C$7,2,FALSE))),"")</f>
        <v/>
      </c>
      <c r="W6257" s="74" t="str">
        <f>IFERROR(VLOOKUP($O6257,'Customer List'!$A$1:$J$488,10,FALSE),"")</f>
        <v/>
      </c>
    </row>
    <row r="6258" spans="18:23">
      <c r="R6258" s="127">
        <f t="shared" si="271"/>
        <v>0</v>
      </c>
      <c r="T6258" s="128">
        <f t="shared" si="270"/>
        <v>0</v>
      </c>
      <c r="U6258" s="129" t="str">
        <f>IFERROR(IF(#REF!="S",VLOOKUP('Raw Data'!A6258,References!#REF!,2,FALSE),(VLOOKUP($S6258,References!$B$3:$C$7,2,FALSE))),"")</f>
        <v/>
      </c>
      <c r="W6258" s="74" t="str">
        <f>IFERROR(VLOOKUP($O6258,'Customer List'!$A$1:$J$488,10,FALSE),"")</f>
        <v/>
      </c>
    </row>
    <row r="6259" spans="18:23">
      <c r="R6259" s="127">
        <f t="shared" si="271"/>
        <v>0</v>
      </c>
      <c r="T6259" s="128">
        <f t="shared" si="270"/>
        <v>0</v>
      </c>
      <c r="U6259" s="129" t="str">
        <f>IFERROR(IF(#REF!="S",VLOOKUP('Raw Data'!A6259,References!#REF!,2,FALSE),(VLOOKUP($S6259,References!$B$3:$C$7,2,FALSE))),"")</f>
        <v/>
      </c>
      <c r="W6259" s="74" t="str">
        <f>IFERROR(VLOOKUP($O6259,'Customer List'!$A$1:$J$488,10,FALSE),"")</f>
        <v/>
      </c>
    </row>
    <row r="6260" spans="18:23">
      <c r="R6260" s="127">
        <f t="shared" si="271"/>
        <v>0</v>
      </c>
      <c r="T6260" s="128">
        <f t="shared" si="270"/>
        <v>0</v>
      </c>
      <c r="U6260" s="129" t="str">
        <f>IFERROR(IF(#REF!="S",VLOOKUP('Raw Data'!A6260,References!#REF!,2,FALSE),(VLOOKUP($S6260,References!$B$3:$C$7,2,FALSE))),"")</f>
        <v/>
      </c>
      <c r="W6260" s="74" t="str">
        <f>IFERROR(VLOOKUP($O6260,'Customer List'!$A$1:$J$488,10,FALSE),"")</f>
        <v/>
      </c>
    </row>
    <row r="6261" spans="18:23">
      <c r="R6261" s="127">
        <f t="shared" si="271"/>
        <v>0</v>
      </c>
      <c r="T6261" s="128">
        <f t="shared" si="270"/>
        <v>0</v>
      </c>
      <c r="U6261" s="129" t="str">
        <f>IFERROR(IF(#REF!="S",VLOOKUP('Raw Data'!A6261,References!#REF!,2,FALSE),(VLOOKUP($S6261,References!$B$3:$C$7,2,FALSE))),"")</f>
        <v/>
      </c>
      <c r="W6261" s="74" t="str">
        <f>IFERROR(VLOOKUP($O6261,'Customer List'!$A$1:$J$488,10,FALSE),"")</f>
        <v/>
      </c>
    </row>
    <row r="6262" spans="18:23">
      <c r="R6262" s="127">
        <f t="shared" si="271"/>
        <v>0</v>
      </c>
      <c r="T6262" s="128">
        <f t="shared" si="270"/>
        <v>0</v>
      </c>
      <c r="U6262" s="129" t="str">
        <f>IFERROR(IF(#REF!="S",VLOOKUP('Raw Data'!A6262,References!#REF!,2,FALSE),(VLOOKUP($S6262,References!$B$3:$C$7,2,FALSE))),"")</f>
        <v/>
      </c>
      <c r="W6262" s="74" t="str">
        <f>IFERROR(VLOOKUP($O6262,'Customer List'!$A$1:$J$488,10,FALSE),"")</f>
        <v/>
      </c>
    </row>
    <row r="6263" spans="18:23">
      <c r="R6263" s="127">
        <f t="shared" si="271"/>
        <v>0</v>
      </c>
      <c r="T6263" s="128">
        <f t="shared" si="270"/>
        <v>0</v>
      </c>
      <c r="U6263" s="129" t="str">
        <f>IFERROR(IF(#REF!="S",VLOOKUP('Raw Data'!A6263,References!#REF!,2,FALSE),(VLOOKUP($S6263,References!$B$3:$C$7,2,FALSE))),"")</f>
        <v/>
      </c>
      <c r="W6263" s="74" t="str">
        <f>IFERROR(VLOOKUP($O6263,'Customer List'!$A$1:$J$488,10,FALSE),"")</f>
        <v/>
      </c>
    </row>
    <row r="6264" spans="18:23">
      <c r="R6264" s="127">
        <f t="shared" si="271"/>
        <v>0</v>
      </c>
      <c r="T6264" s="128">
        <f t="shared" si="270"/>
        <v>0</v>
      </c>
      <c r="U6264" s="129" t="str">
        <f>IFERROR(IF(#REF!="S",VLOOKUP('Raw Data'!A6264,References!#REF!,2,FALSE),(VLOOKUP($S6264,References!$B$3:$C$7,2,FALSE))),"")</f>
        <v/>
      </c>
      <c r="W6264" s="74" t="str">
        <f>IFERROR(VLOOKUP($O6264,'Customer List'!$A$1:$J$488,10,FALSE),"")</f>
        <v/>
      </c>
    </row>
    <row r="6265" spans="18:23">
      <c r="R6265" s="127">
        <f t="shared" si="271"/>
        <v>0</v>
      </c>
      <c r="T6265" s="128">
        <f t="shared" si="270"/>
        <v>0</v>
      </c>
      <c r="U6265" s="129" t="str">
        <f>IFERROR(IF(#REF!="S",VLOOKUP('Raw Data'!A6265,References!#REF!,2,FALSE),(VLOOKUP($S6265,References!$B$3:$C$7,2,FALSE))),"")</f>
        <v/>
      </c>
      <c r="W6265" s="74" t="str">
        <f>IFERROR(VLOOKUP($O6265,'Customer List'!$A$1:$J$488,10,FALSE),"")</f>
        <v/>
      </c>
    </row>
    <row r="6266" spans="18:23">
      <c r="R6266" s="127">
        <f t="shared" si="271"/>
        <v>0</v>
      </c>
      <c r="T6266" s="128">
        <f t="shared" si="270"/>
        <v>0</v>
      </c>
      <c r="U6266" s="129" t="str">
        <f>IFERROR(IF(#REF!="S",VLOOKUP('Raw Data'!A6266,References!#REF!,2,FALSE),(VLOOKUP($S6266,References!$B$3:$C$7,2,FALSE))),"")</f>
        <v/>
      </c>
      <c r="W6266" s="74" t="str">
        <f>IFERROR(VLOOKUP($O6266,'Customer List'!$A$1:$J$488,10,FALSE),"")</f>
        <v/>
      </c>
    </row>
    <row r="6267" spans="18:23">
      <c r="R6267" s="127">
        <f t="shared" si="271"/>
        <v>0</v>
      </c>
      <c r="T6267" s="128">
        <f t="shared" si="270"/>
        <v>0</v>
      </c>
      <c r="U6267" s="129" t="str">
        <f>IFERROR(IF(#REF!="S",VLOOKUP('Raw Data'!A6267,References!#REF!,2,FALSE),(VLOOKUP($S6267,References!$B$3:$C$7,2,FALSE))),"")</f>
        <v/>
      </c>
      <c r="W6267" s="74" t="str">
        <f>IFERROR(VLOOKUP($O6267,'Customer List'!$A$1:$J$488,10,FALSE),"")</f>
        <v/>
      </c>
    </row>
    <row r="6268" spans="18:23">
      <c r="R6268" s="127">
        <f t="shared" si="271"/>
        <v>0</v>
      </c>
      <c r="T6268" s="128">
        <f t="shared" si="270"/>
        <v>0</v>
      </c>
      <c r="U6268" s="129" t="str">
        <f>IFERROR(IF(#REF!="S",VLOOKUP('Raw Data'!A6268,References!#REF!,2,FALSE),(VLOOKUP($S6268,References!$B$3:$C$7,2,FALSE))),"")</f>
        <v/>
      </c>
      <c r="W6268" s="74" t="str">
        <f>IFERROR(VLOOKUP($O6268,'Customer List'!$A$1:$J$488,10,FALSE),"")</f>
        <v/>
      </c>
    </row>
    <row r="6269" spans="18:23">
      <c r="R6269" s="127">
        <f t="shared" si="271"/>
        <v>0</v>
      </c>
      <c r="T6269" s="128">
        <f t="shared" si="270"/>
        <v>0</v>
      </c>
      <c r="U6269" s="129" t="str">
        <f>IFERROR(IF(#REF!="S",VLOOKUP('Raw Data'!A6269,References!#REF!,2,FALSE),(VLOOKUP($S6269,References!$B$3:$C$7,2,FALSE))),"")</f>
        <v/>
      </c>
      <c r="W6269" s="74" t="str">
        <f>IFERROR(VLOOKUP($O6269,'Customer List'!$A$1:$J$488,10,FALSE),"")</f>
        <v/>
      </c>
    </row>
    <row r="6270" spans="18:23">
      <c r="R6270" s="127">
        <f t="shared" si="271"/>
        <v>0</v>
      </c>
      <c r="T6270" s="128">
        <f t="shared" si="270"/>
        <v>0</v>
      </c>
      <c r="U6270" s="129" t="str">
        <f>IFERROR(IF(#REF!="S",VLOOKUP('Raw Data'!A6270,References!#REF!,2,FALSE),(VLOOKUP($S6270,References!$B$3:$C$7,2,FALSE))),"")</f>
        <v/>
      </c>
      <c r="W6270" s="74" t="str">
        <f>IFERROR(VLOOKUP($O6270,'Customer List'!$A$1:$J$488,10,FALSE),"")</f>
        <v/>
      </c>
    </row>
    <row r="6271" spans="18:23">
      <c r="R6271" s="127">
        <f t="shared" si="271"/>
        <v>0</v>
      </c>
      <c r="T6271" s="128">
        <f t="shared" si="270"/>
        <v>0</v>
      </c>
      <c r="U6271" s="129" t="str">
        <f>IFERROR(IF(#REF!="S",VLOOKUP('Raw Data'!A6271,References!#REF!,2,FALSE),(VLOOKUP($S6271,References!$B$3:$C$7,2,FALSE))),"")</f>
        <v/>
      </c>
      <c r="W6271" s="74" t="str">
        <f>IFERROR(VLOOKUP($O6271,'Customer List'!$A$1:$J$488,10,FALSE),"")</f>
        <v/>
      </c>
    </row>
    <row r="6272" spans="18:23">
      <c r="R6272" s="127">
        <f t="shared" si="271"/>
        <v>0</v>
      </c>
      <c r="T6272" s="128">
        <f t="shared" si="270"/>
        <v>0</v>
      </c>
      <c r="U6272" s="129" t="str">
        <f>IFERROR(IF(#REF!="S",VLOOKUP('Raw Data'!A6272,References!#REF!,2,FALSE),(VLOOKUP($S6272,References!$B$3:$C$7,2,FALSE))),"")</f>
        <v/>
      </c>
      <c r="W6272" s="74" t="str">
        <f>IFERROR(VLOOKUP($O6272,'Customer List'!$A$1:$J$488,10,FALSE),"")</f>
        <v/>
      </c>
    </row>
    <row r="6273" spans="18:23">
      <c r="R6273" s="127">
        <f t="shared" si="271"/>
        <v>0</v>
      </c>
      <c r="T6273" s="128">
        <f t="shared" si="270"/>
        <v>0</v>
      </c>
      <c r="U6273" s="129" t="str">
        <f>IFERROR(IF(#REF!="S",VLOOKUP('Raw Data'!A6273,References!#REF!,2,FALSE),(VLOOKUP($S6273,References!$B$3:$C$7,2,FALSE))),"")</f>
        <v/>
      </c>
      <c r="W6273" s="74" t="str">
        <f>IFERROR(VLOOKUP($O6273,'Customer List'!$A$1:$J$488,10,FALSE),"")</f>
        <v/>
      </c>
    </row>
    <row r="6274" spans="18:23">
      <c r="R6274" s="127">
        <f t="shared" si="271"/>
        <v>0</v>
      </c>
      <c r="T6274" s="128">
        <f t="shared" si="270"/>
        <v>0</v>
      </c>
      <c r="U6274" s="129" t="str">
        <f>IFERROR(IF(#REF!="S",VLOOKUP('Raw Data'!A6274,References!#REF!,2,FALSE),(VLOOKUP($S6274,References!$B$3:$C$7,2,FALSE))),"")</f>
        <v/>
      </c>
      <c r="W6274" s="74" t="str">
        <f>IFERROR(VLOOKUP($O6274,'Customer List'!$A$1:$J$488,10,FALSE),"")</f>
        <v/>
      </c>
    </row>
    <row r="6275" spans="18:23">
      <c r="R6275" s="127">
        <f t="shared" si="271"/>
        <v>0</v>
      </c>
      <c r="T6275" s="128">
        <f t="shared" si="270"/>
        <v>0</v>
      </c>
      <c r="U6275" s="129" t="str">
        <f>IFERROR(IF(#REF!="S",VLOOKUP('Raw Data'!A6275,References!#REF!,2,FALSE),(VLOOKUP($S6275,References!$B$3:$C$7,2,FALSE))),"")</f>
        <v/>
      </c>
      <c r="W6275" s="74" t="str">
        <f>IFERROR(VLOOKUP($O6275,'Customer List'!$A$1:$J$488,10,FALSE),"")</f>
        <v/>
      </c>
    </row>
    <row r="6276" spans="18:23">
      <c r="R6276" s="127">
        <f t="shared" si="271"/>
        <v>0</v>
      </c>
      <c r="T6276" s="128">
        <f t="shared" si="270"/>
        <v>0</v>
      </c>
      <c r="U6276" s="129" t="str">
        <f>IFERROR(IF(#REF!="S",VLOOKUP('Raw Data'!A6276,References!#REF!,2,FALSE),(VLOOKUP($S6276,References!$B$3:$C$7,2,FALSE))),"")</f>
        <v/>
      </c>
      <c r="W6276" s="74" t="str">
        <f>IFERROR(VLOOKUP($O6276,'Customer List'!$A$1:$J$488,10,FALSE),"")</f>
        <v/>
      </c>
    </row>
    <row r="6277" spans="18:23">
      <c r="R6277" s="127">
        <f t="shared" si="271"/>
        <v>0</v>
      </c>
      <c r="T6277" s="128">
        <f t="shared" si="270"/>
        <v>0</v>
      </c>
      <c r="U6277" s="129" t="str">
        <f>IFERROR(IF(#REF!="S",VLOOKUP('Raw Data'!A6277,References!#REF!,2,FALSE),(VLOOKUP($S6277,References!$B$3:$C$7,2,FALSE))),"")</f>
        <v/>
      </c>
      <c r="W6277" s="74" t="str">
        <f>IFERROR(VLOOKUP($O6277,'Customer List'!$A$1:$J$488,10,FALSE),"")</f>
        <v/>
      </c>
    </row>
    <row r="6278" spans="18:23">
      <c r="R6278" s="127">
        <f t="shared" si="271"/>
        <v>0</v>
      </c>
      <c r="T6278" s="128">
        <f t="shared" si="270"/>
        <v>0</v>
      </c>
      <c r="U6278" s="129" t="str">
        <f>IFERROR(IF(#REF!="S",VLOOKUP('Raw Data'!A6278,References!#REF!,2,FALSE),(VLOOKUP($S6278,References!$B$3:$C$7,2,FALSE))),"")</f>
        <v/>
      </c>
      <c r="W6278" s="74" t="str">
        <f>IFERROR(VLOOKUP($O6278,'Customer List'!$A$1:$J$488,10,FALSE),"")</f>
        <v/>
      </c>
    </row>
    <row r="6279" spans="18:23">
      <c r="R6279" s="127">
        <f t="shared" si="271"/>
        <v>0</v>
      </c>
      <c r="T6279" s="128">
        <f t="shared" si="270"/>
        <v>0</v>
      </c>
      <c r="U6279" s="129" t="str">
        <f>IFERROR(IF(#REF!="S",VLOOKUP('Raw Data'!A6279,References!#REF!,2,FALSE),(VLOOKUP($S6279,References!$B$3:$C$7,2,FALSE))),"")</f>
        <v/>
      </c>
      <c r="W6279" s="74" t="str">
        <f>IFERROR(VLOOKUP($O6279,'Customer List'!$A$1:$J$488,10,FALSE),"")</f>
        <v/>
      </c>
    </row>
    <row r="6280" spans="18:23">
      <c r="R6280" s="127">
        <f t="shared" si="271"/>
        <v>0</v>
      </c>
      <c r="T6280" s="128">
        <f t="shared" si="270"/>
        <v>0</v>
      </c>
      <c r="U6280" s="129" t="str">
        <f>IFERROR(IF(#REF!="S",VLOOKUP('Raw Data'!A6280,References!#REF!,2,FALSE),(VLOOKUP($S6280,References!$B$3:$C$7,2,FALSE))),"")</f>
        <v/>
      </c>
      <c r="W6280" s="74" t="str">
        <f>IFERROR(VLOOKUP($O6280,'Customer List'!$A$1:$J$488,10,FALSE),"")</f>
        <v/>
      </c>
    </row>
    <row r="6281" spans="18:23">
      <c r="R6281" s="127">
        <f t="shared" si="271"/>
        <v>0</v>
      </c>
      <c r="T6281" s="128">
        <f t="shared" si="270"/>
        <v>0</v>
      </c>
      <c r="U6281" s="129" t="str">
        <f>IFERROR(IF(#REF!="S",VLOOKUP('Raw Data'!A6281,References!#REF!,2,FALSE),(VLOOKUP($S6281,References!$B$3:$C$7,2,FALSE))),"")</f>
        <v/>
      </c>
      <c r="W6281" s="74" t="str">
        <f>IFERROR(VLOOKUP($O6281,'Customer List'!$A$1:$J$488,10,FALSE),"")</f>
        <v/>
      </c>
    </row>
    <row r="6282" spans="18:23">
      <c r="R6282" s="127">
        <f t="shared" si="271"/>
        <v>0</v>
      </c>
      <c r="T6282" s="128">
        <f t="shared" ref="T6282:T6345" si="272">IF(S6282="50 - Cleaning Fee",1,HOUR($R6282)+MINUTE(R6282)/60)</f>
        <v>0</v>
      </c>
      <c r="U6282" s="129" t="str">
        <f>IFERROR(IF(#REF!="S",VLOOKUP('Raw Data'!A6282,References!#REF!,2,FALSE),(VLOOKUP($S6282,References!$B$3:$C$7,2,FALSE))),"")</f>
        <v/>
      </c>
      <c r="W6282" s="74" t="str">
        <f>IFERROR(VLOOKUP($O6282,'Customer List'!$A$1:$J$488,10,FALSE),"")</f>
        <v/>
      </c>
    </row>
    <row r="6283" spans="18:23">
      <c r="R6283" s="127">
        <f t="shared" si="271"/>
        <v>0</v>
      </c>
      <c r="T6283" s="128">
        <f t="shared" si="272"/>
        <v>0</v>
      </c>
      <c r="U6283" s="129" t="str">
        <f>IFERROR(IF(#REF!="S",VLOOKUP('Raw Data'!A6283,References!#REF!,2,FALSE),(VLOOKUP($S6283,References!$B$3:$C$7,2,FALSE))),"")</f>
        <v/>
      </c>
      <c r="W6283" s="74" t="str">
        <f>IFERROR(VLOOKUP($O6283,'Customer List'!$A$1:$J$488,10,FALSE),"")</f>
        <v/>
      </c>
    </row>
    <row r="6284" spans="18:23">
      <c r="R6284" s="127">
        <f t="shared" si="271"/>
        <v>0</v>
      </c>
      <c r="T6284" s="128">
        <f t="shared" si="272"/>
        <v>0</v>
      </c>
      <c r="U6284" s="129" t="str">
        <f>IFERROR(IF(#REF!="S",VLOOKUP('Raw Data'!A6284,References!#REF!,2,FALSE),(VLOOKUP($S6284,References!$B$3:$C$7,2,FALSE))),"")</f>
        <v/>
      </c>
      <c r="W6284" s="74" t="str">
        <f>IFERROR(VLOOKUP($O6284,'Customer List'!$A$1:$J$488,10,FALSE),"")</f>
        <v/>
      </c>
    </row>
    <row r="6285" spans="18:23">
      <c r="R6285" s="127">
        <f t="shared" si="271"/>
        <v>0</v>
      </c>
      <c r="T6285" s="128">
        <f t="shared" si="272"/>
        <v>0</v>
      </c>
      <c r="U6285" s="129" t="str">
        <f>IFERROR(IF(#REF!="S",VLOOKUP('Raw Data'!A6285,References!#REF!,2,FALSE),(VLOOKUP($S6285,References!$B$3:$C$7,2,FALSE))),"")</f>
        <v/>
      </c>
      <c r="W6285" s="74" t="str">
        <f>IFERROR(VLOOKUP($O6285,'Customer List'!$A$1:$J$488,10,FALSE),"")</f>
        <v/>
      </c>
    </row>
    <row r="6286" spans="18:23">
      <c r="R6286" s="127">
        <f t="shared" si="271"/>
        <v>0</v>
      </c>
      <c r="T6286" s="128">
        <f t="shared" si="272"/>
        <v>0</v>
      </c>
      <c r="U6286" s="129" t="str">
        <f>IFERROR(IF(#REF!="S",VLOOKUP('Raw Data'!A6286,References!#REF!,2,FALSE),(VLOOKUP($S6286,References!$B$3:$C$7,2,FALSE))),"")</f>
        <v/>
      </c>
      <c r="W6286" s="74" t="str">
        <f>IFERROR(VLOOKUP($O6286,'Customer List'!$A$1:$J$488,10,FALSE),"")</f>
        <v/>
      </c>
    </row>
    <row r="6287" spans="18:23">
      <c r="R6287" s="127">
        <f t="shared" si="271"/>
        <v>0</v>
      </c>
      <c r="T6287" s="128">
        <f t="shared" si="272"/>
        <v>0</v>
      </c>
      <c r="U6287" s="129" t="str">
        <f>IFERROR(IF(#REF!="S",VLOOKUP('Raw Data'!A6287,References!#REF!,2,FALSE),(VLOOKUP($S6287,References!$B$3:$C$7,2,FALSE))),"")</f>
        <v/>
      </c>
      <c r="W6287" s="74" t="str">
        <f>IFERROR(VLOOKUP($O6287,'Customer List'!$A$1:$J$488,10,FALSE),"")</f>
        <v/>
      </c>
    </row>
    <row r="6288" spans="18:23">
      <c r="R6288" s="127">
        <f t="shared" si="271"/>
        <v>0</v>
      </c>
      <c r="T6288" s="128">
        <f t="shared" si="272"/>
        <v>0</v>
      </c>
      <c r="U6288" s="129" t="str">
        <f>IFERROR(IF(#REF!="S",VLOOKUP('Raw Data'!A6288,References!#REF!,2,FALSE),(VLOOKUP($S6288,References!$B$3:$C$7,2,FALSE))),"")</f>
        <v/>
      </c>
      <c r="W6288" s="74" t="str">
        <f>IFERROR(VLOOKUP($O6288,'Customer List'!$A$1:$J$488,10,FALSE),"")</f>
        <v/>
      </c>
    </row>
    <row r="6289" spans="18:23">
      <c r="R6289" s="127">
        <f t="shared" si="271"/>
        <v>0</v>
      </c>
      <c r="T6289" s="128">
        <f t="shared" si="272"/>
        <v>0</v>
      </c>
      <c r="U6289" s="129" t="str">
        <f>IFERROR(IF(#REF!="S",VLOOKUP('Raw Data'!A6289,References!#REF!,2,FALSE),(VLOOKUP($S6289,References!$B$3:$C$7,2,FALSE))),"")</f>
        <v/>
      </c>
      <c r="W6289" s="74" t="str">
        <f>IFERROR(VLOOKUP($O6289,'Customer List'!$A$1:$J$488,10,FALSE),"")</f>
        <v/>
      </c>
    </row>
    <row r="6290" spans="18:23">
      <c r="R6290" s="127">
        <f t="shared" si="271"/>
        <v>0</v>
      </c>
      <c r="T6290" s="128">
        <f t="shared" si="272"/>
        <v>0</v>
      </c>
      <c r="U6290" s="129" t="str">
        <f>IFERROR(IF(#REF!="S",VLOOKUP('Raw Data'!A6290,References!#REF!,2,FALSE),(VLOOKUP($S6290,References!$B$3:$C$7,2,FALSE))),"")</f>
        <v/>
      </c>
      <c r="W6290" s="74" t="str">
        <f>IFERROR(VLOOKUP($O6290,'Customer List'!$A$1:$J$488,10,FALSE),"")</f>
        <v/>
      </c>
    </row>
    <row r="6291" spans="18:23">
      <c r="R6291" s="127">
        <f t="shared" si="271"/>
        <v>0</v>
      </c>
      <c r="T6291" s="128">
        <f t="shared" si="272"/>
        <v>0</v>
      </c>
      <c r="U6291" s="129" t="str">
        <f>IFERROR(IF(#REF!="S",VLOOKUP('Raw Data'!A6291,References!#REF!,2,FALSE),(VLOOKUP($S6291,References!$B$3:$C$7,2,FALSE))),"")</f>
        <v/>
      </c>
      <c r="W6291" s="74" t="str">
        <f>IFERROR(VLOOKUP($O6291,'Customer List'!$A$1:$J$488,10,FALSE),"")</f>
        <v/>
      </c>
    </row>
    <row r="6292" spans="18:23">
      <c r="R6292" s="127">
        <f t="shared" si="271"/>
        <v>0</v>
      </c>
      <c r="T6292" s="128">
        <f t="shared" si="272"/>
        <v>0</v>
      </c>
      <c r="U6292" s="129" t="str">
        <f>IFERROR(IF(#REF!="S",VLOOKUP('Raw Data'!A6292,References!#REF!,2,FALSE),(VLOOKUP($S6292,References!$B$3:$C$7,2,FALSE))),"")</f>
        <v/>
      </c>
      <c r="W6292" s="74" t="str">
        <f>IFERROR(VLOOKUP($O6292,'Customer List'!$A$1:$J$488,10,FALSE),"")</f>
        <v/>
      </c>
    </row>
    <row r="6293" spans="18:23">
      <c r="R6293" s="127">
        <f t="shared" si="271"/>
        <v>0</v>
      </c>
      <c r="T6293" s="128">
        <f t="shared" si="272"/>
        <v>0</v>
      </c>
      <c r="U6293" s="129" t="str">
        <f>IFERROR(IF(#REF!="S",VLOOKUP('Raw Data'!A6293,References!#REF!,2,FALSE),(VLOOKUP($S6293,References!$B$3:$C$7,2,FALSE))),"")</f>
        <v/>
      </c>
      <c r="W6293" s="74" t="str">
        <f>IFERROR(VLOOKUP($O6293,'Customer List'!$A$1:$J$488,10,FALSE),"")</f>
        <v/>
      </c>
    </row>
    <row r="6294" spans="18:23">
      <c r="R6294" s="127">
        <f t="shared" si="271"/>
        <v>0</v>
      </c>
      <c r="T6294" s="128">
        <f t="shared" si="272"/>
        <v>0</v>
      </c>
      <c r="U6294" s="129" t="str">
        <f>IFERROR(IF(#REF!="S",VLOOKUP('Raw Data'!A6294,References!#REF!,2,FALSE),(VLOOKUP($S6294,References!$B$3:$C$7,2,FALSE))),"")</f>
        <v/>
      </c>
      <c r="W6294" s="74" t="str">
        <f>IFERROR(VLOOKUP($O6294,'Customer List'!$A$1:$J$488,10,FALSE),"")</f>
        <v/>
      </c>
    </row>
    <row r="6295" spans="18:23">
      <c r="R6295" s="127">
        <f t="shared" si="271"/>
        <v>0</v>
      </c>
      <c r="T6295" s="128">
        <f t="shared" si="272"/>
        <v>0</v>
      </c>
      <c r="U6295" s="129" t="str">
        <f>IFERROR(IF(#REF!="S",VLOOKUP('Raw Data'!A6295,References!#REF!,2,FALSE),(VLOOKUP($S6295,References!$B$3:$C$7,2,FALSE))),"")</f>
        <v/>
      </c>
      <c r="W6295" s="74" t="str">
        <f>IFERROR(VLOOKUP($O6295,'Customer List'!$A$1:$J$488,10,FALSE),"")</f>
        <v/>
      </c>
    </row>
    <row r="6296" spans="18:23">
      <c r="R6296" s="127">
        <f t="shared" si="271"/>
        <v>0</v>
      </c>
      <c r="T6296" s="128">
        <f t="shared" si="272"/>
        <v>0</v>
      </c>
      <c r="U6296" s="129" t="str">
        <f>IFERROR(IF(#REF!="S",VLOOKUP('Raw Data'!A6296,References!#REF!,2,FALSE),(VLOOKUP($S6296,References!$B$3:$C$7,2,FALSE))),"")</f>
        <v/>
      </c>
      <c r="W6296" s="74" t="str">
        <f>IFERROR(VLOOKUP($O6296,'Customer List'!$A$1:$J$488,10,FALSE),"")</f>
        <v/>
      </c>
    </row>
    <row r="6297" spans="18:23">
      <c r="R6297" s="127">
        <f t="shared" si="271"/>
        <v>0</v>
      </c>
      <c r="T6297" s="128">
        <f t="shared" si="272"/>
        <v>0</v>
      </c>
      <c r="U6297" s="129" t="str">
        <f>IFERROR(IF(#REF!="S",VLOOKUP('Raw Data'!A6297,References!#REF!,2,FALSE),(VLOOKUP($S6297,References!$B$3:$C$7,2,FALSE))),"")</f>
        <v/>
      </c>
      <c r="W6297" s="74" t="str">
        <f>IFERROR(VLOOKUP($O6297,'Customer List'!$A$1:$J$488,10,FALSE),"")</f>
        <v/>
      </c>
    </row>
    <row r="6298" spans="18:23">
      <c r="R6298" s="127">
        <f t="shared" si="271"/>
        <v>0</v>
      </c>
      <c r="T6298" s="128">
        <f t="shared" si="272"/>
        <v>0</v>
      </c>
      <c r="U6298" s="129" t="str">
        <f>IFERROR(IF(#REF!="S",VLOOKUP('Raw Data'!A6298,References!#REF!,2,FALSE),(VLOOKUP($S6298,References!$B$3:$C$7,2,FALSE))),"")</f>
        <v/>
      </c>
      <c r="W6298" s="74" t="str">
        <f>IFERROR(VLOOKUP($O6298,'Customer List'!$A$1:$J$488,10,FALSE),"")</f>
        <v/>
      </c>
    </row>
    <row r="6299" spans="18:23">
      <c r="R6299" s="127">
        <f t="shared" si="271"/>
        <v>0</v>
      </c>
      <c r="T6299" s="128">
        <f t="shared" si="272"/>
        <v>0</v>
      </c>
      <c r="U6299" s="129" t="str">
        <f>IFERROR(IF(#REF!="S",VLOOKUP('Raw Data'!A6299,References!#REF!,2,FALSE),(VLOOKUP($S6299,References!$B$3:$C$7,2,FALSE))),"")</f>
        <v/>
      </c>
      <c r="W6299" s="74" t="str">
        <f>IFERROR(VLOOKUP($O6299,'Customer List'!$A$1:$J$488,10,FALSE),"")</f>
        <v/>
      </c>
    </row>
    <row r="6300" spans="18:23">
      <c r="R6300" s="127">
        <f t="shared" si="271"/>
        <v>0</v>
      </c>
      <c r="T6300" s="128">
        <f t="shared" si="272"/>
        <v>0</v>
      </c>
      <c r="U6300" s="129" t="str">
        <f>IFERROR(IF(#REF!="S",VLOOKUP('Raw Data'!A6300,References!#REF!,2,FALSE),(VLOOKUP($S6300,References!$B$3:$C$7,2,FALSE))),"")</f>
        <v/>
      </c>
      <c r="W6300" s="74" t="str">
        <f>IFERROR(VLOOKUP($O6300,'Customer List'!$A$1:$J$488,10,FALSE),"")</f>
        <v/>
      </c>
    </row>
    <row r="6301" spans="18:23">
      <c r="R6301" s="127">
        <f t="shared" si="271"/>
        <v>0</v>
      </c>
      <c r="T6301" s="128">
        <f t="shared" si="272"/>
        <v>0</v>
      </c>
      <c r="U6301" s="129" t="str">
        <f>IFERROR(IF(#REF!="S",VLOOKUP('Raw Data'!A6301,References!#REF!,2,FALSE),(VLOOKUP($S6301,References!$B$3:$C$7,2,FALSE))),"")</f>
        <v/>
      </c>
      <c r="W6301" s="74" t="str">
        <f>IFERROR(VLOOKUP($O6301,'Customer List'!$A$1:$J$488,10,FALSE),"")</f>
        <v/>
      </c>
    </row>
    <row r="6302" spans="18:23">
      <c r="R6302" s="127">
        <f t="shared" si="271"/>
        <v>0</v>
      </c>
      <c r="T6302" s="128">
        <f t="shared" si="272"/>
        <v>0</v>
      </c>
      <c r="U6302" s="129" t="str">
        <f>IFERROR(IF(#REF!="S",VLOOKUP('Raw Data'!A6302,References!#REF!,2,FALSE),(VLOOKUP($S6302,References!$B$3:$C$7,2,FALSE))),"")</f>
        <v/>
      </c>
      <c r="W6302" s="74" t="str">
        <f>IFERROR(VLOOKUP($O6302,'Customer List'!$A$1:$J$488,10,FALSE),"")</f>
        <v/>
      </c>
    </row>
    <row r="6303" spans="18:23">
      <c r="R6303" s="127">
        <f t="shared" si="271"/>
        <v>0</v>
      </c>
      <c r="T6303" s="128">
        <f t="shared" si="272"/>
        <v>0</v>
      </c>
      <c r="U6303" s="129" t="str">
        <f>IFERROR(IF(#REF!="S",VLOOKUP('Raw Data'!A6303,References!#REF!,2,FALSE),(VLOOKUP($S6303,References!$B$3:$C$7,2,FALSE))),"")</f>
        <v/>
      </c>
      <c r="W6303" s="74" t="str">
        <f>IFERROR(VLOOKUP($O6303,'Customer List'!$A$1:$J$488,10,FALSE),"")</f>
        <v/>
      </c>
    </row>
    <row r="6304" spans="18:23">
      <c r="R6304" s="127">
        <f t="shared" si="271"/>
        <v>0</v>
      </c>
      <c r="T6304" s="128">
        <f t="shared" si="272"/>
        <v>0</v>
      </c>
      <c r="U6304" s="129" t="str">
        <f>IFERROR(IF(#REF!="S",VLOOKUP('Raw Data'!A6304,References!#REF!,2,FALSE),(VLOOKUP($S6304,References!$B$3:$C$7,2,FALSE))),"")</f>
        <v/>
      </c>
      <c r="W6304" s="74" t="str">
        <f>IFERROR(VLOOKUP($O6304,'Customer List'!$A$1:$J$488,10,FALSE),"")</f>
        <v/>
      </c>
    </row>
    <row r="6305" spans="18:23">
      <c r="R6305" s="127">
        <f t="shared" si="271"/>
        <v>0</v>
      </c>
      <c r="T6305" s="128">
        <f t="shared" si="272"/>
        <v>0</v>
      </c>
      <c r="U6305" s="129" t="str">
        <f>IFERROR(IF(#REF!="S",VLOOKUP('Raw Data'!A6305,References!#REF!,2,FALSE),(VLOOKUP($S6305,References!$B$3:$C$7,2,FALSE))),"")</f>
        <v/>
      </c>
      <c r="W6305" s="74" t="str">
        <f>IFERROR(VLOOKUP($O6305,'Customer List'!$A$1:$J$488,10,FALSE),"")</f>
        <v/>
      </c>
    </row>
    <row r="6306" spans="18:23">
      <c r="R6306" s="127">
        <f t="shared" ref="R6306:R6369" si="273">L6306-K6306</f>
        <v>0</v>
      </c>
      <c r="T6306" s="128">
        <f t="shared" si="272"/>
        <v>0</v>
      </c>
      <c r="U6306" s="129" t="str">
        <f>IFERROR(IF(#REF!="S",VLOOKUP('Raw Data'!A6306,References!#REF!,2,FALSE),(VLOOKUP($S6306,References!$B$3:$C$7,2,FALSE))),"")</f>
        <v/>
      </c>
      <c r="W6306" s="74" t="str">
        <f>IFERROR(VLOOKUP($O6306,'Customer List'!$A$1:$J$488,10,FALSE),"")</f>
        <v/>
      </c>
    </row>
    <row r="6307" spans="18:23">
      <c r="R6307" s="127">
        <f t="shared" si="273"/>
        <v>0</v>
      </c>
      <c r="T6307" s="128">
        <f t="shared" si="272"/>
        <v>0</v>
      </c>
      <c r="U6307" s="129" t="str">
        <f>IFERROR(IF(#REF!="S",VLOOKUP('Raw Data'!A6307,References!#REF!,2,FALSE),(VLOOKUP($S6307,References!$B$3:$C$7,2,FALSE))),"")</f>
        <v/>
      </c>
      <c r="W6307" s="74" t="str">
        <f>IFERROR(VLOOKUP($O6307,'Customer List'!$A$1:$J$488,10,FALSE),"")</f>
        <v/>
      </c>
    </row>
    <row r="6308" spans="18:23">
      <c r="R6308" s="127">
        <f t="shared" si="273"/>
        <v>0</v>
      </c>
      <c r="T6308" s="128">
        <f t="shared" si="272"/>
        <v>0</v>
      </c>
      <c r="U6308" s="129" t="str">
        <f>IFERROR(IF(#REF!="S",VLOOKUP('Raw Data'!A6308,References!#REF!,2,FALSE),(VLOOKUP($S6308,References!$B$3:$C$7,2,FALSE))),"")</f>
        <v/>
      </c>
      <c r="W6308" s="74" t="str">
        <f>IFERROR(VLOOKUP($O6308,'Customer List'!$A$1:$J$488,10,FALSE),"")</f>
        <v/>
      </c>
    </row>
    <row r="6309" spans="18:23">
      <c r="R6309" s="127">
        <f t="shared" si="273"/>
        <v>0</v>
      </c>
      <c r="T6309" s="128">
        <f t="shared" si="272"/>
        <v>0</v>
      </c>
      <c r="U6309" s="129" t="str">
        <f>IFERROR(IF(#REF!="S",VLOOKUP('Raw Data'!A6309,References!#REF!,2,FALSE),(VLOOKUP($S6309,References!$B$3:$C$7,2,FALSE))),"")</f>
        <v/>
      </c>
      <c r="W6309" s="74" t="str">
        <f>IFERROR(VLOOKUP($O6309,'Customer List'!$A$1:$J$488,10,FALSE),"")</f>
        <v/>
      </c>
    </row>
    <row r="6310" spans="18:23">
      <c r="R6310" s="127">
        <f t="shared" si="273"/>
        <v>0</v>
      </c>
      <c r="T6310" s="128">
        <f t="shared" si="272"/>
        <v>0</v>
      </c>
      <c r="U6310" s="129" t="str">
        <f>IFERROR(IF(#REF!="S",VLOOKUP('Raw Data'!A6310,References!#REF!,2,FALSE),(VLOOKUP($S6310,References!$B$3:$C$7,2,FALSE))),"")</f>
        <v/>
      </c>
      <c r="W6310" s="74" t="str">
        <f>IFERROR(VLOOKUP($O6310,'Customer List'!$A$1:$J$488,10,FALSE),"")</f>
        <v/>
      </c>
    </row>
    <row r="6311" spans="18:23">
      <c r="R6311" s="127">
        <f t="shared" si="273"/>
        <v>0</v>
      </c>
      <c r="T6311" s="128">
        <f t="shared" si="272"/>
        <v>0</v>
      </c>
      <c r="U6311" s="129" t="str">
        <f>IFERROR(IF(#REF!="S",VLOOKUP('Raw Data'!A6311,References!#REF!,2,FALSE),(VLOOKUP($S6311,References!$B$3:$C$7,2,FALSE))),"")</f>
        <v/>
      </c>
      <c r="W6311" s="74" t="str">
        <f>IFERROR(VLOOKUP($O6311,'Customer List'!$A$1:$J$488,10,FALSE),"")</f>
        <v/>
      </c>
    </row>
    <row r="6312" spans="18:23">
      <c r="R6312" s="127">
        <f t="shared" si="273"/>
        <v>0</v>
      </c>
      <c r="T6312" s="128">
        <f t="shared" si="272"/>
        <v>0</v>
      </c>
      <c r="U6312" s="129" t="str">
        <f>IFERROR(IF(#REF!="S",VLOOKUP('Raw Data'!A6312,References!#REF!,2,FALSE),(VLOOKUP($S6312,References!$B$3:$C$7,2,FALSE))),"")</f>
        <v/>
      </c>
      <c r="W6312" s="74" t="str">
        <f>IFERROR(VLOOKUP($O6312,'Customer List'!$A$1:$J$488,10,FALSE),"")</f>
        <v/>
      </c>
    </row>
    <row r="6313" spans="18:23">
      <c r="R6313" s="127">
        <f t="shared" si="273"/>
        <v>0</v>
      </c>
      <c r="T6313" s="128">
        <f t="shared" si="272"/>
        <v>0</v>
      </c>
      <c r="U6313" s="129" t="str">
        <f>IFERROR(IF(#REF!="S",VLOOKUP('Raw Data'!A6313,References!#REF!,2,FALSE),(VLOOKUP($S6313,References!$B$3:$C$7,2,FALSE))),"")</f>
        <v/>
      </c>
      <c r="W6313" s="74" t="str">
        <f>IFERROR(VLOOKUP($O6313,'Customer List'!$A$1:$J$488,10,FALSE),"")</f>
        <v/>
      </c>
    </row>
    <row r="6314" spans="18:23">
      <c r="R6314" s="127">
        <f t="shared" si="273"/>
        <v>0</v>
      </c>
      <c r="T6314" s="128">
        <f t="shared" si="272"/>
        <v>0</v>
      </c>
      <c r="U6314" s="129" t="str">
        <f>IFERROR(IF(#REF!="S",VLOOKUP('Raw Data'!A6314,References!#REF!,2,FALSE),(VLOOKUP($S6314,References!$B$3:$C$7,2,FALSE))),"")</f>
        <v/>
      </c>
      <c r="W6314" s="74" t="str">
        <f>IFERROR(VLOOKUP($O6314,'Customer List'!$A$1:$J$488,10,FALSE),"")</f>
        <v/>
      </c>
    </row>
    <row r="6315" spans="18:23">
      <c r="R6315" s="127">
        <f t="shared" si="273"/>
        <v>0</v>
      </c>
      <c r="T6315" s="128">
        <f t="shared" si="272"/>
        <v>0</v>
      </c>
      <c r="U6315" s="129" t="str">
        <f>IFERROR(IF(#REF!="S",VLOOKUP('Raw Data'!A6315,References!#REF!,2,FALSE),(VLOOKUP($S6315,References!$B$3:$C$7,2,FALSE))),"")</f>
        <v/>
      </c>
      <c r="W6315" s="74" t="str">
        <f>IFERROR(VLOOKUP($O6315,'Customer List'!$A$1:$J$488,10,FALSE),"")</f>
        <v/>
      </c>
    </row>
    <row r="6316" spans="18:23">
      <c r="R6316" s="127">
        <f t="shared" si="273"/>
        <v>0</v>
      </c>
      <c r="T6316" s="128">
        <f t="shared" si="272"/>
        <v>0</v>
      </c>
      <c r="U6316" s="129" t="str">
        <f>IFERROR(IF(#REF!="S",VLOOKUP('Raw Data'!A6316,References!#REF!,2,FALSE),(VLOOKUP($S6316,References!$B$3:$C$7,2,FALSE))),"")</f>
        <v/>
      </c>
      <c r="W6316" s="74" t="str">
        <f>IFERROR(VLOOKUP($O6316,'Customer List'!$A$1:$J$488,10,FALSE),"")</f>
        <v/>
      </c>
    </row>
    <row r="6317" spans="18:23">
      <c r="R6317" s="127">
        <f t="shared" si="273"/>
        <v>0</v>
      </c>
      <c r="T6317" s="128">
        <f t="shared" si="272"/>
        <v>0</v>
      </c>
      <c r="U6317" s="129" t="str">
        <f>IFERROR(IF(#REF!="S",VLOOKUP('Raw Data'!A6317,References!#REF!,2,FALSE),(VLOOKUP($S6317,References!$B$3:$C$7,2,FALSE))),"")</f>
        <v/>
      </c>
      <c r="W6317" s="74" t="str">
        <f>IFERROR(VLOOKUP($O6317,'Customer List'!$A$1:$J$488,10,FALSE),"")</f>
        <v/>
      </c>
    </row>
    <row r="6318" spans="18:23">
      <c r="R6318" s="127">
        <f t="shared" si="273"/>
        <v>0</v>
      </c>
      <c r="T6318" s="128">
        <f t="shared" si="272"/>
        <v>0</v>
      </c>
      <c r="U6318" s="129" t="str">
        <f>IFERROR(IF(#REF!="S",VLOOKUP('Raw Data'!A6318,References!#REF!,2,FALSE),(VLOOKUP($S6318,References!$B$3:$C$7,2,FALSE))),"")</f>
        <v/>
      </c>
      <c r="W6318" s="74" t="str">
        <f>IFERROR(VLOOKUP($O6318,'Customer List'!$A$1:$J$488,10,FALSE),"")</f>
        <v/>
      </c>
    </row>
    <row r="6319" spans="18:23">
      <c r="R6319" s="127">
        <f t="shared" si="273"/>
        <v>0</v>
      </c>
      <c r="T6319" s="128">
        <f t="shared" si="272"/>
        <v>0</v>
      </c>
      <c r="U6319" s="129" t="str">
        <f>IFERROR(IF(#REF!="S",VLOOKUP('Raw Data'!A6319,References!#REF!,2,FALSE),(VLOOKUP($S6319,References!$B$3:$C$7,2,FALSE))),"")</f>
        <v/>
      </c>
      <c r="W6319" s="74" t="str">
        <f>IFERROR(VLOOKUP($O6319,'Customer List'!$A$1:$J$488,10,FALSE),"")</f>
        <v/>
      </c>
    </row>
    <row r="6320" spans="18:23">
      <c r="R6320" s="127">
        <f t="shared" si="273"/>
        <v>0</v>
      </c>
      <c r="T6320" s="128">
        <f t="shared" si="272"/>
        <v>0</v>
      </c>
      <c r="U6320" s="129" t="str">
        <f>IFERROR(IF(#REF!="S",VLOOKUP('Raw Data'!A6320,References!#REF!,2,FALSE),(VLOOKUP($S6320,References!$B$3:$C$7,2,FALSE))),"")</f>
        <v/>
      </c>
      <c r="W6320" s="74" t="str">
        <f>IFERROR(VLOOKUP($O6320,'Customer List'!$A$1:$J$488,10,FALSE),"")</f>
        <v/>
      </c>
    </row>
    <row r="6321" spans="18:23">
      <c r="R6321" s="127">
        <f t="shared" si="273"/>
        <v>0</v>
      </c>
      <c r="T6321" s="128">
        <f t="shared" si="272"/>
        <v>0</v>
      </c>
      <c r="U6321" s="129" t="str">
        <f>IFERROR(IF(#REF!="S",VLOOKUP('Raw Data'!A6321,References!#REF!,2,FALSE),(VLOOKUP($S6321,References!$B$3:$C$7,2,FALSE))),"")</f>
        <v/>
      </c>
      <c r="W6321" s="74" t="str">
        <f>IFERROR(VLOOKUP($O6321,'Customer List'!$A$1:$J$488,10,FALSE),"")</f>
        <v/>
      </c>
    </row>
    <row r="6322" spans="18:23">
      <c r="R6322" s="127">
        <f t="shared" si="273"/>
        <v>0</v>
      </c>
      <c r="T6322" s="128">
        <f t="shared" si="272"/>
        <v>0</v>
      </c>
      <c r="U6322" s="129" t="str">
        <f>IFERROR(IF(#REF!="S",VLOOKUP('Raw Data'!A6322,References!#REF!,2,FALSE),(VLOOKUP($S6322,References!$B$3:$C$7,2,FALSE))),"")</f>
        <v/>
      </c>
      <c r="W6322" s="74" t="str">
        <f>IFERROR(VLOOKUP($O6322,'Customer List'!$A$1:$J$488,10,FALSE),"")</f>
        <v/>
      </c>
    </row>
    <row r="6323" spans="18:23">
      <c r="R6323" s="127">
        <f t="shared" si="273"/>
        <v>0</v>
      </c>
      <c r="T6323" s="128">
        <f t="shared" si="272"/>
        <v>0</v>
      </c>
      <c r="U6323" s="129" t="str">
        <f>IFERROR(IF(#REF!="S",VLOOKUP('Raw Data'!A6323,References!#REF!,2,FALSE),(VLOOKUP($S6323,References!$B$3:$C$7,2,FALSE))),"")</f>
        <v/>
      </c>
      <c r="W6323" s="74" t="str">
        <f>IFERROR(VLOOKUP($O6323,'Customer List'!$A$1:$J$488,10,FALSE),"")</f>
        <v/>
      </c>
    </row>
    <row r="6324" spans="18:23">
      <c r="R6324" s="127">
        <f t="shared" si="273"/>
        <v>0</v>
      </c>
      <c r="T6324" s="128">
        <f t="shared" si="272"/>
        <v>0</v>
      </c>
      <c r="U6324" s="129" t="str">
        <f>IFERROR(IF(#REF!="S",VLOOKUP('Raw Data'!A6324,References!#REF!,2,FALSE),(VLOOKUP($S6324,References!$B$3:$C$7,2,FALSE))),"")</f>
        <v/>
      </c>
      <c r="W6324" s="74" t="str">
        <f>IFERROR(VLOOKUP($O6324,'Customer List'!$A$1:$J$488,10,FALSE),"")</f>
        <v/>
      </c>
    </row>
    <row r="6325" spans="18:23">
      <c r="R6325" s="127">
        <f t="shared" si="273"/>
        <v>0</v>
      </c>
      <c r="T6325" s="128">
        <f t="shared" si="272"/>
        <v>0</v>
      </c>
      <c r="U6325" s="129" t="str">
        <f>IFERROR(IF(#REF!="S",VLOOKUP('Raw Data'!A6325,References!#REF!,2,FALSE),(VLOOKUP($S6325,References!$B$3:$C$7,2,FALSE))),"")</f>
        <v/>
      </c>
      <c r="W6325" s="74" t="str">
        <f>IFERROR(VLOOKUP($O6325,'Customer List'!$A$1:$J$488,10,FALSE),"")</f>
        <v/>
      </c>
    </row>
    <row r="6326" spans="18:23">
      <c r="R6326" s="127">
        <f t="shared" si="273"/>
        <v>0</v>
      </c>
      <c r="T6326" s="128">
        <f t="shared" si="272"/>
        <v>0</v>
      </c>
      <c r="U6326" s="129" t="str">
        <f>IFERROR(IF(#REF!="S",VLOOKUP('Raw Data'!A6326,References!#REF!,2,FALSE),(VLOOKUP($S6326,References!$B$3:$C$7,2,FALSE))),"")</f>
        <v/>
      </c>
      <c r="W6326" s="74" t="str">
        <f>IFERROR(VLOOKUP($O6326,'Customer List'!$A$1:$J$488,10,FALSE),"")</f>
        <v/>
      </c>
    </row>
    <row r="6327" spans="18:23">
      <c r="R6327" s="127">
        <f t="shared" si="273"/>
        <v>0</v>
      </c>
      <c r="T6327" s="128">
        <f t="shared" si="272"/>
        <v>0</v>
      </c>
      <c r="U6327" s="129" t="str">
        <f>IFERROR(IF(#REF!="S",VLOOKUP('Raw Data'!A6327,References!#REF!,2,FALSE),(VLOOKUP($S6327,References!$B$3:$C$7,2,FALSE))),"")</f>
        <v/>
      </c>
      <c r="W6327" s="74" t="str">
        <f>IFERROR(VLOOKUP($O6327,'Customer List'!$A$1:$J$488,10,FALSE),"")</f>
        <v/>
      </c>
    </row>
    <row r="6328" spans="18:23">
      <c r="R6328" s="127">
        <f t="shared" si="273"/>
        <v>0</v>
      </c>
      <c r="T6328" s="128">
        <f t="shared" si="272"/>
        <v>0</v>
      </c>
      <c r="U6328" s="129" t="str">
        <f>IFERROR(IF(#REF!="S",VLOOKUP('Raw Data'!A6328,References!#REF!,2,FALSE),(VLOOKUP($S6328,References!$B$3:$C$7,2,FALSE))),"")</f>
        <v/>
      </c>
      <c r="W6328" s="74" t="str">
        <f>IFERROR(VLOOKUP($O6328,'Customer List'!$A$1:$J$488,10,FALSE),"")</f>
        <v/>
      </c>
    </row>
    <row r="6329" spans="18:23">
      <c r="R6329" s="127">
        <f t="shared" si="273"/>
        <v>0</v>
      </c>
      <c r="T6329" s="128">
        <f t="shared" si="272"/>
        <v>0</v>
      </c>
      <c r="U6329" s="129" t="str">
        <f>IFERROR(IF(#REF!="S",VLOOKUP('Raw Data'!A6329,References!#REF!,2,FALSE),(VLOOKUP($S6329,References!$B$3:$C$7,2,FALSE))),"")</f>
        <v/>
      </c>
      <c r="W6329" s="74" t="str">
        <f>IFERROR(VLOOKUP($O6329,'Customer List'!$A$1:$J$488,10,FALSE),"")</f>
        <v/>
      </c>
    </row>
    <row r="6330" spans="18:23">
      <c r="R6330" s="127">
        <f t="shared" si="273"/>
        <v>0</v>
      </c>
      <c r="T6330" s="128">
        <f t="shared" si="272"/>
        <v>0</v>
      </c>
      <c r="U6330" s="129" t="str">
        <f>IFERROR(IF(#REF!="S",VLOOKUP('Raw Data'!A6330,References!#REF!,2,FALSE),(VLOOKUP($S6330,References!$B$3:$C$7,2,FALSE))),"")</f>
        <v/>
      </c>
      <c r="W6330" s="74" t="str">
        <f>IFERROR(VLOOKUP($O6330,'Customer List'!$A$1:$J$488,10,FALSE),"")</f>
        <v/>
      </c>
    </row>
    <row r="6331" spans="18:23">
      <c r="R6331" s="127">
        <f t="shared" si="273"/>
        <v>0</v>
      </c>
      <c r="T6331" s="128">
        <f t="shared" si="272"/>
        <v>0</v>
      </c>
      <c r="U6331" s="129" t="str">
        <f>IFERROR(IF(#REF!="S",VLOOKUP('Raw Data'!A6331,References!#REF!,2,FALSE),(VLOOKUP($S6331,References!$B$3:$C$7,2,FALSE))),"")</f>
        <v/>
      </c>
      <c r="W6331" s="74" t="str">
        <f>IFERROR(VLOOKUP($O6331,'Customer List'!$A$1:$J$488,10,FALSE),"")</f>
        <v/>
      </c>
    </row>
    <row r="6332" spans="18:23">
      <c r="R6332" s="127">
        <f t="shared" si="273"/>
        <v>0</v>
      </c>
      <c r="T6332" s="128">
        <f t="shared" si="272"/>
        <v>0</v>
      </c>
      <c r="U6332" s="129" t="str">
        <f>IFERROR(IF(#REF!="S",VLOOKUP('Raw Data'!A6332,References!#REF!,2,FALSE),(VLOOKUP($S6332,References!$B$3:$C$7,2,FALSE))),"")</f>
        <v/>
      </c>
      <c r="W6332" s="74" t="str">
        <f>IFERROR(VLOOKUP($O6332,'Customer List'!$A$1:$J$488,10,FALSE),"")</f>
        <v/>
      </c>
    </row>
    <row r="6333" spans="18:23">
      <c r="R6333" s="127">
        <f t="shared" si="273"/>
        <v>0</v>
      </c>
      <c r="T6333" s="128">
        <f t="shared" si="272"/>
        <v>0</v>
      </c>
      <c r="U6333" s="129" t="str">
        <f>IFERROR(IF(#REF!="S",VLOOKUP('Raw Data'!A6333,References!#REF!,2,FALSE),(VLOOKUP($S6333,References!$B$3:$C$7,2,FALSE))),"")</f>
        <v/>
      </c>
      <c r="W6333" s="74" t="str">
        <f>IFERROR(VLOOKUP($O6333,'Customer List'!$A$1:$J$488,10,FALSE),"")</f>
        <v/>
      </c>
    </row>
    <row r="6334" spans="18:23">
      <c r="R6334" s="127">
        <f t="shared" si="273"/>
        <v>0</v>
      </c>
      <c r="T6334" s="128">
        <f t="shared" si="272"/>
        <v>0</v>
      </c>
      <c r="U6334" s="129" t="str">
        <f>IFERROR(IF(#REF!="S",VLOOKUP('Raw Data'!A6334,References!#REF!,2,FALSE),(VLOOKUP($S6334,References!$B$3:$C$7,2,FALSE))),"")</f>
        <v/>
      </c>
      <c r="W6334" s="74" t="str">
        <f>IFERROR(VLOOKUP($O6334,'Customer List'!$A$1:$J$488,10,FALSE),"")</f>
        <v/>
      </c>
    </row>
    <row r="6335" spans="18:23">
      <c r="R6335" s="127">
        <f t="shared" si="273"/>
        <v>0</v>
      </c>
      <c r="T6335" s="128">
        <f t="shared" si="272"/>
        <v>0</v>
      </c>
      <c r="U6335" s="129" t="str">
        <f>IFERROR(IF(#REF!="S",VLOOKUP('Raw Data'!A6335,References!#REF!,2,FALSE),(VLOOKUP($S6335,References!$B$3:$C$7,2,FALSE))),"")</f>
        <v/>
      </c>
      <c r="W6335" s="74" t="str">
        <f>IFERROR(VLOOKUP($O6335,'Customer List'!$A$1:$J$488,10,FALSE),"")</f>
        <v/>
      </c>
    </row>
    <row r="6336" spans="18:23">
      <c r="R6336" s="127">
        <f t="shared" si="273"/>
        <v>0</v>
      </c>
      <c r="T6336" s="128">
        <f t="shared" si="272"/>
        <v>0</v>
      </c>
      <c r="U6336" s="129" t="str">
        <f>IFERROR(IF(#REF!="S",VLOOKUP('Raw Data'!A6336,References!#REF!,2,FALSE),(VLOOKUP($S6336,References!$B$3:$C$7,2,FALSE))),"")</f>
        <v/>
      </c>
      <c r="W6336" s="74" t="str">
        <f>IFERROR(VLOOKUP($O6336,'Customer List'!$A$1:$J$488,10,FALSE),"")</f>
        <v/>
      </c>
    </row>
    <row r="6337" spans="18:23">
      <c r="R6337" s="127">
        <f t="shared" si="273"/>
        <v>0</v>
      </c>
      <c r="T6337" s="128">
        <f t="shared" si="272"/>
        <v>0</v>
      </c>
      <c r="U6337" s="129" t="str">
        <f>IFERROR(IF(#REF!="S",VLOOKUP('Raw Data'!A6337,References!#REF!,2,FALSE),(VLOOKUP($S6337,References!$B$3:$C$7,2,FALSE))),"")</f>
        <v/>
      </c>
      <c r="W6337" s="74" t="str">
        <f>IFERROR(VLOOKUP($O6337,'Customer List'!$A$1:$J$488,10,FALSE),"")</f>
        <v/>
      </c>
    </row>
    <row r="6338" spans="18:23">
      <c r="R6338" s="127">
        <f t="shared" si="273"/>
        <v>0</v>
      </c>
      <c r="T6338" s="128">
        <f t="shared" si="272"/>
        <v>0</v>
      </c>
      <c r="U6338" s="129" t="str">
        <f>IFERROR(IF(#REF!="S",VLOOKUP('Raw Data'!A6338,References!#REF!,2,FALSE),(VLOOKUP($S6338,References!$B$3:$C$7,2,FALSE))),"")</f>
        <v/>
      </c>
      <c r="W6338" s="74" t="str">
        <f>IFERROR(VLOOKUP($O6338,'Customer List'!$A$1:$J$488,10,FALSE),"")</f>
        <v/>
      </c>
    </row>
    <row r="6339" spans="18:23">
      <c r="R6339" s="127">
        <f t="shared" si="273"/>
        <v>0</v>
      </c>
      <c r="T6339" s="128">
        <f t="shared" si="272"/>
        <v>0</v>
      </c>
      <c r="U6339" s="129" t="str">
        <f>IFERROR(IF(#REF!="S",VLOOKUP('Raw Data'!A6339,References!#REF!,2,FALSE),(VLOOKUP($S6339,References!$B$3:$C$7,2,FALSE))),"")</f>
        <v/>
      </c>
      <c r="W6339" s="74" t="str">
        <f>IFERROR(VLOOKUP($O6339,'Customer List'!$A$1:$J$488,10,FALSE),"")</f>
        <v/>
      </c>
    </row>
    <row r="6340" spans="18:23">
      <c r="R6340" s="127">
        <f t="shared" si="273"/>
        <v>0</v>
      </c>
      <c r="T6340" s="128">
        <f t="shared" si="272"/>
        <v>0</v>
      </c>
      <c r="U6340" s="129" t="str">
        <f>IFERROR(IF(#REF!="S",VLOOKUP('Raw Data'!A6340,References!#REF!,2,FALSE),(VLOOKUP($S6340,References!$B$3:$C$7,2,FALSE))),"")</f>
        <v/>
      </c>
      <c r="W6340" s="74" t="str">
        <f>IFERROR(VLOOKUP($O6340,'Customer List'!$A$1:$J$488,10,FALSE),"")</f>
        <v/>
      </c>
    </row>
    <row r="6341" spans="18:23">
      <c r="R6341" s="127">
        <f t="shared" si="273"/>
        <v>0</v>
      </c>
      <c r="T6341" s="128">
        <f t="shared" si="272"/>
        <v>0</v>
      </c>
      <c r="U6341" s="129" t="str">
        <f>IFERROR(IF(#REF!="S",VLOOKUP('Raw Data'!A6341,References!#REF!,2,FALSE),(VLOOKUP($S6341,References!$B$3:$C$7,2,FALSE))),"")</f>
        <v/>
      </c>
      <c r="W6341" s="74" t="str">
        <f>IFERROR(VLOOKUP($O6341,'Customer List'!$A$1:$J$488,10,FALSE),"")</f>
        <v/>
      </c>
    </row>
    <row r="6342" spans="18:23">
      <c r="R6342" s="127">
        <f t="shared" si="273"/>
        <v>0</v>
      </c>
      <c r="T6342" s="128">
        <f t="shared" si="272"/>
        <v>0</v>
      </c>
      <c r="U6342" s="129" t="str">
        <f>IFERROR(IF(#REF!="S",VLOOKUP('Raw Data'!A6342,References!#REF!,2,FALSE),(VLOOKUP($S6342,References!$B$3:$C$7,2,FALSE))),"")</f>
        <v/>
      </c>
      <c r="W6342" s="74" t="str">
        <f>IFERROR(VLOOKUP($O6342,'Customer List'!$A$1:$J$488,10,FALSE),"")</f>
        <v/>
      </c>
    </row>
    <row r="6343" spans="18:23">
      <c r="R6343" s="127">
        <f t="shared" si="273"/>
        <v>0</v>
      </c>
      <c r="T6343" s="128">
        <f t="shared" si="272"/>
        <v>0</v>
      </c>
      <c r="U6343" s="129" t="str">
        <f>IFERROR(IF(#REF!="S",VLOOKUP('Raw Data'!A6343,References!#REF!,2,FALSE),(VLOOKUP($S6343,References!$B$3:$C$7,2,FALSE))),"")</f>
        <v/>
      </c>
      <c r="W6343" s="74" t="str">
        <f>IFERROR(VLOOKUP($O6343,'Customer List'!$A$1:$J$488,10,FALSE),"")</f>
        <v/>
      </c>
    </row>
    <row r="6344" spans="18:23">
      <c r="R6344" s="127">
        <f t="shared" si="273"/>
        <v>0</v>
      </c>
      <c r="T6344" s="128">
        <f t="shared" si="272"/>
        <v>0</v>
      </c>
      <c r="U6344" s="129" t="str">
        <f>IFERROR(IF(#REF!="S",VLOOKUP('Raw Data'!A6344,References!#REF!,2,FALSE),(VLOOKUP($S6344,References!$B$3:$C$7,2,FALSE))),"")</f>
        <v/>
      </c>
      <c r="W6344" s="74" t="str">
        <f>IFERROR(VLOOKUP($O6344,'Customer List'!$A$1:$J$488,10,FALSE),"")</f>
        <v/>
      </c>
    </row>
    <row r="6345" spans="18:23">
      <c r="R6345" s="127">
        <f t="shared" si="273"/>
        <v>0</v>
      </c>
      <c r="T6345" s="128">
        <f t="shared" si="272"/>
        <v>0</v>
      </c>
      <c r="U6345" s="129" t="str">
        <f>IFERROR(IF(#REF!="S",VLOOKUP('Raw Data'!A6345,References!#REF!,2,FALSE),(VLOOKUP($S6345,References!$B$3:$C$7,2,FALSE))),"")</f>
        <v/>
      </c>
      <c r="W6345" s="74" t="str">
        <f>IFERROR(VLOOKUP($O6345,'Customer List'!$A$1:$J$488,10,FALSE),"")</f>
        <v/>
      </c>
    </row>
    <row r="6346" spans="18:23">
      <c r="R6346" s="127">
        <f t="shared" si="273"/>
        <v>0</v>
      </c>
      <c r="T6346" s="128">
        <f t="shared" ref="T6346:T6409" si="274">IF(S6346="50 - Cleaning Fee",1,HOUR($R6346)+MINUTE(R6346)/60)</f>
        <v>0</v>
      </c>
      <c r="U6346" s="129" t="str">
        <f>IFERROR(IF(#REF!="S",VLOOKUP('Raw Data'!A6346,References!#REF!,2,FALSE),(VLOOKUP($S6346,References!$B$3:$C$7,2,FALSE))),"")</f>
        <v/>
      </c>
      <c r="W6346" s="74" t="str">
        <f>IFERROR(VLOOKUP($O6346,'Customer List'!$A$1:$J$488,10,FALSE),"")</f>
        <v/>
      </c>
    </row>
    <row r="6347" spans="18:23">
      <c r="R6347" s="127">
        <f t="shared" si="273"/>
        <v>0</v>
      </c>
      <c r="T6347" s="128">
        <f t="shared" si="274"/>
        <v>0</v>
      </c>
      <c r="U6347" s="129" t="str">
        <f>IFERROR(IF(#REF!="S",VLOOKUP('Raw Data'!A6347,References!#REF!,2,FALSE),(VLOOKUP($S6347,References!$B$3:$C$7,2,FALSE))),"")</f>
        <v/>
      </c>
      <c r="W6347" s="74" t="str">
        <f>IFERROR(VLOOKUP($O6347,'Customer List'!$A$1:$J$488,10,FALSE),"")</f>
        <v/>
      </c>
    </row>
    <row r="6348" spans="18:23">
      <c r="R6348" s="127">
        <f t="shared" si="273"/>
        <v>0</v>
      </c>
      <c r="T6348" s="128">
        <f t="shared" si="274"/>
        <v>0</v>
      </c>
      <c r="U6348" s="129" t="str">
        <f>IFERROR(IF(#REF!="S",VLOOKUP('Raw Data'!A6348,References!#REF!,2,FALSE),(VLOOKUP($S6348,References!$B$3:$C$7,2,FALSE))),"")</f>
        <v/>
      </c>
      <c r="W6348" s="74" t="str">
        <f>IFERROR(VLOOKUP($O6348,'Customer List'!$A$1:$J$488,10,FALSE),"")</f>
        <v/>
      </c>
    </row>
    <row r="6349" spans="18:23">
      <c r="R6349" s="127">
        <f t="shared" si="273"/>
        <v>0</v>
      </c>
      <c r="T6349" s="128">
        <f t="shared" si="274"/>
        <v>0</v>
      </c>
      <c r="U6349" s="129" t="str">
        <f>IFERROR(IF(#REF!="S",VLOOKUP('Raw Data'!A6349,References!#REF!,2,FALSE),(VLOOKUP($S6349,References!$B$3:$C$7,2,FALSE))),"")</f>
        <v/>
      </c>
      <c r="W6349" s="74" t="str">
        <f>IFERROR(VLOOKUP($O6349,'Customer List'!$A$1:$J$488,10,FALSE),"")</f>
        <v/>
      </c>
    </row>
    <row r="6350" spans="18:23">
      <c r="R6350" s="127">
        <f t="shared" si="273"/>
        <v>0</v>
      </c>
      <c r="T6350" s="128">
        <f t="shared" si="274"/>
        <v>0</v>
      </c>
      <c r="U6350" s="129" t="str">
        <f>IFERROR(IF(#REF!="S",VLOOKUP('Raw Data'!A6350,References!#REF!,2,FALSE),(VLOOKUP($S6350,References!$B$3:$C$7,2,FALSE))),"")</f>
        <v/>
      </c>
      <c r="W6350" s="74" t="str">
        <f>IFERROR(VLOOKUP($O6350,'Customer List'!$A$1:$J$488,10,FALSE),"")</f>
        <v/>
      </c>
    </row>
    <row r="6351" spans="18:23">
      <c r="R6351" s="127">
        <f t="shared" si="273"/>
        <v>0</v>
      </c>
      <c r="T6351" s="128">
        <f t="shared" si="274"/>
        <v>0</v>
      </c>
      <c r="U6351" s="129" t="str">
        <f>IFERROR(IF(#REF!="S",VLOOKUP('Raw Data'!A6351,References!#REF!,2,FALSE),(VLOOKUP($S6351,References!$B$3:$C$7,2,FALSE))),"")</f>
        <v/>
      </c>
      <c r="W6351" s="74" t="str">
        <f>IFERROR(VLOOKUP($O6351,'Customer List'!$A$1:$J$488,10,FALSE),"")</f>
        <v/>
      </c>
    </row>
    <row r="6352" spans="18:23">
      <c r="R6352" s="127">
        <f t="shared" si="273"/>
        <v>0</v>
      </c>
      <c r="T6352" s="128">
        <f t="shared" si="274"/>
        <v>0</v>
      </c>
      <c r="U6352" s="129" t="str">
        <f>IFERROR(IF(#REF!="S",VLOOKUP('Raw Data'!A6352,References!#REF!,2,FALSE),(VLOOKUP($S6352,References!$B$3:$C$7,2,FALSE))),"")</f>
        <v/>
      </c>
      <c r="W6352" s="74" t="str">
        <f>IFERROR(VLOOKUP($O6352,'Customer List'!$A$1:$J$488,10,FALSE),"")</f>
        <v/>
      </c>
    </row>
    <row r="6353" spans="18:23">
      <c r="R6353" s="127">
        <f t="shared" si="273"/>
        <v>0</v>
      </c>
      <c r="T6353" s="128">
        <f t="shared" si="274"/>
        <v>0</v>
      </c>
      <c r="U6353" s="129" t="str">
        <f>IFERROR(IF(#REF!="S",VLOOKUP('Raw Data'!A6353,References!#REF!,2,FALSE),(VLOOKUP($S6353,References!$B$3:$C$7,2,FALSE))),"")</f>
        <v/>
      </c>
      <c r="W6353" s="74" t="str">
        <f>IFERROR(VLOOKUP($O6353,'Customer List'!$A$1:$J$488,10,FALSE),"")</f>
        <v/>
      </c>
    </row>
    <row r="6354" spans="18:23">
      <c r="R6354" s="127">
        <f t="shared" si="273"/>
        <v>0</v>
      </c>
      <c r="T6354" s="128">
        <f t="shared" si="274"/>
        <v>0</v>
      </c>
      <c r="U6354" s="129" t="str">
        <f>IFERROR(IF(#REF!="S",VLOOKUP('Raw Data'!A6354,References!#REF!,2,FALSE),(VLOOKUP($S6354,References!$B$3:$C$7,2,FALSE))),"")</f>
        <v/>
      </c>
      <c r="W6354" s="74" t="str">
        <f>IFERROR(VLOOKUP($O6354,'Customer List'!$A$1:$J$488,10,FALSE),"")</f>
        <v/>
      </c>
    </row>
    <row r="6355" spans="18:23">
      <c r="R6355" s="127">
        <f t="shared" si="273"/>
        <v>0</v>
      </c>
      <c r="T6355" s="128">
        <f t="shared" si="274"/>
        <v>0</v>
      </c>
      <c r="U6355" s="129" t="str">
        <f>IFERROR(IF(#REF!="S",VLOOKUP('Raw Data'!A6355,References!#REF!,2,FALSE),(VLOOKUP($S6355,References!$B$3:$C$7,2,FALSE))),"")</f>
        <v/>
      </c>
      <c r="W6355" s="74" t="str">
        <f>IFERROR(VLOOKUP($O6355,'Customer List'!$A$1:$J$488,10,FALSE),"")</f>
        <v/>
      </c>
    </row>
    <row r="6356" spans="18:23">
      <c r="R6356" s="127">
        <f t="shared" si="273"/>
        <v>0</v>
      </c>
      <c r="T6356" s="128">
        <f t="shared" si="274"/>
        <v>0</v>
      </c>
      <c r="U6356" s="129" t="str">
        <f>IFERROR(IF(#REF!="S",VLOOKUP('Raw Data'!A6356,References!#REF!,2,FALSE),(VLOOKUP($S6356,References!$B$3:$C$7,2,FALSE))),"")</f>
        <v/>
      </c>
      <c r="W6356" s="74" t="str">
        <f>IFERROR(VLOOKUP($O6356,'Customer List'!$A$1:$J$488,10,FALSE),"")</f>
        <v/>
      </c>
    </row>
    <row r="6357" spans="18:23">
      <c r="R6357" s="127">
        <f t="shared" si="273"/>
        <v>0</v>
      </c>
      <c r="T6357" s="128">
        <f t="shared" si="274"/>
        <v>0</v>
      </c>
      <c r="U6357" s="129" t="str">
        <f>IFERROR(IF(#REF!="S",VLOOKUP('Raw Data'!A6357,References!#REF!,2,FALSE),(VLOOKUP($S6357,References!$B$3:$C$7,2,FALSE))),"")</f>
        <v/>
      </c>
      <c r="W6357" s="74" t="str">
        <f>IFERROR(VLOOKUP($O6357,'Customer List'!$A$1:$J$488,10,FALSE),"")</f>
        <v/>
      </c>
    </row>
    <row r="6358" spans="18:23">
      <c r="R6358" s="127">
        <f t="shared" si="273"/>
        <v>0</v>
      </c>
      <c r="T6358" s="128">
        <f t="shared" si="274"/>
        <v>0</v>
      </c>
      <c r="U6358" s="129" t="str">
        <f>IFERROR(IF(#REF!="S",VLOOKUP('Raw Data'!A6358,References!#REF!,2,FALSE),(VLOOKUP($S6358,References!$B$3:$C$7,2,FALSE))),"")</f>
        <v/>
      </c>
      <c r="W6358" s="74" t="str">
        <f>IFERROR(VLOOKUP($O6358,'Customer List'!$A$1:$J$488,10,FALSE),"")</f>
        <v/>
      </c>
    </row>
    <row r="6359" spans="18:23">
      <c r="R6359" s="127">
        <f t="shared" si="273"/>
        <v>0</v>
      </c>
      <c r="T6359" s="128">
        <f t="shared" si="274"/>
        <v>0</v>
      </c>
      <c r="U6359" s="129" t="str">
        <f>IFERROR(IF(#REF!="S",VLOOKUP('Raw Data'!A6359,References!#REF!,2,FALSE),(VLOOKUP($S6359,References!$B$3:$C$7,2,FALSE))),"")</f>
        <v/>
      </c>
      <c r="W6359" s="74" t="str">
        <f>IFERROR(VLOOKUP($O6359,'Customer List'!$A$1:$J$488,10,FALSE),"")</f>
        <v/>
      </c>
    </row>
    <row r="6360" spans="18:23">
      <c r="R6360" s="127">
        <f t="shared" si="273"/>
        <v>0</v>
      </c>
      <c r="T6360" s="128">
        <f t="shared" si="274"/>
        <v>0</v>
      </c>
      <c r="U6360" s="129" t="str">
        <f>IFERROR(IF(#REF!="S",VLOOKUP('Raw Data'!A6360,References!#REF!,2,FALSE),(VLOOKUP($S6360,References!$B$3:$C$7,2,FALSE))),"")</f>
        <v/>
      </c>
      <c r="W6360" s="74" t="str">
        <f>IFERROR(VLOOKUP($O6360,'Customer List'!$A$1:$J$488,10,FALSE),"")</f>
        <v/>
      </c>
    </row>
    <row r="6361" spans="18:23">
      <c r="R6361" s="127">
        <f t="shared" si="273"/>
        <v>0</v>
      </c>
      <c r="T6361" s="128">
        <f t="shared" si="274"/>
        <v>0</v>
      </c>
      <c r="U6361" s="129" t="str">
        <f>IFERROR(IF(#REF!="S",VLOOKUP('Raw Data'!A6361,References!#REF!,2,FALSE),(VLOOKUP($S6361,References!$B$3:$C$7,2,FALSE))),"")</f>
        <v/>
      </c>
      <c r="W6361" s="74" t="str">
        <f>IFERROR(VLOOKUP($O6361,'Customer List'!$A$1:$J$488,10,FALSE),"")</f>
        <v/>
      </c>
    </row>
    <row r="6362" spans="18:23">
      <c r="R6362" s="127">
        <f t="shared" si="273"/>
        <v>0</v>
      </c>
      <c r="T6362" s="128">
        <f t="shared" si="274"/>
        <v>0</v>
      </c>
      <c r="U6362" s="129" t="str">
        <f>IFERROR(IF(#REF!="S",VLOOKUP('Raw Data'!A6362,References!#REF!,2,FALSE),(VLOOKUP($S6362,References!$B$3:$C$7,2,FALSE))),"")</f>
        <v/>
      </c>
      <c r="W6362" s="74" t="str">
        <f>IFERROR(VLOOKUP($O6362,'Customer List'!$A$1:$J$488,10,FALSE),"")</f>
        <v/>
      </c>
    </row>
    <row r="6363" spans="18:23">
      <c r="R6363" s="127">
        <f t="shared" si="273"/>
        <v>0</v>
      </c>
      <c r="T6363" s="128">
        <f t="shared" si="274"/>
        <v>0</v>
      </c>
      <c r="U6363" s="129" t="str">
        <f>IFERROR(IF(#REF!="S",VLOOKUP('Raw Data'!A6363,References!#REF!,2,FALSE),(VLOOKUP($S6363,References!$B$3:$C$7,2,FALSE))),"")</f>
        <v/>
      </c>
      <c r="W6363" s="74" t="str">
        <f>IFERROR(VLOOKUP($O6363,'Customer List'!$A$1:$J$488,10,FALSE),"")</f>
        <v/>
      </c>
    </row>
    <row r="6364" spans="18:23">
      <c r="R6364" s="127">
        <f t="shared" si="273"/>
        <v>0</v>
      </c>
      <c r="T6364" s="128">
        <f t="shared" si="274"/>
        <v>0</v>
      </c>
      <c r="U6364" s="129" t="str">
        <f>IFERROR(IF(#REF!="S",VLOOKUP('Raw Data'!A6364,References!#REF!,2,FALSE),(VLOOKUP($S6364,References!$B$3:$C$7,2,FALSE))),"")</f>
        <v/>
      </c>
      <c r="W6364" s="74" t="str">
        <f>IFERROR(VLOOKUP($O6364,'Customer List'!$A$1:$J$488,10,FALSE),"")</f>
        <v/>
      </c>
    </row>
    <row r="6365" spans="18:23">
      <c r="R6365" s="127">
        <f t="shared" si="273"/>
        <v>0</v>
      </c>
      <c r="T6365" s="128">
        <f t="shared" si="274"/>
        <v>0</v>
      </c>
      <c r="U6365" s="129" t="str">
        <f>IFERROR(IF(#REF!="S",VLOOKUP('Raw Data'!A6365,References!#REF!,2,FALSE),(VLOOKUP($S6365,References!$B$3:$C$7,2,FALSE))),"")</f>
        <v/>
      </c>
      <c r="W6365" s="74" t="str">
        <f>IFERROR(VLOOKUP($O6365,'Customer List'!$A$1:$J$488,10,FALSE),"")</f>
        <v/>
      </c>
    </row>
    <row r="6366" spans="18:23">
      <c r="R6366" s="127">
        <f t="shared" si="273"/>
        <v>0</v>
      </c>
      <c r="T6366" s="128">
        <f t="shared" si="274"/>
        <v>0</v>
      </c>
      <c r="U6366" s="129" t="str">
        <f>IFERROR(IF(#REF!="S",VLOOKUP('Raw Data'!A6366,References!#REF!,2,FALSE),(VLOOKUP($S6366,References!$B$3:$C$7,2,FALSE))),"")</f>
        <v/>
      </c>
      <c r="W6366" s="74" t="str">
        <f>IFERROR(VLOOKUP($O6366,'Customer List'!$A$1:$J$488,10,FALSE),"")</f>
        <v/>
      </c>
    </row>
    <row r="6367" spans="18:23">
      <c r="R6367" s="127">
        <f t="shared" si="273"/>
        <v>0</v>
      </c>
      <c r="T6367" s="128">
        <f t="shared" si="274"/>
        <v>0</v>
      </c>
      <c r="U6367" s="129" t="str">
        <f>IFERROR(IF(#REF!="S",VLOOKUP('Raw Data'!A6367,References!#REF!,2,FALSE),(VLOOKUP($S6367,References!$B$3:$C$7,2,FALSE))),"")</f>
        <v/>
      </c>
      <c r="W6367" s="74" t="str">
        <f>IFERROR(VLOOKUP($O6367,'Customer List'!$A$1:$J$488,10,FALSE),"")</f>
        <v/>
      </c>
    </row>
    <row r="6368" spans="18:23">
      <c r="R6368" s="127">
        <f t="shared" si="273"/>
        <v>0</v>
      </c>
      <c r="T6368" s="128">
        <f t="shared" si="274"/>
        <v>0</v>
      </c>
      <c r="U6368" s="129" t="str">
        <f>IFERROR(IF(#REF!="S",VLOOKUP('Raw Data'!A6368,References!#REF!,2,FALSE),(VLOOKUP($S6368,References!$B$3:$C$7,2,FALSE))),"")</f>
        <v/>
      </c>
      <c r="W6368" s="74" t="str">
        <f>IFERROR(VLOOKUP($O6368,'Customer List'!$A$1:$J$488,10,FALSE),"")</f>
        <v/>
      </c>
    </row>
    <row r="6369" spans="18:23">
      <c r="R6369" s="127">
        <f t="shared" si="273"/>
        <v>0</v>
      </c>
      <c r="T6369" s="128">
        <f t="shared" si="274"/>
        <v>0</v>
      </c>
      <c r="U6369" s="129" t="str">
        <f>IFERROR(IF(#REF!="S",VLOOKUP('Raw Data'!A6369,References!#REF!,2,FALSE),(VLOOKUP($S6369,References!$B$3:$C$7,2,FALSE))),"")</f>
        <v/>
      </c>
      <c r="W6369" s="74" t="str">
        <f>IFERROR(VLOOKUP($O6369,'Customer List'!$A$1:$J$488,10,FALSE),"")</f>
        <v/>
      </c>
    </row>
    <row r="6370" spans="18:23">
      <c r="R6370" s="127">
        <f t="shared" ref="R6370:R6433" si="275">L6370-K6370</f>
        <v>0</v>
      </c>
      <c r="T6370" s="128">
        <f t="shared" si="274"/>
        <v>0</v>
      </c>
      <c r="U6370" s="129" t="str">
        <f>IFERROR(IF(#REF!="S",VLOOKUP('Raw Data'!A6370,References!#REF!,2,FALSE),(VLOOKUP($S6370,References!$B$3:$C$7,2,FALSE))),"")</f>
        <v/>
      </c>
      <c r="W6370" s="74" t="str">
        <f>IFERROR(VLOOKUP($O6370,'Customer List'!$A$1:$J$488,10,FALSE),"")</f>
        <v/>
      </c>
    </row>
    <row r="6371" spans="18:23">
      <c r="R6371" s="127">
        <f t="shared" si="275"/>
        <v>0</v>
      </c>
      <c r="T6371" s="128">
        <f t="shared" si="274"/>
        <v>0</v>
      </c>
      <c r="U6371" s="129" t="str">
        <f>IFERROR(IF(#REF!="S",VLOOKUP('Raw Data'!A6371,References!#REF!,2,FALSE),(VLOOKUP($S6371,References!$B$3:$C$7,2,FALSE))),"")</f>
        <v/>
      </c>
      <c r="W6371" s="74" t="str">
        <f>IFERROR(VLOOKUP($O6371,'Customer List'!$A$1:$J$488,10,FALSE),"")</f>
        <v/>
      </c>
    </row>
    <row r="6372" spans="18:23">
      <c r="R6372" s="127">
        <f t="shared" si="275"/>
        <v>0</v>
      </c>
      <c r="T6372" s="128">
        <f t="shared" si="274"/>
        <v>0</v>
      </c>
      <c r="U6372" s="129" t="str">
        <f>IFERROR(IF(#REF!="S",VLOOKUP('Raw Data'!A6372,References!#REF!,2,FALSE),(VLOOKUP($S6372,References!$B$3:$C$7,2,FALSE))),"")</f>
        <v/>
      </c>
      <c r="W6372" s="74" t="str">
        <f>IFERROR(VLOOKUP($O6372,'Customer List'!$A$1:$J$488,10,FALSE),"")</f>
        <v/>
      </c>
    </row>
    <row r="6373" spans="18:23">
      <c r="R6373" s="127">
        <f t="shared" si="275"/>
        <v>0</v>
      </c>
      <c r="T6373" s="128">
        <f t="shared" si="274"/>
        <v>0</v>
      </c>
      <c r="U6373" s="129" t="str">
        <f>IFERROR(IF(#REF!="S",VLOOKUP('Raw Data'!A6373,References!#REF!,2,FALSE),(VLOOKUP($S6373,References!$B$3:$C$7,2,FALSE))),"")</f>
        <v/>
      </c>
      <c r="W6373" s="74" t="str">
        <f>IFERROR(VLOOKUP($O6373,'Customer List'!$A$1:$J$488,10,FALSE),"")</f>
        <v/>
      </c>
    </row>
    <row r="6374" spans="18:23">
      <c r="R6374" s="127">
        <f t="shared" si="275"/>
        <v>0</v>
      </c>
      <c r="T6374" s="128">
        <f t="shared" si="274"/>
        <v>0</v>
      </c>
      <c r="U6374" s="129" t="str">
        <f>IFERROR(IF(#REF!="S",VLOOKUP('Raw Data'!A6374,References!#REF!,2,FALSE),(VLOOKUP($S6374,References!$B$3:$C$7,2,FALSE))),"")</f>
        <v/>
      </c>
      <c r="W6374" s="74" t="str">
        <f>IFERROR(VLOOKUP($O6374,'Customer List'!$A$1:$J$488,10,FALSE),"")</f>
        <v/>
      </c>
    </row>
    <row r="6375" spans="18:23">
      <c r="R6375" s="127">
        <f t="shared" si="275"/>
        <v>0</v>
      </c>
      <c r="T6375" s="128">
        <f t="shared" si="274"/>
        <v>0</v>
      </c>
      <c r="U6375" s="129" t="str">
        <f>IFERROR(IF(#REF!="S",VLOOKUP('Raw Data'!A6375,References!#REF!,2,FALSE),(VLOOKUP($S6375,References!$B$3:$C$7,2,FALSE))),"")</f>
        <v/>
      </c>
      <c r="W6375" s="74" t="str">
        <f>IFERROR(VLOOKUP($O6375,'Customer List'!$A$1:$J$488,10,FALSE),"")</f>
        <v/>
      </c>
    </row>
    <row r="6376" spans="18:23">
      <c r="R6376" s="127">
        <f t="shared" si="275"/>
        <v>0</v>
      </c>
      <c r="T6376" s="128">
        <f t="shared" si="274"/>
        <v>0</v>
      </c>
      <c r="U6376" s="129" t="str">
        <f>IFERROR(IF(#REF!="S",VLOOKUP('Raw Data'!A6376,References!#REF!,2,FALSE),(VLOOKUP($S6376,References!$B$3:$C$7,2,FALSE))),"")</f>
        <v/>
      </c>
      <c r="W6376" s="74" t="str">
        <f>IFERROR(VLOOKUP($O6376,'Customer List'!$A$1:$J$488,10,FALSE),"")</f>
        <v/>
      </c>
    </row>
    <row r="6377" spans="18:23">
      <c r="R6377" s="127">
        <f t="shared" si="275"/>
        <v>0</v>
      </c>
      <c r="T6377" s="128">
        <f t="shared" si="274"/>
        <v>0</v>
      </c>
      <c r="U6377" s="129" t="str">
        <f>IFERROR(IF(#REF!="S",VLOOKUP('Raw Data'!A6377,References!#REF!,2,FALSE),(VLOOKUP($S6377,References!$B$3:$C$7,2,FALSE))),"")</f>
        <v/>
      </c>
      <c r="W6377" s="74" t="str">
        <f>IFERROR(VLOOKUP($O6377,'Customer List'!$A$1:$J$488,10,FALSE),"")</f>
        <v/>
      </c>
    </row>
    <row r="6378" spans="18:23">
      <c r="R6378" s="127">
        <f t="shared" si="275"/>
        <v>0</v>
      </c>
      <c r="T6378" s="128">
        <f t="shared" si="274"/>
        <v>0</v>
      </c>
      <c r="U6378" s="129" t="str">
        <f>IFERROR(IF(#REF!="S",VLOOKUP('Raw Data'!A6378,References!#REF!,2,FALSE),(VLOOKUP($S6378,References!$B$3:$C$7,2,FALSE))),"")</f>
        <v/>
      </c>
      <c r="W6378" s="74" t="str">
        <f>IFERROR(VLOOKUP($O6378,'Customer List'!$A$1:$J$488,10,FALSE),"")</f>
        <v/>
      </c>
    </row>
    <row r="6379" spans="18:23">
      <c r="R6379" s="127">
        <f t="shared" si="275"/>
        <v>0</v>
      </c>
      <c r="T6379" s="128">
        <f t="shared" si="274"/>
        <v>0</v>
      </c>
      <c r="U6379" s="129" t="str">
        <f>IFERROR(IF(#REF!="S",VLOOKUP('Raw Data'!A6379,References!#REF!,2,FALSE),(VLOOKUP($S6379,References!$B$3:$C$7,2,FALSE))),"")</f>
        <v/>
      </c>
      <c r="W6379" s="74" t="str">
        <f>IFERROR(VLOOKUP($O6379,'Customer List'!$A$1:$J$488,10,FALSE),"")</f>
        <v/>
      </c>
    </row>
    <row r="6380" spans="18:23">
      <c r="R6380" s="127">
        <f t="shared" si="275"/>
        <v>0</v>
      </c>
      <c r="T6380" s="128">
        <f t="shared" si="274"/>
        <v>0</v>
      </c>
      <c r="U6380" s="129" t="str">
        <f>IFERROR(IF(#REF!="S",VLOOKUP('Raw Data'!A6380,References!#REF!,2,FALSE),(VLOOKUP($S6380,References!$B$3:$C$7,2,FALSE))),"")</f>
        <v/>
      </c>
      <c r="W6380" s="74" t="str">
        <f>IFERROR(VLOOKUP($O6380,'Customer List'!$A$1:$J$488,10,FALSE),"")</f>
        <v/>
      </c>
    </row>
    <row r="6381" spans="18:23">
      <c r="R6381" s="127">
        <f t="shared" si="275"/>
        <v>0</v>
      </c>
      <c r="T6381" s="128">
        <f t="shared" si="274"/>
        <v>0</v>
      </c>
      <c r="U6381" s="129" t="str">
        <f>IFERROR(IF(#REF!="S",VLOOKUP('Raw Data'!A6381,References!#REF!,2,FALSE),(VLOOKUP($S6381,References!$B$3:$C$7,2,FALSE))),"")</f>
        <v/>
      </c>
      <c r="W6381" s="74" t="str">
        <f>IFERROR(VLOOKUP($O6381,'Customer List'!$A$1:$J$488,10,FALSE),"")</f>
        <v/>
      </c>
    </row>
    <row r="6382" spans="18:23">
      <c r="R6382" s="127">
        <f t="shared" si="275"/>
        <v>0</v>
      </c>
      <c r="T6382" s="128">
        <f t="shared" si="274"/>
        <v>0</v>
      </c>
      <c r="U6382" s="129" t="str">
        <f>IFERROR(IF(#REF!="S",VLOOKUP('Raw Data'!A6382,References!#REF!,2,FALSE),(VLOOKUP($S6382,References!$B$3:$C$7,2,FALSE))),"")</f>
        <v/>
      </c>
      <c r="W6382" s="74" t="str">
        <f>IFERROR(VLOOKUP($O6382,'Customer List'!$A$1:$J$488,10,FALSE),"")</f>
        <v/>
      </c>
    </row>
    <row r="6383" spans="18:23">
      <c r="R6383" s="127">
        <f t="shared" si="275"/>
        <v>0</v>
      </c>
      <c r="T6383" s="128">
        <f t="shared" si="274"/>
        <v>0</v>
      </c>
      <c r="U6383" s="129" t="str">
        <f>IFERROR(IF(#REF!="S",VLOOKUP('Raw Data'!A6383,References!#REF!,2,FALSE),(VLOOKUP($S6383,References!$B$3:$C$7,2,FALSE))),"")</f>
        <v/>
      </c>
      <c r="W6383" s="74" t="str">
        <f>IFERROR(VLOOKUP($O6383,'Customer List'!$A$1:$J$488,10,FALSE),"")</f>
        <v/>
      </c>
    </row>
    <row r="6384" spans="18:23">
      <c r="R6384" s="127">
        <f t="shared" si="275"/>
        <v>0</v>
      </c>
      <c r="T6384" s="128">
        <f t="shared" si="274"/>
        <v>0</v>
      </c>
      <c r="U6384" s="129" t="str">
        <f>IFERROR(IF(#REF!="S",VLOOKUP('Raw Data'!A6384,References!#REF!,2,FALSE),(VLOOKUP($S6384,References!$B$3:$C$7,2,FALSE))),"")</f>
        <v/>
      </c>
      <c r="W6384" s="74" t="str">
        <f>IFERROR(VLOOKUP($O6384,'Customer List'!$A$1:$J$488,10,FALSE),"")</f>
        <v/>
      </c>
    </row>
    <row r="6385" spans="18:23">
      <c r="R6385" s="127">
        <f t="shared" si="275"/>
        <v>0</v>
      </c>
      <c r="T6385" s="128">
        <f t="shared" si="274"/>
        <v>0</v>
      </c>
      <c r="U6385" s="129" t="str">
        <f>IFERROR(IF(#REF!="S",VLOOKUP('Raw Data'!A6385,References!#REF!,2,FALSE),(VLOOKUP($S6385,References!$B$3:$C$7,2,FALSE))),"")</f>
        <v/>
      </c>
      <c r="W6385" s="74" t="str">
        <f>IFERROR(VLOOKUP($O6385,'Customer List'!$A$1:$J$488,10,FALSE),"")</f>
        <v/>
      </c>
    </row>
    <row r="6386" spans="18:23">
      <c r="R6386" s="127">
        <f t="shared" si="275"/>
        <v>0</v>
      </c>
      <c r="T6386" s="128">
        <f t="shared" si="274"/>
        <v>0</v>
      </c>
      <c r="U6386" s="129" t="str">
        <f>IFERROR(IF(#REF!="S",VLOOKUP('Raw Data'!A6386,References!#REF!,2,FALSE),(VLOOKUP($S6386,References!$B$3:$C$7,2,FALSE))),"")</f>
        <v/>
      </c>
      <c r="W6386" s="74" t="str">
        <f>IFERROR(VLOOKUP($O6386,'Customer List'!$A$1:$J$488,10,FALSE),"")</f>
        <v/>
      </c>
    </row>
    <row r="6387" spans="18:23">
      <c r="R6387" s="127">
        <f t="shared" si="275"/>
        <v>0</v>
      </c>
      <c r="T6387" s="128">
        <f t="shared" si="274"/>
        <v>0</v>
      </c>
      <c r="U6387" s="129" t="str">
        <f>IFERROR(IF(#REF!="S",VLOOKUP('Raw Data'!A6387,References!#REF!,2,FALSE),(VLOOKUP($S6387,References!$B$3:$C$7,2,FALSE))),"")</f>
        <v/>
      </c>
      <c r="W6387" s="74" t="str">
        <f>IFERROR(VLOOKUP($O6387,'Customer List'!$A$1:$J$488,10,FALSE),"")</f>
        <v/>
      </c>
    </row>
    <row r="6388" spans="18:23">
      <c r="R6388" s="127">
        <f t="shared" si="275"/>
        <v>0</v>
      </c>
      <c r="T6388" s="128">
        <f t="shared" si="274"/>
        <v>0</v>
      </c>
      <c r="U6388" s="129" t="str">
        <f>IFERROR(IF(#REF!="S",VLOOKUP('Raw Data'!A6388,References!#REF!,2,FALSE),(VLOOKUP($S6388,References!$B$3:$C$7,2,FALSE))),"")</f>
        <v/>
      </c>
      <c r="W6388" s="74" t="str">
        <f>IFERROR(VLOOKUP($O6388,'Customer List'!$A$1:$J$488,10,FALSE),"")</f>
        <v/>
      </c>
    </row>
    <row r="6389" spans="18:23">
      <c r="R6389" s="127">
        <f t="shared" si="275"/>
        <v>0</v>
      </c>
      <c r="T6389" s="128">
        <f t="shared" si="274"/>
        <v>0</v>
      </c>
      <c r="U6389" s="129" t="str">
        <f>IFERROR(IF(#REF!="S",VLOOKUP('Raw Data'!A6389,References!#REF!,2,FALSE),(VLOOKUP($S6389,References!$B$3:$C$7,2,FALSE))),"")</f>
        <v/>
      </c>
      <c r="W6389" s="74" t="str">
        <f>IFERROR(VLOOKUP($O6389,'Customer List'!$A$1:$J$488,10,FALSE),"")</f>
        <v/>
      </c>
    </row>
    <row r="6390" spans="18:23">
      <c r="R6390" s="127">
        <f t="shared" si="275"/>
        <v>0</v>
      </c>
      <c r="T6390" s="128">
        <f t="shared" si="274"/>
        <v>0</v>
      </c>
      <c r="U6390" s="129" t="str">
        <f>IFERROR(IF(#REF!="S",VLOOKUP('Raw Data'!A6390,References!#REF!,2,FALSE),(VLOOKUP($S6390,References!$B$3:$C$7,2,FALSE))),"")</f>
        <v/>
      </c>
      <c r="W6390" s="74" t="str">
        <f>IFERROR(VLOOKUP($O6390,'Customer List'!$A$1:$J$488,10,FALSE),"")</f>
        <v/>
      </c>
    </row>
    <row r="6391" spans="18:23">
      <c r="R6391" s="127">
        <f t="shared" si="275"/>
        <v>0</v>
      </c>
      <c r="T6391" s="128">
        <f t="shared" si="274"/>
        <v>0</v>
      </c>
      <c r="U6391" s="129" t="str">
        <f>IFERROR(IF(#REF!="S",VLOOKUP('Raw Data'!A6391,References!#REF!,2,FALSE),(VLOOKUP($S6391,References!$B$3:$C$7,2,FALSE))),"")</f>
        <v/>
      </c>
      <c r="W6391" s="74" t="str">
        <f>IFERROR(VLOOKUP($O6391,'Customer List'!$A$1:$J$488,10,FALSE),"")</f>
        <v/>
      </c>
    </row>
    <row r="6392" spans="18:23">
      <c r="R6392" s="127">
        <f t="shared" si="275"/>
        <v>0</v>
      </c>
      <c r="T6392" s="128">
        <f t="shared" si="274"/>
        <v>0</v>
      </c>
      <c r="U6392" s="129" t="str">
        <f>IFERROR(IF(#REF!="S",VLOOKUP('Raw Data'!A6392,References!#REF!,2,FALSE),(VLOOKUP($S6392,References!$B$3:$C$7,2,FALSE))),"")</f>
        <v/>
      </c>
      <c r="W6392" s="74" t="str">
        <f>IFERROR(VLOOKUP($O6392,'Customer List'!$A$1:$J$488,10,FALSE),"")</f>
        <v/>
      </c>
    </row>
    <row r="6393" spans="18:23">
      <c r="R6393" s="127">
        <f t="shared" si="275"/>
        <v>0</v>
      </c>
      <c r="T6393" s="128">
        <f t="shared" si="274"/>
        <v>0</v>
      </c>
      <c r="U6393" s="129" t="str">
        <f>IFERROR(IF(#REF!="S",VLOOKUP('Raw Data'!A6393,References!#REF!,2,FALSE),(VLOOKUP($S6393,References!$B$3:$C$7,2,FALSE))),"")</f>
        <v/>
      </c>
      <c r="W6393" s="74" t="str">
        <f>IFERROR(VLOOKUP($O6393,'Customer List'!$A$1:$J$488,10,FALSE),"")</f>
        <v/>
      </c>
    </row>
    <row r="6394" spans="18:23">
      <c r="R6394" s="127">
        <f t="shared" si="275"/>
        <v>0</v>
      </c>
      <c r="T6394" s="128">
        <f t="shared" si="274"/>
        <v>0</v>
      </c>
      <c r="U6394" s="129" t="str">
        <f>IFERROR(IF(#REF!="S",VLOOKUP('Raw Data'!A6394,References!#REF!,2,FALSE),(VLOOKUP($S6394,References!$B$3:$C$7,2,FALSE))),"")</f>
        <v/>
      </c>
      <c r="W6394" s="74" t="str">
        <f>IFERROR(VLOOKUP($O6394,'Customer List'!$A$1:$J$488,10,FALSE),"")</f>
        <v/>
      </c>
    </row>
    <row r="6395" spans="18:23">
      <c r="R6395" s="127">
        <f t="shared" si="275"/>
        <v>0</v>
      </c>
      <c r="T6395" s="128">
        <f t="shared" si="274"/>
        <v>0</v>
      </c>
      <c r="U6395" s="129" t="str">
        <f>IFERROR(IF(#REF!="S",VLOOKUP('Raw Data'!A6395,References!#REF!,2,FALSE),(VLOOKUP($S6395,References!$B$3:$C$7,2,FALSE))),"")</f>
        <v/>
      </c>
      <c r="W6395" s="74" t="str">
        <f>IFERROR(VLOOKUP($O6395,'Customer List'!$A$1:$J$488,10,FALSE),"")</f>
        <v/>
      </c>
    </row>
    <row r="6396" spans="18:23">
      <c r="R6396" s="127">
        <f t="shared" si="275"/>
        <v>0</v>
      </c>
      <c r="T6396" s="128">
        <f t="shared" si="274"/>
        <v>0</v>
      </c>
      <c r="U6396" s="129" t="str">
        <f>IFERROR(IF(#REF!="S",VLOOKUP('Raw Data'!A6396,References!#REF!,2,FALSE),(VLOOKUP($S6396,References!$B$3:$C$7,2,FALSE))),"")</f>
        <v/>
      </c>
      <c r="W6396" s="74" t="str">
        <f>IFERROR(VLOOKUP($O6396,'Customer List'!$A$1:$J$488,10,FALSE),"")</f>
        <v/>
      </c>
    </row>
    <row r="6397" spans="18:23">
      <c r="R6397" s="127">
        <f t="shared" si="275"/>
        <v>0</v>
      </c>
      <c r="T6397" s="128">
        <f t="shared" si="274"/>
        <v>0</v>
      </c>
      <c r="U6397" s="129" t="str">
        <f>IFERROR(IF(#REF!="S",VLOOKUP('Raw Data'!A6397,References!#REF!,2,FALSE),(VLOOKUP($S6397,References!$B$3:$C$7,2,FALSE))),"")</f>
        <v/>
      </c>
      <c r="W6397" s="74" t="str">
        <f>IFERROR(VLOOKUP($O6397,'Customer List'!$A$1:$J$488,10,FALSE),"")</f>
        <v/>
      </c>
    </row>
    <row r="6398" spans="18:23">
      <c r="R6398" s="127">
        <f t="shared" si="275"/>
        <v>0</v>
      </c>
      <c r="T6398" s="128">
        <f t="shared" si="274"/>
        <v>0</v>
      </c>
      <c r="U6398" s="129" t="str">
        <f>IFERROR(IF(#REF!="S",VLOOKUP('Raw Data'!A6398,References!#REF!,2,FALSE),(VLOOKUP($S6398,References!$B$3:$C$7,2,FALSE))),"")</f>
        <v/>
      </c>
      <c r="W6398" s="74" t="str">
        <f>IFERROR(VLOOKUP($O6398,'Customer List'!$A$1:$J$488,10,FALSE),"")</f>
        <v/>
      </c>
    </row>
    <row r="6399" spans="18:23">
      <c r="R6399" s="127">
        <f t="shared" si="275"/>
        <v>0</v>
      </c>
      <c r="T6399" s="128">
        <f t="shared" si="274"/>
        <v>0</v>
      </c>
      <c r="U6399" s="129" t="str">
        <f>IFERROR(IF(#REF!="S",VLOOKUP('Raw Data'!A6399,References!#REF!,2,FALSE),(VLOOKUP($S6399,References!$B$3:$C$7,2,FALSE))),"")</f>
        <v/>
      </c>
      <c r="W6399" s="74" t="str">
        <f>IFERROR(VLOOKUP($O6399,'Customer List'!$A$1:$J$488,10,FALSE),"")</f>
        <v/>
      </c>
    </row>
    <row r="6400" spans="18:23">
      <c r="R6400" s="127">
        <f t="shared" si="275"/>
        <v>0</v>
      </c>
      <c r="T6400" s="128">
        <f t="shared" si="274"/>
        <v>0</v>
      </c>
      <c r="U6400" s="129" t="str">
        <f>IFERROR(IF(#REF!="S",VLOOKUP('Raw Data'!A6400,References!#REF!,2,FALSE),(VLOOKUP($S6400,References!$B$3:$C$7,2,FALSE))),"")</f>
        <v/>
      </c>
      <c r="W6400" s="74" t="str">
        <f>IFERROR(VLOOKUP($O6400,'Customer List'!$A$1:$J$488,10,FALSE),"")</f>
        <v/>
      </c>
    </row>
    <row r="6401" spans="18:23">
      <c r="R6401" s="127">
        <f t="shared" si="275"/>
        <v>0</v>
      </c>
      <c r="T6401" s="128">
        <f t="shared" si="274"/>
        <v>0</v>
      </c>
      <c r="U6401" s="129" t="str">
        <f>IFERROR(IF(#REF!="S",VLOOKUP('Raw Data'!A6401,References!#REF!,2,FALSE),(VLOOKUP($S6401,References!$B$3:$C$7,2,FALSE))),"")</f>
        <v/>
      </c>
      <c r="W6401" s="74" t="str">
        <f>IFERROR(VLOOKUP($O6401,'Customer List'!$A$1:$J$488,10,FALSE),"")</f>
        <v/>
      </c>
    </row>
    <row r="6402" spans="18:23">
      <c r="R6402" s="127">
        <f t="shared" si="275"/>
        <v>0</v>
      </c>
      <c r="T6402" s="128">
        <f t="shared" si="274"/>
        <v>0</v>
      </c>
      <c r="U6402" s="129" t="str">
        <f>IFERROR(IF(#REF!="S",VLOOKUP('Raw Data'!A6402,References!#REF!,2,FALSE),(VLOOKUP($S6402,References!$B$3:$C$7,2,FALSE))),"")</f>
        <v/>
      </c>
      <c r="W6402" s="74" t="str">
        <f>IFERROR(VLOOKUP($O6402,'Customer List'!$A$1:$J$488,10,FALSE),"")</f>
        <v/>
      </c>
    </row>
    <row r="6403" spans="18:23">
      <c r="R6403" s="127">
        <f t="shared" si="275"/>
        <v>0</v>
      </c>
      <c r="T6403" s="128">
        <f t="shared" si="274"/>
        <v>0</v>
      </c>
      <c r="U6403" s="129" t="str">
        <f>IFERROR(IF(#REF!="S",VLOOKUP('Raw Data'!A6403,References!#REF!,2,FALSE),(VLOOKUP($S6403,References!$B$3:$C$7,2,FALSE))),"")</f>
        <v/>
      </c>
      <c r="W6403" s="74" t="str">
        <f>IFERROR(VLOOKUP($O6403,'Customer List'!$A$1:$J$488,10,FALSE),"")</f>
        <v/>
      </c>
    </row>
    <row r="6404" spans="18:23">
      <c r="R6404" s="127">
        <f t="shared" si="275"/>
        <v>0</v>
      </c>
      <c r="T6404" s="128">
        <f t="shared" si="274"/>
        <v>0</v>
      </c>
      <c r="U6404" s="129" t="str">
        <f>IFERROR(IF(#REF!="S",VLOOKUP('Raw Data'!A6404,References!#REF!,2,FALSE),(VLOOKUP($S6404,References!$B$3:$C$7,2,FALSE))),"")</f>
        <v/>
      </c>
      <c r="W6404" s="74" t="str">
        <f>IFERROR(VLOOKUP($O6404,'Customer List'!$A$1:$J$488,10,FALSE),"")</f>
        <v/>
      </c>
    </row>
    <row r="6405" spans="18:23">
      <c r="R6405" s="127">
        <f t="shared" si="275"/>
        <v>0</v>
      </c>
      <c r="T6405" s="128">
        <f t="shared" si="274"/>
        <v>0</v>
      </c>
      <c r="U6405" s="129" t="str">
        <f>IFERROR(IF(#REF!="S",VLOOKUP('Raw Data'!A6405,References!#REF!,2,FALSE),(VLOOKUP($S6405,References!$B$3:$C$7,2,FALSE))),"")</f>
        <v/>
      </c>
      <c r="W6405" s="74" t="str">
        <f>IFERROR(VLOOKUP($O6405,'Customer List'!$A$1:$J$488,10,FALSE),"")</f>
        <v/>
      </c>
    </row>
    <row r="6406" spans="18:23">
      <c r="R6406" s="127">
        <f t="shared" si="275"/>
        <v>0</v>
      </c>
      <c r="T6406" s="128">
        <f t="shared" si="274"/>
        <v>0</v>
      </c>
      <c r="U6406" s="129" t="str">
        <f>IFERROR(IF(#REF!="S",VLOOKUP('Raw Data'!A6406,References!#REF!,2,FALSE),(VLOOKUP($S6406,References!$B$3:$C$7,2,FALSE))),"")</f>
        <v/>
      </c>
      <c r="W6406" s="74" t="str">
        <f>IFERROR(VLOOKUP($O6406,'Customer List'!$A$1:$J$488,10,FALSE),"")</f>
        <v/>
      </c>
    </row>
    <row r="6407" spans="18:23">
      <c r="R6407" s="127">
        <f t="shared" si="275"/>
        <v>0</v>
      </c>
      <c r="T6407" s="128">
        <f t="shared" si="274"/>
        <v>0</v>
      </c>
      <c r="U6407" s="129" t="str">
        <f>IFERROR(IF(#REF!="S",VLOOKUP('Raw Data'!A6407,References!#REF!,2,FALSE),(VLOOKUP($S6407,References!$B$3:$C$7,2,FALSE))),"")</f>
        <v/>
      </c>
      <c r="W6407" s="74" t="str">
        <f>IFERROR(VLOOKUP($O6407,'Customer List'!$A$1:$J$488,10,FALSE),"")</f>
        <v/>
      </c>
    </row>
    <row r="6408" spans="18:23">
      <c r="R6408" s="127">
        <f t="shared" si="275"/>
        <v>0</v>
      </c>
      <c r="T6408" s="128">
        <f t="shared" si="274"/>
        <v>0</v>
      </c>
      <c r="U6408" s="129" t="str">
        <f>IFERROR(IF(#REF!="S",VLOOKUP('Raw Data'!A6408,References!#REF!,2,FALSE),(VLOOKUP($S6408,References!$B$3:$C$7,2,FALSE))),"")</f>
        <v/>
      </c>
      <c r="W6408" s="74" t="str">
        <f>IFERROR(VLOOKUP($O6408,'Customer List'!$A$1:$J$488,10,FALSE),"")</f>
        <v/>
      </c>
    </row>
    <row r="6409" spans="18:23">
      <c r="R6409" s="127">
        <f t="shared" si="275"/>
        <v>0</v>
      </c>
      <c r="T6409" s="128">
        <f t="shared" si="274"/>
        <v>0</v>
      </c>
      <c r="U6409" s="129" t="str">
        <f>IFERROR(IF(#REF!="S",VLOOKUP('Raw Data'!A6409,References!#REF!,2,FALSE),(VLOOKUP($S6409,References!$B$3:$C$7,2,FALSE))),"")</f>
        <v/>
      </c>
      <c r="W6409" s="74" t="str">
        <f>IFERROR(VLOOKUP($O6409,'Customer List'!$A$1:$J$488,10,FALSE),"")</f>
        <v/>
      </c>
    </row>
    <row r="6410" spans="18:23">
      <c r="R6410" s="127">
        <f t="shared" si="275"/>
        <v>0</v>
      </c>
      <c r="T6410" s="128">
        <f t="shared" ref="T6410:T6473" si="276">IF(S6410="50 - Cleaning Fee",1,HOUR($R6410)+MINUTE(R6410)/60)</f>
        <v>0</v>
      </c>
      <c r="U6410" s="129" t="str">
        <f>IFERROR(IF(#REF!="S",VLOOKUP('Raw Data'!A6410,References!#REF!,2,FALSE),(VLOOKUP($S6410,References!$B$3:$C$7,2,FALSE))),"")</f>
        <v/>
      </c>
      <c r="W6410" s="74" t="str">
        <f>IFERROR(VLOOKUP($O6410,'Customer List'!$A$1:$J$488,10,FALSE),"")</f>
        <v/>
      </c>
    </row>
    <row r="6411" spans="18:23">
      <c r="R6411" s="127">
        <f t="shared" si="275"/>
        <v>0</v>
      </c>
      <c r="T6411" s="128">
        <f t="shared" si="276"/>
        <v>0</v>
      </c>
      <c r="U6411" s="129" t="str">
        <f>IFERROR(IF(#REF!="S",VLOOKUP('Raw Data'!A6411,References!#REF!,2,FALSE),(VLOOKUP($S6411,References!$B$3:$C$7,2,FALSE))),"")</f>
        <v/>
      </c>
      <c r="W6411" s="74" t="str">
        <f>IFERROR(VLOOKUP($O6411,'Customer List'!$A$1:$J$488,10,FALSE),"")</f>
        <v/>
      </c>
    </row>
    <row r="6412" spans="18:23">
      <c r="R6412" s="127">
        <f t="shared" si="275"/>
        <v>0</v>
      </c>
      <c r="T6412" s="128">
        <f t="shared" si="276"/>
        <v>0</v>
      </c>
      <c r="U6412" s="129" t="str">
        <f>IFERROR(IF(#REF!="S",VLOOKUP('Raw Data'!A6412,References!#REF!,2,FALSE),(VLOOKUP($S6412,References!$B$3:$C$7,2,FALSE))),"")</f>
        <v/>
      </c>
      <c r="W6412" s="74" t="str">
        <f>IFERROR(VLOOKUP($O6412,'Customer List'!$A$1:$J$488,10,FALSE),"")</f>
        <v/>
      </c>
    </row>
    <row r="6413" spans="18:23">
      <c r="R6413" s="127">
        <f t="shared" si="275"/>
        <v>0</v>
      </c>
      <c r="T6413" s="128">
        <f t="shared" si="276"/>
        <v>0</v>
      </c>
      <c r="U6413" s="129" t="str">
        <f>IFERROR(IF(#REF!="S",VLOOKUP('Raw Data'!A6413,References!#REF!,2,FALSE),(VLOOKUP($S6413,References!$B$3:$C$7,2,FALSE))),"")</f>
        <v/>
      </c>
      <c r="W6413" s="74" t="str">
        <f>IFERROR(VLOOKUP($O6413,'Customer List'!$A$1:$J$488,10,FALSE),"")</f>
        <v/>
      </c>
    </row>
    <row r="6414" spans="18:23">
      <c r="R6414" s="127">
        <f t="shared" si="275"/>
        <v>0</v>
      </c>
      <c r="T6414" s="128">
        <f t="shared" si="276"/>
        <v>0</v>
      </c>
      <c r="U6414" s="129" t="str">
        <f>IFERROR(IF(#REF!="S",VLOOKUP('Raw Data'!A6414,References!#REF!,2,FALSE),(VLOOKUP($S6414,References!$B$3:$C$7,2,FALSE))),"")</f>
        <v/>
      </c>
      <c r="W6414" s="74" t="str">
        <f>IFERROR(VLOOKUP($O6414,'Customer List'!$A$1:$J$488,10,FALSE),"")</f>
        <v/>
      </c>
    </row>
    <row r="6415" spans="18:23">
      <c r="R6415" s="127">
        <f t="shared" si="275"/>
        <v>0</v>
      </c>
      <c r="T6415" s="128">
        <f t="shared" si="276"/>
        <v>0</v>
      </c>
      <c r="U6415" s="129" t="str">
        <f>IFERROR(IF(#REF!="S",VLOOKUP('Raw Data'!A6415,References!#REF!,2,FALSE),(VLOOKUP($S6415,References!$B$3:$C$7,2,FALSE))),"")</f>
        <v/>
      </c>
      <c r="W6415" s="74" t="str">
        <f>IFERROR(VLOOKUP($O6415,'Customer List'!$A$1:$J$488,10,FALSE),"")</f>
        <v/>
      </c>
    </row>
    <row r="6416" spans="18:23">
      <c r="R6416" s="127">
        <f t="shared" si="275"/>
        <v>0</v>
      </c>
      <c r="T6416" s="128">
        <f t="shared" si="276"/>
        <v>0</v>
      </c>
      <c r="U6416" s="129" t="str">
        <f>IFERROR(IF(#REF!="S",VLOOKUP('Raw Data'!A6416,References!#REF!,2,FALSE),(VLOOKUP($S6416,References!$B$3:$C$7,2,FALSE))),"")</f>
        <v/>
      </c>
      <c r="W6416" s="74" t="str">
        <f>IFERROR(VLOOKUP($O6416,'Customer List'!$A$1:$J$488,10,FALSE),"")</f>
        <v/>
      </c>
    </row>
    <row r="6417" spans="18:23">
      <c r="R6417" s="127">
        <f t="shared" si="275"/>
        <v>0</v>
      </c>
      <c r="T6417" s="128">
        <f t="shared" si="276"/>
        <v>0</v>
      </c>
      <c r="U6417" s="129" t="str">
        <f>IFERROR(IF(#REF!="S",VLOOKUP('Raw Data'!A6417,References!#REF!,2,FALSE),(VLOOKUP($S6417,References!$B$3:$C$7,2,FALSE))),"")</f>
        <v/>
      </c>
      <c r="W6417" s="74" t="str">
        <f>IFERROR(VLOOKUP($O6417,'Customer List'!$A$1:$J$488,10,FALSE),"")</f>
        <v/>
      </c>
    </row>
    <row r="6418" spans="18:23">
      <c r="R6418" s="127">
        <f t="shared" si="275"/>
        <v>0</v>
      </c>
      <c r="T6418" s="128">
        <f t="shared" si="276"/>
        <v>0</v>
      </c>
      <c r="U6418" s="129" t="str">
        <f>IFERROR(IF(#REF!="S",VLOOKUP('Raw Data'!A6418,References!#REF!,2,FALSE),(VLOOKUP($S6418,References!$B$3:$C$7,2,FALSE))),"")</f>
        <v/>
      </c>
      <c r="W6418" s="74" t="str">
        <f>IFERROR(VLOOKUP($O6418,'Customer List'!$A$1:$J$488,10,FALSE),"")</f>
        <v/>
      </c>
    </row>
    <row r="6419" spans="18:23">
      <c r="R6419" s="127">
        <f t="shared" si="275"/>
        <v>0</v>
      </c>
      <c r="T6419" s="128">
        <f t="shared" si="276"/>
        <v>0</v>
      </c>
      <c r="U6419" s="129" t="str">
        <f>IFERROR(IF(#REF!="S",VLOOKUP('Raw Data'!A6419,References!#REF!,2,FALSE),(VLOOKUP($S6419,References!$B$3:$C$7,2,FALSE))),"")</f>
        <v/>
      </c>
      <c r="W6419" s="74" t="str">
        <f>IFERROR(VLOOKUP($O6419,'Customer List'!$A$1:$J$488,10,FALSE),"")</f>
        <v/>
      </c>
    </row>
    <row r="6420" spans="18:23">
      <c r="R6420" s="127">
        <f t="shared" si="275"/>
        <v>0</v>
      </c>
      <c r="T6420" s="128">
        <f t="shared" si="276"/>
        <v>0</v>
      </c>
      <c r="U6420" s="129" t="str">
        <f>IFERROR(IF(#REF!="S",VLOOKUP('Raw Data'!A6420,References!#REF!,2,FALSE),(VLOOKUP($S6420,References!$B$3:$C$7,2,FALSE))),"")</f>
        <v/>
      </c>
      <c r="W6420" s="74" t="str">
        <f>IFERROR(VLOOKUP($O6420,'Customer List'!$A$1:$J$488,10,FALSE),"")</f>
        <v/>
      </c>
    </row>
    <row r="6421" spans="18:23">
      <c r="R6421" s="127">
        <f t="shared" si="275"/>
        <v>0</v>
      </c>
      <c r="T6421" s="128">
        <f t="shared" si="276"/>
        <v>0</v>
      </c>
      <c r="U6421" s="129" t="str">
        <f>IFERROR(IF(#REF!="S",VLOOKUP('Raw Data'!A6421,References!#REF!,2,FALSE),(VLOOKUP($S6421,References!$B$3:$C$7,2,FALSE))),"")</f>
        <v/>
      </c>
      <c r="W6421" s="74" t="str">
        <f>IFERROR(VLOOKUP($O6421,'Customer List'!$A$1:$J$488,10,FALSE),"")</f>
        <v/>
      </c>
    </row>
    <row r="6422" spans="18:23">
      <c r="R6422" s="127">
        <f t="shared" si="275"/>
        <v>0</v>
      </c>
      <c r="T6422" s="128">
        <f t="shared" si="276"/>
        <v>0</v>
      </c>
      <c r="U6422" s="129" t="str">
        <f>IFERROR(IF(#REF!="S",VLOOKUP('Raw Data'!A6422,References!#REF!,2,FALSE),(VLOOKUP($S6422,References!$B$3:$C$7,2,FALSE))),"")</f>
        <v/>
      </c>
      <c r="W6422" s="74" t="str">
        <f>IFERROR(VLOOKUP($O6422,'Customer List'!$A$1:$J$488,10,FALSE),"")</f>
        <v/>
      </c>
    </row>
    <row r="6423" spans="18:23">
      <c r="R6423" s="127">
        <f t="shared" si="275"/>
        <v>0</v>
      </c>
      <c r="T6423" s="128">
        <f t="shared" si="276"/>
        <v>0</v>
      </c>
      <c r="U6423" s="129" t="str">
        <f>IFERROR(IF(#REF!="S",VLOOKUP('Raw Data'!A6423,References!#REF!,2,FALSE),(VLOOKUP($S6423,References!$B$3:$C$7,2,FALSE))),"")</f>
        <v/>
      </c>
      <c r="W6423" s="74" t="str">
        <f>IFERROR(VLOOKUP($O6423,'Customer List'!$A$1:$J$488,10,FALSE),"")</f>
        <v/>
      </c>
    </row>
    <row r="6424" spans="18:23">
      <c r="R6424" s="127">
        <f t="shared" si="275"/>
        <v>0</v>
      </c>
      <c r="T6424" s="128">
        <f t="shared" si="276"/>
        <v>0</v>
      </c>
      <c r="U6424" s="129" t="str">
        <f>IFERROR(IF(#REF!="S",VLOOKUP('Raw Data'!A6424,References!#REF!,2,FALSE),(VLOOKUP($S6424,References!$B$3:$C$7,2,FALSE))),"")</f>
        <v/>
      </c>
      <c r="W6424" s="74" t="str">
        <f>IFERROR(VLOOKUP($O6424,'Customer List'!$A$1:$J$488,10,FALSE),"")</f>
        <v/>
      </c>
    </row>
    <row r="6425" spans="18:23">
      <c r="R6425" s="127">
        <f t="shared" si="275"/>
        <v>0</v>
      </c>
      <c r="T6425" s="128">
        <f t="shared" si="276"/>
        <v>0</v>
      </c>
      <c r="U6425" s="129" t="str">
        <f>IFERROR(IF(#REF!="S",VLOOKUP('Raw Data'!A6425,References!#REF!,2,FALSE),(VLOOKUP($S6425,References!$B$3:$C$7,2,FALSE))),"")</f>
        <v/>
      </c>
      <c r="W6425" s="74" t="str">
        <f>IFERROR(VLOOKUP($O6425,'Customer List'!$A$1:$J$488,10,FALSE),"")</f>
        <v/>
      </c>
    </row>
    <row r="6426" spans="18:23">
      <c r="R6426" s="127">
        <f t="shared" si="275"/>
        <v>0</v>
      </c>
      <c r="T6426" s="128">
        <f t="shared" si="276"/>
        <v>0</v>
      </c>
      <c r="U6426" s="129" t="str">
        <f>IFERROR(IF(#REF!="S",VLOOKUP('Raw Data'!A6426,References!#REF!,2,FALSE),(VLOOKUP($S6426,References!$B$3:$C$7,2,FALSE))),"")</f>
        <v/>
      </c>
      <c r="W6426" s="74" t="str">
        <f>IFERROR(VLOOKUP($O6426,'Customer List'!$A$1:$J$488,10,FALSE),"")</f>
        <v/>
      </c>
    </row>
    <row r="6427" spans="18:23">
      <c r="R6427" s="127">
        <f t="shared" si="275"/>
        <v>0</v>
      </c>
      <c r="T6427" s="128">
        <f t="shared" si="276"/>
        <v>0</v>
      </c>
      <c r="U6427" s="129" t="str">
        <f>IFERROR(IF(#REF!="S",VLOOKUP('Raw Data'!A6427,References!#REF!,2,FALSE),(VLOOKUP($S6427,References!$B$3:$C$7,2,FALSE))),"")</f>
        <v/>
      </c>
      <c r="W6427" s="74" t="str">
        <f>IFERROR(VLOOKUP($O6427,'Customer List'!$A$1:$J$488,10,FALSE),"")</f>
        <v/>
      </c>
    </row>
    <row r="6428" spans="18:23">
      <c r="R6428" s="127">
        <f t="shared" si="275"/>
        <v>0</v>
      </c>
      <c r="T6428" s="128">
        <f t="shared" si="276"/>
        <v>0</v>
      </c>
      <c r="U6428" s="129" t="str">
        <f>IFERROR(IF(#REF!="S",VLOOKUP('Raw Data'!A6428,References!#REF!,2,FALSE),(VLOOKUP($S6428,References!$B$3:$C$7,2,FALSE))),"")</f>
        <v/>
      </c>
      <c r="W6428" s="74" t="str">
        <f>IFERROR(VLOOKUP($O6428,'Customer List'!$A$1:$J$488,10,FALSE),"")</f>
        <v/>
      </c>
    </row>
    <row r="6429" spans="18:23">
      <c r="R6429" s="127">
        <f t="shared" si="275"/>
        <v>0</v>
      </c>
      <c r="T6429" s="128">
        <f t="shared" si="276"/>
        <v>0</v>
      </c>
      <c r="U6429" s="129" t="str">
        <f>IFERROR(IF(#REF!="S",VLOOKUP('Raw Data'!A6429,References!#REF!,2,FALSE),(VLOOKUP($S6429,References!$B$3:$C$7,2,FALSE))),"")</f>
        <v/>
      </c>
      <c r="W6429" s="74" t="str">
        <f>IFERROR(VLOOKUP($O6429,'Customer List'!$A$1:$J$488,10,FALSE),"")</f>
        <v/>
      </c>
    </row>
    <row r="6430" spans="18:23">
      <c r="R6430" s="127">
        <f t="shared" si="275"/>
        <v>0</v>
      </c>
      <c r="T6430" s="128">
        <f t="shared" si="276"/>
        <v>0</v>
      </c>
      <c r="U6430" s="129" t="str">
        <f>IFERROR(IF(#REF!="S",VLOOKUP('Raw Data'!A6430,References!#REF!,2,FALSE),(VLOOKUP($S6430,References!$B$3:$C$7,2,FALSE))),"")</f>
        <v/>
      </c>
      <c r="W6430" s="74" t="str">
        <f>IFERROR(VLOOKUP($O6430,'Customer List'!$A$1:$J$488,10,FALSE),"")</f>
        <v/>
      </c>
    </row>
    <row r="6431" spans="18:23">
      <c r="R6431" s="127">
        <f t="shared" si="275"/>
        <v>0</v>
      </c>
      <c r="T6431" s="128">
        <f t="shared" si="276"/>
        <v>0</v>
      </c>
      <c r="U6431" s="129" t="str">
        <f>IFERROR(IF(#REF!="S",VLOOKUP('Raw Data'!A6431,References!#REF!,2,FALSE),(VLOOKUP($S6431,References!$B$3:$C$7,2,FALSE))),"")</f>
        <v/>
      </c>
      <c r="W6431" s="74" t="str">
        <f>IFERROR(VLOOKUP($O6431,'Customer List'!$A$1:$J$488,10,FALSE),"")</f>
        <v/>
      </c>
    </row>
    <row r="6432" spans="18:23">
      <c r="R6432" s="127">
        <f t="shared" si="275"/>
        <v>0</v>
      </c>
      <c r="T6432" s="128">
        <f t="shared" si="276"/>
        <v>0</v>
      </c>
      <c r="U6432" s="129" t="str">
        <f>IFERROR(IF(#REF!="S",VLOOKUP('Raw Data'!A6432,References!#REF!,2,FALSE),(VLOOKUP($S6432,References!$B$3:$C$7,2,FALSE))),"")</f>
        <v/>
      </c>
      <c r="W6432" s="74" t="str">
        <f>IFERROR(VLOOKUP($O6432,'Customer List'!$A$1:$J$488,10,FALSE),"")</f>
        <v/>
      </c>
    </row>
    <row r="6433" spans="18:23">
      <c r="R6433" s="127">
        <f t="shared" si="275"/>
        <v>0</v>
      </c>
      <c r="T6433" s="128">
        <f t="shared" si="276"/>
        <v>0</v>
      </c>
      <c r="U6433" s="129" t="str">
        <f>IFERROR(IF(#REF!="S",VLOOKUP('Raw Data'!A6433,References!#REF!,2,FALSE),(VLOOKUP($S6433,References!$B$3:$C$7,2,FALSE))),"")</f>
        <v/>
      </c>
      <c r="W6433" s="74" t="str">
        <f>IFERROR(VLOOKUP($O6433,'Customer List'!$A$1:$J$488,10,FALSE),"")</f>
        <v/>
      </c>
    </row>
    <row r="6434" spans="18:23">
      <c r="R6434" s="127">
        <f t="shared" ref="R6434:R6497" si="277">L6434-K6434</f>
        <v>0</v>
      </c>
      <c r="T6434" s="128">
        <f t="shared" si="276"/>
        <v>0</v>
      </c>
      <c r="U6434" s="129" t="str">
        <f>IFERROR(IF(#REF!="S",VLOOKUP('Raw Data'!A6434,References!#REF!,2,FALSE),(VLOOKUP($S6434,References!$B$3:$C$7,2,FALSE))),"")</f>
        <v/>
      </c>
      <c r="W6434" s="74" t="str">
        <f>IFERROR(VLOOKUP($O6434,'Customer List'!$A$1:$J$488,10,FALSE),"")</f>
        <v/>
      </c>
    </row>
    <row r="6435" spans="18:23">
      <c r="R6435" s="127">
        <f t="shared" si="277"/>
        <v>0</v>
      </c>
      <c r="T6435" s="128">
        <f t="shared" si="276"/>
        <v>0</v>
      </c>
      <c r="U6435" s="129" t="str">
        <f>IFERROR(IF(#REF!="S",VLOOKUP('Raw Data'!A6435,References!#REF!,2,FALSE),(VLOOKUP($S6435,References!$B$3:$C$7,2,FALSE))),"")</f>
        <v/>
      </c>
      <c r="W6435" s="74" t="str">
        <f>IFERROR(VLOOKUP($O6435,'Customer List'!$A$1:$J$488,10,FALSE),"")</f>
        <v/>
      </c>
    </row>
    <row r="6436" spans="18:23">
      <c r="R6436" s="127">
        <f t="shared" si="277"/>
        <v>0</v>
      </c>
      <c r="T6436" s="128">
        <f t="shared" si="276"/>
        <v>0</v>
      </c>
      <c r="U6436" s="129" t="str">
        <f>IFERROR(IF(#REF!="S",VLOOKUP('Raw Data'!A6436,References!#REF!,2,FALSE),(VLOOKUP($S6436,References!$B$3:$C$7,2,FALSE))),"")</f>
        <v/>
      </c>
      <c r="W6436" s="74" t="str">
        <f>IFERROR(VLOOKUP($O6436,'Customer List'!$A$1:$J$488,10,FALSE),"")</f>
        <v/>
      </c>
    </row>
    <row r="6437" spans="18:23">
      <c r="R6437" s="127">
        <f t="shared" si="277"/>
        <v>0</v>
      </c>
      <c r="T6437" s="128">
        <f t="shared" si="276"/>
        <v>0</v>
      </c>
      <c r="U6437" s="129" t="str">
        <f>IFERROR(IF(#REF!="S",VLOOKUP('Raw Data'!A6437,References!#REF!,2,FALSE),(VLOOKUP($S6437,References!$B$3:$C$7,2,FALSE))),"")</f>
        <v/>
      </c>
      <c r="W6437" s="74" t="str">
        <f>IFERROR(VLOOKUP($O6437,'Customer List'!$A$1:$J$488,10,FALSE),"")</f>
        <v/>
      </c>
    </row>
    <row r="6438" spans="18:23">
      <c r="R6438" s="127">
        <f t="shared" si="277"/>
        <v>0</v>
      </c>
      <c r="T6438" s="128">
        <f t="shared" si="276"/>
        <v>0</v>
      </c>
      <c r="U6438" s="129" t="str">
        <f>IFERROR(IF(#REF!="S",VLOOKUP('Raw Data'!A6438,References!#REF!,2,FALSE),(VLOOKUP($S6438,References!$B$3:$C$7,2,FALSE))),"")</f>
        <v/>
      </c>
      <c r="W6438" s="74" t="str">
        <f>IFERROR(VLOOKUP($O6438,'Customer List'!$A$1:$J$488,10,FALSE),"")</f>
        <v/>
      </c>
    </row>
    <row r="6439" spans="18:23">
      <c r="R6439" s="127">
        <f t="shared" si="277"/>
        <v>0</v>
      </c>
      <c r="T6439" s="128">
        <f t="shared" si="276"/>
        <v>0</v>
      </c>
      <c r="U6439" s="129" t="str">
        <f>IFERROR(IF(#REF!="S",VLOOKUP('Raw Data'!A6439,References!#REF!,2,FALSE),(VLOOKUP($S6439,References!$B$3:$C$7,2,FALSE))),"")</f>
        <v/>
      </c>
      <c r="W6439" s="74" t="str">
        <f>IFERROR(VLOOKUP($O6439,'Customer List'!$A$1:$J$488,10,FALSE),"")</f>
        <v/>
      </c>
    </row>
    <row r="6440" spans="18:23">
      <c r="R6440" s="127">
        <f t="shared" si="277"/>
        <v>0</v>
      </c>
      <c r="T6440" s="128">
        <f t="shared" si="276"/>
        <v>0</v>
      </c>
      <c r="U6440" s="129" t="str">
        <f>IFERROR(IF(#REF!="S",VLOOKUP('Raw Data'!A6440,References!#REF!,2,FALSE),(VLOOKUP($S6440,References!$B$3:$C$7,2,FALSE))),"")</f>
        <v/>
      </c>
      <c r="W6440" s="74" t="str">
        <f>IFERROR(VLOOKUP($O6440,'Customer List'!$A$1:$J$488,10,FALSE),"")</f>
        <v/>
      </c>
    </row>
    <row r="6441" spans="18:23">
      <c r="R6441" s="127">
        <f t="shared" si="277"/>
        <v>0</v>
      </c>
      <c r="T6441" s="128">
        <f t="shared" si="276"/>
        <v>0</v>
      </c>
      <c r="U6441" s="129" t="str">
        <f>IFERROR(IF(#REF!="S",VLOOKUP('Raw Data'!A6441,References!#REF!,2,FALSE),(VLOOKUP($S6441,References!$B$3:$C$7,2,FALSE))),"")</f>
        <v/>
      </c>
      <c r="W6441" s="74" t="str">
        <f>IFERROR(VLOOKUP($O6441,'Customer List'!$A$1:$J$488,10,FALSE),"")</f>
        <v/>
      </c>
    </row>
    <row r="6442" spans="18:23">
      <c r="R6442" s="127">
        <f t="shared" si="277"/>
        <v>0</v>
      </c>
      <c r="T6442" s="128">
        <f t="shared" si="276"/>
        <v>0</v>
      </c>
      <c r="U6442" s="129" t="str">
        <f>IFERROR(IF(#REF!="S",VLOOKUP('Raw Data'!A6442,References!#REF!,2,FALSE),(VLOOKUP($S6442,References!$B$3:$C$7,2,FALSE))),"")</f>
        <v/>
      </c>
      <c r="W6442" s="74" t="str">
        <f>IFERROR(VLOOKUP($O6442,'Customer List'!$A$1:$J$488,10,FALSE),"")</f>
        <v/>
      </c>
    </row>
    <row r="6443" spans="18:23">
      <c r="R6443" s="127">
        <f t="shared" si="277"/>
        <v>0</v>
      </c>
      <c r="T6443" s="128">
        <f t="shared" si="276"/>
        <v>0</v>
      </c>
      <c r="U6443" s="129" t="str">
        <f>IFERROR(IF(#REF!="S",VLOOKUP('Raw Data'!A6443,References!#REF!,2,FALSE),(VLOOKUP($S6443,References!$B$3:$C$7,2,FALSE))),"")</f>
        <v/>
      </c>
      <c r="W6443" s="74" t="str">
        <f>IFERROR(VLOOKUP($O6443,'Customer List'!$A$1:$J$488,10,FALSE),"")</f>
        <v/>
      </c>
    </row>
    <row r="6444" spans="18:23">
      <c r="R6444" s="127">
        <f t="shared" si="277"/>
        <v>0</v>
      </c>
      <c r="T6444" s="128">
        <f t="shared" si="276"/>
        <v>0</v>
      </c>
      <c r="U6444" s="129" t="str">
        <f>IFERROR(IF(#REF!="S",VLOOKUP('Raw Data'!A6444,References!#REF!,2,FALSE),(VLOOKUP($S6444,References!$B$3:$C$7,2,FALSE))),"")</f>
        <v/>
      </c>
      <c r="W6444" s="74" t="str">
        <f>IFERROR(VLOOKUP($O6444,'Customer List'!$A$1:$J$488,10,FALSE),"")</f>
        <v/>
      </c>
    </row>
    <row r="6445" spans="18:23">
      <c r="R6445" s="127">
        <f t="shared" si="277"/>
        <v>0</v>
      </c>
      <c r="T6445" s="128">
        <f t="shared" si="276"/>
        <v>0</v>
      </c>
      <c r="U6445" s="129" t="str">
        <f>IFERROR(IF(#REF!="S",VLOOKUP('Raw Data'!A6445,References!#REF!,2,FALSE),(VLOOKUP($S6445,References!$B$3:$C$7,2,FALSE))),"")</f>
        <v/>
      </c>
      <c r="W6445" s="74" t="str">
        <f>IFERROR(VLOOKUP($O6445,'Customer List'!$A$1:$J$488,10,FALSE),"")</f>
        <v/>
      </c>
    </row>
    <row r="6446" spans="18:23">
      <c r="R6446" s="127">
        <f t="shared" si="277"/>
        <v>0</v>
      </c>
      <c r="T6446" s="128">
        <f t="shared" si="276"/>
        <v>0</v>
      </c>
      <c r="U6446" s="129" t="str">
        <f>IFERROR(IF(#REF!="S",VLOOKUP('Raw Data'!A6446,References!#REF!,2,FALSE),(VLOOKUP($S6446,References!$B$3:$C$7,2,FALSE))),"")</f>
        <v/>
      </c>
      <c r="W6446" s="74" t="str">
        <f>IFERROR(VLOOKUP($O6446,'Customer List'!$A$1:$J$488,10,FALSE),"")</f>
        <v/>
      </c>
    </row>
    <row r="6447" spans="18:23">
      <c r="R6447" s="127">
        <f t="shared" si="277"/>
        <v>0</v>
      </c>
      <c r="T6447" s="128">
        <f t="shared" si="276"/>
        <v>0</v>
      </c>
      <c r="U6447" s="129" t="str">
        <f>IFERROR(IF(#REF!="S",VLOOKUP('Raw Data'!A6447,References!#REF!,2,FALSE),(VLOOKUP($S6447,References!$B$3:$C$7,2,FALSE))),"")</f>
        <v/>
      </c>
      <c r="W6447" s="74" t="str">
        <f>IFERROR(VLOOKUP($O6447,'Customer List'!$A$1:$J$488,10,FALSE),"")</f>
        <v/>
      </c>
    </row>
    <row r="6448" spans="18:23">
      <c r="R6448" s="127">
        <f t="shared" si="277"/>
        <v>0</v>
      </c>
      <c r="T6448" s="128">
        <f t="shared" si="276"/>
        <v>0</v>
      </c>
      <c r="U6448" s="129" t="str">
        <f>IFERROR(IF(#REF!="S",VLOOKUP('Raw Data'!A6448,References!#REF!,2,FALSE),(VLOOKUP($S6448,References!$B$3:$C$7,2,FALSE))),"")</f>
        <v/>
      </c>
      <c r="W6448" s="74" t="str">
        <f>IFERROR(VLOOKUP($O6448,'Customer List'!$A$1:$J$488,10,FALSE),"")</f>
        <v/>
      </c>
    </row>
    <row r="6449" spans="18:23">
      <c r="R6449" s="127">
        <f t="shared" si="277"/>
        <v>0</v>
      </c>
      <c r="T6449" s="128">
        <f t="shared" si="276"/>
        <v>0</v>
      </c>
      <c r="U6449" s="129" t="str">
        <f>IFERROR(IF(#REF!="S",VLOOKUP('Raw Data'!A6449,References!#REF!,2,FALSE),(VLOOKUP($S6449,References!$B$3:$C$7,2,FALSE))),"")</f>
        <v/>
      </c>
      <c r="W6449" s="74" t="str">
        <f>IFERROR(VLOOKUP($O6449,'Customer List'!$A$1:$J$488,10,FALSE),"")</f>
        <v/>
      </c>
    </row>
    <row r="6450" spans="18:23">
      <c r="R6450" s="127">
        <f t="shared" si="277"/>
        <v>0</v>
      </c>
      <c r="T6450" s="128">
        <f t="shared" si="276"/>
        <v>0</v>
      </c>
      <c r="U6450" s="129" t="str">
        <f>IFERROR(IF(#REF!="S",VLOOKUP('Raw Data'!A6450,References!#REF!,2,FALSE),(VLOOKUP($S6450,References!$B$3:$C$7,2,FALSE))),"")</f>
        <v/>
      </c>
      <c r="W6450" s="74" t="str">
        <f>IFERROR(VLOOKUP($O6450,'Customer List'!$A$1:$J$488,10,FALSE),"")</f>
        <v/>
      </c>
    </row>
    <row r="6451" spans="18:23">
      <c r="R6451" s="127">
        <f t="shared" si="277"/>
        <v>0</v>
      </c>
      <c r="T6451" s="128">
        <f t="shared" si="276"/>
        <v>0</v>
      </c>
      <c r="U6451" s="129" t="str">
        <f>IFERROR(IF(#REF!="S",VLOOKUP('Raw Data'!A6451,References!#REF!,2,FALSE),(VLOOKUP($S6451,References!$B$3:$C$7,2,FALSE))),"")</f>
        <v/>
      </c>
      <c r="W6451" s="74" t="str">
        <f>IFERROR(VLOOKUP($O6451,'Customer List'!$A$1:$J$488,10,FALSE),"")</f>
        <v/>
      </c>
    </row>
    <row r="6452" spans="18:23">
      <c r="R6452" s="127">
        <f t="shared" si="277"/>
        <v>0</v>
      </c>
      <c r="T6452" s="128">
        <f t="shared" si="276"/>
        <v>0</v>
      </c>
      <c r="U6452" s="129" t="str">
        <f>IFERROR(IF(#REF!="S",VLOOKUP('Raw Data'!A6452,References!#REF!,2,FALSE),(VLOOKUP($S6452,References!$B$3:$C$7,2,FALSE))),"")</f>
        <v/>
      </c>
      <c r="W6452" s="74" t="str">
        <f>IFERROR(VLOOKUP($O6452,'Customer List'!$A$1:$J$488,10,FALSE),"")</f>
        <v/>
      </c>
    </row>
    <row r="6453" spans="18:23">
      <c r="R6453" s="127">
        <f t="shared" si="277"/>
        <v>0</v>
      </c>
      <c r="T6453" s="128">
        <f t="shared" si="276"/>
        <v>0</v>
      </c>
      <c r="U6453" s="129" t="str">
        <f>IFERROR(IF(#REF!="S",VLOOKUP('Raw Data'!A6453,References!#REF!,2,FALSE),(VLOOKUP($S6453,References!$B$3:$C$7,2,FALSE))),"")</f>
        <v/>
      </c>
      <c r="W6453" s="74" t="str">
        <f>IFERROR(VLOOKUP($O6453,'Customer List'!$A$1:$J$488,10,FALSE),"")</f>
        <v/>
      </c>
    </row>
    <row r="6454" spans="18:23">
      <c r="R6454" s="127">
        <f t="shared" si="277"/>
        <v>0</v>
      </c>
      <c r="T6454" s="128">
        <f t="shared" si="276"/>
        <v>0</v>
      </c>
      <c r="U6454" s="129" t="str">
        <f>IFERROR(IF(#REF!="S",VLOOKUP('Raw Data'!A6454,References!#REF!,2,FALSE),(VLOOKUP($S6454,References!$B$3:$C$7,2,FALSE))),"")</f>
        <v/>
      </c>
      <c r="W6454" s="74" t="str">
        <f>IFERROR(VLOOKUP($O6454,'Customer List'!$A$1:$J$488,10,FALSE),"")</f>
        <v/>
      </c>
    </row>
    <row r="6455" spans="18:23">
      <c r="R6455" s="127">
        <f t="shared" si="277"/>
        <v>0</v>
      </c>
      <c r="T6455" s="128">
        <f t="shared" si="276"/>
        <v>0</v>
      </c>
      <c r="U6455" s="129" t="str">
        <f>IFERROR(IF(#REF!="S",VLOOKUP('Raw Data'!A6455,References!#REF!,2,FALSE),(VLOOKUP($S6455,References!$B$3:$C$7,2,FALSE))),"")</f>
        <v/>
      </c>
      <c r="W6455" s="74" t="str">
        <f>IFERROR(VLOOKUP($O6455,'Customer List'!$A$1:$J$488,10,FALSE),"")</f>
        <v/>
      </c>
    </row>
    <row r="6456" spans="18:23">
      <c r="R6456" s="127">
        <f t="shared" si="277"/>
        <v>0</v>
      </c>
      <c r="T6456" s="128">
        <f t="shared" si="276"/>
        <v>0</v>
      </c>
      <c r="U6456" s="129" t="str">
        <f>IFERROR(IF(#REF!="S",VLOOKUP('Raw Data'!A6456,References!#REF!,2,FALSE),(VLOOKUP($S6456,References!$B$3:$C$7,2,FALSE))),"")</f>
        <v/>
      </c>
      <c r="W6456" s="74" t="str">
        <f>IFERROR(VLOOKUP($O6456,'Customer List'!$A$1:$J$488,10,FALSE),"")</f>
        <v/>
      </c>
    </row>
    <row r="6457" spans="18:23">
      <c r="R6457" s="127">
        <f t="shared" si="277"/>
        <v>0</v>
      </c>
      <c r="T6457" s="128">
        <f t="shared" si="276"/>
        <v>0</v>
      </c>
      <c r="U6457" s="129" t="str">
        <f>IFERROR(IF(#REF!="S",VLOOKUP('Raw Data'!A6457,References!#REF!,2,FALSE),(VLOOKUP($S6457,References!$B$3:$C$7,2,FALSE))),"")</f>
        <v/>
      </c>
      <c r="W6457" s="74" t="str">
        <f>IFERROR(VLOOKUP($O6457,'Customer List'!$A$1:$J$488,10,FALSE),"")</f>
        <v/>
      </c>
    </row>
    <row r="6458" spans="18:23">
      <c r="R6458" s="127">
        <f t="shared" si="277"/>
        <v>0</v>
      </c>
      <c r="T6458" s="128">
        <f t="shared" si="276"/>
        <v>0</v>
      </c>
      <c r="U6458" s="129" t="str">
        <f>IFERROR(IF(#REF!="S",VLOOKUP('Raw Data'!A6458,References!#REF!,2,FALSE),(VLOOKUP($S6458,References!$B$3:$C$7,2,FALSE))),"")</f>
        <v/>
      </c>
      <c r="W6458" s="74" t="str">
        <f>IFERROR(VLOOKUP($O6458,'Customer List'!$A$1:$J$488,10,FALSE),"")</f>
        <v/>
      </c>
    </row>
    <row r="6459" spans="18:23">
      <c r="R6459" s="127">
        <f t="shared" si="277"/>
        <v>0</v>
      </c>
      <c r="T6459" s="128">
        <f t="shared" si="276"/>
        <v>0</v>
      </c>
      <c r="U6459" s="129" t="str">
        <f>IFERROR(IF(#REF!="S",VLOOKUP('Raw Data'!A6459,References!#REF!,2,FALSE),(VLOOKUP($S6459,References!$B$3:$C$7,2,FALSE))),"")</f>
        <v/>
      </c>
      <c r="W6459" s="74" t="str">
        <f>IFERROR(VLOOKUP($O6459,'Customer List'!$A$1:$J$488,10,FALSE),"")</f>
        <v/>
      </c>
    </row>
    <row r="6460" spans="18:23">
      <c r="R6460" s="127">
        <f t="shared" si="277"/>
        <v>0</v>
      </c>
      <c r="T6460" s="128">
        <f t="shared" si="276"/>
        <v>0</v>
      </c>
      <c r="U6460" s="129" t="str">
        <f>IFERROR(IF(#REF!="S",VLOOKUP('Raw Data'!A6460,References!#REF!,2,FALSE),(VLOOKUP($S6460,References!$B$3:$C$7,2,FALSE))),"")</f>
        <v/>
      </c>
      <c r="W6460" s="74" t="str">
        <f>IFERROR(VLOOKUP($O6460,'Customer List'!$A$1:$J$488,10,FALSE),"")</f>
        <v/>
      </c>
    </row>
    <row r="6461" spans="18:23">
      <c r="R6461" s="127">
        <f t="shared" si="277"/>
        <v>0</v>
      </c>
      <c r="T6461" s="128">
        <f t="shared" si="276"/>
        <v>0</v>
      </c>
      <c r="U6461" s="129" t="str">
        <f>IFERROR(IF(#REF!="S",VLOOKUP('Raw Data'!A6461,References!#REF!,2,FALSE),(VLOOKUP($S6461,References!$B$3:$C$7,2,FALSE))),"")</f>
        <v/>
      </c>
      <c r="W6461" s="74" t="str">
        <f>IFERROR(VLOOKUP($O6461,'Customer List'!$A$1:$J$488,10,FALSE),"")</f>
        <v/>
      </c>
    </row>
    <row r="6462" spans="18:23">
      <c r="R6462" s="127">
        <f t="shared" si="277"/>
        <v>0</v>
      </c>
      <c r="T6462" s="128">
        <f t="shared" si="276"/>
        <v>0</v>
      </c>
      <c r="U6462" s="129" t="str">
        <f>IFERROR(IF(#REF!="S",VLOOKUP('Raw Data'!A6462,References!#REF!,2,FALSE),(VLOOKUP($S6462,References!$B$3:$C$7,2,FALSE))),"")</f>
        <v/>
      </c>
      <c r="W6462" s="74" t="str">
        <f>IFERROR(VLOOKUP($O6462,'Customer List'!$A$1:$J$488,10,FALSE),"")</f>
        <v/>
      </c>
    </row>
    <row r="6463" spans="18:23">
      <c r="R6463" s="127">
        <f t="shared" si="277"/>
        <v>0</v>
      </c>
      <c r="T6463" s="128">
        <f t="shared" si="276"/>
        <v>0</v>
      </c>
      <c r="U6463" s="129" t="str">
        <f>IFERROR(IF(#REF!="S",VLOOKUP('Raw Data'!A6463,References!#REF!,2,FALSE),(VLOOKUP($S6463,References!$B$3:$C$7,2,FALSE))),"")</f>
        <v/>
      </c>
      <c r="W6463" s="74" t="str">
        <f>IFERROR(VLOOKUP($O6463,'Customer List'!$A$1:$J$488,10,FALSE),"")</f>
        <v/>
      </c>
    </row>
    <row r="6464" spans="18:23">
      <c r="R6464" s="127">
        <f t="shared" si="277"/>
        <v>0</v>
      </c>
      <c r="T6464" s="128">
        <f t="shared" si="276"/>
        <v>0</v>
      </c>
      <c r="U6464" s="129" t="str">
        <f>IFERROR(IF(#REF!="S",VLOOKUP('Raw Data'!A6464,References!#REF!,2,FALSE),(VLOOKUP($S6464,References!$B$3:$C$7,2,FALSE))),"")</f>
        <v/>
      </c>
      <c r="W6464" s="74" t="str">
        <f>IFERROR(VLOOKUP($O6464,'Customer List'!$A$1:$J$488,10,FALSE),"")</f>
        <v/>
      </c>
    </row>
    <row r="6465" spans="18:23">
      <c r="R6465" s="127">
        <f t="shared" si="277"/>
        <v>0</v>
      </c>
      <c r="T6465" s="128">
        <f t="shared" si="276"/>
        <v>0</v>
      </c>
      <c r="U6465" s="129" t="str">
        <f>IFERROR(IF(#REF!="S",VLOOKUP('Raw Data'!A6465,References!#REF!,2,FALSE),(VLOOKUP($S6465,References!$B$3:$C$7,2,FALSE))),"")</f>
        <v/>
      </c>
      <c r="W6465" s="74" t="str">
        <f>IFERROR(VLOOKUP($O6465,'Customer List'!$A$1:$J$488,10,FALSE),"")</f>
        <v/>
      </c>
    </row>
    <row r="6466" spans="18:23">
      <c r="R6466" s="127">
        <f t="shared" si="277"/>
        <v>0</v>
      </c>
      <c r="T6466" s="128">
        <f t="shared" si="276"/>
        <v>0</v>
      </c>
      <c r="U6466" s="129" t="str">
        <f>IFERROR(IF(#REF!="S",VLOOKUP('Raw Data'!A6466,References!#REF!,2,FALSE),(VLOOKUP($S6466,References!$B$3:$C$7,2,FALSE))),"")</f>
        <v/>
      </c>
      <c r="W6466" s="74" t="str">
        <f>IFERROR(VLOOKUP($O6466,'Customer List'!$A$1:$J$488,10,FALSE),"")</f>
        <v/>
      </c>
    </row>
    <row r="6467" spans="18:23">
      <c r="R6467" s="127">
        <f t="shared" si="277"/>
        <v>0</v>
      </c>
      <c r="T6467" s="128">
        <f t="shared" si="276"/>
        <v>0</v>
      </c>
      <c r="U6467" s="129" t="str">
        <f>IFERROR(IF(#REF!="S",VLOOKUP('Raw Data'!A6467,References!#REF!,2,FALSE),(VLOOKUP($S6467,References!$B$3:$C$7,2,FALSE))),"")</f>
        <v/>
      </c>
      <c r="W6467" s="74" t="str">
        <f>IFERROR(VLOOKUP($O6467,'Customer List'!$A$1:$J$488,10,FALSE),"")</f>
        <v/>
      </c>
    </row>
    <row r="6468" spans="18:23">
      <c r="R6468" s="127">
        <f t="shared" si="277"/>
        <v>0</v>
      </c>
      <c r="T6468" s="128">
        <f t="shared" si="276"/>
        <v>0</v>
      </c>
      <c r="U6468" s="129" t="str">
        <f>IFERROR(IF(#REF!="S",VLOOKUP('Raw Data'!A6468,References!#REF!,2,FALSE),(VLOOKUP($S6468,References!$B$3:$C$7,2,FALSE))),"")</f>
        <v/>
      </c>
      <c r="W6468" s="74" t="str">
        <f>IFERROR(VLOOKUP($O6468,'Customer List'!$A$1:$J$488,10,FALSE),"")</f>
        <v/>
      </c>
    </row>
    <row r="6469" spans="18:23">
      <c r="R6469" s="127">
        <f t="shared" si="277"/>
        <v>0</v>
      </c>
      <c r="T6469" s="128">
        <f t="shared" si="276"/>
        <v>0</v>
      </c>
      <c r="U6469" s="129" t="str">
        <f>IFERROR(IF(#REF!="S",VLOOKUP('Raw Data'!A6469,References!#REF!,2,FALSE),(VLOOKUP($S6469,References!$B$3:$C$7,2,FALSE))),"")</f>
        <v/>
      </c>
      <c r="W6469" s="74" t="str">
        <f>IFERROR(VLOOKUP($O6469,'Customer List'!$A$1:$J$488,10,FALSE),"")</f>
        <v/>
      </c>
    </row>
    <row r="6470" spans="18:23">
      <c r="R6470" s="127">
        <f t="shared" si="277"/>
        <v>0</v>
      </c>
      <c r="T6470" s="128">
        <f t="shared" si="276"/>
        <v>0</v>
      </c>
      <c r="U6470" s="129" t="str">
        <f>IFERROR(IF(#REF!="S",VLOOKUP('Raw Data'!A6470,References!#REF!,2,FALSE),(VLOOKUP($S6470,References!$B$3:$C$7,2,FALSE))),"")</f>
        <v/>
      </c>
      <c r="W6470" s="74" t="str">
        <f>IFERROR(VLOOKUP($O6470,'Customer List'!$A$1:$J$488,10,FALSE),"")</f>
        <v/>
      </c>
    </row>
    <row r="6471" spans="18:23">
      <c r="R6471" s="127">
        <f t="shared" si="277"/>
        <v>0</v>
      </c>
      <c r="T6471" s="128">
        <f t="shared" si="276"/>
        <v>0</v>
      </c>
      <c r="U6471" s="129" t="str">
        <f>IFERROR(IF(#REF!="S",VLOOKUP('Raw Data'!A6471,References!#REF!,2,FALSE),(VLOOKUP($S6471,References!$B$3:$C$7,2,FALSE))),"")</f>
        <v/>
      </c>
      <c r="W6471" s="74" t="str">
        <f>IFERROR(VLOOKUP($O6471,'Customer List'!$A$1:$J$488,10,FALSE),"")</f>
        <v/>
      </c>
    </row>
    <row r="6472" spans="18:23">
      <c r="R6472" s="127">
        <f t="shared" si="277"/>
        <v>0</v>
      </c>
      <c r="T6472" s="128">
        <f t="shared" si="276"/>
        <v>0</v>
      </c>
      <c r="U6472" s="129" t="str">
        <f>IFERROR(IF(#REF!="S",VLOOKUP('Raw Data'!A6472,References!#REF!,2,FALSE),(VLOOKUP($S6472,References!$B$3:$C$7,2,FALSE))),"")</f>
        <v/>
      </c>
      <c r="W6472" s="74" t="str">
        <f>IFERROR(VLOOKUP($O6472,'Customer List'!$A$1:$J$488,10,FALSE),"")</f>
        <v/>
      </c>
    </row>
    <row r="6473" spans="18:23">
      <c r="R6473" s="127">
        <f t="shared" si="277"/>
        <v>0</v>
      </c>
      <c r="T6473" s="128">
        <f t="shared" si="276"/>
        <v>0</v>
      </c>
      <c r="U6473" s="129" t="str">
        <f>IFERROR(IF(#REF!="S",VLOOKUP('Raw Data'!A6473,References!#REF!,2,FALSE),(VLOOKUP($S6473,References!$B$3:$C$7,2,FALSE))),"")</f>
        <v/>
      </c>
      <c r="W6473" s="74" t="str">
        <f>IFERROR(VLOOKUP($O6473,'Customer List'!$A$1:$J$488,10,FALSE),"")</f>
        <v/>
      </c>
    </row>
    <row r="6474" spans="18:23">
      <c r="R6474" s="127">
        <f t="shared" si="277"/>
        <v>0</v>
      </c>
      <c r="T6474" s="128">
        <f t="shared" ref="T6474:T6537" si="278">IF(S6474="50 - Cleaning Fee",1,HOUR($R6474)+MINUTE(R6474)/60)</f>
        <v>0</v>
      </c>
      <c r="U6474" s="129" t="str">
        <f>IFERROR(IF(#REF!="S",VLOOKUP('Raw Data'!A6474,References!#REF!,2,FALSE),(VLOOKUP($S6474,References!$B$3:$C$7,2,FALSE))),"")</f>
        <v/>
      </c>
      <c r="W6474" s="74" t="str">
        <f>IFERROR(VLOOKUP($O6474,'Customer List'!$A$1:$J$488,10,FALSE),"")</f>
        <v/>
      </c>
    </row>
    <row r="6475" spans="18:23">
      <c r="R6475" s="127">
        <f t="shared" si="277"/>
        <v>0</v>
      </c>
      <c r="T6475" s="128">
        <f t="shared" si="278"/>
        <v>0</v>
      </c>
      <c r="U6475" s="129" t="str">
        <f>IFERROR(IF(#REF!="S",VLOOKUP('Raw Data'!A6475,References!#REF!,2,FALSE),(VLOOKUP($S6475,References!$B$3:$C$7,2,FALSE))),"")</f>
        <v/>
      </c>
      <c r="W6475" s="74" t="str">
        <f>IFERROR(VLOOKUP($O6475,'Customer List'!$A$1:$J$488,10,FALSE),"")</f>
        <v/>
      </c>
    </row>
    <row r="6476" spans="18:23">
      <c r="R6476" s="127">
        <f t="shared" si="277"/>
        <v>0</v>
      </c>
      <c r="T6476" s="128">
        <f t="shared" si="278"/>
        <v>0</v>
      </c>
      <c r="U6476" s="129" t="str">
        <f>IFERROR(IF(#REF!="S",VLOOKUP('Raw Data'!A6476,References!#REF!,2,FALSE),(VLOOKUP($S6476,References!$B$3:$C$7,2,FALSE))),"")</f>
        <v/>
      </c>
      <c r="W6476" s="74" t="str">
        <f>IFERROR(VLOOKUP($O6476,'Customer List'!$A$1:$J$488,10,FALSE),"")</f>
        <v/>
      </c>
    </row>
    <row r="6477" spans="18:23">
      <c r="R6477" s="127">
        <f t="shared" si="277"/>
        <v>0</v>
      </c>
      <c r="T6477" s="128">
        <f t="shared" si="278"/>
        <v>0</v>
      </c>
      <c r="U6477" s="129" t="str">
        <f>IFERROR(IF(#REF!="S",VLOOKUP('Raw Data'!A6477,References!#REF!,2,FALSE),(VLOOKUP($S6477,References!$B$3:$C$7,2,FALSE))),"")</f>
        <v/>
      </c>
      <c r="W6477" s="74" t="str">
        <f>IFERROR(VLOOKUP($O6477,'Customer List'!$A$1:$J$488,10,FALSE),"")</f>
        <v/>
      </c>
    </row>
    <row r="6478" spans="18:23">
      <c r="R6478" s="127">
        <f t="shared" si="277"/>
        <v>0</v>
      </c>
      <c r="T6478" s="128">
        <f t="shared" si="278"/>
        <v>0</v>
      </c>
      <c r="U6478" s="129" t="str">
        <f>IFERROR(IF(#REF!="S",VLOOKUP('Raw Data'!A6478,References!#REF!,2,FALSE),(VLOOKUP($S6478,References!$B$3:$C$7,2,FALSE))),"")</f>
        <v/>
      </c>
      <c r="W6478" s="74" t="str">
        <f>IFERROR(VLOOKUP($O6478,'Customer List'!$A$1:$J$488,10,FALSE),"")</f>
        <v/>
      </c>
    </row>
    <row r="6479" spans="18:23">
      <c r="R6479" s="127">
        <f t="shared" si="277"/>
        <v>0</v>
      </c>
      <c r="T6479" s="128">
        <f t="shared" si="278"/>
        <v>0</v>
      </c>
      <c r="U6479" s="129" t="str">
        <f>IFERROR(IF(#REF!="S",VLOOKUP('Raw Data'!A6479,References!#REF!,2,FALSE),(VLOOKUP($S6479,References!$B$3:$C$7,2,FALSE))),"")</f>
        <v/>
      </c>
      <c r="W6479" s="74" t="str">
        <f>IFERROR(VLOOKUP($O6479,'Customer List'!$A$1:$J$488,10,FALSE),"")</f>
        <v/>
      </c>
    </row>
    <row r="6480" spans="18:23">
      <c r="R6480" s="127">
        <f t="shared" si="277"/>
        <v>0</v>
      </c>
      <c r="T6480" s="128">
        <f t="shared" si="278"/>
        <v>0</v>
      </c>
      <c r="U6480" s="129" t="str">
        <f>IFERROR(IF(#REF!="S",VLOOKUP('Raw Data'!A6480,References!#REF!,2,FALSE),(VLOOKUP($S6480,References!$B$3:$C$7,2,FALSE))),"")</f>
        <v/>
      </c>
      <c r="W6480" s="74" t="str">
        <f>IFERROR(VLOOKUP($O6480,'Customer List'!$A$1:$J$488,10,FALSE),"")</f>
        <v/>
      </c>
    </row>
    <row r="6481" spans="18:23">
      <c r="R6481" s="127">
        <f t="shared" si="277"/>
        <v>0</v>
      </c>
      <c r="T6481" s="128">
        <f t="shared" si="278"/>
        <v>0</v>
      </c>
      <c r="U6481" s="129" t="str">
        <f>IFERROR(IF(#REF!="S",VLOOKUP('Raw Data'!A6481,References!#REF!,2,FALSE),(VLOOKUP($S6481,References!$B$3:$C$7,2,FALSE))),"")</f>
        <v/>
      </c>
      <c r="W6481" s="74" t="str">
        <f>IFERROR(VLOOKUP($O6481,'Customer List'!$A$1:$J$488,10,FALSE),"")</f>
        <v/>
      </c>
    </row>
    <row r="6482" spans="18:23">
      <c r="R6482" s="127">
        <f t="shared" si="277"/>
        <v>0</v>
      </c>
      <c r="T6482" s="128">
        <f t="shared" si="278"/>
        <v>0</v>
      </c>
      <c r="U6482" s="129" t="str">
        <f>IFERROR(IF(#REF!="S",VLOOKUP('Raw Data'!A6482,References!#REF!,2,FALSE),(VLOOKUP($S6482,References!$B$3:$C$7,2,FALSE))),"")</f>
        <v/>
      </c>
      <c r="W6482" s="74" t="str">
        <f>IFERROR(VLOOKUP($O6482,'Customer List'!$A$1:$J$488,10,FALSE),"")</f>
        <v/>
      </c>
    </row>
    <row r="6483" spans="18:23">
      <c r="R6483" s="127">
        <f t="shared" si="277"/>
        <v>0</v>
      </c>
      <c r="T6483" s="128">
        <f t="shared" si="278"/>
        <v>0</v>
      </c>
      <c r="U6483" s="129" t="str">
        <f>IFERROR(IF(#REF!="S",VLOOKUP('Raw Data'!A6483,References!#REF!,2,FALSE),(VLOOKUP($S6483,References!$B$3:$C$7,2,FALSE))),"")</f>
        <v/>
      </c>
      <c r="W6483" s="74" t="str">
        <f>IFERROR(VLOOKUP($O6483,'Customer List'!$A$1:$J$488,10,FALSE),"")</f>
        <v/>
      </c>
    </row>
    <row r="6484" spans="18:23">
      <c r="R6484" s="127">
        <f t="shared" si="277"/>
        <v>0</v>
      </c>
      <c r="T6484" s="128">
        <f t="shared" si="278"/>
        <v>0</v>
      </c>
      <c r="U6484" s="129" t="str">
        <f>IFERROR(IF(#REF!="S",VLOOKUP('Raw Data'!A6484,References!#REF!,2,FALSE),(VLOOKUP($S6484,References!$B$3:$C$7,2,FALSE))),"")</f>
        <v/>
      </c>
      <c r="W6484" s="74" t="str">
        <f>IFERROR(VLOOKUP($O6484,'Customer List'!$A$1:$J$488,10,FALSE),"")</f>
        <v/>
      </c>
    </row>
    <row r="6485" spans="18:23">
      <c r="R6485" s="127">
        <f t="shared" si="277"/>
        <v>0</v>
      </c>
      <c r="T6485" s="128">
        <f t="shared" si="278"/>
        <v>0</v>
      </c>
      <c r="U6485" s="129" t="str">
        <f>IFERROR(IF(#REF!="S",VLOOKUP('Raw Data'!A6485,References!#REF!,2,FALSE),(VLOOKUP($S6485,References!$B$3:$C$7,2,FALSE))),"")</f>
        <v/>
      </c>
      <c r="W6485" s="74" t="str">
        <f>IFERROR(VLOOKUP($O6485,'Customer List'!$A$1:$J$488,10,FALSE),"")</f>
        <v/>
      </c>
    </row>
    <row r="6486" spans="18:23">
      <c r="R6486" s="127">
        <f t="shared" si="277"/>
        <v>0</v>
      </c>
      <c r="T6486" s="128">
        <f t="shared" si="278"/>
        <v>0</v>
      </c>
      <c r="U6486" s="129" t="str">
        <f>IFERROR(IF(#REF!="S",VLOOKUP('Raw Data'!A6486,References!#REF!,2,FALSE),(VLOOKUP($S6486,References!$B$3:$C$7,2,FALSE))),"")</f>
        <v/>
      </c>
      <c r="W6486" s="74" t="str">
        <f>IFERROR(VLOOKUP($O6486,'Customer List'!$A$1:$J$488,10,FALSE),"")</f>
        <v/>
      </c>
    </row>
    <row r="6487" spans="18:23">
      <c r="R6487" s="127">
        <f t="shared" si="277"/>
        <v>0</v>
      </c>
      <c r="T6487" s="128">
        <f t="shared" si="278"/>
        <v>0</v>
      </c>
      <c r="U6487" s="129" t="str">
        <f>IFERROR(IF(#REF!="S",VLOOKUP('Raw Data'!A6487,References!#REF!,2,FALSE),(VLOOKUP($S6487,References!$B$3:$C$7,2,FALSE))),"")</f>
        <v/>
      </c>
      <c r="W6487" s="74" t="str">
        <f>IFERROR(VLOOKUP($O6487,'Customer List'!$A$1:$J$488,10,FALSE),"")</f>
        <v/>
      </c>
    </row>
    <row r="6488" spans="18:23">
      <c r="R6488" s="127">
        <f t="shared" si="277"/>
        <v>0</v>
      </c>
      <c r="T6488" s="128">
        <f t="shared" si="278"/>
        <v>0</v>
      </c>
      <c r="U6488" s="129" t="str">
        <f>IFERROR(IF(#REF!="S",VLOOKUP('Raw Data'!A6488,References!#REF!,2,FALSE),(VLOOKUP($S6488,References!$B$3:$C$7,2,FALSE))),"")</f>
        <v/>
      </c>
      <c r="W6488" s="74" t="str">
        <f>IFERROR(VLOOKUP($O6488,'Customer List'!$A$1:$J$488,10,FALSE),"")</f>
        <v/>
      </c>
    </row>
    <row r="6489" spans="18:23">
      <c r="R6489" s="127">
        <f t="shared" si="277"/>
        <v>0</v>
      </c>
      <c r="T6489" s="128">
        <f t="shared" si="278"/>
        <v>0</v>
      </c>
      <c r="U6489" s="129" t="str">
        <f>IFERROR(IF(#REF!="S",VLOOKUP('Raw Data'!A6489,References!#REF!,2,FALSE),(VLOOKUP($S6489,References!$B$3:$C$7,2,FALSE))),"")</f>
        <v/>
      </c>
      <c r="W6489" s="74" t="str">
        <f>IFERROR(VLOOKUP($O6489,'Customer List'!$A$1:$J$488,10,FALSE),"")</f>
        <v/>
      </c>
    </row>
    <row r="6490" spans="18:23">
      <c r="R6490" s="127">
        <f t="shared" si="277"/>
        <v>0</v>
      </c>
      <c r="T6490" s="128">
        <f t="shared" si="278"/>
        <v>0</v>
      </c>
      <c r="U6490" s="129" t="str">
        <f>IFERROR(IF(#REF!="S",VLOOKUP('Raw Data'!A6490,References!#REF!,2,FALSE),(VLOOKUP($S6490,References!$B$3:$C$7,2,FALSE))),"")</f>
        <v/>
      </c>
      <c r="W6490" s="74" t="str">
        <f>IFERROR(VLOOKUP($O6490,'Customer List'!$A$1:$J$488,10,FALSE),"")</f>
        <v/>
      </c>
    </row>
    <row r="6491" spans="18:23">
      <c r="R6491" s="127">
        <f t="shared" si="277"/>
        <v>0</v>
      </c>
      <c r="T6491" s="128">
        <f t="shared" si="278"/>
        <v>0</v>
      </c>
      <c r="U6491" s="129" t="str">
        <f>IFERROR(IF(#REF!="S",VLOOKUP('Raw Data'!A6491,References!#REF!,2,FALSE),(VLOOKUP($S6491,References!$B$3:$C$7,2,FALSE))),"")</f>
        <v/>
      </c>
      <c r="W6491" s="74" t="str">
        <f>IFERROR(VLOOKUP($O6491,'Customer List'!$A$1:$J$488,10,FALSE),"")</f>
        <v/>
      </c>
    </row>
    <row r="6492" spans="18:23">
      <c r="R6492" s="127">
        <f t="shared" si="277"/>
        <v>0</v>
      </c>
      <c r="T6492" s="128">
        <f t="shared" si="278"/>
        <v>0</v>
      </c>
      <c r="U6492" s="129" t="str">
        <f>IFERROR(IF(#REF!="S",VLOOKUP('Raw Data'!A6492,References!#REF!,2,FALSE),(VLOOKUP($S6492,References!$B$3:$C$7,2,FALSE))),"")</f>
        <v/>
      </c>
      <c r="W6492" s="74" t="str">
        <f>IFERROR(VLOOKUP($O6492,'Customer List'!$A$1:$J$488,10,FALSE),"")</f>
        <v/>
      </c>
    </row>
    <row r="6493" spans="18:23">
      <c r="R6493" s="127">
        <f t="shared" si="277"/>
        <v>0</v>
      </c>
      <c r="T6493" s="128">
        <f t="shared" si="278"/>
        <v>0</v>
      </c>
      <c r="U6493" s="129" t="str">
        <f>IFERROR(IF(#REF!="S",VLOOKUP('Raw Data'!A6493,References!#REF!,2,FALSE),(VLOOKUP($S6493,References!$B$3:$C$7,2,FALSE))),"")</f>
        <v/>
      </c>
      <c r="W6493" s="74" t="str">
        <f>IFERROR(VLOOKUP($O6493,'Customer List'!$A$1:$J$488,10,FALSE),"")</f>
        <v/>
      </c>
    </row>
    <row r="6494" spans="18:23">
      <c r="R6494" s="127">
        <f t="shared" si="277"/>
        <v>0</v>
      </c>
      <c r="T6494" s="128">
        <f t="shared" si="278"/>
        <v>0</v>
      </c>
      <c r="U6494" s="129" t="str">
        <f>IFERROR(IF(#REF!="S",VLOOKUP('Raw Data'!A6494,References!#REF!,2,FALSE),(VLOOKUP($S6494,References!$B$3:$C$7,2,FALSE))),"")</f>
        <v/>
      </c>
      <c r="W6494" s="74" t="str">
        <f>IFERROR(VLOOKUP($O6494,'Customer List'!$A$1:$J$488,10,FALSE),"")</f>
        <v/>
      </c>
    </row>
    <row r="6495" spans="18:23">
      <c r="R6495" s="127">
        <f t="shared" si="277"/>
        <v>0</v>
      </c>
      <c r="T6495" s="128">
        <f t="shared" si="278"/>
        <v>0</v>
      </c>
      <c r="U6495" s="129" t="str">
        <f>IFERROR(IF(#REF!="S",VLOOKUP('Raw Data'!A6495,References!#REF!,2,FALSE),(VLOOKUP($S6495,References!$B$3:$C$7,2,FALSE))),"")</f>
        <v/>
      </c>
      <c r="W6495" s="74" t="str">
        <f>IFERROR(VLOOKUP($O6495,'Customer List'!$A$1:$J$488,10,FALSE),"")</f>
        <v/>
      </c>
    </row>
    <row r="6496" spans="18:23">
      <c r="R6496" s="127">
        <f t="shared" si="277"/>
        <v>0</v>
      </c>
      <c r="T6496" s="128">
        <f t="shared" si="278"/>
        <v>0</v>
      </c>
      <c r="U6496" s="129" t="str">
        <f>IFERROR(IF(#REF!="S",VLOOKUP('Raw Data'!A6496,References!#REF!,2,FALSE),(VLOOKUP($S6496,References!$B$3:$C$7,2,FALSE))),"")</f>
        <v/>
      </c>
      <c r="W6496" s="74" t="str">
        <f>IFERROR(VLOOKUP($O6496,'Customer List'!$A$1:$J$488,10,FALSE),"")</f>
        <v/>
      </c>
    </row>
    <row r="6497" spans="18:23">
      <c r="R6497" s="127">
        <f t="shared" si="277"/>
        <v>0</v>
      </c>
      <c r="T6497" s="128">
        <f t="shared" si="278"/>
        <v>0</v>
      </c>
      <c r="U6497" s="129" t="str">
        <f>IFERROR(IF(#REF!="S",VLOOKUP('Raw Data'!A6497,References!#REF!,2,FALSE),(VLOOKUP($S6497,References!$B$3:$C$7,2,FALSE))),"")</f>
        <v/>
      </c>
      <c r="W6497" s="74" t="str">
        <f>IFERROR(VLOOKUP($O6497,'Customer List'!$A$1:$J$488,10,FALSE),"")</f>
        <v/>
      </c>
    </row>
    <row r="6498" spans="18:23">
      <c r="R6498" s="127">
        <f t="shared" ref="R6498:R6561" si="279">L6498-K6498</f>
        <v>0</v>
      </c>
      <c r="T6498" s="128">
        <f t="shared" si="278"/>
        <v>0</v>
      </c>
      <c r="U6498" s="129" t="str">
        <f>IFERROR(IF(#REF!="S",VLOOKUP('Raw Data'!A6498,References!#REF!,2,FALSE),(VLOOKUP($S6498,References!$B$3:$C$7,2,FALSE))),"")</f>
        <v/>
      </c>
      <c r="W6498" s="74" t="str">
        <f>IFERROR(VLOOKUP($O6498,'Customer List'!$A$1:$J$488,10,FALSE),"")</f>
        <v/>
      </c>
    </row>
    <row r="6499" spans="18:23">
      <c r="R6499" s="127">
        <f t="shared" si="279"/>
        <v>0</v>
      </c>
      <c r="T6499" s="128">
        <f t="shared" si="278"/>
        <v>0</v>
      </c>
      <c r="U6499" s="129" t="str">
        <f>IFERROR(IF(#REF!="S",VLOOKUP('Raw Data'!A6499,References!#REF!,2,FALSE),(VLOOKUP($S6499,References!$B$3:$C$7,2,FALSE))),"")</f>
        <v/>
      </c>
      <c r="W6499" s="74" t="str">
        <f>IFERROR(VLOOKUP($O6499,'Customer List'!$A$1:$J$488,10,FALSE),"")</f>
        <v/>
      </c>
    </row>
    <row r="6500" spans="18:23">
      <c r="R6500" s="127">
        <f t="shared" si="279"/>
        <v>0</v>
      </c>
      <c r="T6500" s="128">
        <f t="shared" si="278"/>
        <v>0</v>
      </c>
      <c r="U6500" s="129" t="str">
        <f>IFERROR(IF(#REF!="S",VLOOKUP('Raw Data'!A6500,References!#REF!,2,FALSE),(VLOOKUP($S6500,References!$B$3:$C$7,2,FALSE))),"")</f>
        <v/>
      </c>
      <c r="W6500" s="74" t="str">
        <f>IFERROR(VLOOKUP($O6500,'Customer List'!$A$1:$J$488,10,FALSE),"")</f>
        <v/>
      </c>
    </row>
    <row r="6501" spans="18:23">
      <c r="R6501" s="127">
        <f t="shared" si="279"/>
        <v>0</v>
      </c>
      <c r="T6501" s="128">
        <f t="shared" si="278"/>
        <v>0</v>
      </c>
      <c r="U6501" s="129" t="str">
        <f>IFERROR(IF(#REF!="S",VLOOKUP('Raw Data'!A6501,References!#REF!,2,FALSE),(VLOOKUP($S6501,References!$B$3:$C$7,2,FALSE))),"")</f>
        <v/>
      </c>
      <c r="W6501" s="74" t="str">
        <f>IFERROR(VLOOKUP($O6501,'Customer List'!$A$1:$J$488,10,FALSE),"")</f>
        <v/>
      </c>
    </row>
    <row r="6502" spans="18:23">
      <c r="R6502" s="127">
        <f t="shared" si="279"/>
        <v>0</v>
      </c>
      <c r="T6502" s="128">
        <f t="shared" si="278"/>
        <v>0</v>
      </c>
      <c r="U6502" s="129" t="str">
        <f>IFERROR(IF(#REF!="S",VLOOKUP('Raw Data'!A6502,References!#REF!,2,FALSE),(VLOOKUP($S6502,References!$B$3:$C$7,2,FALSE))),"")</f>
        <v/>
      </c>
      <c r="W6502" s="74" t="str">
        <f>IFERROR(VLOOKUP($O6502,'Customer List'!$A$1:$J$488,10,FALSE),"")</f>
        <v/>
      </c>
    </row>
    <row r="6503" spans="18:23">
      <c r="R6503" s="127">
        <f t="shared" si="279"/>
        <v>0</v>
      </c>
      <c r="T6503" s="128">
        <f t="shared" si="278"/>
        <v>0</v>
      </c>
      <c r="U6503" s="129" t="str">
        <f>IFERROR(IF(#REF!="S",VLOOKUP('Raw Data'!A6503,References!#REF!,2,FALSE),(VLOOKUP($S6503,References!$B$3:$C$7,2,FALSE))),"")</f>
        <v/>
      </c>
      <c r="W6503" s="74" t="str">
        <f>IFERROR(VLOOKUP($O6503,'Customer List'!$A$1:$J$488,10,FALSE),"")</f>
        <v/>
      </c>
    </row>
    <row r="6504" spans="18:23">
      <c r="R6504" s="127">
        <f t="shared" si="279"/>
        <v>0</v>
      </c>
      <c r="T6504" s="128">
        <f t="shared" si="278"/>
        <v>0</v>
      </c>
      <c r="U6504" s="129" t="str">
        <f>IFERROR(IF(#REF!="S",VLOOKUP('Raw Data'!A6504,References!#REF!,2,FALSE),(VLOOKUP($S6504,References!$B$3:$C$7,2,FALSE))),"")</f>
        <v/>
      </c>
      <c r="W6504" s="74" t="str">
        <f>IFERROR(VLOOKUP($O6504,'Customer List'!$A$1:$J$488,10,FALSE),"")</f>
        <v/>
      </c>
    </row>
    <row r="6505" spans="18:23">
      <c r="R6505" s="127">
        <f t="shared" si="279"/>
        <v>0</v>
      </c>
      <c r="T6505" s="128">
        <f t="shared" si="278"/>
        <v>0</v>
      </c>
      <c r="U6505" s="129" t="str">
        <f>IFERROR(IF(#REF!="S",VLOOKUP('Raw Data'!A6505,References!#REF!,2,FALSE),(VLOOKUP($S6505,References!$B$3:$C$7,2,FALSE))),"")</f>
        <v/>
      </c>
      <c r="W6505" s="74" t="str">
        <f>IFERROR(VLOOKUP($O6505,'Customer List'!$A$1:$J$488,10,FALSE),"")</f>
        <v/>
      </c>
    </row>
    <row r="6506" spans="18:23">
      <c r="R6506" s="127">
        <f t="shared" si="279"/>
        <v>0</v>
      </c>
      <c r="T6506" s="128">
        <f t="shared" si="278"/>
        <v>0</v>
      </c>
      <c r="U6506" s="129" t="str">
        <f>IFERROR(IF(#REF!="S",VLOOKUP('Raw Data'!A6506,References!#REF!,2,FALSE),(VLOOKUP($S6506,References!$B$3:$C$7,2,FALSE))),"")</f>
        <v/>
      </c>
      <c r="W6506" s="74" t="str">
        <f>IFERROR(VLOOKUP($O6506,'Customer List'!$A$1:$J$488,10,FALSE),"")</f>
        <v/>
      </c>
    </row>
    <row r="6507" spans="18:23">
      <c r="R6507" s="127">
        <f t="shared" si="279"/>
        <v>0</v>
      </c>
      <c r="T6507" s="128">
        <f t="shared" si="278"/>
        <v>0</v>
      </c>
      <c r="U6507" s="129" t="str">
        <f>IFERROR(IF(#REF!="S",VLOOKUP('Raw Data'!A6507,References!#REF!,2,FALSE),(VLOOKUP($S6507,References!$B$3:$C$7,2,FALSE))),"")</f>
        <v/>
      </c>
      <c r="W6507" s="74" t="str">
        <f>IFERROR(VLOOKUP($O6507,'Customer List'!$A$1:$J$488,10,FALSE),"")</f>
        <v/>
      </c>
    </row>
    <row r="6508" spans="18:23">
      <c r="R6508" s="127">
        <f t="shared" si="279"/>
        <v>0</v>
      </c>
      <c r="T6508" s="128">
        <f t="shared" si="278"/>
        <v>0</v>
      </c>
      <c r="U6508" s="129" t="str">
        <f>IFERROR(IF(#REF!="S",VLOOKUP('Raw Data'!A6508,References!#REF!,2,FALSE),(VLOOKUP($S6508,References!$B$3:$C$7,2,FALSE))),"")</f>
        <v/>
      </c>
      <c r="W6508" s="74" t="str">
        <f>IFERROR(VLOOKUP($O6508,'Customer List'!$A$1:$J$488,10,FALSE),"")</f>
        <v/>
      </c>
    </row>
    <row r="6509" spans="18:23">
      <c r="R6509" s="127">
        <f t="shared" si="279"/>
        <v>0</v>
      </c>
      <c r="T6509" s="128">
        <f t="shared" si="278"/>
        <v>0</v>
      </c>
      <c r="U6509" s="129" t="str">
        <f>IFERROR(IF(#REF!="S",VLOOKUP('Raw Data'!A6509,References!#REF!,2,FALSE),(VLOOKUP($S6509,References!$B$3:$C$7,2,FALSE))),"")</f>
        <v/>
      </c>
      <c r="W6509" s="74" t="str">
        <f>IFERROR(VLOOKUP($O6509,'Customer List'!$A$1:$J$488,10,FALSE),"")</f>
        <v/>
      </c>
    </row>
    <row r="6510" spans="18:23">
      <c r="R6510" s="127">
        <f t="shared" si="279"/>
        <v>0</v>
      </c>
      <c r="T6510" s="128">
        <f t="shared" si="278"/>
        <v>0</v>
      </c>
      <c r="U6510" s="129" t="str">
        <f>IFERROR(IF(#REF!="S",VLOOKUP('Raw Data'!A6510,References!#REF!,2,FALSE),(VLOOKUP($S6510,References!$B$3:$C$7,2,FALSE))),"")</f>
        <v/>
      </c>
      <c r="W6510" s="74" t="str">
        <f>IFERROR(VLOOKUP($O6510,'Customer List'!$A$1:$J$488,10,FALSE),"")</f>
        <v/>
      </c>
    </row>
    <row r="6511" spans="18:23">
      <c r="R6511" s="127">
        <f t="shared" si="279"/>
        <v>0</v>
      </c>
      <c r="T6511" s="128">
        <f t="shared" si="278"/>
        <v>0</v>
      </c>
      <c r="U6511" s="129" t="str">
        <f>IFERROR(IF(#REF!="S",VLOOKUP('Raw Data'!A6511,References!#REF!,2,FALSE),(VLOOKUP($S6511,References!$B$3:$C$7,2,FALSE))),"")</f>
        <v/>
      </c>
      <c r="W6511" s="74" t="str">
        <f>IFERROR(VLOOKUP($O6511,'Customer List'!$A$1:$J$488,10,FALSE),"")</f>
        <v/>
      </c>
    </row>
    <row r="6512" spans="18:23">
      <c r="R6512" s="127">
        <f t="shared" si="279"/>
        <v>0</v>
      </c>
      <c r="T6512" s="128">
        <f t="shared" si="278"/>
        <v>0</v>
      </c>
      <c r="U6512" s="129" t="str">
        <f>IFERROR(IF(#REF!="S",VLOOKUP('Raw Data'!A6512,References!#REF!,2,FALSE),(VLOOKUP($S6512,References!$B$3:$C$7,2,FALSE))),"")</f>
        <v/>
      </c>
      <c r="W6512" s="74" t="str">
        <f>IFERROR(VLOOKUP($O6512,'Customer List'!$A$1:$J$488,10,FALSE),"")</f>
        <v/>
      </c>
    </row>
    <row r="6513" spans="18:23">
      <c r="R6513" s="127">
        <f t="shared" si="279"/>
        <v>0</v>
      </c>
      <c r="T6513" s="128">
        <f t="shared" si="278"/>
        <v>0</v>
      </c>
      <c r="U6513" s="129" t="str">
        <f>IFERROR(IF(#REF!="S",VLOOKUP('Raw Data'!A6513,References!#REF!,2,FALSE),(VLOOKUP($S6513,References!$B$3:$C$7,2,FALSE))),"")</f>
        <v/>
      </c>
      <c r="W6513" s="74" t="str">
        <f>IFERROR(VLOOKUP($O6513,'Customer List'!$A$1:$J$488,10,FALSE),"")</f>
        <v/>
      </c>
    </row>
    <row r="6514" spans="18:23">
      <c r="R6514" s="127">
        <f t="shared" si="279"/>
        <v>0</v>
      </c>
      <c r="T6514" s="128">
        <f t="shared" si="278"/>
        <v>0</v>
      </c>
      <c r="U6514" s="129" t="str">
        <f>IFERROR(IF(#REF!="S",VLOOKUP('Raw Data'!A6514,References!#REF!,2,FALSE),(VLOOKUP($S6514,References!$B$3:$C$7,2,FALSE))),"")</f>
        <v/>
      </c>
      <c r="W6514" s="74" t="str">
        <f>IFERROR(VLOOKUP($O6514,'Customer List'!$A$1:$J$488,10,FALSE),"")</f>
        <v/>
      </c>
    </row>
    <row r="6515" spans="18:23">
      <c r="R6515" s="127">
        <f t="shared" si="279"/>
        <v>0</v>
      </c>
      <c r="T6515" s="128">
        <f t="shared" si="278"/>
        <v>0</v>
      </c>
      <c r="U6515" s="129" t="str">
        <f>IFERROR(IF(#REF!="S",VLOOKUP('Raw Data'!A6515,References!#REF!,2,FALSE),(VLOOKUP($S6515,References!$B$3:$C$7,2,FALSE))),"")</f>
        <v/>
      </c>
      <c r="W6515" s="74" t="str">
        <f>IFERROR(VLOOKUP($O6515,'Customer List'!$A$1:$J$488,10,FALSE),"")</f>
        <v/>
      </c>
    </row>
    <row r="6516" spans="18:23">
      <c r="R6516" s="127">
        <f t="shared" si="279"/>
        <v>0</v>
      </c>
      <c r="T6516" s="128">
        <f t="shared" si="278"/>
        <v>0</v>
      </c>
      <c r="U6516" s="129" t="str">
        <f>IFERROR(IF(#REF!="S",VLOOKUP('Raw Data'!A6516,References!#REF!,2,FALSE),(VLOOKUP($S6516,References!$B$3:$C$7,2,FALSE))),"")</f>
        <v/>
      </c>
      <c r="W6516" s="74" t="str">
        <f>IFERROR(VLOOKUP($O6516,'Customer List'!$A$1:$J$488,10,FALSE),"")</f>
        <v/>
      </c>
    </row>
    <row r="6517" spans="18:23">
      <c r="R6517" s="127">
        <f t="shared" si="279"/>
        <v>0</v>
      </c>
      <c r="T6517" s="128">
        <f t="shared" si="278"/>
        <v>0</v>
      </c>
      <c r="U6517" s="129" t="str">
        <f>IFERROR(IF(#REF!="S",VLOOKUP('Raw Data'!A6517,References!#REF!,2,FALSE),(VLOOKUP($S6517,References!$B$3:$C$7,2,FALSE))),"")</f>
        <v/>
      </c>
      <c r="W6517" s="74" t="str">
        <f>IFERROR(VLOOKUP($O6517,'Customer List'!$A$1:$J$488,10,FALSE),"")</f>
        <v/>
      </c>
    </row>
    <row r="6518" spans="18:23">
      <c r="R6518" s="127">
        <f t="shared" si="279"/>
        <v>0</v>
      </c>
      <c r="T6518" s="128">
        <f t="shared" si="278"/>
        <v>0</v>
      </c>
      <c r="U6518" s="129" t="str">
        <f>IFERROR(IF(#REF!="S",VLOOKUP('Raw Data'!A6518,References!#REF!,2,FALSE),(VLOOKUP($S6518,References!$B$3:$C$7,2,FALSE))),"")</f>
        <v/>
      </c>
      <c r="W6518" s="74" t="str">
        <f>IFERROR(VLOOKUP($O6518,'Customer List'!$A$1:$J$488,10,FALSE),"")</f>
        <v/>
      </c>
    </row>
    <row r="6519" spans="18:23">
      <c r="R6519" s="127">
        <f t="shared" si="279"/>
        <v>0</v>
      </c>
      <c r="T6519" s="128">
        <f t="shared" si="278"/>
        <v>0</v>
      </c>
      <c r="U6519" s="129" t="str">
        <f>IFERROR(IF(#REF!="S",VLOOKUP('Raw Data'!A6519,References!#REF!,2,FALSE),(VLOOKUP($S6519,References!$B$3:$C$7,2,FALSE))),"")</f>
        <v/>
      </c>
      <c r="W6519" s="74" t="str">
        <f>IFERROR(VLOOKUP($O6519,'Customer List'!$A$1:$J$488,10,FALSE),"")</f>
        <v/>
      </c>
    </row>
    <row r="6520" spans="18:23">
      <c r="R6520" s="127">
        <f t="shared" si="279"/>
        <v>0</v>
      </c>
      <c r="T6520" s="128">
        <f t="shared" si="278"/>
        <v>0</v>
      </c>
      <c r="U6520" s="129" t="str">
        <f>IFERROR(IF(#REF!="S",VLOOKUP('Raw Data'!A6520,References!#REF!,2,FALSE),(VLOOKUP($S6520,References!$B$3:$C$7,2,FALSE))),"")</f>
        <v/>
      </c>
      <c r="W6520" s="74" t="str">
        <f>IFERROR(VLOOKUP($O6520,'Customer List'!$A$1:$J$488,10,FALSE),"")</f>
        <v/>
      </c>
    </row>
    <row r="6521" spans="18:23">
      <c r="R6521" s="127">
        <f t="shared" si="279"/>
        <v>0</v>
      </c>
      <c r="T6521" s="128">
        <f t="shared" si="278"/>
        <v>0</v>
      </c>
      <c r="U6521" s="129" t="str">
        <f>IFERROR(IF(#REF!="S",VLOOKUP('Raw Data'!A6521,References!#REF!,2,FALSE),(VLOOKUP($S6521,References!$B$3:$C$7,2,FALSE))),"")</f>
        <v/>
      </c>
      <c r="W6521" s="74" t="str">
        <f>IFERROR(VLOOKUP($O6521,'Customer List'!$A$1:$J$488,10,FALSE),"")</f>
        <v/>
      </c>
    </row>
    <row r="6522" spans="18:23">
      <c r="R6522" s="127">
        <f t="shared" si="279"/>
        <v>0</v>
      </c>
      <c r="T6522" s="128">
        <f t="shared" si="278"/>
        <v>0</v>
      </c>
      <c r="U6522" s="129" t="str">
        <f>IFERROR(IF(#REF!="S",VLOOKUP('Raw Data'!A6522,References!#REF!,2,FALSE),(VLOOKUP($S6522,References!$B$3:$C$7,2,FALSE))),"")</f>
        <v/>
      </c>
      <c r="W6522" s="74" t="str">
        <f>IFERROR(VLOOKUP($O6522,'Customer List'!$A$1:$J$488,10,FALSE),"")</f>
        <v/>
      </c>
    </row>
    <row r="6523" spans="18:23">
      <c r="R6523" s="127">
        <f t="shared" si="279"/>
        <v>0</v>
      </c>
      <c r="T6523" s="128">
        <f t="shared" si="278"/>
        <v>0</v>
      </c>
      <c r="U6523" s="129" t="str">
        <f>IFERROR(IF(#REF!="S",VLOOKUP('Raw Data'!A6523,References!#REF!,2,FALSE),(VLOOKUP($S6523,References!$B$3:$C$7,2,FALSE))),"")</f>
        <v/>
      </c>
      <c r="W6523" s="74" t="str">
        <f>IFERROR(VLOOKUP($O6523,'Customer List'!$A$1:$J$488,10,FALSE),"")</f>
        <v/>
      </c>
    </row>
    <row r="6524" spans="18:23">
      <c r="R6524" s="127">
        <f t="shared" si="279"/>
        <v>0</v>
      </c>
      <c r="T6524" s="128">
        <f t="shared" si="278"/>
        <v>0</v>
      </c>
      <c r="U6524" s="129" t="str">
        <f>IFERROR(IF(#REF!="S",VLOOKUP('Raw Data'!A6524,References!#REF!,2,FALSE),(VLOOKUP($S6524,References!$B$3:$C$7,2,FALSE))),"")</f>
        <v/>
      </c>
      <c r="W6524" s="74" t="str">
        <f>IFERROR(VLOOKUP($O6524,'Customer List'!$A$1:$J$488,10,FALSE),"")</f>
        <v/>
      </c>
    </row>
    <row r="6525" spans="18:23">
      <c r="R6525" s="127">
        <f t="shared" si="279"/>
        <v>0</v>
      </c>
      <c r="T6525" s="128">
        <f t="shared" si="278"/>
        <v>0</v>
      </c>
      <c r="U6525" s="129" t="str">
        <f>IFERROR(IF(#REF!="S",VLOOKUP('Raw Data'!A6525,References!#REF!,2,FALSE),(VLOOKUP($S6525,References!$B$3:$C$7,2,FALSE))),"")</f>
        <v/>
      </c>
      <c r="W6525" s="74" t="str">
        <f>IFERROR(VLOOKUP($O6525,'Customer List'!$A$1:$J$488,10,FALSE),"")</f>
        <v/>
      </c>
    </row>
    <row r="6526" spans="18:23">
      <c r="R6526" s="127">
        <f t="shared" si="279"/>
        <v>0</v>
      </c>
      <c r="T6526" s="128">
        <f t="shared" si="278"/>
        <v>0</v>
      </c>
      <c r="U6526" s="129" t="str">
        <f>IFERROR(IF(#REF!="S",VLOOKUP('Raw Data'!A6526,References!#REF!,2,FALSE),(VLOOKUP($S6526,References!$B$3:$C$7,2,FALSE))),"")</f>
        <v/>
      </c>
      <c r="W6526" s="74" t="str">
        <f>IFERROR(VLOOKUP($O6526,'Customer List'!$A$1:$J$488,10,FALSE),"")</f>
        <v/>
      </c>
    </row>
    <row r="6527" spans="18:23">
      <c r="R6527" s="127">
        <f t="shared" si="279"/>
        <v>0</v>
      </c>
      <c r="T6527" s="128">
        <f t="shared" si="278"/>
        <v>0</v>
      </c>
      <c r="U6527" s="129" t="str">
        <f>IFERROR(IF(#REF!="S",VLOOKUP('Raw Data'!A6527,References!#REF!,2,FALSE),(VLOOKUP($S6527,References!$B$3:$C$7,2,FALSE))),"")</f>
        <v/>
      </c>
      <c r="W6527" s="74" t="str">
        <f>IFERROR(VLOOKUP($O6527,'Customer List'!$A$1:$J$488,10,FALSE),"")</f>
        <v/>
      </c>
    </row>
    <row r="6528" spans="18:23">
      <c r="R6528" s="127">
        <f t="shared" si="279"/>
        <v>0</v>
      </c>
      <c r="T6528" s="128">
        <f t="shared" si="278"/>
        <v>0</v>
      </c>
      <c r="U6528" s="129" t="str">
        <f>IFERROR(IF(#REF!="S",VLOOKUP('Raw Data'!A6528,References!#REF!,2,FALSE),(VLOOKUP($S6528,References!$B$3:$C$7,2,FALSE))),"")</f>
        <v/>
      </c>
      <c r="W6528" s="74" t="str">
        <f>IFERROR(VLOOKUP($O6528,'Customer List'!$A$1:$J$488,10,FALSE),"")</f>
        <v/>
      </c>
    </row>
    <row r="6529" spans="18:23">
      <c r="R6529" s="127">
        <f t="shared" si="279"/>
        <v>0</v>
      </c>
      <c r="T6529" s="128">
        <f t="shared" si="278"/>
        <v>0</v>
      </c>
      <c r="U6529" s="129" t="str">
        <f>IFERROR(IF(#REF!="S",VLOOKUP('Raw Data'!A6529,References!#REF!,2,FALSE),(VLOOKUP($S6529,References!$B$3:$C$7,2,FALSE))),"")</f>
        <v/>
      </c>
      <c r="W6529" s="74" t="str">
        <f>IFERROR(VLOOKUP($O6529,'Customer List'!$A$1:$J$488,10,FALSE),"")</f>
        <v/>
      </c>
    </row>
    <row r="6530" spans="18:23">
      <c r="R6530" s="127">
        <f t="shared" si="279"/>
        <v>0</v>
      </c>
      <c r="T6530" s="128">
        <f t="shared" si="278"/>
        <v>0</v>
      </c>
      <c r="U6530" s="129" t="str">
        <f>IFERROR(IF(#REF!="S",VLOOKUP('Raw Data'!A6530,References!#REF!,2,FALSE),(VLOOKUP($S6530,References!$B$3:$C$7,2,FALSE))),"")</f>
        <v/>
      </c>
      <c r="W6530" s="74" t="str">
        <f>IFERROR(VLOOKUP($O6530,'Customer List'!$A$1:$J$488,10,FALSE),"")</f>
        <v/>
      </c>
    </row>
    <row r="6531" spans="18:23">
      <c r="R6531" s="127">
        <f t="shared" si="279"/>
        <v>0</v>
      </c>
      <c r="T6531" s="128">
        <f t="shared" si="278"/>
        <v>0</v>
      </c>
      <c r="U6531" s="129" t="str">
        <f>IFERROR(IF(#REF!="S",VLOOKUP('Raw Data'!A6531,References!#REF!,2,FALSE),(VLOOKUP($S6531,References!$B$3:$C$7,2,FALSE))),"")</f>
        <v/>
      </c>
      <c r="W6531" s="74" t="str">
        <f>IFERROR(VLOOKUP($O6531,'Customer List'!$A$1:$J$488,10,FALSE),"")</f>
        <v/>
      </c>
    </row>
    <row r="6532" spans="18:23">
      <c r="R6532" s="127">
        <f t="shared" si="279"/>
        <v>0</v>
      </c>
      <c r="T6532" s="128">
        <f t="shared" si="278"/>
        <v>0</v>
      </c>
      <c r="U6532" s="129" t="str">
        <f>IFERROR(IF(#REF!="S",VLOOKUP('Raw Data'!A6532,References!#REF!,2,FALSE),(VLOOKUP($S6532,References!$B$3:$C$7,2,FALSE))),"")</f>
        <v/>
      </c>
      <c r="W6532" s="74" t="str">
        <f>IFERROR(VLOOKUP($O6532,'Customer List'!$A$1:$J$488,10,FALSE),"")</f>
        <v/>
      </c>
    </row>
    <row r="6533" spans="18:23">
      <c r="R6533" s="127">
        <f t="shared" si="279"/>
        <v>0</v>
      </c>
      <c r="T6533" s="128">
        <f t="shared" si="278"/>
        <v>0</v>
      </c>
      <c r="U6533" s="129" t="str">
        <f>IFERROR(IF(#REF!="S",VLOOKUP('Raw Data'!A6533,References!#REF!,2,FALSE),(VLOOKUP($S6533,References!$B$3:$C$7,2,FALSE))),"")</f>
        <v/>
      </c>
      <c r="W6533" s="74" t="str">
        <f>IFERROR(VLOOKUP($O6533,'Customer List'!$A$1:$J$488,10,FALSE),"")</f>
        <v/>
      </c>
    </row>
    <row r="6534" spans="18:23">
      <c r="R6534" s="127">
        <f t="shared" si="279"/>
        <v>0</v>
      </c>
      <c r="T6534" s="128">
        <f t="shared" si="278"/>
        <v>0</v>
      </c>
      <c r="U6534" s="129" t="str">
        <f>IFERROR(IF(#REF!="S",VLOOKUP('Raw Data'!A6534,References!#REF!,2,FALSE),(VLOOKUP($S6534,References!$B$3:$C$7,2,FALSE))),"")</f>
        <v/>
      </c>
      <c r="W6534" s="74" t="str">
        <f>IFERROR(VLOOKUP($O6534,'Customer List'!$A$1:$J$488,10,FALSE),"")</f>
        <v/>
      </c>
    </row>
    <row r="6535" spans="18:23">
      <c r="R6535" s="127">
        <f t="shared" si="279"/>
        <v>0</v>
      </c>
      <c r="T6535" s="128">
        <f t="shared" si="278"/>
        <v>0</v>
      </c>
      <c r="U6535" s="129" t="str">
        <f>IFERROR(IF(#REF!="S",VLOOKUP('Raw Data'!A6535,References!#REF!,2,FALSE),(VLOOKUP($S6535,References!$B$3:$C$7,2,FALSE))),"")</f>
        <v/>
      </c>
      <c r="W6535" s="74" t="str">
        <f>IFERROR(VLOOKUP($O6535,'Customer List'!$A$1:$J$488,10,FALSE),"")</f>
        <v/>
      </c>
    </row>
    <row r="6536" spans="18:23">
      <c r="R6536" s="127">
        <f t="shared" si="279"/>
        <v>0</v>
      </c>
      <c r="T6536" s="128">
        <f t="shared" si="278"/>
        <v>0</v>
      </c>
      <c r="U6536" s="129" t="str">
        <f>IFERROR(IF(#REF!="S",VLOOKUP('Raw Data'!A6536,References!#REF!,2,FALSE),(VLOOKUP($S6536,References!$B$3:$C$7,2,FALSE))),"")</f>
        <v/>
      </c>
      <c r="W6536" s="74" t="str">
        <f>IFERROR(VLOOKUP($O6536,'Customer List'!$A$1:$J$488,10,FALSE),"")</f>
        <v/>
      </c>
    </row>
    <row r="6537" spans="18:23">
      <c r="R6537" s="127">
        <f t="shared" si="279"/>
        <v>0</v>
      </c>
      <c r="T6537" s="128">
        <f t="shared" si="278"/>
        <v>0</v>
      </c>
      <c r="U6537" s="129" t="str">
        <f>IFERROR(IF(#REF!="S",VLOOKUP('Raw Data'!A6537,References!#REF!,2,FALSE),(VLOOKUP($S6537,References!$B$3:$C$7,2,FALSE))),"")</f>
        <v/>
      </c>
      <c r="W6537" s="74" t="str">
        <f>IFERROR(VLOOKUP($O6537,'Customer List'!$A$1:$J$488,10,FALSE),"")</f>
        <v/>
      </c>
    </row>
    <row r="6538" spans="18:23">
      <c r="R6538" s="127">
        <f t="shared" si="279"/>
        <v>0</v>
      </c>
      <c r="T6538" s="128">
        <f t="shared" ref="T6538:T6601" si="280">IF(S6538="50 - Cleaning Fee",1,HOUR($R6538)+MINUTE(R6538)/60)</f>
        <v>0</v>
      </c>
      <c r="U6538" s="129" t="str">
        <f>IFERROR(IF(#REF!="S",VLOOKUP('Raw Data'!A6538,References!#REF!,2,FALSE),(VLOOKUP($S6538,References!$B$3:$C$7,2,FALSE))),"")</f>
        <v/>
      </c>
      <c r="W6538" s="74" t="str">
        <f>IFERROR(VLOOKUP($O6538,'Customer List'!$A$1:$J$488,10,FALSE),"")</f>
        <v/>
      </c>
    </row>
    <row r="6539" spans="18:23">
      <c r="R6539" s="127">
        <f t="shared" si="279"/>
        <v>0</v>
      </c>
      <c r="T6539" s="128">
        <f t="shared" si="280"/>
        <v>0</v>
      </c>
      <c r="U6539" s="129" t="str">
        <f>IFERROR(IF(#REF!="S",VLOOKUP('Raw Data'!A6539,References!#REF!,2,FALSE),(VLOOKUP($S6539,References!$B$3:$C$7,2,FALSE))),"")</f>
        <v/>
      </c>
      <c r="W6539" s="74" t="str">
        <f>IFERROR(VLOOKUP($O6539,'Customer List'!$A$1:$J$488,10,FALSE),"")</f>
        <v/>
      </c>
    </row>
    <row r="6540" spans="18:23">
      <c r="R6540" s="127">
        <f t="shared" si="279"/>
        <v>0</v>
      </c>
      <c r="T6540" s="128">
        <f t="shared" si="280"/>
        <v>0</v>
      </c>
      <c r="U6540" s="129" t="str">
        <f>IFERROR(IF(#REF!="S",VLOOKUP('Raw Data'!A6540,References!#REF!,2,FALSE),(VLOOKUP($S6540,References!$B$3:$C$7,2,FALSE))),"")</f>
        <v/>
      </c>
      <c r="W6540" s="74" t="str">
        <f>IFERROR(VLOOKUP($O6540,'Customer List'!$A$1:$J$488,10,FALSE),"")</f>
        <v/>
      </c>
    </row>
    <row r="6541" spans="18:23">
      <c r="R6541" s="127">
        <f t="shared" si="279"/>
        <v>0</v>
      </c>
      <c r="T6541" s="128">
        <f t="shared" si="280"/>
        <v>0</v>
      </c>
      <c r="U6541" s="129" t="str">
        <f>IFERROR(IF(#REF!="S",VLOOKUP('Raw Data'!A6541,References!#REF!,2,FALSE),(VLOOKUP($S6541,References!$B$3:$C$7,2,FALSE))),"")</f>
        <v/>
      </c>
      <c r="W6541" s="74" t="str">
        <f>IFERROR(VLOOKUP($O6541,'Customer List'!$A$1:$J$488,10,FALSE),"")</f>
        <v/>
      </c>
    </row>
    <row r="6542" spans="18:23">
      <c r="R6542" s="127">
        <f t="shared" si="279"/>
        <v>0</v>
      </c>
      <c r="T6542" s="128">
        <f t="shared" si="280"/>
        <v>0</v>
      </c>
      <c r="U6542" s="129" t="str">
        <f>IFERROR(IF(#REF!="S",VLOOKUP('Raw Data'!A6542,References!#REF!,2,FALSE),(VLOOKUP($S6542,References!$B$3:$C$7,2,FALSE))),"")</f>
        <v/>
      </c>
      <c r="W6542" s="74" t="str">
        <f>IFERROR(VLOOKUP($O6542,'Customer List'!$A$1:$J$488,10,FALSE),"")</f>
        <v/>
      </c>
    </row>
    <row r="6543" spans="18:23">
      <c r="R6543" s="127">
        <f t="shared" si="279"/>
        <v>0</v>
      </c>
      <c r="T6543" s="128">
        <f t="shared" si="280"/>
        <v>0</v>
      </c>
      <c r="U6543" s="129" t="str">
        <f>IFERROR(IF(#REF!="S",VLOOKUP('Raw Data'!A6543,References!#REF!,2,FALSE),(VLOOKUP($S6543,References!$B$3:$C$7,2,FALSE))),"")</f>
        <v/>
      </c>
      <c r="W6543" s="74" t="str">
        <f>IFERROR(VLOOKUP($O6543,'Customer List'!$A$1:$J$488,10,FALSE),"")</f>
        <v/>
      </c>
    </row>
    <row r="6544" spans="18:23">
      <c r="R6544" s="127">
        <f t="shared" si="279"/>
        <v>0</v>
      </c>
      <c r="T6544" s="128">
        <f t="shared" si="280"/>
        <v>0</v>
      </c>
      <c r="U6544" s="129" t="str">
        <f>IFERROR(IF(#REF!="S",VLOOKUP('Raw Data'!A6544,References!#REF!,2,FALSE),(VLOOKUP($S6544,References!$B$3:$C$7,2,FALSE))),"")</f>
        <v/>
      </c>
      <c r="W6544" s="74" t="str">
        <f>IFERROR(VLOOKUP($O6544,'Customer List'!$A$1:$J$488,10,FALSE),"")</f>
        <v/>
      </c>
    </row>
    <row r="6545" spans="18:23">
      <c r="R6545" s="127">
        <f t="shared" si="279"/>
        <v>0</v>
      </c>
      <c r="T6545" s="128">
        <f t="shared" si="280"/>
        <v>0</v>
      </c>
      <c r="U6545" s="129" t="str">
        <f>IFERROR(IF(#REF!="S",VLOOKUP('Raw Data'!A6545,References!#REF!,2,FALSE),(VLOOKUP($S6545,References!$B$3:$C$7,2,FALSE))),"")</f>
        <v/>
      </c>
      <c r="W6545" s="74" t="str">
        <f>IFERROR(VLOOKUP($O6545,'Customer List'!$A$1:$J$488,10,FALSE),"")</f>
        <v/>
      </c>
    </row>
    <row r="6546" spans="18:23">
      <c r="R6546" s="127">
        <f t="shared" si="279"/>
        <v>0</v>
      </c>
      <c r="T6546" s="128">
        <f t="shared" si="280"/>
        <v>0</v>
      </c>
      <c r="U6546" s="129" t="str">
        <f>IFERROR(IF(#REF!="S",VLOOKUP('Raw Data'!A6546,References!#REF!,2,FALSE),(VLOOKUP($S6546,References!$B$3:$C$7,2,FALSE))),"")</f>
        <v/>
      </c>
      <c r="W6546" s="74" t="str">
        <f>IFERROR(VLOOKUP($O6546,'Customer List'!$A$1:$J$488,10,FALSE),"")</f>
        <v/>
      </c>
    </row>
    <row r="6547" spans="18:23">
      <c r="R6547" s="127">
        <f t="shared" si="279"/>
        <v>0</v>
      </c>
      <c r="T6547" s="128">
        <f t="shared" si="280"/>
        <v>0</v>
      </c>
      <c r="U6547" s="129" t="str">
        <f>IFERROR(IF(#REF!="S",VLOOKUP('Raw Data'!A6547,References!#REF!,2,FALSE),(VLOOKUP($S6547,References!$B$3:$C$7,2,FALSE))),"")</f>
        <v/>
      </c>
      <c r="W6547" s="74" t="str">
        <f>IFERROR(VLOOKUP($O6547,'Customer List'!$A$1:$J$488,10,FALSE),"")</f>
        <v/>
      </c>
    </row>
    <row r="6548" spans="18:23">
      <c r="R6548" s="127">
        <f t="shared" si="279"/>
        <v>0</v>
      </c>
      <c r="T6548" s="128">
        <f t="shared" si="280"/>
        <v>0</v>
      </c>
      <c r="U6548" s="129" t="str">
        <f>IFERROR(IF(#REF!="S",VLOOKUP('Raw Data'!A6548,References!#REF!,2,FALSE),(VLOOKUP($S6548,References!$B$3:$C$7,2,FALSE))),"")</f>
        <v/>
      </c>
      <c r="W6548" s="74" t="str">
        <f>IFERROR(VLOOKUP($O6548,'Customer List'!$A$1:$J$488,10,FALSE),"")</f>
        <v/>
      </c>
    </row>
    <row r="6549" spans="18:23">
      <c r="R6549" s="127">
        <f t="shared" si="279"/>
        <v>0</v>
      </c>
      <c r="T6549" s="128">
        <f t="shared" si="280"/>
        <v>0</v>
      </c>
      <c r="U6549" s="129" t="str">
        <f>IFERROR(IF(#REF!="S",VLOOKUP('Raw Data'!A6549,References!#REF!,2,FALSE),(VLOOKUP($S6549,References!$B$3:$C$7,2,FALSE))),"")</f>
        <v/>
      </c>
      <c r="W6549" s="74" t="str">
        <f>IFERROR(VLOOKUP($O6549,'Customer List'!$A$1:$J$488,10,FALSE),"")</f>
        <v/>
      </c>
    </row>
    <row r="6550" spans="18:23">
      <c r="R6550" s="127">
        <f t="shared" si="279"/>
        <v>0</v>
      </c>
      <c r="T6550" s="128">
        <f t="shared" si="280"/>
        <v>0</v>
      </c>
      <c r="U6550" s="129" t="str">
        <f>IFERROR(IF(#REF!="S",VLOOKUP('Raw Data'!A6550,References!#REF!,2,FALSE),(VLOOKUP($S6550,References!$B$3:$C$7,2,FALSE))),"")</f>
        <v/>
      </c>
      <c r="W6550" s="74" t="str">
        <f>IFERROR(VLOOKUP($O6550,'Customer List'!$A$1:$J$488,10,FALSE),"")</f>
        <v/>
      </c>
    </row>
    <row r="6551" spans="18:23">
      <c r="R6551" s="127">
        <f t="shared" si="279"/>
        <v>0</v>
      </c>
      <c r="T6551" s="128">
        <f t="shared" si="280"/>
        <v>0</v>
      </c>
      <c r="U6551" s="129" t="str">
        <f>IFERROR(IF(#REF!="S",VLOOKUP('Raw Data'!A6551,References!#REF!,2,FALSE),(VLOOKUP($S6551,References!$B$3:$C$7,2,FALSE))),"")</f>
        <v/>
      </c>
      <c r="W6551" s="74" t="str">
        <f>IFERROR(VLOOKUP($O6551,'Customer List'!$A$1:$J$488,10,FALSE),"")</f>
        <v/>
      </c>
    </row>
    <row r="6552" spans="18:23">
      <c r="R6552" s="127">
        <f t="shared" si="279"/>
        <v>0</v>
      </c>
      <c r="T6552" s="128">
        <f t="shared" si="280"/>
        <v>0</v>
      </c>
      <c r="U6552" s="129" t="str">
        <f>IFERROR(IF(#REF!="S",VLOOKUP('Raw Data'!A6552,References!#REF!,2,FALSE),(VLOOKUP($S6552,References!$B$3:$C$7,2,FALSE))),"")</f>
        <v/>
      </c>
      <c r="W6552" s="74" t="str">
        <f>IFERROR(VLOOKUP($O6552,'Customer List'!$A$1:$J$488,10,FALSE),"")</f>
        <v/>
      </c>
    </row>
    <row r="6553" spans="18:23">
      <c r="R6553" s="127">
        <f t="shared" si="279"/>
        <v>0</v>
      </c>
      <c r="T6553" s="128">
        <f t="shared" si="280"/>
        <v>0</v>
      </c>
      <c r="U6553" s="129" t="str">
        <f>IFERROR(IF(#REF!="S",VLOOKUP('Raw Data'!A6553,References!#REF!,2,FALSE),(VLOOKUP($S6553,References!$B$3:$C$7,2,FALSE))),"")</f>
        <v/>
      </c>
      <c r="W6553" s="74" t="str">
        <f>IFERROR(VLOOKUP($O6553,'Customer List'!$A$1:$J$488,10,FALSE),"")</f>
        <v/>
      </c>
    </row>
    <row r="6554" spans="18:23">
      <c r="R6554" s="127">
        <f t="shared" si="279"/>
        <v>0</v>
      </c>
      <c r="T6554" s="128">
        <f t="shared" si="280"/>
        <v>0</v>
      </c>
      <c r="U6554" s="129" t="str">
        <f>IFERROR(IF(#REF!="S",VLOOKUP('Raw Data'!A6554,References!#REF!,2,FALSE),(VLOOKUP($S6554,References!$B$3:$C$7,2,FALSE))),"")</f>
        <v/>
      </c>
      <c r="W6554" s="74" t="str">
        <f>IFERROR(VLOOKUP($O6554,'Customer List'!$A$1:$J$488,10,FALSE),"")</f>
        <v/>
      </c>
    </row>
    <row r="6555" spans="18:23">
      <c r="R6555" s="127">
        <f t="shared" si="279"/>
        <v>0</v>
      </c>
      <c r="T6555" s="128">
        <f t="shared" si="280"/>
        <v>0</v>
      </c>
      <c r="U6555" s="129" t="str">
        <f>IFERROR(IF(#REF!="S",VLOOKUP('Raw Data'!A6555,References!#REF!,2,FALSE),(VLOOKUP($S6555,References!$B$3:$C$7,2,FALSE))),"")</f>
        <v/>
      </c>
      <c r="W6555" s="74" t="str">
        <f>IFERROR(VLOOKUP($O6555,'Customer List'!$A$1:$J$488,10,FALSE),"")</f>
        <v/>
      </c>
    </row>
    <row r="6556" spans="18:23">
      <c r="R6556" s="127">
        <f t="shared" si="279"/>
        <v>0</v>
      </c>
      <c r="T6556" s="128">
        <f t="shared" si="280"/>
        <v>0</v>
      </c>
      <c r="U6556" s="129" t="str">
        <f>IFERROR(IF(#REF!="S",VLOOKUP('Raw Data'!A6556,References!#REF!,2,FALSE),(VLOOKUP($S6556,References!$B$3:$C$7,2,FALSE))),"")</f>
        <v/>
      </c>
      <c r="W6556" s="74" t="str">
        <f>IFERROR(VLOOKUP($O6556,'Customer List'!$A$1:$J$488,10,FALSE),"")</f>
        <v/>
      </c>
    </row>
    <row r="6557" spans="18:23">
      <c r="R6557" s="127">
        <f t="shared" si="279"/>
        <v>0</v>
      </c>
      <c r="T6557" s="128">
        <f t="shared" si="280"/>
        <v>0</v>
      </c>
      <c r="U6557" s="129" t="str">
        <f>IFERROR(IF(#REF!="S",VLOOKUP('Raw Data'!A6557,References!#REF!,2,FALSE),(VLOOKUP($S6557,References!$B$3:$C$7,2,FALSE))),"")</f>
        <v/>
      </c>
      <c r="W6557" s="74" t="str">
        <f>IFERROR(VLOOKUP($O6557,'Customer List'!$A$1:$J$488,10,FALSE),"")</f>
        <v/>
      </c>
    </row>
    <row r="6558" spans="18:23">
      <c r="R6558" s="127">
        <f t="shared" si="279"/>
        <v>0</v>
      </c>
      <c r="T6558" s="128">
        <f t="shared" si="280"/>
        <v>0</v>
      </c>
      <c r="U6558" s="129" t="str">
        <f>IFERROR(IF(#REF!="S",VLOOKUP('Raw Data'!A6558,References!#REF!,2,FALSE),(VLOOKUP($S6558,References!$B$3:$C$7,2,FALSE))),"")</f>
        <v/>
      </c>
      <c r="W6558" s="74" t="str">
        <f>IFERROR(VLOOKUP($O6558,'Customer List'!$A$1:$J$488,10,FALSE),"")</f>
        <v/>
      </c>
    </row>
    <row r="6559" spans="18:23">
      <c r="R6559" s="127">
        <f t="shared" si="279"/>
        <v>0</v>
      </c>
      <c r="T6559" s="128">
        <f t="shared" si="280"/>
        <v>0</v>
      </c>
      <c r="U6559" s="129" t="str">
        <f>IFERROR(IF(#REF!="S",VLOOKUP('Raw Data'!A6559,References!#REF!,2,FALSE),(VLOOKUP($S6559,References!$B$3:$C$7,2,FALSE))),"")</f>
        <v/>
      </c>
      <c r="W6559" s="74" t="str">
        <f>IFERROR(VLOOKUP($O6559,'Customer List'!$A$1:$J$488,10,FALSE),"")</f>
        <v/>
      </c>
    </row>
    <row r="6560" spans="18:23">
      <c r="R6560" s="127">
        <f t="shared" si="279"/>
        <v>0</v>
      </c>
      <c r="T6560" s="128">
        <f t="shared" si="280"/>
        <v>0</v>
      </c>
      <c r="U6560" s="129" t="str">
        <f>IFERROR(IF(#REF!="S",VLOOKUP('Raw Data'!A6560,References!#REF!,2,FALSE),(VLOOKUP($S6560,References!$B$3:$C$7,2,FALSE))),"")</f>
        <v/>
      </c>
      <c r="W6560" s="74" t="str">
        <f>IFERROR(VLOOKUP($O6560,'Customer List'!$A$1:$J$488,10,FALSE),"")</f>
        <v/>
      </c>
    </row>
    <row r="6561" spans="18:23">
      <c r="R6561" s="127">
        <f t="shared" si="279"/>
        <v>0</v>
      </c>
      <c r="T6561" s="128">
        <f t="shared" si="280"/>
        <v>0</v>
      </c>
      <c r="U6561" s="129" t="str">
        <f>IFERROR(IF(#REF!="S",VLOOKUP('Raw Data'!A6561,References!#REF!,2,FALSE),(VLOOKUP($S6561,References!$B$3:$C$7,2,FALSE))),"")</f>
        <v/>
      </c>
      <c r="W6561" s="74" t="str">
        <f>IFERROR(VLOOKUP($O6561,'Customer List'!$A$1:$J$488,10,FALSE),"")</f>
        <v/>
      </c>
    </row>
    <row r="6562" spans="18:23">
      <c r="R6562" s="127">
        <f t="shared" ref="R6562:R6625" si="281">L6562-K6562</f>
        <v>0</v>
      </c>
      <c r="T6562" s="128">
        <f t="shared" si="280"/>
        <v>0</v>
      </c>
      <c r="U6562" s="129" t="str">
        <f>IFERROR(IF(#REF!="S",VLOOKUP('Raw Data'!A6562,References!#REF!,2,FALSE),(VLOOKUP($S6562,References!$B$3:$C$7,2,FALSE))),"")</f>
        <v/>
      </c>
      <c r="W6562" s="74" t="str">
        <f>IFERROR(VLOOKUP($O6562,'Customer List'!$A$1:$J$488,10,FALSE),"")</f>
        <v/>
      </c>
    </row>
    <row r="6563" spans="18:23">
      <c r="R6563" s="127">
        <f t="shared" si="281"/>
        <v>0</v>
      </c>
      <c r="T6563" s="128">
        <f t="shared" si="280"/>
        <v>0</v>
      </c>
      <c r="U6563" s="129" t="str">
        <f>IFERROR(IF(#REF!="S",VLOOKUP('Raw Data'!A6563,References!#REF!,2,FALSE),(VLOOKUP($S6563,References!$B$3:$C$7,2,FALSE))),"")</f>
        <v/>
      </c>
      <c r="W6563" s="74" t="str">
        <f>IFERROR(VLOOKUP($O6563,'Customer List'!$A$1:$J$488,10,FALSE),"")</f>
        <v/>
      </c>
    </row>
    <row r="6564" spans="18:23">
      <c r="R6564" s="127">
        <f t="shared" si="281"/>
        <v>0</v>
      </c>
      <c r="T6564" s="128">
        <f t="shared" si="280"/>
        <v>0</v>
      </c>
      <c r="U6564" s="129" t="str">
        <f>IFERROR(IF(#REF!="S",VLOOKUP('Raw Data'!A6564,References!#REF!,2,FALSE),(VLOOKUP($S6564,References!$B$3:$C$7,2,FALSE))),"")</f>
        <v/>
      </c>
      <c r="W6564" s="74" t="str">
        <f>IFERROR(VLOOKUP($O6564,'Customer List'!$A$1:$J$488,10,FALSE),"")</f>
        <v/>
      </c>
    </row>
    <row r="6565" spans="18:23">
      <c r="R6565" s="127">
        <f t="shared" si="281"/>
        <v>0</v>
      </c>
      <c r="T6565" s="128">
        <f t="shared" si="280"/>
        <v>0</v>
      </c>
      <c r="U6565" s="129" t="str">
        <f>IFERROR(IF(#REF!="S",VLOOKUP('Raw Data'!A6565,References!#REF!,2,FALSE),(VLOOKUP($S6565,References!$B$3:$C$7,2,FALSE))),"")</f>
        <v/>
      </c>
      <c r="W6565" s="74" t="str">
        <f>IFERROR(VLOOKUP($O6565,'Customer List'!$A$1:$J$488,10,FALSE),"")</f>
        <v/>
      </c>
    </row>
    <row r="6566" spans="18:23">
      <c r="R6566" s="127">
        <f t="shared" si="281"/>
        <v>0</v>
      </c>
      <c r="T6566" s="128">
        <f t="shared" si="280"/>
        <v>0</v>
      </c>
      <c r="U6566" s="129" t="str">
        <f>IFERROR(IF(#REF!="S",VLOOKUP('Raw Data'!A6566,References!#REF!,2,FALSE),(VLOOKUP($S6566,References!$B$3:$C$7,2,FALSE))),"")</f>
        <v/>
      </c>
      <c r="W6566" s="74" t="str">
        <f>IFERROR(VLOOKUP($O6566,'Customer List'!$A$1:$J$488,10,FALSE),"")</f>
        <v/>
      </c>
    </row>
    <row r="6567" spans="18:23">
      <c r="R6567" s="127">
        <f t="shared" si="281"/>
        <v>0</v>
      </c>
      <c r="T6567" s="128">
        <f t="shared" si="280"/>
        <v>0</v>
      </c>
      <c r="U6567" s="129" t="str">
        <f>IFERROR(IF(#REF!="S",VLOOKUP('Raw Data'!A6567,References!#REF!,2,FALSE),(VLOOKUP($S6567,References!$B$3:$C$7,2,FALSE))),"")</f>
        <v/>
      </c>
      <c r="W6567" s="74" t="str">
        <f>IFERROR(VLOOKUP($O6567,'Customer List'!$A$1:$J$488,10,FALSE),"")</f>
        <v/>
      </c>
    </row>
    <row r="6568" spans="18:23">
      <c r="R6568" s="127">
        <f t="shared" si="281"/>
        <v>0</v>
      </c>
      <c r="T6568" s="128">
        <f t="shared" si="280"/>
        <v>0</v>
      </c>
      <c r="U6568" s="129" t="str">
        <f>IFERROR(IF(#REF!="S",VLOOKUP('Raw Data'!A6568,References!#REF!,2,FALSE),(VLOOKUP($S6568,References!$B$3:$C$7,2,FALSE))),"")</f>
        <v/>
      </c>
      <c r="W6568" s="74" t="str">
        <f>IFERROR(VLOOKUP($O6568,'Customer List'!$A$1:$J$488,10,FALSE),"")</f>
        <v/>
      </c>
    </row>
    <row r="6569" spans="18:23">
      <c r="R6569" s="127">
        <f t="shared" si="281"/>
        <v>0</v>
      </c>
      <c r="T6569" s="128">
        <f t="shared" si="280"/>
        <v>0</v>
      </c>
      <c r="U6569" s="129" t="str">
        <f>IFERROR(IF(#REF!="S",VLOOKUP('Raw Data'!A6569,References!#REF!,2,FALSE),(VLOOKUP($S6569,References!$B$3:$C$7,2,FALSE))),"")</f>
        <v/>
      </c>
      <c r="W6569" s="74" t="str">
        <f>IFERROR(VLOOKUP($O6569,'Customer List'!$A$1:$J$488,10,FALSE),"")</f>
        <v/>
      </c>
    </row>
    <row r="6570" spans="18:23">
      <c r="R6570" s="127">
        <f t="shared" si="281"/>
        <v>0</v>
      </c>
      <c r="T6570" s="128">
        <f t="shared" si="280"/>
        <v>0</v>
      </c>
      <c r="U6570" s="129" t="str">
        <f>IFERROR(IF(#REF!="S",VLOOKUP('Raw Data'!A6570,References!#REF!,2,FALSE),(VLOOKUP($S6570,References!$B$3:$C$7,2,FALSE))),"")</f>
        <v/>
      </c>
      <c r="W6570" s="74" t="str">
        <f>IFERROR(VLOOKUP($O6570,'Customer List'!$A$1:$J$488,10,FALSE),"")</f>
        <v/>
      </c>
    </row>
    <row r="6571" spans="18:23">
      <c r="R6571" s="127">
        <f t="shared" si="281"/>
        <v>0</v>
      </c>
      <c r="T6571" s="128">
        <f t="shared" si="280"/>
        <v>0</v>
      </c>
      <c r="U6571" s="129" t="str">
        <f>IFERROR(IF(#REF!="S",VLOOKUP('Raw Data'!A6571,References!#REF!,2,FALSE),(VLOOKUP($S6571,References!$B$3:$C$7,2,FALSE))),"")</f>
        <v/>
      </c>
      <c r="W6571" s="74" t="str">
        <f>IFERROR(VLOOKUP($O6571,'Customer List'!$A$1:$J$488,10,FALSE),"")</f>
        <v/>
      </c>
    </row>
    <row r="6572" spans="18:23">
      <c r="R6572" s="127">
        <f t="shared" si="281"/>
        <v>0</v>
      </c>
      <c r="T6572" s="128">
        <f t="shared" si="280"/>
        <v>0</v>
      </c>
      <c r="U6572" s="129" t="str">
        <f>IFERROR(IF(#REF!="S",VLOOKUP('Raw Data'!A6572,References!#REF!,2,FALSE),(VLOOKUP($S6572,References!$B$3:$C$7,2,FALSE))),"")</f>
        <v/>
      </c>
      <c r="W6572" s="74" t="str">
        <f>IFERROR(VLOOKUP($O6572,'Customer List'!$A$1:$J$488,10,FALSE),"")</f>
        <v/>
      </c>
    </row>
    <row r="6573" spans="18:23">
      <c r="R6573" s="127">
        <f t="shared" si="281"/>
        <v>0</v>
      </c>
      <c r="T6573" s="128">
        <f t="shared" si="280"/>
        <v>0</v>
      </c>
      <c r="U6573" s="129" t="str">
        <f>IFERROR(IF(#REF!="S",VLOOKUP('Raw Data'!A6573,References!#REF!,2,FALSE),(VLOOKUP($S6573,References!$B$3:$C$7,2,FALSE))),"")</f>
        <v/>
      </c>
      <c r="W6573" s="74" t="str">
        <f>IFERROR(VLOOKUP($O6573,'Customer List'!$A$1:$J$488,10,FALSE),"")</f>
        <v/>
      </c>
    </row>
    <row r="6574" spans="18:23">
      <c r="R6574" s="127">
        <f t="shared" si="281"/>
        <v>0</v>
      </c>
      <c r="T6574" s="128">
        <f t="shared" si="280"/>
        <v>0</v>
      </c>
      <c r="U6574" s="129" t="str">
        <f>IFERROR(IF(#REF!="S",VLOOKUP('Raw Data'!A6574,References!#REF!,2,FALSE),(VLOOKUP($S6574,References!$B$3:$C$7,2,FALSE))),"")</f>
        <v/>
      </c>
      <c r="W6574" s="74" t="str">
        <f>IFERROR(VLOOKUP($O6574,'Customer List'!$A$1:$J$488,10,FALSE),"")</f>
        <v/>
      </c>
    </row>
    <row r="6575" spans="18:23">
      <c r="R6575" s="127">
        <f t="shared" si="281"/>
        <v>0</v>
      </c>
      <c r="T6575" s="128">
        <f t="shared" si="280"/>
        <v>0</v>
      </c>
      <c r="U6575" s="129" t="str">
        <f>IFERROR(IF(#REF!="S",VLOOKUP('Raw Data'!A6575,References!#REF!,2,FALSE),(VLOOKUP($S6575,References!$B$3:$C$7,2,FALSE))),"")</f>
        <v/>
      </c>
      <c r="W6575" s="74" t="str">
        <f>IFERROR(VLOOKUP($O6575,'Customer List'!$A$1:$J$488,10,FALSE),"")</f>
        <v/>
      </c>
    </row>
    <row r="6576" spans="18:23">
      <c r="R6576" s="127">
        <f t="shared" si="281"/>
        <v>0</v>
      </c>
      <c r="T6576" s="128">
        <f t="shared" si="280"/>
        <v>0</v>
      </c>
      <c r="U6576" s="129" t="str">
        <f>IFERROR(IF(#REF!="S",VLOOKUP('Raw Data'!A6576,References!#REF!,2,FALSE),(VLOOKUP($S6576,References!$B$3:$C$7,2,FALSE))),"")</f>
        <v/>
      </c>
      <c r="W6576" s="74" t="str">
        <f>IFERROR(VLOOKUP($O6576,'Customer List'!$A$1:$J$488,10,FALSE),"")</f>
        <v/>
      </c>
    </row>
    <row r="6577" spans="18:23">
      <c r="R6577" s="127">
        <f t="shared" si="281"/>
        <v>0</v>
      </c>
      <c r="T6577" s="128">
        <f t="shared" si="280"/>
        <v>0</v>
      </c>
      <c r="U6577" s="129" t="str">
        <f>IFERROR(IF(#REF!="S",VLOOKUP('Raw Data'!A6577,References!#REF!,2,FALSE),(VLOOKUP($S6577,References!$B$3:$C$7,2,FALSE))),"")</f>
        <v/>
      </c>
      <c r="W6577" s="74" t="str">
        <f>IFERROR(VLOOKUP($O6577,'Customer List'!$A$1:$J$488,10,FALSE),"")</f>
        <v/>
      </c>
    </row>
    <row r="6578" spans="18:23">
      <c r="R6578" s="127">
        <f t="shared" si="281"/>
        <v>0</v>
      </c>
      <c r="T6578" s="128">
        <f t="shared" si="280"/>
        <v>0</v>
      </c>
      <c r="U6578" s="129" t="str">
        <f>IFERROR(IF(#REF!="S",VLOOKUP('Raw Data'!A6578,References!#REF!,2,FALSE),(VLOOKUP($S6578,References!$B$3:$C$7,2,FALSE))),"")</f>
        <v/>
      </c>
      <c r="W6578" s="74" t="str">
        <f>IFERROR(VLOOKUP($O6578,'Customer List'!$A$1:$J$488,10,FALSE),"")</f>
        <v/>
      </c>
    </row>
    <row r="6579" spans="18:23">
      <c r="R6579" s="127">
        <f t="shared" si="281"/>
        <v>0</v>
      </c>
      <c r="T6579" s="128">
        <f t="shared" si="280"/>
        <v>0</v>
      </c>
      <c r="U6579" s="129" t="str">
        <f>IFERROR(IF(#REF!="S",VLOOKUP('Raw Data'!A6579,References!#REF!,2,FALSE),(VLOOKUP($S6579,References!$B$3:$C$7,2,FALSE))),"")</f>
        <v/>
      </c>
      <c r="W6579" s="74" t="str">
        <f>IFERROR(VLOOKUP($O6579,'Customer List'!$A$1:$J$488,10,FALSE),"")</f>
        <v/>
      </c>
    </row>
    <row r="6580" spans="18:23">
      <c r="R6580" s="127">
        <f t="shared" si="281"/>
        <v>0</v>
      </c>
      <c r="T6580" s="128">
        <f t="shared" si="280"/>
        <v>0</v>
      </c>
      <c r="U6580" s="129" t="str">
        <f>IFERROR(IF(#REF!="S",VLOOKUP('Raw Data'!A6580,References!#REF!,2,FALSE),(VLOOKUP($S6580,References!$B$3:$C$7,2,FALSE))),"")</f>
        <v/>
      </c>
      <c r="W6580" s="74" t="str">
        <f>IFERROR(VLOOKUP($O6580,'Customer List'!$A$1:$J$488,10,FALSE),"")</f>
        <v/>
      </c>
    </row>
    <row r="6581" spans="18:23">
      <c r="R6581" s="127">
        <f t="shared" si="281"/>
        <v>0</v>
      </c>
      <c r="T6581" s="128">
        <f t="shared" si="280"/>
        <v>0</v>
      </c>
      <c r="U6581" s="129" t="str">
        <f>IFERROR(IF(#REF!="S",VLOOKUP('Raw Data'!A6581,References!#REF!,2,FALSE),(VLOOKUP($S6581,References!$B$3:$C$7,2,FALSE))),"")</f>
        <v/>
      </c>
      <c r="W6581" s="74" t="str">
        <f>IFERROR(VLOOKUP($O6581,'Customer List'!$A$1:$J$488,10,FALSE),"")</f>
        <v/>
      </c>
    </row>
    <row r="6582" spans="18:23">
      <c r="R6582" s="127">
        <f t="shared" si="281"/>
        <v>0</v>
      </c>
      <c r="T6582" s="128">
        <f t="shared" si="280"/>
        <v>0</v>
      </c>
      <c r="U6582" s="129" t="str">
        <f>IFERROR(IF(#REF!="S",VLOOKUP('Raw Data'!A6582,References!#REF!,2,FALSE),(VLOOKUP($S6582,References!$B$3:$C$7,2,FALSE))),"")</f>
        <v/>
      </c>
      <c r="W6582" s="74" t="str">
        <f>IFERROR(VLOOKUP($O6582,'Customer List'!$A$1:$J$488,10,FALSE),"")</f>
        <v/>
      </c>
    </row>
    <row r="6583" spans="18:23">
      <c r="R6583" s="127">
        <f t="shared" si="281"/>
        <v>0</v>
      </c>
      <c r="T6583" s="128">
        <f t="shared" si="280"/>
        <v>0</v>
      </c>
      <c r="U6583" s="129" t="str">
        <f>IFERROR(IF(#REF!="S",VLOOKUP('Raw Data'!A6583,References!#REF!,2,FALSE),(VLOOKUP($S6583,References!$B$3:$C$7,2,FALSE))),"")</f>
        <v/>
      </c>
      <c r="W6583" s="74" t="str">
        <f>IFERROR(VLOOKUP($O6583,'Customer List'!$A$1:$J$488,10,FALSE),"")</f>
        <v/>
      </c>
    </row>
    <row r="6584" spans="18:23">
      <c r="R6584" s="127">
        <f t="shared" si="281"/>
        <v>0</v>
      </c>
      <c r="T6584" s="128">
        <f t="shared" si="280"/>
        <v>0</v>
      </c>
      <c r="U6584" s="129" t="str">
        <f>IFERROR(IF(#REF!="S",VLOOKUP('Raw Data'!A6584,References!#REF!,2,FALSE),(VLOOKUP($S6584,References!$B$3:$C$7,2,FALSE))),"")</f>
        <v/>
      </c>
      <c r="W6584" s="74" t="str">
        <f>IFERROR(VLOOKUP($O6584,'Customer List'!$A$1:$J$488,10,FALSE),"")</f>
        <v/>
      </c>
    </row>
    <row r="6585" spans="18:23">
      <c r="R6585" s="127">
        <f t="shared" si="281"/>
        <v>0</v>
      </c>
      <c r="T6585" s="128">
        <f t="shared" si="280"/>
        <v>0</v>
      </c>
      <c r="U6585" s="129" t="str">
        <f>IFERROR(IF(#REF!="S",VLOOKUP('Raw Data'!A6585,References!#REF!,2,FALSE),(VLOOKUP($S6585,References!$B$3:$C$7,2,FALSE))),"")</f>
        <v/>
      </c>
      <c r="W6585" s="74" t="str">
        <f>IFERROR(VLOOKUP($O6585,'Customer List'!$A$1:$J$488,10,FALSE),"")</f>
        <v/>
      </c>
    </row>
    <row r="6586" spans="18:23">
      <c r="R6586" s="127">
        <f t="shared" si="281"/>
        <v>0</v>
      </c>
      <c r="T6586" s="128">
        <f t="shared" si="280"/>
        <v>0</v>
      </c>
      <c r="U6586" s="129" t="str">
        <f>IFERROR(IF(#REF!="S",VLOOKUP('Raw Data'!A6586,References!#REF!,2,FALSE),(VLOOKUP($S6586,References!$B$3:$C$7,2,FALSE))),"")</f>
        <v/>
      </c>
      <c r="W6586" s="74" t="str">
        <f>IFERROR(VLOOKUP($O6586,'Customer List'!$A$1:$J$488,10,FALSE),"")</f>
        <v/>
      </c>
    </row>
    <row r="6587" spans="18:23">
      <c r="R6587" s="127">
        <f t="shared" si="281"/>
        <v>0</v>
      </c>
      <c r="T6587" s="128">
        <f t="shared" si="280"/>
        <v>0</v>
      </c>
      <c r="U6587" s="129" t="str">
        <f>IFERROR(IF(#REF!="S",VLOOKUP('Raw Data'!A6587,References!#REF!,2,FALSE),(VLOOKUP($S6587,References!$B$3:$C$7,2,FALSE))),"")</f>
        <v/>
      </c>
      <c r="W6587" s="74" t="str">
        <f>IFERROR(VLOOKUP($O6587,'Customer List'!$A$1:$J$488,10,FALSE),"")</f>
        <v/>
      </c>
    </row>
    <row r="6588" spans="18:23">
      <c r="R6588" s="127">
        <f t="shared" si="281"/>
        <v>0</v>
      </c>
      <c r="T6588" s="128">
        <f t="shared" si="280"/>
        <v>0</v>
      </c>
      <c r="U6588" s="129" t="str">
        <f>IFERROR(IF(#REF!="S",VLOOKUP('Raw Data'!A6588,References!#REF!,2,FALSE),(VLOOKUP($S6588,References!$B$3:$C$7,2,FALSE))),"")</f>
        <v/>
      </c>
      <c r="W6588" s="74" t="str">
        <f>IFERROR(VLOOKUP($O6588,'Customer List'!$A$1:$J$488,10,FALSE),"")</f>
        <v/>
      </c>
    </row>
    <row r="6589" spans="18:23">
      <c r="R6589" s="127">
        <f t="shared" si="281"/>
        <v>0</v>
      </c>
      <c r="T6589" s="128">
        <f t="shared" si="280"/>
        <v>0</v>
      </c>
      <c r="U6589" s="129" t="str">
        <f>IFERROR(IF(#REF!="S",VLOOKUP('Raw Data'!A6589,References!#REF!,2,FALSE),(VLOOKUP($S6589,References!$B$3:$C$7,2,FALSE))),"")</f>
        <v/>
      </c>
      <c r="W6589" s="74" t="str">
        <f>IFERROR(VLOOKUP($O6589,'Customer List'!$A$1:$J$488,10,FALSE),"")</f>
        <v/>
      </c>
    </row>
    <row r="6590" spans="18:23">
      <c r="R6590" s="127">
        <f t="shared" si="281"/>
        <v>0</v>
      </c>
      <c r="T6590" s="128">
        <f t="shared" si="280"/>
        <v>0</v>
      </c>
      <c r="U6590" s="129" t="str">
        <f>IFERROR(IF(#REF!="S",VLOOKUP('Raw Data'!A6590,References!#REF!,2,FALSE),(VLOOKUP($S6590,References!$B$3:$C$7,2,FALSE))),"")</f>
        <v/>
      </c>
      <c r="W6590" s="74" t="str">
        <f>IFERROR(VLOOKUP($O6590,'Customer List'!$A$1:$J$488,10,FALSE),"")</f>
        <v/>
      </c>
    </row>
    <row r="6591" spans="18:23">
      <c r="R6591" s="127">
        <f t="shared" si="281"/>
        <v>0</v>
      </c>
      <c r="T6591" s="128">
        <f t="shared" si="280"/>
        <v>0</v>
      </c>
      <c r="U6591" s="129" t="str">
        <f>IFERROR(IF(#REF!="S",VLOOKUP('Raw Data'!A6591,References!#REF!,2,FALSE),(VLOOKUP($S6591,References!$B$3:$C$7,2,FALSE))),"")</f>
        <v/>
      </c>
      <c r="W6591" s="74" t="str">
        <f>IFERROR(VLOOKUP($O6591,'Customer List'!$A$1:$J$488,10,FALSE),"")</f>
        <v/>
      </c>
    </row>
    <row r="6592" spans="18:23">
      <c r="R6592" s="127">
        <f t="shared" si="281"/>
        <v>0</v>
      </c>
      <c r="T6592" s="128">
        <f t="shared" si="280"/>
        <v>0</v>
      </c>
      <c r="U6592" s="129" t="str">
        <f>IFERROR(IF(#REF!="S",VLOOKUP('Raw Data'!A6592,References!#REF!,2,FALSE),(VLOOKUP($S6592,References!$B$3:$C$7,2,FALSE))),"")</f>
        <v/>
      </c>
      <c r="W6592" s="74" t="str">
        <f>IFERROR(VLOOKUP($O6592,'Customer List'!$A$1:$J$488,10,FALSE),"")</f>
        <v/>
      </c>
    </row>
    <row r="6593" spans="18:23">
      <c r="R6593" s="127">
        <f t="shared" si="281"/>
        <v>0</v>
      </c>
      <c r="T6593" s="128">
        <f t="shared" si="280"/>
        <v>0</v>
      </c>
      <c r="U6593" s="129" t="str">
        <f>IFERROR(IF(#REF!="S",VLOOKUP('Raw Data'!A6593,References!#REF!,2,FALSE),(VLOOKUP($S6593,References!$B$3:$C$7,2,FALSE))),"")</f>
        <v/>
      </c>
      <c r="W6593" s="74" t="str">
        <f>IFERROR(VLOOKUP($O6593,'Customer List'!$A$1:$J$488,10,FALSE),"")</f>
        <v/>
      </c>
    </row>
    <row r="6594" spans="18:23">
      <c r="R6594" s="127">
        <f t="shared" si="281"/>
        <v>0</v>
      </c>
      <c r="T6594" s="128">
        <f t="shared" si="280"/>
        <v>0</v>
      </c>
      <c r="U6594" s="129" t="str">
        <f>IFERROR(IF(#REF!="S",VLOOKUP('Raw Data'!A6594,References!#REF!,2,FALSE),(VLOOKUP($S6594,References!$B$3:$C$7,2,FALSE))),"")</f>
        <v/>
      </c>
      <c r="W6594" s="74" t="str">
        <f>IFERROR(VLOOKUP($O6594,'Customer List'!$A$1:$J$488,10,FALSE),"")</f>
        <v/>
      </c>
    </row>
    <row r="6595" spans="18:23">
      <c r="R6595" s="127">
        <f t="shared" si="281"/>
        <v>0</v>
      </c>
      <c r="T6595" s="128">
        <f t="shared" si="280"/>
        <v>0</v>
      </c>
      <c r="U6595" s="129" t="str">
        <f>IFERROR(IF(#REF!="S",VLOOKUP('Raw Data'!A6595,References!#REF!,2,FALSE),(VLOOKUP($S6595,References!$B$3:$C$7,2,FALSE))),"")</f>
        <v/>
      </c>
      <c r="W6595" s="74" t="str">
        <f>IFERROR(VLOOKUP($O6595,'Customer List'!$A$1:$J$488,10,FALSE),"")</f>
        <v/>
      </c>
    </row>
    <row r="6596" spans="18:23">
      <c r="R6596" s="127">
        <f t="shared" si="281"/>
        <v>0</v>
      </c>
      <c r="T6596" s="128">
        <f t="shared" si="280"/>
        <v>0</v>
      </c>
      <c r="U6596" s="129" t="str">
        <f>IFERROR(IF(#REF!="S",VLOOKUP('Raw Data'!A6596,References!#REF!,2,FALSE),(VLOOKUP($S6596,References!$B$3:$C$7,2,FALSE))),"")</f>
        <v/>
      </c>
      <c r="W6596" s="74" t="str">
        <f>IFERROR(VLOOKUP($O6596,'Customer List'!$A$1:$J$488,10,FALSE),"")</f>
        <v/>
      </c>
    </row>
    <row r="6597" spans="18:23">
      <c r="R6597" s="127">
        <f t="shared" si="281"/>
        <v>0</v>
      </c>
      <c r="T6597" s="128">
        <f t="shared" si="280"/>
        <v>0</v>
      </c>
      <c r="U6597" s="129" t="str">
        <f>IFERROR(IF(#REF!="S",VLOOKUP('Raw Data'!A6597,References!#REF!,2,FALSE),(VLOOKUP($S6597,References!$B$3:$C$7,2,FALSE))),"")</f>
        <v/>
      </c>
      <c r="W6597" s="74" t="str">
        <f>IFERROR(VLOOKUP($O6597,'Customer List'!$A$1:$J$488,10,FALSE),"")</f>
        <v/>
      </c>
    </row>
    <row r="6598" spans="18:23">
      <c r="R6598" s="127">
        <f t="shared" si="281"/>
        <v>0</v>
      </c>
      <c r="T6598" s="128">
        <f t="shared" si="280"/>
        <v>0</v>
      </c>
      <c r="U6598" s="129" t="str">
        <f>IFERROR(IF(#REF!="S",VLOOKUP('Raw Data'!A6598,References!#REF!,2,FALSE),(VLOOKUP($S6598,References!$B$3:$C$7,2,FALSE))),"")</f>
        <v/>
      </c>
      <c r="W6598" s="74" t="str">
        <f>IFERROR(VLOOKUP($O6598,'Customer List'!$A$1:$J$488,10,FALSE),"")</f>
        <v/>
      </c>
    </row>
    <row r="6599" spans="18:23">
      <c r="R6599" s="127">
        <f t="shared" si="281"/>
        <v>0</v>
      </c>
      <c r="T6599" s="128">
        <f t="shared" si="280"/>
        <v>0</v>
      </c>
      <c r="U6599" s="129" t="str">
        <f>IFERROR(IF(#REF!="S",VLOOKUP('Raw Data'!A6599,References!#REF!,2,FALSE),(VLOOKUP($S6599,References!$B$3:$C$7,2,FALSE))),"")</f>
        <v/>
      </c>
      <c r="W6599" s="74" t="str">
        <f>IFERROR(VLOOKUP($O6599,'Customer List'!$A$1:$J$488,10,FALSE),"")</f>
        <v/>
      </c>
    </row>
    <row r="6600" spans="18:23">
      <c r="R6600" s="127">
        <f t="shared" si="281"/>
        <v>0</v>
      </c>
      <c r="T6600" s="128">
        <f t="shared" si="280"/>
        <v>0</v>
      </c>
      <c r="U6600" s="129" t="str">
        <f>IFERROR(IF(#REF!="S",VLOOKUP('Raw Data'!A6600,References!#REF!,2,FALSE),(VLOOKUP($S6600,References!$B$3:$C$7,2,FALSE))),"")</f>
        <v/>
      </c>
      <c r="W6600" s="74" t="str">
        <f>IFERROR(VLOOKUP($O6600,'Customer List'!$A$1:$J$488,10,FALSE),"")</f>
        <v/>
      </c>
    </row>
    <row r="6601" spans="18:23">
      <c r="R6601" s="127">
        <f t="shared" si="281"/>
        <v>0</v>
      </c>
      <c r="T6601" s="128">
        <f t="shared" si="280"/>
        <v>0</v>
      </c>
      <c r="U6601" s="129" t="str">
        <f>IFERROR(IF(#REF!="S",VLOOKUP('Raw Data'!A6601,References!#REF!,2,FALSE),(VLOOKUP($S6601,References!$B$3:$C$7,2,FALSE))),"")</f>
        <v/>
      </c>
      <c r="W6601" s="74" t="str">
        <f>IFERROR(VLOOKUP($O6601,'Customer List'!$A$1:$J$488,10,FALSE),"")</f>
        <v/>
      </c>
    </row>
    <row r="6602" spans="18:23">
      <c r="R6602" s="127">
        <f t="shared" si="281"/>
        <v>0</v>
      </c>
      <c r="T6602" s="128">
        <f t="shared" ref="T6602:T6665" si="282">IF(S6602="50 - Cleaning Fee",1,HOUR($R6602)+MINUTE(R6602)/60)</f>
        <v>0</v>
      </c>
      <c r="U6602" s="129" t="str">
        <f>IFERROR(IF(#REF!="S",VLOOKUP('Raw Data'!A6602,References!#REF!,2,FALSE),(VLOOKUP($S6602,References!$B$3:$C$7,2,FALSE))),"")</f>
        <v/>
      </c>
      <c r="W6602" s="74" t="str">
        <f>IFERROR(VLOOKUP($O6602,'Customer List'!$A$1:$J$488,10,FALSE),"")</f>
        <v/>
      </c>
    </row>
    <row r="6603" spans="18:23">
      <c r="R6603" s="127">
        <f t="shared" si="281"/>
        <v>0</v>
      </c>
      <c r="T6603" s="128">
        <f t="shared" si="282"/>
        <v>0</v>
      </c>
      <c r="U6603" s="129" t="str">
        <f>IFERROR(IF(#REF!="S",VLOOKUP('Raw Data'!A6603,References!#REF!,2,FALSE),(VLOOKUP($S6603,References!$B$3:$C$7,2,FALSE))),"")</f>
        <v/>
      </c>
      <c r="W6603" s="74" t="str">
        <f>IFERROR(VLOOKUP($O6603,'Customer List'!$A$1:$J$488,10,FALSE),"")</f>
        <v/>
      </c>
    </row>
    <row r="6604" spans="18:23">
      <c r="R6604" s="127">
        <f t="shared" si="281"/>
        <v>0</v>
      </c>
      <c r="T6604" s="128">
        <f t="shared" si="282"/>
        <v>0</v>
      </c>
      <c r="U6604" s="129" t="str">
        <f>IFERROR(IF(#REF!="S",VLOOKUP('Raw Data'!A6604,References!#REF!,2,FALSE),(VLOOKUP($S6604,References!$B$3:$C$7,2,FALSE))),"")</f>
        <v/>
      </c>
      <c r="W6604" s="74" t="str">
        <f>IFERROR(VLOOKUP($O6604,'Customer List'!$A$1:$J$488,10,FALSE),"")</f>
        <v/>
      </c>
    </row>
    <row r="6605" spans="18:23">
      <c r="R6605" s="127">
        <f t="shared" si="281"/>
        <v>0</v>
      </c>
      <c r="T6605" s="128">
        <f t="shared" si="282"/>
        <v>0</v>
      </c>
      <c r="U6605" s="129" t="str">
        <f>IFERROR(IF(#REF!="S",VLOOKUP('Raw Data'!A6605,References!#REF!,2,FALSE),(VLOOKUP($S6605,References!$B$3:$C$7,2,FALSE))),"")</f>
        <v/>
      </c>
      <c r="W6605" s="74" t="str">
        <f>IFERROR(VLOOKUP($O6605,'Customer List'!$A$1:$J$488,10,FALSE),"")</f>
        <v/>
      </c>
    </row>
    <row r="6606" spans="18:23">
      <c r="R6606" s="127">
        <f t="shared" si="281"/>
        <v>0</v>
      </c>
      <c r="T6606" s="128">
        <f t="shared" si="282"/>
        <v>0</v>
      </c>
      <c r="U6606" s="129" t="str">
        <f>IFERROR(IF(#REF!="S",VLOOKUP('Raw Data'!A6606,References!#REF!,2,FALSE),(VLOOKUP($S6606,References!$B$3:$C$7,2,FALSE))),"")</f>
        <v/>
      </c>
      <c r="W6606" s="74" t="str">
        <f>IFERROR(VLOOKUP($O6606,'Customer List'!$A$1:$J$488,10,FALSE),"")</f>
        <v/>
      </c>
    </row>
    <row r="6607" spans="18:23">
      <c r="R6607" s="127">
        <f t="shared" si="281"/>
        <v>0</v>
      </c>
      <c r="T6607" s="128">
        <f t="shared" si="282"/>
        <v>0</v>
      </c>
      <c r="U6607" s="129" t="str">
        <f>IFERROR(IF(#REF!="S",VLOOKUP('Raw Data'!A6607,References!#REF!,2,FALSE),(VLOOKUP($S6607,References!$B$3:$C$7,2,FALSE))),"")</f>
        <v/>
      </c>
      <c r="W6607" s="74" t="str">
        <f>IFERROR(VLOOKUP($O6607,'Customer List'!$A$1:$J$488,10,FALSE),"")</f>
        <v/>
      </c>
    </row>
    <row r="6608" spans="18:23">
      <c r="R6608" s="127">
        <f t="shared" si="281"/>
        <v>0</v>
      </c>
      <c r="T6608" s="128">
        <f t="shared" si="282"/>
        <v>0</v>
      </c>
      <c r="U6608" s="129" t="str">
        <f>IFERROR(IF(#REF!="S",VLOOKUP('Raw Data'!A6608,References!#REF!,2,FALSE),(VLOOKUP($S6608,References!$B$3:$C$7,2,FALSE))),"")</f>
        <v/>
      </c>
      <c r="W6608" s="74" t="str">
        <f>IFERROR(VLOOKUP($O6608,'Customer List'!$A$1:$J$488,10,FALSE),"")</f>
        <v/>
      </c>
    </row>
    <row r="6609" spans="18:23">
      <c r="R6609" s="127">
        <f t="shared" si="281"/>
        <v>0</v>
      </c>
      <c r="T6609" s="128">
        <f t="shared" si="282"/>
        <v>0</v>
      </c>
      <c r="U6609" s="129" t="str">
        <f>IFERROR(IF(#REF!="S",VLOOKUP('Raw Data'!A6609,References!#REF!,2,FALSE),(VLOOKUP($S6609,References!$B$3:$C$7,2,FALSE))),"")</f>
        <v/>
      </c>
      <c r="W6609" s="74" t="str">
        <f>IFERROR(VLOOKUP($O6609,'Customer List'!$A$1:$J$488,10,FALSE),"")</f>
        <v/>
      </c>
    </row>
    <row r="6610" spans="18:23">
      <c r="R6610" s="127">
        <f t="shared" si="281"/>
        <v>0</v>
      </c>
      <c r="T6610" s="128">
        <f t="shared" si="282"/>
        <v>0</v>
      </c>
      <c r="U6610" s="129" t="str">
        <f>IFERROR(IF(#REF!="S",VLOOKUP('Raw Data'!A6610,References!#REF!,2,FALSE),(VLOOKUP($S6610,References!$B$3:$C$7,2,FALSE))),"")</f>
        <v/>
      </c>
      <c r="W6610" s="74" t="str">
        <f>IFERROR(VLOOKUP($O6610,'Customer List'!$A$1:$J$488,10,FALSE),"")</f>
        <v/>
      </c>
    </row>
    <row r="6611" spans="18:23">
      <c r="R6611" s="127">
        <f t="shared" si="281"/>
        <v>0</v>
      </c>
      <c r="T6611" s="128">
        <f t="shared" si="282"/>
        <v>0</v>
      </c>
      <c r="U6611" s="129" t="str">
        <f>IFERROR(IF(#REF!="S",VLOOKUP('Raw Data'!A6611,References!#REF!,2,FALSE),(VLOOKUP($S6611,References!$B$3:$C$7,2,FALSE))),"")</f>
        <v/>
      </c>
      <c r="W6611" s="74" t="str">
        <f>IFERROR(VLOOKUP($O6611,'Customer List'!$A$1:$J$488,10,FALSE),"")</f>
        <v/>
      </c>
    </row>
    <row r="6612" spans="18:23">
      <c r="R6612" s="127">
        <f t="shared" si="281"/>
        <v>0</v>
      </c>
      <c r="T6612" s="128">
        <f t="shared" si="282"/>
        <v>0</v>
      </c>
      <c r="U6612" s="129" t="str">
        <f>IFERROR(IF(#REF!="S",VLOOKUP('Raw Data'!A6612,References!#REF!,2,FALSE),(VLOOKUP($S6612,References!$B$3:$C$7,2,FALSE))),"")</f>
        <v/>
      </c>
      <c r="W6612" s="74" t="str">
        <f>IFERROR(VLOOKUP($O6612,'Customer List'!$A$1:$J$488,10,FALSE),"")</f>
        <v/>
      </c>
    </row>
    <row r="6613" spans="18:23">
      <c r="R6613" s="127">
        <f t="shared" si="281"/>
        <v>0</v>
      </c>
      <c r="T6613" s="128">
        <f t="shared" si="282"/>
        <v>0</v>
      </c>
      <c r="U6613" s="129" t="str">
        <f>IFERROR(IF(#REF!="S",VLOOKUP('Raw Data'!A6613,References!#REF!,2,FALSE),(VLOOKUP($S6613,References!$B$3:$C$7,2,FALSE))),"")</f>
        <v/>
      </c>
      <c r="W6613" s="74" t="str">
        <f>IFERROR(VLOOKUP($O6613,'Customer List'!$A$1:$J$488,10,FALSE),"")</f>
        <v/>
      </c>
    </row>
    <row r="6614" spans="18:23">
      <c r="R6614" s="127">
        <f t="shared" si="281"/>
        <v>0</v>
      </c>
      <c r="T6614" s="128">
        <f t="shared" si="282"/>
        <v>0</v>
      </c>
      <c r="U6614" s="129" t="str">
        <f>IFERROR(IF(#REF!="S",VLOOKUP('Raw Data'!A6614,References!#REF!,2,FALSE),(VLOOKUP($S6614,References!$B$3:$C$7,2,FALSE))),"")</f>
        <v/>
      </c>
      <c r="W6614" s="74" t="str">
        <f>IFERROR(VLOOKUP($O6614,'Customer List'!$A$1:$J$488,10,FALSE),"")</f>
        <v/>
      </c>
    </row>
    <row r="6615" spans="18:23">
      <c r="R6615" s="127">
        <f t="shared" si="281"/>
        <v>0</v>
      </c>
      <c r="T6615" s="128">
        <f t="shared" si="282"/>
        <v>0</v>
      </c>
      <c r="U6615" s="129" t="str">
        <f>IFERROR(IF(#REF!="S",VLOOKUP('Raw Data'!A6615,References!#REF!,2,FALSE),(VLOOKUP($S6615,References!$B$3:$C$7,2,FALSE))),"")</f>
        <v/>
      </c>
      <c r="W6615" s="74" t="str">
        <f>IFERROR(VLOOKUP($O6615,'Customer List'!$A$1:$J$488,10,FALSE),"")</f>
        <v/>
      </c>
    </row>
    <row r="6616" spans="18:23">
      <c r="R6616" s="127">
        <f t="shared" si="281"/>
        <v>0</v>
      </c>
      <c r="T6616" s="128">
        <f t="shared" si="282"/>
        <v>0</v>
      </c>
      <c r="U6616" s="129" t="str">
        <f>IFERROR(IF(#REF!="S",VLOOKUP('Raw Data'!A6616,References!#REF!,2,FALSE),(VLOOKUP($S6616,References!$B$3:$C$7,2,FALSE))),"")</f>
        <v/>
      </c>
      <c r="W6616" s="74" t="str">
        <f>IFERROR(VLOOKUP($O6616,'Customer List'!$A$1:$J$488,10,FALSE),"")</f>
        <v/>
      </c>
    </row>
    <row r="6617" spans="18:23">
      <c r="R6617" s="127">
        <f t="shared" si="281"/>
        <v>0</v>
      </c>
      <c r="T6617" s="128">
        <f t="shared" si="282"/>
        <v>0</v>
      </c>
      <c r="U6617" s="129" t="str">
        <f>IFERROR(IF(#REF!="S",VLOOKUP('Raw Data'!A6617,References!#REF!,2,FALSE),(VLOOKUP($S6617,References!$B$3:$C$7,2,FALSE))),"")</f>
        <v/>
      </c>
      <c r="W6617" s="74" t="str">
        <f>IFERROR(VLOOKUP($O6617,'Customer List'!$A$1:$J$488,10,FALSE),"")</f>
        <v/>
      </c>
    </row>
    <row r="6618" spans="18:23">
      <c r="R6618" s="127">
        <f t="shared" si="281"/>
        <v>0</v>
      </c>
      <c r="T6618" s="128">
        <f t="shared" si="282"/>
        <v>0</v>
      </c>
      <c r="U6618" s="129" t="str">
        <f>IFERROR(IF(#REF!="S",VLOOKUP('Raw Data'!A6618,References!#REF!,2,FALSE),(VLOOKUP($S6618,References!$B$3:$C$7,2,FALSE))),"")</f>
        <v/>
      </c>
      <c r="W6618" s="74" t="str">
        <f>IFERROR(VLOOKUP($O6618,'Customer List'!$A$1:$J$488,10,FALSE),"")</f>
        <v/>
      </c>
    </row>
    <row r="6619" spans="18:23">
      <c r="R6619" s="127">
        <f t="shared" si="281"/>
        <v>0</v>
      </c>
      <c r="T6619" s="128">
        <f t="shared" si="282"/>
        <v>0</v>
      </c>
      <c r="U6619" s="129" t="str">
        <f>IFERROR(IF(#REF!="S",VLOOKUP('Raw Data'!A6619,References!#REF!,2,FALSE),(VLOOKUP($S6619,References!$B$3:$C$7,2,FALSE))),"")</f>
        <v/>
      </c>
      <c r="W6619" s="74" t="str">
        <f>IFERROR(VLOOKUP($O6619,'Customer List'!$A$1:$J$488,10,FALSE),"")</f>
        <v/>
      </c>
    </row>
    <row r="6620" spans="18:23">
      <c r="R6620" s="127">
        <f t="shared" si="281"/>
        <v>0</v>
      </c>
      <c r="T6620" s="128">
        <f t="shared" si="282"/>
        <v>0</v>
      </c>
      <c r="U6620" s="129" t="str">
        <f>IFERROR(IF(#REF!="S",VLOOKUP('Raw Data'!A6620,References!#REF!,2,FALSE),(VLOOKUP($S6620,References!$B$3:$C$7,2,FALSE))),"")</f>
        <v/>
      </c>
      <c r="W6620" s="74" t="str">
        <f>IFERROR(VLOOKUP($O6620,'Customer List'!$A$1:$J$488,10,FALSE),"")</f>
        <v/>
      </c>
    </row>
    <row r="6621" spans="18:23">
      <c r="R6621" s="127">
        <f t="shared" si="281"/>
        <v>0</v>
      </c>
      <c r="T6621" s="128">
        <f t="shared" si="282"/>
        <v>0</v>
      </c>
      <c r="U6621" s="129" t="str">
        <f>IFERROR(IF(#REF!="S",VLOOKUP('Raw Data'!A6621,References!#REF!,2,FALSE),(VLOOKUP($S6621,References!$B$3:$C$7,2,FALSE))),"")</f>
        <v/>
      </c>
      <c r="W6621" s="74" t="str">
        <f>IFERROR(VLOOKUP($O6621,'Customer List'!$A$1:$J$488,10,FALSE),"")</f>
        <v/>
      </c>
    </row>
    <row r="6622" spans="18:23">
      <c r="R6622" s="127">
        <f t="shared" si="281"/>
        <v>0</v>
      </c>
      <c r="T6622" s="128">
        <f t="shared" si="282"/>
        <v>0</v>
      </c>
      <c r="U6622" s="129" t="str">
        <f>IFERROR(IF(#REF!="S",VLOOKUP('Raw Data'!A6622,References!#REF!,2,FALSE),(VLOOKUP($S6622,References!$B$3:$C$7,2,FALSE))),"")</f>
        <v/>
      </c>
      <c r="W6622" s="74" t="str">
        <f>IFERROR(VLOOKUP($O6622,'Customer List'!$A$1:$J$488,10,FALSE),"")</f>
        <v/>
      </c>
    </row>
    <row r="6623" spans="18:23">
      <c r="R6623" s="127">
        <f t="shared" si="281"/>
        <v>0</v>
      </c>
      <c r="T6623" s="128">
        <f t="shared" si="282"/>
        <v>0</v>
      </c>
      <c r="U6623" s="129" t="str">
        <f>IFERROR(IF(#REF!="S",VLOOKUP('Raw Data'!A6623,References!#REF!,2,FALSE),(VLOOKUP($S6623,References!$B$3:$C$7,2,FALSE))),"")</f>
        <v/>
      </c>
      <c r="W6623" s="74" t="str">
        <f>IFERROR(VLOOKUP($O6623,'Customer List'!$A$1:$J$488,10,FALSE),"")</f>
        <v/>
      </c>
    </row>
    <row r="6624" spans="18:23">
      <c r="R6624" s="127">
        <f t="shared" si="281"/>
        <v>0</v>
      </c>
      <c r="T6624" s="128">
        <f t="shared" si="282"/>
        <v>0</v>
      </c>
      <c r="U6624" s="129" t="str">
        <f>IFERROR(IF(#REF!="S",VLOOKUP('Raw Data'!A6624,References!#REF!,2,FALSE),(VLOOKUP($S6624,References!$B$3:$C$7,2,FALSE))),"")</f>
        <v/>
      </c>
      <c r="W6624" s="74" t="str">
        <f>IFERROR(VLOOKUP($O6624,'Customer List'!$A$1:$J$488,10,FALSE),"")</f>
        <v/>
      </c>
    </row>
    <row r="6625" spans="18:23">
      <c r="R6625" s="127">
        <f t="shared" si="281"/>
        <v>0</v>
      </c>
      <c r="T6625" s="128">
        <f t="shared" si="282"/>
        <v>0</v>
      </c>
      <c r="U6625" s="129" t="str">
        <f>IFERROR(IF(#REF!="S",VLOOKUP('Raw Data'!A6625,References!#REF!,2,FALSE),(VLOOKUP($S6625,References!$B$3:$C$7,2,FALSE))),"")</f>
        <v/>
      </c>
      <c r="W6625" s="74" t="str">
        <f>IFERROR(VLOOKUP($O6625,'Customer List'!$A$1:$J$488,10,FALSE),"")</f>
        <v/>
      </c>
    </row>
    <row r="6626" spans="18:23">
      <c r="R6626" s="127">
        <f t="shared" ref="R6626:R6689" si="283">L6626-K6626</f>
        <v>0</v>
      </c>
      <c r="T6626" s="128">
        <f t="shared" si="282"/>
        <v>0</v>
      </c>
      <c r="U6626" s="129" t="str">
        <f>IFERROR(IF(#REF!="S",VLOOKUP('Raw Data'!A6626,References!#REF!,2,FALSE),(VLOOKUP($S6626,References!$B$3:$C$7,2,FALSE))),"")</f>
        <v/>
      </c>
      <c r="W6626" s="74" t="str">
        <f>IFERROR(VLOOKUP($O6626,'Customer List'!$A$1:$J$488,10,FALSE),"")</f>
        <v/>
      </c>
    </row>
    <row r="6627" spans="18:23">
      <c r="R6627" s="127">
        <f t="shared" si="283"/>
        <v>0</v>
      </c>
      <c r="T6627" s="128">
        <f t="shared" si="282"/>
        <v>0</v>
      </c>
      <c r="U6627" s="129" t="str">
        <f>IFERROR(IF(#REF!="S",VLOOKUP('Raw Data'!A6627,References!#REF!,2,FALSE),(VLOOKUP($S6627,References!$B$3:$C$7,2,FALSE))),"")</f>
        <v/>
      </c>
      <c r="W6627" s="74" t="str">
        <f>IFERROR(VLOOKUP($O6627,'Customer List'!$A$1:$J$488,10,FALSE),"")</f>
        <v/>
      </c>
    </row>
    <row r="6628" spans="18:23">
      <c r="R6628" s="127">
        <f t="shared" si="283"/>
        <v>0</v>
      </c>
      <c r="T6628" s="128">
        <f t="shared" si="282"/>
        <v>0</v>
      </c>
      <c r="U6628" s="129" t="str">
        <f>IFERROR(IF(#REF!="S",VLOOKUP('Raw Data'!A6628,References!#REF!,2,FALSE),(VLOOKUP($S6628,References!$B$3:$C$7,2,FALSE))),"")</f>
        <v/>
      </c>
      <c r="W6628" s="74" t="str">
        <f>IFERROR(VLOOKUP($O6628,'Customer List'!$A$1:$J$488,10,FALSE),"")</f>
        <v/>
      </c>
    </row>
    <row r="6629" spans="18:23">
      <c r="R6629" s="127">
        <f t="shared" si="283"/>
        <v>0</v>
      </c>
      <c r="T6629" s="128">
        <f t="shared" si="282"/>
        <v>0</v>
      </c>
      <c r="U6629" s="129" t="str">
        <f>IFERROR(IF(#REF!="S",VLOOKUP('Raw Data'!A6629,References!#REF!,2,FALSE),(VLOOKUP($S6629,References!$B$3:$C$7,2,FALSE))),"")</f>
        <v/>
      </c>
      <c r="W6629" s="74" t="str">
        <f>IFERROR(VLOOKUP($O6629,'Customer List'!$A$1:$J$488,10,FALSE),"")</f>
        <v/>
      </c>
    </row>
    <row r="6630" spans="18:23">
      <c r="R6630" s="127">
        <f t="shared" si="283"/>
        <v>0</v>
      </c>
      <c r="T6630" s="128">
        <f t="shared" si="282"/>
        <v>0</v>
      </c>
      <c r="U6630" s="129" t="str">
        <f>IFERROR(IF(#REF!="S",VLOOKUP('Raw Data'!A6630,References!#REF!,2,FALSE),(VLOOKUP($S6630,References!$B$3:$C$7,2,FALSE))),"")</f>
        <v/>
      </c>
      <c r="W6630" s="74" t="str">
        <f>IFERROR(VLOOKUP($O6630,'Customer List'!$A$1:$J$488,10,FALSE),"")</f>
        <v/>
      </c>
    </row>
    <row r="6631" spans="18:23">
      <c r="R6631" s="127">
        <f t="shared" si="283"/>
        <v>0</v>
      </c>
      <c r="T6631" s="128">
        <f t="shared" si="282"/>
        <v>0</v>
      </c>
      <c r="U6631" s="129" t="str">
        <f>IFERROR(IF(#REF!="S",VLOOKUP('Raw Data'!A6631,References!#REF!,2,FALSE),(VLOOKUP($S6631,References!$B$3:$C$7,2,FALSE))),"")</f>
        <v/>
      </c>
      <c r="W6631" s="74" t="str">
        <f>IFERROR(VLOOKUP($O6631,'Customer List'!$A$1:$J$488,10,FALSE),"")</f>
        <v/>
      </c>
    </row>
    <row r="6632" spans="18:23">
      <c r="R6632" s="127">
        <f t="shared" si="283"/>
        <v>0</v>
      </c>
      <c r="T6632" s="128">
        <f t="shared" si="282"/>
        <v>0</v>
      </c>
      <c r="U6632" s="129" t="str">
        <f>IFERROR(IF(#REF!="S",VLOOKUP('Raw Data'!A6632,References!#REF!,2,FALSE),(VLOOKUP($S6632,References!$B$3:$C$7,2,FALSE))),"")</f>
        <v/>
      </c>
      <c r="W6632" s="74" t="str">
        <f>IFERROR(VLOOKUP($O6632,'Customer List'!$A$1:$J$488,10,FALSE),"")</f>
        <v/>
      </c>
    </row>
    <row r="6633" spans="18:23">
      <c r="R6633" s="127">
        <f t="shared" si="283"/>
        <v>0</v>
      </c>
      <c r="T6633" s="128">
        <f t="shared" si="282"/>
        <v>0</v>
      </c>
      <c r="U6633" s="129" t="str">
        <f>IFERROR(IF(#REF!="S",VLOOKUP('Raw Data'!A6633,References!#REF!,2,FALSE),(VLOOKUP($S6633,References!$B$3:$C$7,2,FALSE))),"")</f>
        <v/>
      </c>
      <c r="W6633" s="74" t="str">
        <f>IFERROR(VLOOKUP($O6633,'Customer List'!$A$1:$J$488,10,FALSE),"")</f>
        <v/>
      </c>
    </row>
    <row r="6634" spans="18:23">
      <c r="R6634" s="127">
        <f t="shared" si="283"/>
        <v>0</v>
      </c>
      <c r="T6634" s="128">
        <f t="shared" si="282"/>
        <v>0</v>
      </c>
      <c r="U6634" s="129" t="str">
        <f>IFERROR(IF(#REF!="S",VLOOKUP('Raw Data'!A6634,References!#REF!,2,FALSE),(VLOOKUP($S6634,References!$B$3:$C$7,2,FALSE))),"")</f>
        <v/>
      </c>
      <c r="W6634" s="74" t="str">
        <f>IFERROR(VLOOKUP($O6634,'Customer List'!$A$1:$J$488,10,FALSE),"")</f>
        <v/>
      </c>
    </row>
    <row r="6635" spans="18:23">
      <c r="R6635" s="127">
        <f t="shared" si="283"/>
        <v>0</v>
      </c>
      <c r="T6635" s="128">
        <f t="shared" si="282"/>
        <v>0</v>
      </c>
      <c r="U6635" s="129" t="str">
        <f>IFERROR(IF(#REF!="S",VLOOKUP('Raw Data'!A6635,References!#REF!,2,FALSE),(VLOOKUP($S6635,References!$B$3:$C$7,2,FALSE))),"")</f>
        <v/>
      </c>
      <c r="W6635" s="74" t="str">
        <f>IFERROR(VLOOKUP($O6635,'Customer List'!$A$1:$J$488,10,FALSE),"")</f>
        <v/>
      </c>
    </row>
    <row r="6636" spans="18:23">
      <c r="R6636" s="127">
        <f t="shared" si="283"/>
        <v>0</v>
      </c>
      <c r="T6636" s="128">
        <f t="shared" si="282"/>
        <v>0</v>
      </c>
      <c r="U6636" s="129" t="str">
        <f>IFERROR(IF(#REF!="S",VLOOKUP('Raw Data'!A6636,References!#REF!,2,FALSE),(VLOOKUP($S6636,References!$B$3:$C$7,2,FALSE))),"")</f>
        <v/>
      </c>
      <c r="W6636" s="74" t="str">
        <f>IFERROR(VLOOKUP($O6636,'Customer List'!$A$1:$J$488,10,FALSE),"")</f>
        <v/>
      </c>
    </row>
    <row r="6637" spans="18:23">
      <c r="R6637" s="127">
        <f t="shared" si="283"/>
        <v>0</v>
      </c>
      <c r="T6637" s="128">
        <f t="shared" si="282"/>
        <v>0</v>
      </c>
      <c r="U6637" s="129" t="str">
        <f>IFERROR(IF(#REF!="S",VLOOKUP('Raw Data'!A6637,References!#REF!,2,FALSE),(VLOOKUP($S6637,References!$B$3:$C$7,2,FALSE))),"")</f>
        <v/>
      </c>
      <c r="W6637" s="74" t="str">
        <f>IFERROR(VLOOKUP($O6637,'Customer List'!$A$1:$J$488,10,FALSE),"")</f>
        <v/>
      </c>
    </row>
    <row r="6638" spans="18:23">
      <c r="R6638" s="127">
        <f t="shared" si="283"/>
        <v>0</v>
      </c>
      <c r="T6638" s="128">
        <f t="shared" si="282"/>
        <v>0</v>
      </c>
      <c r="U6638" s="129" t="str">
        <f>IFERROR(IF(#REF!="S",VLOOKUP('Raw Data'!A6638,References!#REF!,2,FALSE),(VLOOKUP($S6638,References!$B$3:$C$7,2,FALSE))),"")</f>
        <v/>
      </c>
      <c r="W6638" s="74" t="str">
        <f>IFERROR(VLOOKUP($O6638,'Customer List'!$A$1:$J$488,10,FALSE),"")</f>
        <v/>
      </c>
    </row>
    <row r="6639" spans="18:23">
      <c r="R6639" s="127">
        <f t="shared" si="283"/>
        <v>0</v>
      </c>
      <c r="T6639" s="128">
        <f t="shared" si="282"/>
        <v>0</v>
      </c>
      <c r="U6639" s="129" t="str">
        <f>IFERROR(IF(#REF!="S",VLOOKUP('Raw Data'!A6639,References!#REF!,2,FALSE),(VLOOKUP($S6639,References!$B$3:$C$7,2,FALSE))),"")</f>
        <v/>
      </c>
      <c r="W6639" s="74" t="str">
        <f>IFERROR(VLOOKUP($O6639,'Customer List'!$A$1:$J$488,10,FALSE),"")</f>
        <v/>
      </c>
    </row>
    <row r="6640" spans="18:23">
      <c r="R6640" s="127">
        <f t="shared" si="283"/>
        <v>0</v>
      </c>
      <c r="T6640" s="128">
        <f t="shared" si="282"/>
        <v>0</v>
      </c>
      <c r="U6640" s="129" t="str">
        <f>IFERROR(IF(#REF!="S",VLOOKUP('Raw Data'!A6640,References!#REF!,2,FALSE),(VLOOKUP($S6640,References!$B$3:$C$7,2,FALSE))),"")</f>
        <v/>
      </c>
      <c r="W6640" s="74" t="str">
        <f>IFERROR(VLOOKUP($O6640,'Customer List'!$A$1:$J$488,10,FALSE),"")</f>
        <v/>
      </c>
    </row>
    <row r="6641" spans="18:23">
      <c r="R6641" s="127">
        <f t="shared" si="283"/>
        <v>0</v>
      </c>
      <c r="T6641" s="128">
        <f t="shared" si="282"/>
        <v>0</v>
      </c>
      <c r="U6641" s="129" t="str">
        <f>IFERROR(IF(#REF!="S",VLOOKUP('Raw Data'!A6641,References!#REF!,2,FALSE),(VLOOKUP($S6641,References!$B$3:$C$7,2,FALSE))),"")</f>
        <v/>
      </c>
      <c r="W6641" s="74" t="str">
        <f>IFERROR(VLOOKUP($O6641,'Customer List'!$A$1:$J$488,10,FALSE),"")</f>
        <v/>
      </c>
    </row>
    <row r="6642" spans="18:23">
      <c r="R6642" s="127">
        <f t="shared" si="283"/>
        <v>0</v>
      </c>
      <c r="T6642" s="128">
        <f t="shared" si="282"/>
        <v>0</v>
      </c>
      <c r="U6642" s="129" t="str">
        <f>IFERROR(IF(#REF!="S",VLOOKUP('Raw Data'!A6642,References!#REF!,2,FALSE),(VLOOKUP($S6642,References!$B$3:$C$7,2,FALSE))),"")</f>
        <v/>
      </c>
      <c r="W6642" s="74" t="str">
        <f>IFERROR(VLOOKUP($O6642,'Customer List'!$A$1:$J$488,10,FALSE),"")</f>
        <v/>
      </c>
    </row>
    <row r="6643" spans="18:23">
      <c r="R6643" s="127">
        <f t="shared" si="283"/>
        <v>0</v>
      </c>
      <c r="T6643" s="128">
        <f t="shared" si="282"/>
        <v>0</v>
      </c>
      <c r="U6643" s="129" t="str">
        <f>IFERROR(IF(#REF!="S",VLOOKUP('Raw Data'!A6643,References!#REF!,2,FALSE),(VLOOKUP($S6643,References!$B$3:$C$7,2,FALSE))),"")</f>
        <v/>
      </c>
      <c r="W6643" s="74" t="str">
        <f>IFERROR(VLOOKUP($O6643,'Customer List'!$A$1:$J$488,10,FALSE),"")</f>
        <v/>
      </c>
    </row>
    <row r="6644" spans="18:23">
      <c r="R6644" s="127">
        <f t="shared" si="283"/>
        <v>0</v>
      </c>
      <c r="T6644" s="128">
        <f t="shared" si="282"/>
        <v>0</v>
      </c>
      <c r="U6644" s="129" t="str">
        <f>IFERROR(IF(#REF!="S",VLOOKUP('Raw Data'!A6644,References!#REF!,2,FALSE),(VLOOKUP($S6644,References!$B$3:$C$7,2,FALSE))),"")</f>
        <v/>
      </c>
      <c r="W6644" s="74" t="str">
        <f>IFERROR(VLOOKUP($O6644,'Customer List'!$A$1:$J$488,10,FALSE),"")</f>
        <v/>
      </c>
    </row>
    <row r="6645" spans="18:23">
      <c r="R6645" s="127">
        <f t="shared" si="283"/>
        <v>0</v>
      </c>
      <c r="T6645" s="128">
        <f t="shared" si="282"/>
        <v>0</v>
      </c>
      <c r="U6645" s="129" t="str">
        <f>IFERROR(IF(#REF!="S",VLOOKUP('Raw Data'!A6645,References!#REF!,2,FALSE),(VLOOKUP($S6645,References!$B$3:$C$7,2,FALSE))),"")</f>
        <v/>
      </c>
      <c r="W6645" s="74" t="str">
        <f>IFERROR(VLOOKUP($O6645,'Customer List'!$A$1:$J$488,10,FALSE),"")</f>
        <v/>
      </c>
    </row>
    <row r="6646" spans="18:23">
      <c r="R6646" s="127">
        <f t="shared" si="283"/>
        <v>0</v>
      </c>
      <c r="T6646" s="128">
        <f t="shared" si="282"/>
        <v>0</v>
      </c>
      <c r="U6646" s="129" t="str">
        <f>IFERROR(IF(#REF!="S",VLOOKUP('Raw Data'!A6646,References!#REF!,2,FALSE),(VLOOKUP($S6646,References!$B$3:$C$7,2,FALSE))),"")</f>
        <v/>
      </c>
      <c r="W6646" s="74" t="str">
        <f>IFERROR(VLOOKUP($O6646,'Customer List'!$A$1:$J$488,10,FALSE),"")</f>
        <v/>
      </c>
    </row>
    <row r="6647" spans="18:23">
      <c r="R6647" s="127">
        <f t="shared" si="283"/>
        <v>0</v>
      </c>
      <c r="T6647" s="128">
        <f t="shared" si="282"/>
        <v>0</v>
      </c>
      <c r="U6647" s="129" t="str">
        <f>IFERROR(IF(#REF!="S",VLOOKUP('Raw Data'!A6647,References!#REF!,2,FALSE),(VLOOKUP($S6647,References!$B$3:$C$7,2,FALSE))),"")</f>
        <v/>
      </c>
      <c r="W6647" s="74" t="str">
        <f>IFERROR(VLOOKUP($O6647,'Customer List'!$A$1:$J$488,10,FALSE),"")</f>
        <v/>
      </c>
    </row>
    <row r="6648" spans="18:23">
      <c r="R6648" s="127">
        <f t="shared" si="283"/>
        <v>0</v>
      </c>
      <c r="T6648" s="128">
        <f t="shared" si="282"/>
        <v>0</v>
      </c>
      <c r="U6648" s="129" t="str">
        <f>IFERROR(IF(#REF!="S",VLOOKUP('Raw Data'!A6648,References!#REF!,2,FALSE),(VLOOKUP($S6648,References!$B$3:$C$7,2,FALSE))),"")</f>
        <v/>
      </c>
      <c r="W6648" s="74" t="str">
        <f>IFERROR(VLOOKUP($O6648,'Customer List'!$A$1:$J$488,10,FALSE),"")</f>
        <v/>
      </c>
    </row>
    <row r="6649" spans="18:23">
      <c r="R6649" s="127">
        <f t="shared" si="283"/>
        <v>0</v>
      </c>
      <c r="T6649" s="128">
        <f t="shared" si="282"/>
        <v>0</v>
      </c>
      <c r="U6649" s="129" t="str">
        <f>IFERROR(IF(#REF!="S",VLOOKUP('Raw Data'!A6649,References!#REF!,2,FALSE),(VLOOKUP($S6649,References!$B$3:$C$7,2,FALSE))),"")</f>
        <v/>
      </c>
      <c r="W6649" s="74" t="str">
        <f>IFERROR(VLOOKUP($O6649,'Customer List'!$A$1:$J$488,10,FALSE),"")</f>
        <v/>
      </c>
    </row>
    <row r="6650" spans="18:23">
      <c r="R6650" s="127">
        <f t="shared" si="283"/>
        <v>0</v>
      </c>
      <c r="T6650" s="128">
        <f t="shared" si="282"/>
        <v>0</v>
      </c>
      <c r="U6650" s="129" t="str">
        <f>IFERROR(IF(#REF!="S",VLOOKUP('Raw Data'!A6650,References!#REF!,2,FALSE),(VLOOKUP($S6650,References!$B$3:$C$7,2,FALSE))),"")</f>
        <v/>
      </c>
      <c r="W6650" s="74" t="str">
        <f>IFERROR(VLOOKUP($O6650,'Customer List'!$A$1:$J$488,10,FALSE),"")</f>
        <v/>
      </c>
    </row>
    <row r="6651" spans="18:23">
      <c r="R6651" s="127">
        <f t="shared" si="283"/>
        <v>0</v>
      </c>
      <c r="T6651" s="128">
        <f t="shared" si="282"/>
        <v>0</v>
      </c>
      <c r="U6651" s="129" t="str">
        <f>IFERROR(IF(#REF!="S",VLOOKUP('Raw Data'!A6651,References!#REF!,2,FALSE),(VLOOKUP($S6651,References!$B$3:$C$7,2,FALSE))),"")</f>
        <v/>
      </c>
      <c r="W6651" s="74" t="str">
        <f>IFERROR(VLOOKUP($O6651,'Customer List'!$A$1:$J$488,10,FALSE),"")</f>
        <v/>
      </c>
    </row>
    <row r="6652" spans="18:23">
      <c r="R6652" s="127">
        <f t="shared" si="283"/>
        <v>0</v>
      </c>
      <c r="T6652" s="128">
        <f t="shared" si="282"/>
        <v>0</v>
      </c>
      <c r="U6652" s="129" t="str">
        <f>IFERROR(IF(#REF!="S",VLOOKUP('Raw Data'!A6652,References!#REF!,2,FALSE),(VLOOKUP($S6652,References!$B$3:$C$7,2,FALSE))),"")</f>
        <v/>
      </c>
      <c r="W6652" s="74" t="str">
        <f>IFERROR(VLOOKUP($O6652,'Customer List'!$A$1:$J$488,10,FALSE),"")</f>
        <v/>
      </c>
    </row>
    <row r="6653" spans="18:23">
      <c r="R6653" s="127">
        <f t="shared" si="283"/>
        <v>0</v>
      </c>
      <c r="T6653" s="128">
        <f t="shared" si="282"/>
        <v>0</v>
      </c>
      <c r="U6653" s="129" t="str">
        <f>IFERROR(IF(#REF!="S",VLOOKUP('Raw Data'!A6653,References!#REF!,2,FALSE),(VLOOKUP($S6653,References!$B$3:$C$7,2,FALSE))),"")</f>
        <v/>
      </c>
      <c r="W6653" s="74" t="str">
        <f>IFERROR(VLOOKUP($O6653,'Customer List'!$A$1:$J$488,10,FALSE),"")</f>
        <v/>
      </c>
    </row>
    <row r="6654" spans="18:23">
      <c r="R6654" s="127">
        <f t="shared" si="283"/>
        <v>0</v>
      </c>
      <c r="T6654" s="128">
        <f t="shared" si="282"/>
        <v>0</v>
      </c>
      <c r="U6654" s="129" t="str">
        <f>IFERROR(IF(#REF!="S",VLOOKUP('Raw Data'!A6654,References!#REF!,2,FALSE),(VLOOKUP($S6654,References!$B$3:$C$7,2,FALSE))),"")</f>
        <v/>
      </c>
      <c r="W6654" s="74" t="str">
        <f>IFERROR(VLOOKUP($O6654,'Customer List'!$A$1:$J$488,10,FALSE),"")</f>
        <v/>
      </c>
    </row>
    <row r="6655" spans="18:23">
      <c r="R6655" s="127">
        <f t="shared" si="283"/>
        <v>0</v>
      </c>
      <c r="T6655" s="128">
        <f t="shared" si="282"/>
        <v>0</v>
      </c>
      <c r="U6655" s="129" t="str">
        <f>IFERROR(IF(#REF!="S",VLOOKUP('Raw Data'!A6655,References!#REF!,2,FALSE),(VLOOKUP($S6655,References!$B$3:$C$7,2,FALSE))),"")</f>
        <v/>
      </c>
      <c r="W6655" s="74" t="str">
        <f>IFERROR(VLOOKUP($O6655,'Customer List'!$A$1:$J$488,10,FALSE),"")</f>
        <v/>
      </c>
    </row>
    <row r="6656" spans="18:23">
      <c r="R6656" s="127">
        <f t="shared" si="283"/>
        <v>0</v>
      </c>
      <c r="T6656" s="128">
        <f t="shared" si="282"/>
        <v>0</v>
      </c>
      <c r="U6656" s="129" t="str">
        <f>IFERROR(IF(#REF!="S",VLOOKUP('Raw Data'!A6656,References!#REF!,2,FALSE),(VLOOKUP($S6656,References!$B$3:$C$7,2,FALSE))),"")</f>
        <v/>
      </c>
      <c r="W6656" s="74" t="str">
        <f>IFERROR(VLOOKUP($O6656,'Customer List'!$A$1:$J$488,10,FALSE),"")</f>
        <v/>
      </c>
    </row>
    <row r="6657" spans="18:23">
      <c r="R6657" s="127">
        <f t="shared" si="283"/>
        <v>0</v>
      </c>
      <c r="T6657" s="128">
        <f t="shared" si="282"/>
        <v>0</v>
      </c>
      <c r="U6657" s="129" t="str">
        <f>IFERROR(IF(#REF!="S",VLOOKUP('Raw Data'!A6657,References!#REF!,2,FALSE),(VLOOKUP($S6657,References!$B$3:$C$7,2,FALSE))),"")</f>
        <v/>
      </c>
      <c r="W6657" s="74" t="str">
        <f>IFERROR(VLOOKUP($O6657,'Customer List'!$A$1:$J$488,10,FALSE),"")</f>
        <v/>
      </c>
    </row>
    <row r="6658" spans="18:23">
      <c r="R6658" s="127">
        <f t="shared" si="283"/>
        <v>0</v>
      </c>
      <c r="T6658" s="128">
        <f t="shared" si="282"/>
        <v>0</v>
      </c>
      <c r="U6658" s="129" t="str">
        <f>IFERROR(IF(#REF!="S",VLOOKUP('Raw Data'!A6658,References!#REF!,2,FALSE),(VLOOKUP($S6658,References!$B$3:$C$7,2,FALSE))),"")</f>
        <v/>
      </c>
      <c r="W6658" s="74" t="str">
        <f>IFERROR(VLOOKUP($O6658,'Customer List'!$A$1:$J$488,10,FALSE),"")</f>
        <v/>
      </c>
    </row>
    <row r="6659" spans="18:23">
      <c r="R6659" s="127">
        <f t="shared" si="283"/>
        <v>0</v>
      </c>
      <c r="T6659" s="128">
        <f t="shared" si="282"/>
        <v>0</v>
      </c>
      <c r="U6659" s="129" t="str">
        <f>IFERROR(IF(#REF!="S",VLOOKUP('Raw Data'!A6659,References!#REF!,2,FALSE),(VLOOKUP($S6659,References!$B$3:$C$7,2,FALSE))),"")</f>
        <v/>
      </c>
      <c r="W6659" s="74" t="str">
        <f>IFERROR(VLOOKUP($O6659,'Customer List'!$A$1:$J$488,10,FALSE),"")</f>
        <v/>
      </c>
    </row>
    <row r="6660" spans="18:23">
      <c r="R6660" s="127">
        <f t="shared" si="283"/>
        <v>0</v>
      </c>
      <c r="T6660" s="128">
        <f t="shared" si="282"/>
        <v>0</v>
      </c>
      <c r="U6660" s="129" t="str">
        <f>IFERROR(IF(#REF!="S",VLOOKUP('Raw Data'!A6660,References!#REF!,2,FALSE),(VLOOKUP($S6660,References!$B$3:$C$7,2,FALSE))),"")</f>
        <v/>
      </c>
      <c r="W6660" s="74" t="str">
        <f>IFERROR(VLOOKUP($O6660,'Customer List'!$A$1:$J$488,10,FALSE),"")</f>
        <v/>
      </c>
    </row>
    <row r="6661" spans="18:23">
      <c r="R6661" s="127">
        <f t="shared" si="283"/>
        <v>0</v>
      </c>
      <c r="T6661" s="128">
        <f t="shared" si="282"/>
        <v>0</v>
      </c>
      <c r="U6661" s="129" t="str">
        <f>IFERROR(IF(#REF!="S",VLOOKUP('Raw Data'!A6661,References!#REF!,2,FALSE),(VLOOKUP($S6661,References!$B$3:$C$7,2,FALSE))),"")</f>
        <v/>
      </c>
      <c r="W6661" s="74" t="str">
        <f>IFERROR(VLOOKUP($O6661,'Customer List'!$A$1:$J$488,10,FALSE),"")</f>
        <v/>
      </c>
    </row>
    <row r="6662" spans="18:23">
      <c r="R6662" s="127">
        <f t="shared" si="283"/>
        <v>0</v>
      </c>
      <c r="T6662" s="128">
        <f t="shared" si="282"/>
        <v>0</v>
      </c>
      <c r="U6662" s="129" t="str">
        <f>IFERROR(IF(#REF!="S",VLOOKUP('Raw Data'!A6662,References!#REF!,2,FALSE),(VLOOKUP($S6662,References!$B$3:$C$7,2,FALSE))),"")</f>
        <v/>
      </c>
      <c r="W6662" s="74" t="str">
        <f>IFERROR(VLOOKUP($O6662,'Customer List'!$A$1:$J$488,10,FALSE),"")</f>
        <v/>
      </c>
    </row>
    <row r="6663" spans="18:23">
      <c r="R6663" s="127">
        <f t="shared" si="283"/>
        <v>0</v>
      </c>
      <c r="T6663" s="128">
        <f t="shared" si="282"/>
        <v>0</v>
      </c>
      <c r="U6663" s="129" t="str">
        <f>IFERROR(IF(#REF!="S",VLOOKUP('Raw Data'!A6663,References!#REF!,2,FALSE),(VLOOKUP($S6663,References!$B$3:$C$7,2,FALSE))),"")</f>
        <v/>
      </c>
      <c r="W6663" s="74" t="str">
        <f>IFERROR(VLOOKUP($O6663,'Customer List'!$A$1:$J$488,10,FALSE),"")</f>
        <v/>
      </c>
    </row>
    <row r="6664" spans="18:23">
      <c r="R6664" s="127">
        <f t="shared" si="283"/>
        <v>0</v>
      </c>
      <c r="T6664" s="128">
        <f t="shared" si="282"/>
        <v>0</v>
      </c>
      <c r="U6664" s="129" t="str">
        <f>IFERROR(IF(#REF!="S",VLOOKUP('Raw Data'!A6664,References!#REF!,2,FALSE),(VLOOKUP($S6664,References!$B$3:$C$7,2,FALSE))),"")</f>
        <v/>
      </c>
      <c r="W6664" s="74" t="str">
        <f>IFERROR(VLOOKUP($O6664,'Customer List'!$A$1:$J$488,10,FALSE),"")</f>
        <v/>
      </c>
    </row>
    <row r="6665" spans="18:23">
      <c r="R6665" s="127">
        <f t="shared" si="283"/>
        <v>0</v>
      </c>
      <c r="T6665" s="128">
        <f t="shared" si="282"/>
        <v>0</v>
      </c>
      <c r="U6665" s="129" t="str">
        <f>IFERROR(IF(#REF!="S",VLOOKUP('Raw Data'!A6665,References!#REF!,2,FALSE),(VLOOKUP($S6665,References!$B$3:$C$7,2,FALSE))),"")</f>
        <v/>
      </c>
      <c r="W6665" s="74" t="str">
        <f>IFERROR(VLOOKUP($O6665,'Customer List'!$A$1:$J$488,10,FALSE),"")</f>
        <v/>
      </c>
    </row>
    <row r="6666" spans="18:23">
      <c r="R6666" s="127">
        <f t="shared" si="283"/>
        <v>0</v>
      </c>
      <c r="T6666" s="128">
        <f t="shared" ref="T6666:T6729" si="284">IF(S6666="50 - Cleaning Fee",1,HOUR($R6666)+MINUTE(R6666)/60)</f>
        <v>0</v>
      </c>
      <c r="U6666" s="129" t="str">
        <f>IFERROR(IF(#REF!="S",VLOOKUP('Raw Data'!A6666,References!#REF!,2,FALSE),(VLOOKUP($S6666,References!$B$3:$C$7,2,FALSE))),"")</f>
        <v/>
      </c>
      <c r="W6666" s="74" t="str">
        <f>IFERROR(VLOOKUP($O6666,'Customer List'!$A$1:$J$488,10,FALSE),"")</f>
        <v/>
      </c>
    </row>
    <row r="6667" spans="18:23">
      <c r="R6667" s="127">
        <f t="shared" si="283"/>
        <v>0</v>
      </c>
      <c r="T6667" s="128">
        <f t="shared" si="284"/>
        <v>0</v>
      </c>
      <c r="U6667" s="129" t="str">
        <f>IFERROR(IF(#REF!="S",VLOOKUP('Raw Data'!A6667,References!#REF!,2,FALSE),(VLOOKUP($S6667,References!$B$3:$C$7,2,FALSE))),"")</f>
        <v/>
      </c>
      <c r="W6667" s="74" t="str">
        <f>IFERROR(VLOOKUP($O6667,'Customer List'!$A$1:$J$488,10,FALSE),"")</f>
        <v/>
      </c>
    </row>
    <row r="6668" spans="18:23">
      <c r="R6668" s="127">
        <f t="shared" si="283"/>
        <v>0</v>
      </c>
      <c r="T6668" s="128">
        <f t="shared" si="284"/>
        <v>0</v>
      </c>
      <c r="U6668" s="129" t="str">
        <f>IFERROR(IF(#REF!="S",VLOOKUP('Raw Data'!A6668,References!#REF!,2,FALSE),(VLOOKUP($S6668,References!$B$3:$C$7,2,FALSE))),"")</f>
        <v/>
      </c>
      <c r="W6668" s="74" t="str">
        <f>IFERROR(VLOOKUP($O6668,'Customer List'!$A$1:$J$488,10,FALSE),"")</f>
        <v/>
      </c>
    </row>
    <row r="6669" spans="18:23">
      <c r="R6669" s="127">
        <f t="shared" si="283"/>
        <v>0</v>
      </c>
      <c r="T6669" s="128">
        <f t="shared" si="284"/>
        <v>0</v>
      </c>
      <c r="U6669" s="129" t="str">
        <f>IFERROR(IF(#REF!="S",VLOOKUP('Raw Data'!A6669,References!#REF!,2,FALSE),(VLOOKUP($S6669,References!$B$3:$C$7,2,FALSE))),"")</f>
        <v/>
      </c>
      <c r="W6669" s="74" t="str">
        <f>IFERROR(VLOOKUP($O6669,'Customer List'!$A$1:$J$488,10,FALSE),"")</f>
        <v/>
      </c>
    </row>
    <row r="6670" spans="18:23">
      <c r="R6670" s="127">
        <f t="shared" si="283"/>
        <v>0</v>
      </c>
      <c r="T6670" s="128">
        <f t="shared" si="284"/>
        <v>0</v>
      </c>
      <c r="U6670" s="129" t="str">
        <f>IFERROR(IF(#REF!="S",VLOOKUP('Raw Data'!A6670,References!#REF!,2,FALSE),(VLOOKUP($S6670,References!$B$3:$C$7,2,FALSE))),"")</f>
        <v/>
      </c>
      <c r="W6670" s="74" t="str">
        <f>IFERROR(VLOOKUP($O6670,'Customer List'!$A$1:$J$488,10,FALSE),"")</f>
        <v/>
      </c>
    </row>
    <row r="6671" spans="18:23">
      <c r="R6671" s="127">
        <f t="shared" si="283"/>
        <v>0</v>
      </c>
      <c r="T6671" s="128">
        <f t="shared" si="284"/>
        <v>0</v>
      </c>
      <c r="U6671" s="129" t="str">
        <f>IFERROR(IF(#REF!="S",VLOOKUP('Raw Data'!A6671,References!#REF!,2,FALSE),(VLOOKUP($S6671,References!$B$3:$C$7,2,FALSE))),"")</f>
        <v/>
      </c>
      <c r="W6671" s="74" t="str">
        <f>IFERROR(VLOOKUP($O6671,'Customer List'!$A$1:$J$488,10,FALSE),"")</f>
        <v/>
      </c>
    </row>
    <row r="6672" spans="18:23">
      <c r="R6672" s="127">
        <f t="shared" si="283"/>
        <v>0</v>
      </c>
      <c r="T6672" s="128">
        <f t="shared" si="284"/>
        <v>0</v>
      </c>
      <c r="U6672" s="129" t="str">
        <f>IFERROR(IF(#REF!="S",VLOOKUP('Raw Data'!A6672,References!#REF!,2,FALSE),(VLOOKUP($S6672,References!$B$3:$C$7,2,FALSE))),"")</f>
        <v/>
      </c>
      <c r="W6672" s="74" t="str">
        <f>IFERROR(VLOOKUP($O6672,'Customer List'!$A$1:$J$488,10,FALSE),"")</f>
        <v/>
      </c>
    </row>
    <row r="6673" spans="18:23">
      <c r="R6673" s="127">
        <f t="shared" si="283"/>
        <v>0</v>
      </c>
      <c r="T6673" s="128">
        <f t="shared" si="284"/>
        <v>0</v>
      </c>
      <c r="U6673" s="129" t="str">
        <f>IFERROR(IF(#REF!="S",VLOOKUP('Raw Data'!A6673,References!#REF!,2,FALSE),(VLOOKUP($S6673,References!$B$3:$C$7,2,FALSE))),"")</f>
        <v/>
      </c>
      <c r="W6673" s="74" t="str">
        <f>IFERROR(VLOOKUP($O6673,'Customer List'!$A$1:$J$488,10,FALSE),"")</f>
        <v/>
      </c>
    </row>
    <row r="6674" spans="18:23">
      <c r="R6674" s="127">
        <f t="shared" si="283"/>
        <v>0</v>
      </c>
      <c r="T6674" s="128">
        <f t="shared" si="284"/>
        <v>0</v>
      </c>
      <c r="U6674" s="129" t="str">
        <f>IFERROR(IF(#REF!="S",VLOOKUP('Raw Data'!A6674,References!#REF!,2,FALSE),(VLOOKUP($S6674,References!$B$3:$C$7,2,FALSE))),"")</f>
        <v/>
      </c>
      <c r="W6674" s="74" t="str">
        <f>IFERROR(VLOOKUP($O6674,'Customer List'!$A$1:$J$488,10,FALSE),"")</f>
        <v/>
      </c>
    </row>
    <row r="6675" spans="18:23">
      <c r="R6675" s="127">
        <f t="shared" si="283"/>
        <v>0</v>
      </c>
      <c r="T6675" s="128">
        <f t="shared" si="284"/>
        <v>0</v>
      </c>
      <c r="U6675" s="129" t="str">
        <f>IFERROR(IF(#REF!="S",VLOOKUP('Raw Data'!A6675,References!#REF!,2,FALSE),(VLOOKUP($S6675,References!$B$3:$C$7,2,FALSE))),"")</f>
        <v/>
      </c>
      <c r="W6675" s="74" t="str">
        <f>IFERROR(VLOOKUP($O6675,'Customer List'!$A$1:$J$488,10,FALSE),"")</f>
        <v/>
      </c>
    </row>
    <row r="6676" spans="18:23">
      <c r="R6676" s="127">
        <f t="shared" si="283"/>
        <v>0</v>
      </c>
      <c r="T6676" s="128">
        <f t="shared" si="284"/>
        <v>0</v>
      </c>
      <c r="U6676" s="129" t="str">
        <f>IFERROR(IF(#REF!="S",VLOOKUP('Raw Data'!A6676,References!#REF!,2,FALSE),(VLOOKUP($S6676,References!$B$3:$C$7,2,FALSE))),"")</f>
        <v/>
      </c>
      <c r="W6676" s="74" t="str">
        <f>IFERROR(VLOOKUP($O6676,'Customer List'!$A$1:$J$488,10,FALSE),"")</f>
        <v/>
      </c>
    </row>
    <row r="6677" spans="18:23">
      <c r="R6677" s="127">
        <f t="shared" si="283"/>
        <v>0</v>
      </c>
      <c r="T6677" s="128">
        <f t="shared" si="284"/>
        <v>0</v>
      </c>
      <c r="U6677" s="129" t="str">
        <f>IFERROR(IF(#REF!="S",VLOOKUP('Raw Data'!A6677,References!#REF!,2,FALSE),(VLOOKUP($S6677,References!$B$3:$C$7,2,FALSE))),"")</f>
        <v/>
      </c>
      <c r="W6677" s="74" t="str">
        <f>IFERROR(VLOOKUP($O6677,'Customer List'!$A$1:$J$488,10,FALSE),"")</f>
        <v/>
      </c>
    </row>
    <row r="6678" spans="18:23">
      <c r="R6678" s="127">
        <f t="shared" si="283"/>
        <v>0</v>
      </c>
      <c r="T6678" s="128">
        <f t="shared" si="284"/>
        <v>0</v>
      </c>
      <c r="U6678" s="129" t="str">
        <f>IFERROR(IF(#REF!="S",VLOOKUP('Raw Data'!A6678,References!#REF!,2,FALSE),(VLOOKUP($S6678,References!$B$3:$C$7,2,FALSE))),"")</f>
        <v/>
      </c>
      <c r="W6678" s="74" t="str">
        <f>IFERROR(VLOOKUP($O6678,'Customer List'!$A$1:$J$488,10,FALSE),"")</f>
        <v/>
      </c>
    </row>
    <row r="6679" spans="18:23">
      <c r="R6679" s="127">
        <f t="shared" si="283"/>
        <v>0</v>
      </c>
      <c r="T6679" s="128">
        <f t="shared" si="284"/>
        <v>0</v>
      </c>
      <c r="U6679" s="129" t="str">
        <f>IFERROR(IF(#REF!="S",VLOOKUP('Raw Data'!A6679,References!#REF!,2,FALSE),(VLOOKUP($S6679,References!$B$3:$C$7,2,FALSE))),"")</f>
        <v/>
      </c>
      <c r="W6679" s="74" t="str">
        <f>IFERROR(VLOOKUP($O6679,'Customer List'!$A$1:$J$488,10,FALSE),"")</f>
        <v/>
      </c>
    </row>
    <row r="6680" spans="18:23">
      <c r="R6680" s="127">
        <f t="shared" si="283"/>
        <v>0</v>
      </c>
      <c r="T6680" s="128">
        <f t="shared" si="284"/>
        <v>0</v>
      </c>
      <c r="U6680" s="129" t="str">
        <f>IFERROR(IF(#REF!="S",VLOOKUP('Raw Data'!A6680,References!#REF!,2,FALSE),(VLOOKUP($S6680,References!$B$3:$C$7,2,FALSE))),"")</f>
        <v/>
      </c>
      <c r="W6680" s="74" t="str">
        <f>IFERROR(VLOOKUP($O6680,'Customer List'!$A$1:$J$488,10,FALSE),"")</f>
        <v/>
      </c>
    </row>
    <row r="6681" spans="18:23">
      <c r="R6681" s="127">
        <f t="shared" si="283"/>
        <v>0</v>
      </c>
      <c r="T6681" s="128">
        <f t="shared" si="284"/>
        <v>0</v>
      </c>
      <c r="U6681" s="129" t="str">
        <f>IFERROR(IF(#REF!="S",VLOOKUP('Raw Data'!A6681,References!#REF!,2,FALSE),(VLOOKUP($S6681,References!$B$3:$C$7,2,FALSE))),"")</f>
        <v/>
      </c>
      <c r="W6681" s="74" t="str">
        <f>IFERROR(VLOOKUP($O6681,'Customer List'!$A$1:$J$488,10,FALSE),"")</f>
        <v/>
      </c>
    </row>
    <row r="6682" spans="18:23">
      <c r="R6682" s="127">
        <f t="shared" si="283"/>
        <v>0</v>
      </c>
      <c r="T6682" s="128">
        <f t="shared" si="284"/>
        <v>0</v>
      </c>
      <c r="U6682" s="129" t="str">
        <f>IFERROR(IF(#REF!="S",VLOOKUP('Raw Data'!A6682,References!#REF!,2,FALSE),(VLOOKUP($S6682,References!$B$3:$C$7,2,FALSE))),"")</f>
        <v/>
      </c>
      <c r="W6682" s="74" t="str">
        <f>IFERROR(VLOOKUP($O6682,'Customer List'!$A$1:$J$488,10,FALSE),"")</f>
        <v/>
      </c>
    </row>
    <row r="6683" spans="18:23">
      <c r="R6683" s="127">
        <f t="shared" si="283"/>
        <v>0</v>
      </c>
      <c r="T6683" s="128">
        <f t="shared" si="284"/>
        <v>0</v>
      </c>
      <c r="U6683" s="129" t="str">
        <f>IFERROR(IF(#REF!="S",VLOOKUP('Raw Data'!A6683,References!#REF!,2,FALSE),(VLOOKUP($S6683,References!$B$3:$C$7,2,FALSE))),"")</f>
        <v/>
      </c>
      <c r="W6683" s="74" t="str">
        <f>IFERROR(VLOOKUP($O6683,'Customer List'!$A$1:$J$488,10,FALSE),"")</f>
        <v/>
      </c>
    </row>
    <row r="6684" spans="18:23">
      <c r="R6684" s="127">
        <f t="shared" si="283"/>
        <v>0</v>
      </c>
      <c r="T6684" s="128">
        <f t="shared" si="284"/>
        <v>0</v>
      </c>
      <c r="U6684" s="129" t="str">
        <f>IFERROR(IF(#REF!="S",VLOOKUP('Raw Data'!A6684,References!#REF!,2,FALSE),(VLOOKUP($S6684,References!$B$3:$C$7,2,FALSE))),"")</f>
        <v/>
      </c>
      <c r="W6684" s="74" t="str">
        <f>IFERROR(VLOOKUP($O6684,'Customer List'!$A$1:$J$488,10,FALSE),"")</f>
        <v/>
      </c>
    </row>
    <row r="6685" spans="18:23">
      <c r="R6685" s="127">
        <f t="shared" si="283"/>
        <v>0</v>
      </c>
      <c r="T6685" s="128">
        <f t="shared" si="284"/>
        <v>0</v>
      </c>
      <c r="U6685" s="129" t="str">
        <f>IFERROR(IF(#REF!="S",VLOOKUP('Raw Data'!A6685,References!#REF!,2,FALSE),(VLOOKUP($S6685,References!$B$3:$C$7,2,FALSE))),"")</f>
        <v/>
      </c>
      <c r="W6685" s="74" t="str">
        <f>IFERROR(VLOOKUP($O6685,'Customer List'!$A$1:$J$488,10,FALSE),"")</f>
        <v/>
      </c>
    </row>
    <row r="6686" spans="18:23">
      <c r="R6686" s="127">
        <f t="shared" si="283"/>
        <v>0</v>
      </c>
      <c r="T6686" s="128">
        <f t="shared" si="284"/>
        <v>0</v>
      </c>
      <c r="U6686" s="129" t="str">
        <f>IFERROR(IF(#REF!="S",VLOOKUP('Raw Data'!A6686,References!#REF!,2,FALSE),(VLOOKUP($S6686,References!$B$3:$C$7,2,FALSE))),"")</f>
        <v/>
      </c>
      <c r="W6686" s="74" t="str">
        <f>IFERROR(VLOOKUP($O6686,'Customer List'!$A$1:$J$488,10,FALSE),"")</f>
        <v/>
      </c>
    </row>
    <row r="6687" spans="18:23">
      <c r="R6687" s="127">
        <f t="shared" si="283"/>
        <v>0</v>
      </c>
      <c r="T6687" s="128">
        <f t="shared" si="284"/>
        <v>0</v>
      </c>
      <c r="U6687" s="129" t="str">
        <f>IFERROR(IF(#REF!="S",VLOOKUP('Raw Data'!A6687,References!#REF!,2,FALSE),(VLOOKUP($S6687,References!$B$3:$C$7,2,FALSE))),"")</f>
        <v/>
      </c>
      <c r="W6687" s="74" t="str">
        <f>IFERROR(VLOOKUP($O6687,'Customer List'!$A$1:$J$488,10,FALSE),"")</f>
        <v/>
      </c>
    </row>
    <row r="6688" spans="18:23">
      <c r="R6688" s="127">
        <f t="shared" si="283"/>
        <v>0</v>
      </c>
      <c r="T6688" s="128">
        <f t="shared" si="284"/>
        <v>0</v>
      </c>
      <c r="U6688" s="129" t="str">
        <f>IFERROR(IF(#REF!="S",VLOOKUP('Raw Data'!A6688,References!#REF!,2,FALSE),(VLOOKUP($S6688,References!$B$3:$C$7,2,FALSE))),"")</f>
        <v/>
      </c>
      <c r="W6688" s="74" t="str">
        <f>IFERROR(VLOOKUP($O6688,'Customer List'!$A$1:$J$488,10,FALSE),"")</f>
        <v/>
      </c>
    </row>
    <row r="6689" spans="18:23">
      <c r="R6689" s="127">
        <f t="shared" si="283"/>
        <v>0</v>
      </c>
      <c r="T6689" s="128">
        <f t="shared" si="284"/>
        <v>0</v>
      </c>
      <c r="U6689" s="129" t="str">
        <f>IFERROR(IF(#REF!="S",VLOOKUP('Raw Data'!A6689,References!#REF!,2,FALSE),(VLOOKUP($S6689,References!$B$3:$C$7,2,FALSE))),"")</f>
        <v/>
      </c>
      <c r="W6689" s="74" t="str">
        <f>IFERROR(VLOOKUP($O6689,'Customer List'!$A$1:$J$488,10,FALSE),"")</f>
        <v/>
      </c>
    </row>
    <row r="6690" spans="18:23">
      <c r="R6690" s="127">
        <f t="shared" ref="R6690:R6753" si="285">L6690-K6690</f>
        <v>0</v>
      </c>
      <c r="T6690" s="128">
        <f t="shared" si="284"/>
        <v>0</v>
      </c>
      <c r="U6690" s="129" t="str">
        <f>IFERROR(IF(#REF!="S",VLOOKUP('Raw Data'!A6690,References!#REF!,2,FALSE),(VLOOKUP($S6690,References!$B$3:$C$7,2,FALSE))),"")</f>
        <v/>
      </c>
      <c r="W6690" s="74" t="str">
        <f>IFERROR(VLOOKUP($O6690,'Customer List'!$A$1:$J$488,10,FALSE),"")</f>
        <v/>
      </c>
    </row>
    <row r="6691" spans="18:23">
      <c r="R6691" s="127">
        <f t="shared" si="285"/>
        <v>0</v>
      </c>
      <c r="T6691" s="128">
        <f t="shared" si="284"/>
        <v>0</v>
      </c>
      <c r="U6691" s="129" t="str">
        <f>IFERROR(IF(#REF!="S",VLOOKUP('Raw Data'!A6691,References!#REF!,2,FALSE),(VLOOKUP($S6691,References!$B$3:$C$7,2,FALSE))),"")</f>
        <v/>
      </c>
      <c r="W6691" s="74" t="str">
        <f>IFERROR(VLOOKUP($O6691,'Customer List'!$A$1:$J$488,10,FALSE),"")</f>
        <v/>
      </c>
    </row>
    <row r="6692" spans="18:23">
      <c r="R6692" s="127">
        <f t="shared" si="285"/>
        <v>0</v>
      </c>
      <c r="T6692" s="128">
        <f t="shared" si="284"/>
        <v>0</v>
      </c>
      <c r="U6692" s="129" t="str">
        <f>IFERROR(IF(#REF!="S",VLOOKUP('Raw Data'!A6692,References!#REF!,2,FALSE),(VLOOKUP($S6692,References!$B$3:$C$7,2,FALSE))),"")</f>
        <v/>
      </c>
      <c r="W6692" s="74" t="str">
        <f>IFERROR(VLOOKUP($O6692,'Customer List'!$A$1:$J$488,10,FALSE),"")</f>
        <v/>
      </c>
    </row>
    <row r="6693" spans="18:23">
      <c r="R6693" s="127">
        <f t="shared" si="285"/>
        <v>0</v>
      </c>
      <c r="T6693" s="128">
        <f t="shared" si="284"/>
        <v>0</v>
      </c>
      <c r="U6693" s="129" t="str">
        <f>IFERROR(IF(#REF!="S",VLOOKUP('Raw Data'!A6693,References!#REF!,2,FALSE),(VLOOKUP($S6693,References!$B$3:$C$7,2,FALSE))),"")</f>
        <v/>
      </c>
      <c r="W6693" s="74" t="str">
        <f>IFERROR(VLOOKUP($O6693,'Customer List'!$A$1:$J$488,10,FALSE),"")</f>
        <v/>
      </c>
    </row>
    <row r="6694" spans="18:23">
      <c r="R6694" s="127">
        <f t="shared" si="285"/>
        <v>0</v>
      </c>
      <c r="T6694" s="128">
        <f t="shared" si="284"/>
        <v>0</v>
      </c>
      <c r="U6694" s="129" t="str">
        <f>IFERROR(IF(#REF!="S",VLOOKUP('Raw Data'!A6694,References!#REF!,2,FALSE),(VLOOKUP($S6694,References!$B$3:$C$7,2,FALSE))),"")</f>
        <v/>
      </c>
      <c r="W6694" s="74" t="str">
        <f>IFERROR(VLOOKUP($O6694,'Customer List'!$A$1:$J$488,10,FALSE),"")</f>
        <v/>
      </c>
    </row>
    <row r="6695" spans="18:23">
      <c r="R6695" s="127">
        <f t="shared" si="285"/>
        <v>0</v>
      </c>
      <c r="T6695" s="128">
        <f t="shared" si="284"/>
        <v>0</v>
      </c>
      <c r="U6695" s="129" t="str">
        <f>IFERROR(IF(#REF!="S",VLOOKUP('Raw Data'!A6695,References!#REF!,2,FALSE),(VLOOKUP($S6695,References!$B$3:$C$7,2,FALSE))),"")</f>
        <v/>
      </c>
      <c r="W6695" s="74" t="str">
        <f>IFERROR(VLOOKUP($O6695,'Customer List'!$A$1:$J$488,10,FALSE),"")</f>
        <v/>
      </c>
    </row>
    <row r="6696" spans="18:23">
      <c r="R6696" s="127">
        <f t="shared" si="285"/>
        <v>0</v>
      </c>
      <c r="T6696" s="128">
        <f t="shared" si="284"/>
        <v>0</v>
      </c>
      <c r="U6696" s="129" t="str">
        <f>IFERROR(IF(#REF!="S",VLOOKUP('Raw Data'!A6696,References!#REF!,2,FALSE),(VLOOKUP($S6696,References!$B$3:$C$7,2,FALSE))),"")</f>
        <v/>
      </c>
      <c r="W6696" s="74" t="str">
        <f>IFERROR(VLOOKUP($O6696,'Customer List'!$A$1:$J$488,10,FALSE),"")</f>
        <v/>
      </c>
    </row>
    <row r="6697" spans="18:23">
      <c r="R6697" s="127">
        <f t="shared" si="285"/>
        <v>0</v>
      </c>
      <c r="T6697" s="128">
        <f t="shared" si="284"/>
        <v>0</v>
      </c>
      <c r="U6697" s="129" t="str">
        <f>IFERROR(IF(#REF!="S",VLOOKUP('Raw Data'!A6697,References!#REF!,2,FALSE),(VLOOKUP($S6697,References!$B$3:$C$7,2,FALSE))),"")</f>
        <v/>
      </c>
      <c r="W6697" s="74" t="str">
        <f>IFERROR(VLOOKUP($O6697,'Customer List'!$A$1:$J$488,10,FALSE),"")</f>
        <v/>
      </c>
    </row>
    <row r="6698" spans="18:23">
      <c r="R6698" s="127">
        <f t="shared" si="285"/>
        <v>0</v>
      </c>
      <c r="T6698" s="128">
        <f t="shared" si="284"/>
        <v>0</v>
      </c>
      <c r="U6698" s="129" t="str">
        <f>IFERROR(IF(#REF!="S",VLOOKUP('Raw Data'!A6698,References!#REF!,2,FALSE),(VLOOKUP($S6698,References!$B$3:$C$7,2,FALSE))),"")</f>
        <v/>
      </c>
      <c r="W6698" s="74" t="str">
        <f>IFERROR(VLOOKUP($O6698,'Customer List'!$A$1:$J$488,10,FALSE),"")</f>
        <v/>
      </c>
    </row>
    <row r="6699" spans="18:23">
      <c r="R6699" s="127">
        <f t="shared" si="285"/>
        <v>0</v>
      </c>
      <c r="T6699" s="128">
        <f t="shared" si="284"/>
        <v>0</v>
      </c>
      <c r="U6699" s="129" t="str">
        <f>IFERROR(IF(#REF!="S",VLOOKUP('Raw Data'!A6699,References!#REF!,2,FALSE),(VLOOKUP($S6699,References!$B$3:$C$7,2,FALSE))),"")</f>
        <v/>
      </c>
      <c r="W6699" s="74" t="str">
        <f>IFERROR(VLOOKUP($O6699,'Customer List'!$A$1:$J$488,10,FALSE),"")</f>
        <v/>
      </c>
    </row>
    <row r="6700" spans="18:23">
      <c r="R6700" s="127">
        <f t="shared" si="285"/>
        <v>0</v>
      </c>
      <c r="T6700" s="128">
        <f t="shared" si="284"/>
        <v>0</v>
      </c>
      <c r="U6700" s="129" t="str">
        <f>IFERROR(IF(#REF!="S",VLOOKUP('Raw Data'!A6700,References!#REF!,2,FALSE),(VLOOKUP($S6700,References!$B$3:$C$7,2,FALSE))),"")</f>
        <v/>
      </c>
      <c r="W6700" s="74" t="str">
        <f>IFERROR(VLOOKUP($O6700,'Customer List'!$A$1:$J$488,10,FALSE),"")</f>
        <v/>
      </c>
    </row>
    <row r="6701" spans="18:23">
      <c r="R6701" s="127">
        <f t="shared" si="285"/>
        <v>0</v>
      </c>
      <c r="T6701" s="128">
        <f t="shared" si="284"/>
        <v>0</v>
      </c>
      <c r="U6701" s="129" t="str">
        <f>IFERROR(IF(#REF!="S",VLOOKUP('Raw Data'!A6701,References!#REF!,2,FALSE),(VLOOKUP($S6701,References!$B$3:$C$7,2,FALSE))),"")</f>
        <v/>
      </c>
      <c r="W6701" s="74" t="str">
        <f>IFERROR(VLOOKUP($O6701,'Customer List'!$A$1:$J$488,10,FALSE),"")</f>
        <v/>
      </c>
    </row>
    <row r="6702" spans="18:23">
      <c r="R6702" s="127">
        <f t="shared" si="285"/>
        <v>0</v>
      </c>
      <c r="T6702" s="128">
        <f t="shared" si="284"/>
        <v>0</v>
      </c>
      <c r="U6702" s="129" t="str">
        <f>IFERROR(IF(#REF!="S",VLOOKUP('Raw Data'!A6702,References!#REF!,2,FALSE),(VLOOKUP($S6702,References!$B$3:$C$7,2,FALSE))),"")</f>
        <v/>
      </c>
      <c r="W6702" s="74" t="str">
        <f>IFERROR(VLOOKUP($O6702,'Customer List'!$A$1:$J$488,10,FALSE),"")</f>
        <v/>
      </c>
    </row>
    <row r="6703" spans="18:23">
      <c r="R6703" s="127">
        <f t="shared" si="285"/>
        <v>0</v>
      </c>
      <c r="T6703" s="128">
        <f t="shared" si="284"/>
        <v>0</v>
      </c>
      <c r="U6703" s="129" t="str">
        <f>IFERROR(IF(#REF!="S",VLOOKUP('Raw Data'!A6703,References!#REF!,2,FALSE),(VLOOKUP($S6703,References!$B$3:$C$7,2,FALSE))),"")</f>
        <v/>
      </c>
      <c r="W6703" s="74" t="str">
        <f>IFERROR(VLOOKUP($O6703,'Customer List'!$A$1:$J$488,10,FALSE),"")</f>
        <v/>
      </c>
    </row>
    <row r="6704" spans="18:23">
      <c r="R6704" s="127">
        <f t="shared" si="285"/>
        <v>0</v>
      </c>
      <c r="T6704" s="128">
        <f t="shared" si="284"/>
        <v>0</v>
      </c>
      <c r="U6704" s="129" t="str">
        <f>IFERROR(IF(#REF!="S",VLOOKUP('Raw Data'!A6704,References!#REF!,2,FALSE),(VLOOKUP($S6704,References!$B$3:$C$7,2,FALSE))),"")</f>
        <v/>
      </c>
      <c r="W6704" s="74" t="str">
        <f>IFERROR(VLOOKUP($O6704,'Customer List'!$A$1:$J$488,10,FALSE),"")</f>
        <v/>
      </c>
    </row>
    <row r="6705" spans="18:23">
      <c r="R6705" s="127">
        <f t="shared" si="285"/>
        <v>0</v>
      </c>
      <c r="T6705" s="128">
        <f t="shared" si="284"/>
        <v>0</v>
      </c>
      <c r="U6705" s="129" t="str">
        <f>IFERROR(IF(#REF!="S",VLOOKUP('Raw Data'!A6705,References!#REF!,2,FALSE),(VLOOKUP($S6705,References!$B$3:$C$7,2,FALSE))),"")</f>
        <v/>
      </c>
      <c r="W6705" s="74" t="str">
        <f>IFERROR(VLOOKUP($O6705,'Customer List'!$A$1:$J$488,10,FALSE),"")</f>
        <v/>
      </c>
    </row>
    <row r="6706" spans="18:23">
      <c r="R6706" s="127">
        <f t="shared" si="285"/>
        <v>0</v>
      </c>
      <c r="T6706" s="128">
        <f t="shared" si="284"/>
        <v>0</v>
      </c>
      <c r="U6706" s="129" t="str">
        <f>IFERROR(IF(#REF!="S",VLOOKUP('Raw Data'!A6706,References!#REF!,2,FALSE),(VLOOKUP($S6706,References!$B$3:$C$7,2,FALSE))),"")</f>
        <v/>
      </c>
      <c r="W6706" s="74" t="str">
        <f>IFERROR(VLOOKUP($O6706,'Customer List'!$A$1:$J$488,10,FALSE),"")</f>
        <v/>
      </c>
    </row>
    <row r="6707" spans="18:23">
      <c r="R6707" s="127">
        <f t="shared" si="285"/>
        <v>0</v>
      </c>
      <c r="T6707" s="128">
        <f t="shared" si="284"/>
        <v>0</v>
      </c>
      <c r="U6707" s="129" t="str">
        <f>IFERROR(IF(#REF!="S",VLOOKUP('Raw Data'!A6707,References!#REF!,2,FALSE),(VLOOKUP($S6707,References!$B$3:$C$7,2,FALSE))),"")</f>
        <v/>
      </c>
      <c r="W6707" s="74" t="str">
        <f>IFERROR(VLOOKUP($O6707,'Customer List'!$A$1:$J$488,10,FALSE),"")</f>
        <v/>
      </c>
    </row>
    <row r="6708" spans="18:23">
      <c r="R6708" s="127">
        <f t="shared" si="285"/>
        <v>0</v>
      </c>
      <c r="T6708" s="128">
        <f t="shared" si="284"/>
        <v>0</v>
      </c>
      <c r="U6708" s="129" t="str">
        <f>IFERROR(IF(#REF!="S",VLOOKUP('Raw Data'!A6708,References!#REF!,2,FALSE),(VLOOKUP($S6708,References!$B$3:$C$7,2,FALSE))),"")</f>
        <v/>
      </c>
      <c r="W6708" s="74" t="str">
        <f>IFERROR(VLOOKUP($O6708,'Customer List'!$A$1:$J$488,10,FALSE),"")</f>
        <v/>
      </c>
    </row>
    <row r="6709" spans="18:23">
      <c r="R6709" s="127">
        <f t="shared" si="285"/>
        <v>0</v>
      </c>
      <c r="T6709" s="128">
        <f t="shared" si="284"/>
        <v>0</v>
      </c>
      <c r="U6709" s="129" t="str">
        <f>IFERROR(IF(#REF!="S",VLOOKUP('Raw Data'!A6709,References!#REF!,2,FALSE),(VLOOKUP($S6709,References!$B$3:$C$7,2,FALSE))),"")</f>
        <v/>
      </c>
      <c r="W6709" s="74" t="str">
        <f>IFERROR(VLOOKUP($O6709,'Customer List'!$A$1:$J$488,10,FALSE),"")</f>
        <v/>
      </c>
    </row>
    <row r="6710" spans="18:23">
      <c r="R6710" s="127">
        <f t="shared" si="285"/>
        <v>0</v>
      </c>
      <c r="T6710" s="128">
        <f t="shared" si="284"/>
        <v>0</v>
      </c>
      <c r="U6710" s="129" t="str">
        <f>IFERROR(IF(#REF!="S",VLOOKUP('Raw Data'!A6710,References!#REF!,2,FALSE),(VLOOKUP($S6710,References!$B$3:$C$7,2,FALSE))),"")</f>
        <v/>
      </c>
      <c r="W6710" s="74" t="str">
        <f>IFERROR(VLOOKUP($O6710,'Customer List'!$A$1:$J$488,10,FALSE),"")</f>
        <v/>
      </c>
    </row>
    <row r="6711" spans="18:23">
      <c r="R6711" s="127">
        <f t="shared" si="285"/>
        <v>0</v>
      </c>
      <c r="T6711" s="128">
        <f t="shared" si="284"/>
        <v>0</v>
      </c>
      <c r="U6711" s="129" t="str">
        <f>IFERROR(IF(#REF!="S",VLOOKUP('Raw Data'!A6711,References!#REF!,2,FALSE),(VLOOKUP($S6711,References!$B$3:$C$7,2,FALSE))),"")</f>
        <v/>
      </c>
      <c r="W6711" s="74" t="str">
        <f>IFERROR(VLOOKUP($O6711,'Customer List'!$A$1:$J$488,10,FALSE),"")</f>
        <v/>
      </c>
    </row>
    <row r="6712" spans="18:23">
      <c r="R6712" s="127">
        <f t="shared" si="285"/>
        <v>0</v>
      </c>
      <c r="T6712" s="128">
        <f t="shared" si="284"/>
        <v>0</v>
      </c>
      <c r="U6712" s="129" t="str">
        <f>IFERROR(IF(#REF!="S",VLOOKUP('Raw Data'!A6712,References!#REF!,2,FALSE),(VLOOKUP($S6712,References!$B$3:$C$7,2,FALSE))),"")</f>
        <v/>
      </c>
      <c r="W6712" s="74" t="str">
        <f>IFERROR(VLOOKUP($O6712,'Customer List'!$A$1:$J$488,10,FALSE),"")</f>
        <v/>
      </c>
    </row>
    <row r="6713" spans="18:23">
      <c r="R6713" s="127">
        <f t="shared" si="285"/>
        <v>0</v>
      </c>
      <c r="T6713" s="128">
        <f t="shared" si="284"/>
        <v>0</v>
      </c>
      <c r="U6713" s="129" t="str">
        <f>IFERROR(IF(#REF!="S",VLOOKUP('Raw Data'!A6713,References!#REF!,2,FALSE),(VLOOKUP($S6713,References!$B$3:$C$7,2,FALSE))),"")</f>
        <v/>
      </c>
      <c r="W6713" s="74" t="str">
        <f>IFERROR(VLOOKUP($O6713,'Customer List'!$A$1:$J$488,10,FALSE),"")</f>
        <v/>
      </c>
    </row>
    <row r="6714" spans="18:23">
      <c r="R6714" s="127">
        <f t="shared" si="285"/>
        <v>0</v>
      </c>
      <c r="T6714" s="128">
        <f t="shared" si="284"/>
        <v>0</v>
      </c>
      <c r="U6714" s="129" t="str">
        <f>IFERROR(IF(#REF!="S",VLOOKUP('Raw Data'!A6714,References!#REF!,2,FALSE),(VLOOKUP($S6714,References!$B$3:$C$7,2,FALSE))),"")</f>
        <v/>
      </c>
      <c r="W6714" s="74" t="str">
        <f>IFERROR(VLOOKUP($O6714,'Customer List'!$A$1:$J$488,10,FALSE),"")</f>
        <v/>
      </c>
    </row>
    <row r="6715" spans="18:23">
      <c r="R6715" s="127">
        <f t="shared" si="285"/>
        <v>0</v>
      </c>
      <c r="T6715" s="128">
        <f t="shared" si="284"/>
        <v>0</v>
      </c>
      <c r="U6715" s="129" t="str">
        <f>IFERROR(IF(#REF!="S",VLOOKUP('Raw Data'!A6715,References!#REF!,2,FALSE),(VLOOKUP($S6715,References!$B$3:$C$7,2,FALSE))),"")</f>
        <v/>
      </c>
      <c r="W6715" s="74" t="str">
        <f>IFERROR(VLOOKUP($O6715,'Customer List'!$A$1:$J$488,10,FALSE),"")</f>
        <v/>
      </c>
    </row>
    <row r="6716" spans="18:23">
      <c r="R6716" s="127">
        <f t="shared" si="285"/>
        <v>0</v>
      </c>
      <c r="T6716" s="128">
        <f t="shared" si="284"/>
        <v>0</v>
      </c>
      <c r="U6716" s="129" t="str">
        <f>IFERROR(IF(#REF!="S",VLOOKUP('Raw Data'!A6716,References!#REF!,2,FALSE),(VLOOKUP($S6716,References!$B$3:$C$7,2,FALSE))),"")</f>
        <v/>
      </c>
      <c r="W6716" s="74" t="str">
        <f>IFERROR(VLOOKUP($O6716,'Customer List'!$A$1:$J$488,10,FALSE),"")</f>
        <v/>
      </c>
    </row>
    <row r="6717" spans="18:23">
      <c r="R6717" s="127">
        <f t="shared" si="285"/>
        <v>0</v>
      </c>
      <c r="T6717" s="128">
        <f t="shared" si="284"/>
        <v>0</v>
      </c>
      <c r="U6717" s="129" t="str">
        <f>IFERROR(IF(#REF!="S",VLOOKUP('Raw Data'!A6717,References!#REF!,2,FALSE),(VLOOKUP($S6717,References!$B$3:$C$7,2,FALSE))),"")</f>
        <v/>
      </c>
      <c r="W6717" s="74" t="str">
        <f>IFERROR(VLOOKUP($O6717,'Customer List'!$A$1:$J$488,10,FALSE),"")</f>
        <v/>
      </c>
    </row>
    <row r="6718" spans="18:23">
      <c r="R6718" s="127">
        <f t="shared" si="285"/>
        <v>0</v>
      </c>
      <c r="T6718" s="128">
        <f t="shared" si="284"/>
        <v>0</v>
      </c>
      <c r="U6718" s="129" t="str">
        <f>IFERROR(IF(#REF!="S",VLOOKUP('Raw Data'!A6718,References!#REF!,2,FALSE),(VLOOKUP($S6718,References!$B$3:$C$7,2,FALSE))),"")</f>
        <v/>
      </c>
      <c r="W6718" s="74" t="str">
        <f>IFERROR(VLOOKUP($O6718,'Customer List'!$A$1:$J$488,10,FALSE),"")</f>
        <v/>
      </c>
    </row>
    <row r="6719" spans="18:23">
      <c r="R6719" s="127">
        <f t="shared" si="285"/>
        <v>0</v>
      </c>
      <c r="T6719" s="128">
        <f t="shared" si="284"/>
        <v>0</v>
      </c>
      <c r="U6719" s="129" t="str">
        <f>IFERROR(IF(#REF!="S",VLOOKUP('Raw Data'!A6719,References!#REF!,2,FALSE),(VLOOKUP($S6719,References!$B$3:$C$7,2,FALSE))),"")</f>
        <v/>
      </c>
      <c r="W6719" s="74" t="str">
        <f>IFERROR(VLOOKUP($O6719,'Customer List'!$A$1:$J$488,10,FALSE),"")</f>
        <v/>
      </c>
    </row>
    <row r="6720" spans="18:23">
      <c r="R6720" s="127">
        <f t="shared" si="285"/>
        <v>0</v>
      </c>
      <c r="T6720" s="128">
        <f t="shared" si="284"/>
        <v>0</v>
      </c>
      <c r="U6720" s="129" t="str">
        <f>IFERROR(IF(#REF!="S",VLOOKUP('Raw Data'!A6720,References!#REF!,2,FALSE),(VLOOKUP($S6720,References!$B$3:$C$7,2,FALSE))),"")</f>
        <v/>
      </c>
      <c r="W6720" s="74" t="str">
        <f>IFERROR(VLOOKUP($O6720,'Customer List'!$A$1:$J$488,10,FALSE),"")</f>
        <v/>
      </c>
    </row>
    <row r="6721" spans="18:23">
      <c r="R6721" s="127">
        <f t="shared" si="285"/>
        <v>0</v>
      </c>
      <c r="T6721" s="128">
        <f t="shared" si="284"/>
        <v>0</v>
      </c>
      <c r="U6721" s="129" t="str">
        <f>IFERROR(IF(#REF!="S",VLOOKUP('Raw Data'!A6721,References!#REF!,2,FALSE),(VLOOKUP($S6721,References!$B$3:$C$7,2,FALSE))),"")</f>
        <v/>
      </c>
      <c r="W6721" s="74" t="str">
        <f>IFERROR(VLOOKUP($O6721,'Customer List'!$A$1:$J$488,10,FALSE),"")</f>
        <v/>
      </c>
    </row>
    <row r="6722" spans="18:23">
      <c r="R6722" s="127">
        <f t="shared" si="285"/>
        <v>0</v>
      </c>
      <c r="T6722" s="128">
        <f t="shared" si="284"/>
        <v>0</v>
      </c>
      <c r="U6722" s="129" t="str">
        <f>IFERROR(IF(#REF!="S",VLOOKUP('Raw Data'!A6722,References!#REF!,2,FALSE),(VLOOKUP($S6722,References!$B$3:$C$7,2,FALSE))),"")</f>
        <v/>
      </c>
      <c r="W6722" s="74" t="str">
        <f>IFERROR(VLOOKUP($O6722,'Customer List'!$A$1:$J$488,10,FALSE),"")</f>
        <v/>
      </c>
    </row>
    <row r="6723" spans="18:23">
      <c r="R6723" s="127">
        <f t="shared" si="285"/>
        <v>0</v>
      </c>
      <c r="T6723" s="128">
        <f t="shared" si="284"/>
        <v>0</v>
      </c>
      <c r="U6723" s="129" t="str">
        <f>IFERROR(IF(#REF!="S",VLOOKUP('Raw Data'!A6723,References!#REF!,2,FALSE),(VLOOKUP($S6723,References!$B$3:$C$7,2,FALSE))),"")</f>
        <v/>
      </c>
      <c r="W6723" s="74" t="str">
        <f>IFERROR(VLOOKUP($O6723,'Customer List'!$A$1:$J$488,10,FALSE),"")</f>
        <v/>
      </c>
    </row>
    <row r="6724" spans="18:23">
      <c r="R6724" s="127">
        <f t="shared" si="285"/>
        <v>0</v>
      </c>
      <c r="T6724" s="128">
        <f t="shared" si="284"/>
        <v>0</v>
      </c>
      <c r="U6724" s="129" t="str">
        <f>IFERROR(IF(#REF!="S",VLOOKUP('Raw Data'!A6724,References!#REF!,2,FALSE),(VLOOKUP($S6724,References!$B$3:$C$7,2,FALSE))),"")</f>
        <v/>
      </c>
      <c r="W6724" s="74" t="str">
        <f>IFERROR(VLOOKUP($O6724,'Customer List'!$A$1:$J$488,10,FALSE),"")</f>
        <v/>
      </c>
    </row>
    <row r="6725" spans="18:23">
      <c r="R6725" s="127">
        <f t="shared" si="285"/>
        <v>0</v>
      </c>
      <c r="T6725" s="128">
        <f t="shared" si="284"/>
        <v>0</v>
      </c>
      <c r="U6725" s="129" t="str">
        <f>IFERROR(IF(#REF!="S",VLOOKUP('Raw Data'!A6725,References!#REF!,2,FALSE),(VLOOKUP($S6725,References!$B$3:$C$7,2,FALSE))),"")</f>
        <v/>
      </c>
      <c r="W6725" s="74" t="str">
        <f>IFERROR(VLOOKUP($O6725,'Customer List'!$A$1:$J$488,10,FALSE),"")</f>
        <v/>
      </c>
    </row>
    <row r="6726" spans="18:23">
      <c r="R6726" s="127">
        <f t="shared" si="285"/>
        <v>0</v>
      </c>
      <c r="T6726" s="128">
        <f t="shared" si="284"/>
        <v>0</v>
      </c>
      <c r="U6726" s="129" t="str">
        <f>IFERROR(IF(#REF!="S",VLOOKUP('Raw Data'!A6726,References!#REF!,2,FALSE),(VLOOKUP($S6726,References!$B$3:$C$7,2,FALSE))),"")</f>
        <v/>
      </c>
      <c r="W6726" s="74" t="str">
        <f>IFERROR(VLOOKUP($O6726,'Customer List'!$A$1:$J$488,10,FALSE),"")</f>
        <v/>
      </c>
    </row>
    <row r="6727" spans="18:23">
      <c r="R6727" s="127">
        <f t="shared" si="285"/>
        <v>0</v>
      </c>
      <c r="T6727" s="128">
        <f t="shared" si="284"/>
        <v>0</v>
      </c>
      <c r="U6727" s="129" t="str">
        <f>IFERROR(IF(#REF!="S",VLOOKUP('Raw Data'!A6727,References!#REF!,2,FALSE),(VLOOKUP($S6727,References!$B$3:$C$7,2,FALSE))),"")</f>
        <v/>
      </c>
      <c r="W6727" s="74" t="str">
        <f>IFERROR(VLOOKUP($O6727,'Customer List'!$A$1:$J$488,10,FALSE),"")</f>
        <v/>
      </c>
    </row>
    <row r="6728" spans="18:23">
      <c r="R6728" s="127">
        <f t="shared" si="285"/>
        <v>0</v>
      </c>
      <c r="T6728" s="128">
        <f t="shared" si="284"/>
        <v>0</v>
      </c>
      <c r="U6728" s="129" t="str">
        <f>IFERROR(IF(#REF!="S",VLOOKUP('Raw Data'!A6728,References!#REF!,2,FALSE),(VLOOKUP($S6728,References!$B$3:$C$7,2,FALSE))),"")</f>
        <v/>
      </c>
      <c r="W6728" s="74" t="str">
        <f>IFERROR(VLOOKUP($O6728,'Customer List'!$A$1:$J$488,10,FALSE),"")</f>
        <v/>
      </c>
    </row>
    <row r="6729" spans="18:23">
      <c r="R6729" s="127">
        <f t="shared" si="285"/>
        <v>0</v>
      </c>
      <c r="T6729" s="128">
        <f t="shared" si="284"/>
        <v>0</v>
      </c>
      <c r="U6729" s="129" t="str">
        <f>IFERROR(IF(#REF!="S",VLOOKUP('Raw Data'!A6729,References!#REF!,2,FALSE),(VLOOKUP($S6729,References!$B$3:$C$7,2,FALSE))),"")</f>
        <v/>
      </c>
      <c r="W6729" s="74" t="str">
        <f>IFERROR(VLOOKUP($O6729,'Customer List'!$A$1:$J$488,10,FALSE),"")</f>
        <v/>
      </c>
    </row>
    <row r="6730" spans="18:23">
      <c r="R6730" s="127">
        <f t="shared" si="285"/>
        <v>0</v>
      </c>
      <c r="T6730" s="128">
        <f t="shared" ref="T6730:T6793" si="286">IF(S6730="50 - Cleaning Fee",1,HOUR($R6730)+MINUTE(R6730)/60)</f>
        <v>0</v>
      </c>
      <c r="U6730" s="129" t="str">
        <f>IFERROR(IF(#REF!="S",VLOOKUP('Raw Data'!A6730,References!#REF!,2,FALSE),(VLOOKUP($S6730,References!$B$3:$C$7,2,FALSE))),"")</f>
        <v/>
      </c>
      <c r="W6730" s="74" t="str">
        <f>IFERROR(VLOOKUP($O6730,'Customer List'!$A$1:$J$488,10,FALSE),"")</f>
        <v/>
      </c>
    </row>
    <row r="6731" spans="18:23">
      <c r="R6731" s="127">
        <f t="shared" si="285"/>
        <v>0</v>
      </c>
      <c r="T6731" s="128">
        <f t="shared" si="286"/>
        <v>0</v>
      </c>
      <c r="U6731" s="129" t="str">
        <f>IFERROR(IF(#REF!="S",VLOOKUP('Raw Data'!A6731,References!#REF!,2,FALSE),(VLOOKUP($S6731,References!$B$3:$C$7,2,FALSE))),"")</f>
        <v/>
      </c>
      <c r="W6731" s="74" t="str">
        <f>IFERROR(VLOOKUP($O6731,'Customer List'!$A$1:$J$488,10,FALSE),"")</f>
        <v/>
      </c>
    </row>
    <row r="6732" spans="18:23">
      <c r="R6732" s="127">
        <f t="shared" si="285"/>
        <v>0</v>
      </c>
      <c r="T6732" s="128">
        <f t="shared" si="286"/>
        <v>0</v>
      </c>
      <c r="U6732" s="129" t="str">
        <f>IFERROR(IF(#REF!="S",VLOOKUP('Raw Data'!A6732,References!#REF!,2,FALSE),(VLOOKUP($S6732,References!$B$3:$C$7,2,FALSE))),"")</f>
        <v/>
      </c>
      <c r="W6732" s="74" t="str">
        <f>IFERROR(VLOOKUP($O6732,'Customer List'!$A$1:$J$488,10,FALSE),"")</f>
        <v/>
      </c>
    </row>
    <row r="6733" spans="18:23">
      <c r="R6733" s="127">
        <f t="shared" si="285"/>
        <v>0</v>
      </c>
      <c r="T6733" s="128">
        <f t="shared" si="286"/>
        <v>0</v>
      </c>
      <c r="U6733" s="129" t="str">
        <f>IFERROR(IF(#REF!="S",VLOOKUP('Raw Data'!A6733,References!#REF!,2,FALSE),(VLOOKUP($S6733,References!$B$3:$C$7,2,FALSE))),"")</f>
        <v/>
      </c>
      <c r="W6733" s="74" t="str">
        <f>IFERROR(VLOOKUP($O6733,'Customer List'!$A$1:$J$488,10,FALSE),"")</f>
        <v/>
      </c>
    </row>
    <row r="6734" spans="18:23">
      <c r="R6734" s="127">
        <f t="shared" si="285"/>
        <v>0</v>
      </c>
      <c r="T6734" s="128">
        <f t="shared" si="286"/>
        <v>0</v>
      </c>
      <c r="U6734" s="129" t="str">
        <f>IFERROR(IF(#REF!="S",VLOOKUP('Raw Data'!A6734,References!#REF!,2,FALSE),(VLOOKUP($S6734,References!$B$3:$C$7,2,FALSE))),"")</f>
        <v/>
      </c>
      <c r="W6734" s="74" t="str">
        <f>IFERROR(VLOOKUP($O6734,'Customer List'!$A$1:$J$488,10,FALSE),"")</f>
        <v/>
      </c>
    </row>
    <row r="6735" spans="18:23">
      <c r="R6735" s="127">
        <f t="shared" si="285"/>
        <v>0</v>
      </c>
      <c r="T6735" s="128">
        <f t="shared" si="286"/>
        <v>0</v>
      </c>
      <c r="U6735" s="129" t="str">
        <f>IFERROR(IF(#REF!="S",VLOOKUP('Raw Data'!A6735,References!#REF!,2,FALSE),(VLOOKUP($S6735,References!$B$3:$C$7,2,FALSE))),"")</f>
        <v/>
      </c>
      <c r="W6735" s="74" t="str">
        <f>IFERROR(VLOOKUP($O6735,'Customer List'!$A$1:$J$488,10,FALSE),"")</f>
        <v/>
      </c>
    </row>
    <row r="6736" spans="18:23">
      <c r="R6736" s="127">
        <f t="shared" si="285"/>
        <v>0</v>
      </c>
      <c r="T6736" s="128">
        <f t="shared" si="286"/>
        <v>0</v>
      </c>
      <c r="U6736" s="129" t="str">
        <f>IFERROR(IF(#REF!="S",VLOOKUP('Raw Data'!A6736,References!#REF!,2,FALSE),(VLOOKUP($S6736,References!$B$3:$C$7,2,FALSE))),"")</f>
        <v/>
      </c>
      <c r="W6736" s="74" t="str">
        <f>IFERROR(VLOOKUP($O6736,'Customer List'!$A$1:$J$488,10,FALSE),"")</f>
        <v/>
      </c>
    </row>
    <row r="6737" spans="18:23">
      <c r="R6737" s="127">
        <f t="shared" si="285"/>
        <v>0</v>
      </c>
      <c r="T6737" s="128">
        <f t="shared" si="286"/>
        <v>0</v>
      </c>
      <c r="U6737" s="129" t="str">
        <f>IFERROR(IF(#REF!="S",VLOOKUP('Raw Data'!A6737,References!#REF!,2,FALSE),(VLOOKUP($S6737,References!$B$3:$C$7,2,FALSE))),"")</f>
        <v/>
      </c>
      <c r="W6737" s="74" t="str">
        <f>IFERROR(VLOOKUP($O6737,'Customer List'!$A$1:$J$488,10,FALSE),"")</f>
        <v/>
      </c>
    </row>
    <row r="6738" spans="18:23">
      <c r="R6738" s="127">
        <f t="shared" si="285"/>
        <v>0</v>
      </c>
      <c r="T6738" s="128">
        <f t="shared" si="286"/>
        <v>0</v>
      </c>
      <c r="U6738" s="129" t="str">
        <f>IFERROR(IF(#REF!="S",VLOOKUP('Raw Data'!A6738,References!#REF!,2,FALSE),(VLOOKUP($S6738,References!$B$3:$C$7,2,FALSE))),"")</f>
        <v/>
      </c>
      <c r="W6738" s="74" t="str">
        <f>IFERROR(VLOOKUP($O6738,'Customer List'!$A$1:$J$488,10,FALSE),"")</f>
        <v/>
      </c>
    </row>
    <row r="6739" spans="18:23">
      <c r="R6739" s="127">
        <f t="shared" si="285"/>
        <v>0</v>
      </c>
      <c r="T6739" s="128">
        <f t="shared" si="286"/>
        <v>0</v>
      </c>
      <c r="U6739" s="129" t="str">
        <f>IFERROR(IF(#REF!="S",VLOOKUP('Raw Data'!A6739,References!#REF!,2,FALSE),(VLOOKUP($S6739,References!$B$3:$C$7,2,FALSE))),"")</f>
        <v/>
      </c>
      <c r="W6739" s="74" t="str">
        <f>IFERROR(VLOOKUP($O6739,'Customer List'!$A$1:$J$488,10,FALSE),"")</f>
        <v/>
      </c>
    </row>
    <row r="6740" spans="18:23">
      <c r="R6740" s="127">
        <f t="shared" si="285"/>
        <v>0</v>
      </c>
      <c r="T6740" s="128">
        <f t="shared" si="286"/>
        <v>0</v>
      </c>
      <c r="U6740" s="129" t="str">
        <f>IFERROR(IF(#REF!="S",VLOOKUP('Raw Data'!A6740,References!#REF!,2,FALSE),(VLOOKUP($S6740,References!$B$3:$C$7,2,FALSE))),"")</f>
        <v/>
      </c>
      <c r="W6740" s="74" t="str">
        <f>IFERROR(VLOOKUP($O6740,'Customer List'!$A$1:$J$488,10,FALSE),"")</f>
        <v/>
      </c>
    </row>
    <row r="6741" spans="18:23">
      <c r="R6741" s="127">
        <f t="shared" si="285"/>
        <v>0</v>
      </c>
      <c r="T6741" s="128">
        <f t="shared" si="286"/>
        <v>0</v>
      </c>
      <c r="U6741" s="129" t="str">
        <f>IFERROR(IF(#REF!="S",VLOOKUP('Raw Data'!A6741,References!#REF!,2,FALSE),(VLOOKUP($S6741,References!$B$3:$C$7,2,FALSE))),"")</f>
        <v/>
      </c>
      <c r="W6741" s="74" t="str">
        <f>IFERROR(VLOOKUP($O6741,'Customer List'!$A$1:$J$488,10,FALSE),"")</f>
        <v/>
      </c>
    </row>
    <row r="6742" spans="18:23">
      <c r="R6742" s="127">
        <f t="shared" si="285"/>
        <v>0</v>
      </c>
      <c r="T6742" s="128">
        <f t="shared" si="286"/>
        <v>0</v>
      </c>
      <c r="U6742" s="129" t="str">
        <f>IFERROR(IF(#REF!="S",VLOOKUP('Raw Data'!A6742,References!#REF!,2,FALSE),(VLOOKUP($S6742,References!$B$3:$C$7,2,FALSE))),"")</f>
        <v/>
      </c>
      <c r="W6742" s="74" t="str">
        <f>IFERROR(VLOOKUP($O6742,'Customer List'!$A$1:$J$488,10,FALSE),"")</f>
        <v/>
      </c>
    </row>
    <row r="6743" spans="18:23">
      <c r="R6743" s="127">
        <f t="shared" si="285"/>
        <v>0</v>
      </c>
      <c r="T6743" s="128">
        <f t="shared" si="286"/>
        <v>0</v>
      </c>
      <c r="U6743" s="129" t="str">
        <f>IFERROR(IF(#REF!="S",VLOOKUP('Raw Data'!A6743,References!#REF!,2,FALSE),(VLOOKUP($S6743,References!$B$3:$C$7,2,FALSE))),"")</f>
        <v/>
      </c>
      <c r="W6743" s="74" t="str">
        <f>IFERROR(VLOOKUP($O6743,'Customer List'!$A$1:$J$488,10,FALSE),"")</f>
        <v/>
      </c>
    </row>
    <row r="6744" spans="18:23">
      <c r="R6744" s="127">
        <f t="shared" si="285"/>
        <v>0</v>
      </c>
      <c r="T6744" s="128">
        <f t="shared" si="286"/>
        <v>0</v>
      </c>
      <c r="U6744" s="129" t="str">
        <f>IFERROR(IF(#REF!="S",VLOOKUP('Raw Data'!A6744,References!#REF!,2,FALSE),(VLOOKUP($S6744,References!$B$3:$C$7,2,FALSE))),"")</f>
        <v/>
      </c>
      <c r="W6744" s="74" t="str">
        <f>IFERROR(VLOOKUP($O6744,'Customer List'!$A$1:$J$488,10,FALSE),"")</f>
        <v/>
      </c>
    </row>
    <row r="6745" spans="18:23">
      <c r="R6745" s="127">
        <f t="shared" si="285"/>
        <v>0</v>
      </c>
      <c r="T6745" s="128">
        <f t="shared" si="286"/>
        <v>0</v>
      </c>
      <c r="U6745" s="129" t="str">
        <f>IFERROR(IF(#REF!="S",VLOOKUP('Raw Data'!A6745,References!#REF!,2,FALSE),(VLOOKUP($S6745,References!$B$3:$C$7,2,FALSE))),"")</f>
        <v/>
      </c>
      <c r="W6745" s="74" t="str">
        <f>IFERROR(VLOOKUP($O6745,'Customer List'!$A$1:$J$488,10,FALSE),"")</f>
        <v/>
      </c>
    </row>
    <row r="6746" spans="18:23">
      <c r="R6746" s="127">
        <f t="shared" si="285"/>
        <v>0</v>
      </c>
      <c r="T6746" s="128">
        <f t="shared" si="286"/>
        <v>0</v>
      </c>
      <c r="U6746" s="129" t="str">
        <f>IFERROR(IF(#REF!="S",VLOOKUP('Raw Data'!A6746,References!#REF!,2,FALSE),(VLOOKUP($S6746,References!$B$3:$C$7,2,FALSE))),"")</f>
        <v/>
      </c>
      <c r="W6746" s="74" t="str">
        <f>IFERROR(VLOOKUP($O6746,'Customer List'!$A$1:$J$488,10,FALSE),"")</f>
        <v/>
      </c>
    </row>
    <row r="6747" spans="18:23">
      <c r="R6747" s="127">
        <f t="shared" si="285"/>
        <v>0</v>
      </c>
      <c r="T6747" s="128">
        <f t="shared" si="286"/>
        <v>0</v>
      </c>
      <c r="U6747" s="129" t="str">
        <f>IFERROR(IF(#REF!="S",VLOOKUP('Raw Data'!A6747,References!#REF!,2,FALSE),(VLOOKUP($S6747,References!$B$3:$C$7,2,FALSE))),"")</f>
        <v/>
      </c>
      <c r="W6747" s="74" t="str">
        <f>IFERROR(VLOOKUP($O6747,'Customer List'!$A$1:$J$488,10,FALSE),"")</f>
        <v/>
      </c>
    </row>
    <row r="6748" spans="18:23">
      <c r="R6748" s="127">
        <f t="shared" si="285"/>
        <v>0</v>
      </c>
      <c r="T6748" s="128">
        <f t="shared" si="286"/>
        <v>0</v>
      </c>
      <c r="U6748" s="129" t="str">
        <f>IFERROR(IF(#REF!="S",VLOOKUP('Raw Data'!A6748,References!#REF!,2,FALSE),(VLOOKUP($S6748,References!$B$3:$C$7,2,FALSE))),"")</f>
        <v/>
      </c>
      <c r="W6748" s="74" t="str">
        <f>IFERROR(VLOOKUP($O6748,'Customer List'!$A$1:$J$488,10,FALSE),"")</f>
        <v/>
      </c>
    </row>
    <row r="6749" spans="18:23">
      <c r="R6749" s="127">
        <f t="shared" si="285"/>
        <v>0</v>
      </c>
      <c r="T6749" s="128">
        <f t="shared" si="286"/>
        <v>0</v>
      </c>
      <c r="U6749" s="129" t="str">
        <f>IFERROR(IF(#REF!="S",VLOOKUP('Raw Data'!A6749,References!#REF!,2,FALSE),(VLOOKUP($S6749,References!$B$3:$C$7,2,FALSE))),"")</f>
        <v/>
      </c>
      <c r="W6749" s="74" t="str">
        <f>IFERROR(VLOOKUP($O6749,'Customer List'!$A$1:$J$488,10,FALSE),"")</f>
        <v/>
      </c>
    </row>
    <row r="6750" spans="18:23">
      <c r="R6750" s="127">
        <f t="shared" si="285"/>
        <v>0</v>
      </c>
      <c r="T6750" s="128">
        <f t="shared" si="286"/>
        <v>0</v>
      </c>
      <c r="U6750" s="129" t="str">
        <f>IFERROR(IF(#REF!="S",VLOOKUP('Raw Data'!A6750,References!#REF!,2,FALSE),(VLOOKUP($S6750,References!$B$3:$C$7,2,FALSE))),"")</f>
        <v/>
      </c>
      <c r="W6750" s="74" t="str">
        <f>IFERROR(VLOOKUP($O6750,'Customer List'!$A$1:$J$488,10,FALSE),"")</f>
        <v/>
      </c>
    </row>
    <row r="6751" spans="18:23">
      <c r="R6751" s="127">
        <f t="shared" si="285"/>
        <v>0</v>
      </c>
      <c r="T6751" s="128">
        <f t="shared" si="286"/>
        <v>0</v>
      </c>
      <c r="U6751" s="129" t="str">
        <f>IFERROR(IF(#REF!="S",VLOOKUP('Raw Data'!A6751,References!#REF!,2,FALSE),(VLOOKUP($S6751,References!$B$3:$C$7,2,FALSE))),"")</f>
        <v/>
      </c>
      <c r="W6751" s="74" t="str">
        <f>IFERROR(VLOOKUP($O6751,'Customer List'!$A$1:$J$488,10,FALSE),"")</f>
        <v/>
      </c>
    </row>
    <row r="6752" spans="18:23">
      <c r="R6752" s="127">
        <f t="shared" si="285"/>
        <v>0</v>
      </c>
      <c r="T6752" s="128">
        <f t="shared" si="286"/>
        <v>0</v>
      </c>
      <c r="U6752" s="129" t="str">
        <f>IFERROR(IF(#REF!="S",VLOOKUP('Raw Data'!A6752,References!#REF!,2,FALSE),(VLOOKUP($S6752,References!$B$3:$C$7,2,FALSE))),"")</f>
        <v/>
      </c>
      <c r="W6752" s="74" t="str">
        <f>IFERROR(VLOOKUP($O6752,'Customer List'!$A$1:$J$488,10,FALSE),"")</f>
        <v/>
      </c>
    </row>
    <row r="6753" spans="18:23">
      <c r="R6753" s="127">
        <f t="shared" si="285"/>
        <v>0</v>
      </c>
      <c r="T6753" s="128">
        <f t="shared" si="286"/>
        <v>0</v>
      </c>
      <c r="U6753" s="129" t="str">
        <f>IFERROR(IF(#REF!="S",VLOOKUP('Raw Data'!A6753,References!#REF!,2,FALSE),(VLOOKUP($S6753,References!$B$3:$C$7,2,FALSE))),"")</f>
        <v/>
      </c>
      <c r="W6753" s="74" t="str">
        <f>IFERROR(VLOOKUP($O6753,'Customer List'!$A$1:$J$488,10,FALSE),"")</f>
        <v/>
      </c>
    </row>
    <row r="6754" spans="18:23">
      <c r="R6754" s="127">
        <f t="shared" ref="R6754:R6817" si="287">L6754-K6754</f>
        <v>0</v>
      </c>
      <c r="T6754" s="128">
        <f t="shared" si="286"/>
        <v>0</v>
      </c>
      <c r="U6754" s="129" t="str">
        <f>IFERROR(IF(#REF!="S",VLOOKUP('Raw Data'!A6754,References!#REF!,2,FALSE),(VLOOKUP($S6754,References!$B$3:$C$7,2,FALSE))),"")</f>
        <v/>
      </c>
      <c r="W6754" s="74" t="str">
        <f>IFERROR(VLOOKUP($O6754,'Customer List'!$A$1:$J$488,10,FALSE),"")</f>
        <v/>
      </c>
    </row>
    <row r="6755" spans="18:23">
      <c r="R6755" s="127">
        <f t="shared" si="287"/>
        <v>0</v>
      </c>
      <c r="T6755" s="128">
        <f t="shared" si="286"/>
        <v>0</v>
      </c>
      <c r="U6755" s="129" t="str">
        <f>IFERROR(IF(#REF!="S",VLOOKUP('Raw Data'!A6755,References!#REF!,2,FALSE),(VLOOKUP($S6755,References!$B$3:$C$7,2,FALSE))),"")</f>
        <v/>
      </c>
      <c r="W6755" s="74" t="str">
        <f>IFERROR(VLOOKUP($O6755,'Customer List'!$A$1:$J$488,10,FALSE),"")</f>
        <v/>
      </c>
    </row>
    <row r="6756" spans="18:23">
      <c r="R6756" s="127">
        <f t="shared" si="287"/>
        <v>0</v>
      </c>
      <c r="T6756" s="128">
        <f t="shared" si="286"/>
        <v>0</v>
      </c>
      <c r="U6756" s="129" t="str">
        <f>IFERROR(IF(#REF!="S",VLOOKUP('Raw Data'!A6756,References!#REF!,2,FALSE),(VLOOKUP($S6756,References!$B$3:$C$7,2,FALSE))),"")</f>
        <v/>
      </c>
      <c r="W6756" s="74" t="str">
        <f>IFERROR(VLOOKUP($O6756,'Customer List'!$A$1:$J$488,10,FALSE),"")</f>
        <v/>
      </c>
    </row>
    <row r="6757" spans="18:23">
      <c r="R6757" s="127">
        <f t="shared" si="287"/>
        <v>0</v>
      </c>
      <c r="T6757" s="128">
        <f t="shared" si="286"/>
        <v>0</v>
      </c>
      <c r="U6757" s="129" t="str">
        <f>IFERROR(IF(#REF!="S",VLOOKUP('Raw Data'!A6757,References!#REF!,2,FALSE),(VLOOKUP($S6757,References!$B$3:$C$7,2,FALSE))),"")</f>
        <v/>
      </c>
      <c r="W6757" s="74" t="str">
        <f>IFERROR(VLOOKUP($O6757,'Customer List'!$A$1:$J$488,10,FALSE),"")</f>
        <v/>
      </c>
    </row>
    <row r="6758" spans="18:23">
      <c r="R6758" s="127">
        <f t="shared" si="287"/>
        <v>0</v>
      </c>
      <c r="T6758" s="128">
        <f t="shared" si="286"/>
        <v>0</v>
      </c>
      <c r="U6758" s="129" t="str">
        <f>IFERROR(IF(#REF!="S",VLOOKUP('Raw Data'!A6758,References!#REF!,2,FALSE),(VLOOKUP($S6758,References!$B$3:$C$7,2,FALSE))),"")</f>
        <v/>
      </c>
      <c r="W6758" s="74" t="str">
        <f>IFERROR(VLOOKUP($O6758,'Customer List'!$A$1:$J$488,10,FALSE),"")</f>
        <v/>
      </c>
    </row>
    <row r="6759" spans="18:23">
      <c r="R6759" s="127">
        <f t="shared" si="287"/>
        <v>0</v>
      </c>
      <c r="T6759" s="128">
        <f t="shared" si="286"/>
        <v>0</v>
      </c>
      <c r="U6759" s="129" t="str">
        <f>IFERROR(IF(#REF!="S",VLOOKUP('Raw Data'!A6759,References!#REF!,2,FALSE),(VLOOKUP($S6759,References!$B$3:$C$7,2,FALSE))),"")</f>
        <v/>
      </c>
      <c r="W6759" s="74" t="str">
        <f>IFERROR(VLOOKUP($O6759,'Customer List'!$A$1:$J$488,10,FALSE),"")</f>
        <v/>
      </c>
    </row>
    <row r="6760" spans="18:23">
      <c r="R6760" s="127">
        <f t="shared" si="287"/>
        <v>0</v>
      </c>
      <c r="T6760" s="128">
        <f t="shared" si="286"/>
        <v>0</v>
      </c>
      <c r="U6760" s="129" t="str">
        <f>IFERROR(IF(#REF!="S",VLOOKUP('Raw Data'!A6760,References!#REF!,2,FALSE),(VLOOKUP($S6760,References!$B$3:$C$7,2,FALSE))),"")</f>
        <v/>
      </c>
      <c r="W6760" s="74" t="str">
        <f>IFERROR(VLOOKUP($O6760,'Customer List'!$A$1:$J$488,10,FALSE),"")</f>
        <v/>
      </c>
    </row>
    <row r="6761" spans="18:23">
      <c r="R6761" s="127">
        <f t="shared" si="287"/>
        <v>0</v>
      </c>
      <c r="T6761" s="128">
        <f t="shared" si="286"/>
        <v>0</v>
      </c>
      <c r="U6761" s="129" t="str">
        <f>IFERROR(IF(#REF!="S",VLOOKUP('Raw Data'!A6761,References!#REF!,2,FALSE),(VLOOKUP($S6761,References!$B$3:$C$7,2,FALSE))),"")</f>
        <v/>
      </c>
      <c r="W6761" s="74" t="str">
        <f>IFERROR(VLOOKUP($O6761,'Customer List'!$A$1:$J$488,10,FALSE),"")</f>
        <v/>
      </c>
    </row>
    <row r="6762" spans="18:23">
      <c r="R6762" s="127">
        <f t="shared" si="287"/>
        <v>0</v>
      </c>
      <c r="T6762" s="128">
        <f t="shared" si="286"/>
        <v>0</v>
      </c>
      <c r="U6762" s="129" t="str">
        <f>IFERROR(IF(#REF!="S",VLOOKUP('Raw Data'!A6762,References!#REF!,2,FALSE),(VLOOKUP($S6762,References!$B$3:$C$7,2,FALSE))),"")</f>
        <v/>
      </c>
      <c r="W6762" s="74" t="str">
        <f>IFERROR(VLOOKUP($O6762,'Customer List'!$A$1:$J$488,10,FALSE),"")</f>
        <v/>
      </c>
    </row>
    <row r="6763" spans="18:23">
      <c r="R6763" s="127">
        <f t="shared" si="287"/>
        <v>0</v>
      </c>
      <c r="T6763" s="128">
        <f t="shared" si="286"/>
        <v>0</v>
      </c>
      <c r="U6763" s="129" t="str">
        <f>IFERROR(IF(#REF!="S",VLOOKUP('Raw Data'!A6763,References!#REF!,2,FALSE),(VLOOKUP($S6763,References!$B$3:$C$7,2,FALSE))),"")</f>
        <v/>
      </c>
      <c r="W6763" s="74" t="str">
        <f>IFERROR(VLOOKUP($O6763,'Customer List'!$A$1:$J$488,10,FALSE),"")</f>
        <v/>
      </c>
    </row>
    <row r="6764" spans="18:23">
      <c r="R6764" s="127">
        <f t="shared" si="287"/>
        <v>0</v>
      </c>
      <c r="T6764" s="128">
        <f t="shared" si="286"/>
        <v>0</v>
      </c>
      <c r="U6764" s="129" t="str">
        <f>IFERROR(IF(#REF!="S",VLOOKUP('Raw Data'!A6764,References!#REF!,2,FALSE),(VLOOKUP($S6764,References!$B$3:$C$7,2,FALSE))),"")</f>
        <v/>
      </c>
      <c r="W6764" s="74" t="str">
        <f>IFERROR(VLOOKUP($O6764,'Customer List'!$A$1:$J$488,10,FALSE),"")</f>
        <v/>
      </c>
    </row>
    <row r="6765" spans="18:23">
      <c r="R6765" s="127">
        <f t="shared" si="287"/>
        <v>0</v>
      </c>
      <c r="T6765" s="128">
        <f t="shared" si="286"/>
        <v>0</v>
      </c>
      <c r="U6765" s="129" t="str">
        <f>IFERROR(IF(#REF!="S",VLOOKUP('Raw Data'!A6765,References!#REF!,2,FALSE),(VLOOKUP($S6765,References!$B$3:$C$7,2,FALSE))),"")</f>
        <v/>
      </c>
      <c r="W6765" s="74" t="str">
        <f>IFERROR(VLOOKUP($O6765,'Customer List'!$A$1:$J$488,10,FALSE),"")</f>
        <v/>
      </c>
    </row>
    <row r="6766" spans="18:23">
      <c r="R6766" s="127">
        <f t="shared" si="287"/>
        <v>0</v>
      </c>
      <c r="T6766" s="128">
        <f t="shared" si="286"/>
        <v>0</v>
      </c>
      <c r="U6766" s="129" t="str">
        <f>IFERROR(IF(#REF!="S",VLOOKUP('Raw Data'!A6766,References!#REF!,2,FALSE),(VLOOKUP($S6766,References!$B$3:$C$7,2,FALSE))),"")</f>
        <v/>
      </c>
      <c r="W6766" s="74" t="str">
        <f>IFERROR(VLOOKUP($O6766,'Customer List'!$A$1:$J$488,10,FALSE),"")</f>
        <v/>
      </c>
    </row>
    <row r="6767" spans="18:23">
      <c r="R6767" s="127">
        <f t="shared" si="287"/>
        <v>0</v>
      </c>
      <c r="T6767" s="128">
        <f t="shared" si="286"/>
        <v>0</v>
      </c>
      <c r="U6767" s="129" t="str">
        <f>IFERROR(IF(#REF!="S",VLOOKUP('Raw Data'!A6767,References!#REF!,2,FALSE),(VLOOKUP($S6767,References!$B$3:$C$7,2,FALSE))),"")</f>
        <v/>
      </c>
      <c r="W6767" s="74" t="str">
        <f>IFERROR(VLOOKUP($O6767,'Customer List'!$A$1:$J$488,10,FALSE),"")</f>
        <v/>
      </c>
    </row>
    <row r="6768" spans="18:23">
      <c r="R6768" s="127">
        <f t="shared" si="287"/>
        <v>0</v>
      </c>
      <c r="T6768" s="128">
        <f t="shared" si="286"/>
        <v>0</v>
      </c>
      <c r="U6768" s="129" t="str">
        <f>IFERROR(IF(#REF!="S",VLOOKUP('Raw Data'!A6768,References!#REF!,2,FALSE),(VLOOKUP($S6768,References!$B$3:$C$7,2,FALSE))),"")</f>
        <v/>
      </c>
      <c r="W6768" s="74" t="str">
        <f>IFERROR(VLOOKUP($O6768,'Customer List'!$A$1:$J$488,10,FALSE),"")</f>
        <v/>
      </c>
    </row>
    <row r="6769" spans="18:23">
      <c r="R6769" s="127">
        <f t="shared" si="287"/>
        <v>0</v>
      </c>
      <c r="T6769" s="128">
        <f t="shared" si="286"/>
        <v>0</v>
      </c>
      <c r="U6769" s="129" t="str">
        <f>IFERROR(IF(#REF!="S",VLOOKUP('Raw Data'!A6769,References!#REF!,2,FALSE),(VLOOKUP($S6769,References!$B$3:$C$7,2,FALSE))),"")</f>
        <v/>
      </c>
      <c r="W6769" s="74" t="str">
        <f>IFERROR(VLOOKUP($O6769,'Customer List'!$A$1:$J$488,10,FALSE),"")</f>
        <v/>
      </c>
    </row>
    <row r="6770" spans="18:23">
      <c r="R6770" s="127">
        <f t="shared" si="287"/>
        <v>0</v>
      </c>
      <c r="T6770" s="128">
        <f t="shared" si="286"/>
        <v>0</v>
      </c>
      <c r="U6770" s="129" t="str">
        <f>IFERROR(IF(#REF!="S",VLOOKUP('Raw Data'!A6770,References!#REF!,2,FALSE),(VLOOKUP($S6770,References!$B$3:$C$7,2,FALSE))),"")</f>
        <v/>
      </c>
      <c r="W6770" s="74" t="str">
        <f>IFERROR(VLOOKUP($O6770,'Customer List'!$A$1:$J$488,10,FALSE),"")</f>
        <v/>
      </c>
    </row>
    <row r="6771" spans="18:23">
      <c r="R6771" s="127">
        <f t="shared" si="287"/>
        <v>0</v>
      </c>
      <c r="T6771" s="128">
        <f t="shared" si="286"/>
        <v>0</v>
      </c>
      <c r="U6771" s="129" t="str">
        <f>IFERROR(IF(#REF!="S",VLOOKUP('Raw Data'!A6771,References!#REF!,2,FALSE),(VLOOKUP($S6771,References!$B$3:$C$7,2,FALSE))),"")</f>
        <v/>
      </c>
      <c r="W6771" s="74" t="str">
        <f>IFERROR(VLOOKUP($O6771,'Customer List'!$A$1:$J$488,10,FALSE),"")</f>
        <v/>
      </c>
    </row>
    <row r="6772" spans="18:23">
      <c r="R6772" s="127">
        <f t="shared" si="287"/>
        <v>0</v>
      </c>
      <c r="T6772" s="128">
        <f t="shared" si="286"/>
        <v>0</v>
      </c>
      <c r="U6772" s="129" t="str">
        <f>IFERROR(IF(#REF!="S",VLOOKUP('Raw Data'!A6772,References!#REF!,2,FALSE),(VLOOKUP($S6772,References!$B$3:$C$7,2,FALSE))),"")</f>
        <v/>
      </c>
      <c r="W6772" s="74" t="str">
        <f>IFERROR(VLOOKUP($O6772,'Customer List'!$A$1:$J$488,10,FALSE),"")</f>
        <v/>
      </c>
    </row>
    <row r="6773" spans="18:23">
      <c r="R6773" s="127">
        <f t="shared" si="287"/>
        <v>0</v>
      </c>
      <c r="T6773" s="128">
        <f t="shared" si="286"/>
        <v>0</v>
      </c>
      <c r="U6773" s="129" t="str">
        <f>IFERROR(IF(#REF!="S",VLOOKUP('Raw Data'!A6773,References!#REF!,2,FALSE),(VLOOKUP($S6773,References!$B$3:$C$7,2,FALSE))),"")</f>
        <v/>
      </c>
      <c r="W6773" s="74" t="str">
        <f>IFERROR(VLOOKUP($O6773,'Customer List'!$A$1:$J$488,10,FALSE),"")</f>
        <v/>
      </c>
    </row>
    <row r="6774" spans="18:23">
      <c r="R6774" s="127">
        <f t="shared" si="287"/>
        <v>0</v>
      </c>
      <c r="T6774" s="128">
        <f t="shared" si="286"/>
        <v>0</v>
      </c>
      <c r="U6774" s="129" t="str">
        <f>IFERROR(IF(#REF!="S",VLOOKUP('Raw Data'!A6774,References!#REF!,2,FALSE),(VLOOKUP($S6774,References!$B$3:$C$7,2,FALSE))),"")</f>
        <v/>
      </c>
      <c r="W6774" s="74" t="str">
        <f>IFERROR(VLOOKUP($O6774,'Customer List'!$A$1:$J$488,10,FALSE),"")</f>
        <v/>
      </c>
    </row>
    <row r="6775" spans="18:23">
      <c r="R6775" s="127">
        <f t="shared" si="287"/>
        <v>0</v>
      </c>
      <c r="T6775" s="128">
        <f t="shared" si="286"/>
        <v>0</v>
      </c>
      <c r="U6775" s="129" t="str">
        <f>IFERROR(IF(#REF!="S",VLOOKUP('Raw Data'!A6775,References!#REF!,2,FALSE),(VLOOKUP($S6775,References!$B$3:$C$7,2,FALSE))),"")</f>
        <v/>
      </c>
      <c r="W6775" s="74" t="str">
        <f>IFERROR(VLOOKUP($O6775,'Customer List'!$A$1:$J$488,10,FALSE),"")</f>
        <v/>
      </c>
    </row>
    <row r="6776" spans="18:23">
      <c r="R6776" s="127">
        <f t="shared" si="287"/>
        <v>0</v>
      </c>
      <c r="T6776" s="128">
        <f t="shared" si="286"/>
        <v>0</v>
      </c>
      <c r="U6776" s="129" t="str">
        <f>IFERROR(IF(#REF!="S",VLOOKUP('Raw Data'!A6776,References!#REF!,2,FALSE),(VLOOKUP($S6776,References!$B$3:$C$7,2,FALSE))),"")</f>
        <v/>
      </c>
      <c r="W6776" s="74" t="str">
        <f>IFERROR(VLOOKUP($O6776,'Customer List'!$A$1:$J$488,10,FALSE),"")</f>
        <v/>
      </c>
    </row>
    <row r="6777" spans="18:23">
      <c r="R6777" s="127">
        <f t="shared" si="287"/>
        <v>0</v>
      </c>
      <c r="T6777" s="128">
        <f t="shared" si="286"/>
        <v>0</v>
      </c>
      <c r="U6777" s="129" t="str">
        <f>IFERROR(IF(#REF!="S",VLOOKUP('Raw Data'!A6777,References!#REF!,2,FALSE),(VLOOKUP($S6777,References!$B$3:$C$7,2,FALSE))),"")</f>
        <v/>
      </c>
      <c r="W6777" s="74" t="str">
        <f>IFERROR(VLOOKUP($O6777,'Customer List'!$A$1:$J$488,10,FALSE),"")</f>
        <v/>
      </c>
    </row>
    <row r="6778" spans="18:23">
      <c r="R6778" s="127">
        <f t="shared" si="287"/>
        <v>0</v>
      </c>
      <c r="T6778" s="128">
        <f t="shared" si="286"/>
        <v>0</v>
      </c>
      <c r="U6778" s="129" t="str">
        <f>IFERROR(IF(#REF!="S",VLOOKUP('Raw Data'!A6778,References!#REF!,2,FALSE),(VLOOKUP($S6778,References!$B$3:$C$7,2,FALSE))),"")</f>
        <v/>
      </c>
      <c r="W6778" s="74" t="str">
        <f>IFERROR(VLOOKUP($O6778,'Customer List'!$A$1:$J$488,10,FALSE),"")</f>
        <v/>
      </c>
    </row>
    <row r="6779" spans="18:23">
      <c r="R6779" s="127">
        <f t="shared" si="287"/>
        <v>0</v>
      </c>
      <c r="T6779" s="128">
        <f t="shared" si="286"/>
        <v>0</v>
      </c>
      <c r="U6779" s="129" t="str">
        <f>IFERROR(IF(#REF!="S",VLOOKUP('Raw Data'!A6779,References!#REF!,2,FALSE),(VLOOKUP($S6779,References!$B$3:$C$7,2,FALSE))),"")</f>
        <v/>
      </c>
      <c r="W6779" s="74" t="str">
        <f>IFERROR(VLOOKUP($O6779,'Customer List'!$A$1:$J$488,10,FALSE),"")</f>
        <v/>
      </c>
    </row>
    <row r="6780" spans="18:23">
      <c r="R6780" s="127">
        <f t="shared" si="287"/>
        <v>0</v>
      </c>
      <c r="T6780" s="128">
        <f t="shared" si="286"/>
        <v>0</v>
      </c>
      <c r="U6780" s="129" t="str">
        <f>IFERROR(IF(#REF!="S",VLOOKUP('Raw Data'!A6780,References!#REF!,2,FALSE),(VLOOKUP($S6780,References!$B$3:$C$7,2,FALSE))),"")</f>
        <v/>
      </c>
      <c r="W6780" s="74" t="str">
        <f>IFERROR(VLOOKUP($O6780,'Customer List'!$A$1:$J$488,10,FALSE),"")</f>
        <v/>
      </c>
    </row>
    <row r="6781" spans="18:23">
      <c r="R6781" s="127">
        <f t="shared" si="287"/>
        <v>0</v>
      </c>
      <c r="T6781" s="128">
        <f t="shared" si="286"/>
        <v>0</v>
      </c>
      <c r="U6781" s="129" t="str">
        <f>IFERROR(IF(#REF!="S",VLOOKUP('Raw Data'!A6781,References!#REF!,2,FALSE),(VLOOKUP($S6781,References!$B$3:$C$7,2,FALSE))),"")</f>
        <v/>
      </c>
      <c r="W6781" s="74" t="str">
        <f>IFERROR(VLOOKUP($O6781,'Customer List'!$A$1:$J$488,10,FALSE),"")</f>
        <v/>
      </c>
    </row>
    <row r="6782" spans="18:23">
      <c r="R6782" s="127">
        <f t="shared" si="287"/>
        <v>0</v>
      </c>
      <c r="T6782" s="128">
        <f t="shared" si="286"/>
        <v>0</v>
      </c>
      <c r="U6782" s="129" t="str">
        <f>IFERROR(IF(#REF!="S",VLOOKUP('Raw Data'!A6782,References!#REF!,2,FALSE),(VLOOKUP($S6782,References!$B$3:$C$7,2,FALSE))),"")</f>
        <v/>
      </c>
      <c r="W6782" s="74" t="str">
        <f>IFERROR(VLOOKUP($O6782,'Customer List'!$A$1:$J$488,10,FALSE),"")</f>
        <v/>
      </c>
    </row>
    <row r="6783" spans="18:23">
      <c r="R6783" s="127">
        <f t="shared" si="287"/>
        <v>0</v>
      </c>
      <c r="T6783" s="128">
        <f t="shared" si="286"/>
        <v>0</v>
      </c>
      <c r="U6783" s="129" t="str">
        <f>IFERROR(IF(#REF!="S",VLOOKUP('Raw Data'!A6783,References!#REF!,2,FALSE),(VLOOKUP($S6783,References!$B$3:$C$7,2,FALSE))),"")</f>
        <v/>
      </c>
      <c r="W6783" s="74" t="str">
        <f>IFERROR(VLOOKUP($O6783,'Customer List'!$A$1:$J$488,10,FALSE),"")</f>
        <v/>
      </c>
    </row>
    <row r="6784" spans="18:23">
      <c r="R6784" s="127">
        <f t="shared" si="287"/>
        <v>0</v>
      </c>
      <c r="T6784" s="128">
        <f t="shared" si="286"/>
        <v>0</v>
      </c>
      <c r="U6784" s="129" t="str">
        <f>IFERROR(IF(#REF!="S",VLOOKUP('Raw Data'!A6784,References!#REF!,2,FALSE),(VLOOKUP($S6784,References!$B$3:$C$7,2,FALSE))),"")</f>
        <v/>
      </c>
      <c r="W6784" s="74" t="str">
        <f>IFERROR(VLOOKUP($O6784,'Customer List'!$A$1:$J$488,10,FALSE),"")</f>
        <v/>
      </c>
    </row>
    <row r="6785" spans="18:23">
      <c r="R6785" s="127">
        <f t="shared" si="287"/>
        <v>0</v>
      </c>
      <c r="T6785" s="128">
        <f t="shared" si="286"/>
        <v>0</v>
      </c>
      <c r="U6785" s="129" t="str">
        <f>IFERROR(IF(#REF!="S",VLOOKUP('Raw Data'!A6785,References!#REF!,2,FALSE),(VLOOKUP($S6785,References!$B$3:$C$7,2,FALSE))),"")</f>
        <v/>
      </c>
      <c r="W6785" s="74" t="str">
        <f>IFERROR(VLOOKUP($O6785,'Customer List'!$A$1:$J$488,10,FALSE),"")</f>
        <v/>
      </c>
    </row>
    <row r="6786" spans="18:23">
      <c r="R6786" s="127">
        <f t="shared" si="287"/>
        <v>0</v>
      </c>
      <c r="T6786" s="128">
        <f t="shared" si="286"/>
        <v>0</v>
      </c>
      <c r="U6786" s="129" t="str">
        <f>IFERROR(IF(#REF!="S",VLOOKUP('Raw Data'!A6786,References!#REF!,2,FALSE),(VLOOKUP($S6786,References!$B$3:$C$7,2,FALSE))),"")</f>
        <v/>
      </c>
      <c r="W6786" s="74" t="str">
        <f>IFERROR(VLOOKUP($O6786,'Customer List'!$A$1:$J$488,10,FALSE),"")</f>
        <v/>
      </c>
    </row>
    <row r="6787" spans="18:23">
      <c r="R6787" s="127">
        <f t="shared" si="287"/>
        <v>0</v>
      </c>
      <c r="T6787" s="128">
        <f t="shared" si="286"/>
        <v>0</v>
      </c>
      <c r="U6787" s="129" t="str">
        <f>IFERROR(IF(#REF!="S",VLOOKUP('Raw Data'!A6787,References!#REF!,2,FALSE),(VLOOKUP($S6787,References!$B$3:$C$7,2,FALSE))),"")</f>
        <v/>
      </c>
      <c r="W6787" s="74" t="str">
        <f>IFERROR(VLOOKUP($O6787,'Customer List'!$A$1:$J$488,10,FALSE),"")</f>
        <v/>
      </c>
    </row>
    <row r="6788" spans="18:23">
      <c r="R6788" s="127">
        <f t="shared" si="287"/>
        <v>0</v>
      </c>
      <c r="T6788" s="128">
        <f t="shared" si="286"/>
        <v>0</v>
      </c>
      <c r="U6788" s="129" t="str">
        <f>IFERROR(IF(#REF!="S",VLOOKUP('Raw Data'!A6788,References!#REF!,2,FALSE),(VLOOKUP($S6788,References!$B$3:$C$7,2,FALSE))),"")</f>
        <v/>
      </c>
      <c r="W6788" s="74" t="str">
        <f>IFERROR(VLOOKUP($O6788,'Customer List'!$A$1:$J$488,10,FALSE),"")</f>
        <v/>
      </c>
    </row>
    <row r="6789" spans="18:23">
      <c r="R6789" s="127">
        <f t="shared" si="287"/>
        <v>0</v>
      </c>
      <c r="T6789" s="128">
        <f t="shared" si="286"/>
        <v>0</v>
      </c>
      <c r="U6789" s="129" t="str">
        <f>IFERROR(IF(#REF!="S",VLOOKUP('Raw Data'!A6789,References!#REF!,2,FALSE),(VLOOKUP($S6789,References!$B$3:$C$7,2,FALSE))),"")</f>
        <v/>
      </c>
      <c r="W6789" s="74" t="str">
        <f>IFERROR(VLOOKUP($O6789,'Customer List'!$A$1:$J$488,10,FALSE),"")</f>
        <v/>
      </c>
    </row>
    <row r="6790" spans="18:23">
      <c r="R6790" s="127">
        <f t="shared" si="287"/>
        <v>0</v>
      </c>
      <c r="T6790" s="128">
        <f t="shared" si="286"/>
        <v>0</v>
      </c>
      <c r="U6790" s="129" t="str">
        <f>IFERROR(IF(#REF!="S",VLOOKUP('Raw Data'!A6790,References!#REF!,2,FALSE),(VLOOKUP($S6790,References!$B$3:$C$7,2,FALSE))),"")</f>
        <v/>
      </c>
      <c r="W6790" s="74" t="str">
        <f>IFERROR(VLOOKUP($O6790,'Customer List'!$A$1:$J$488,10,FALSE),"")</f>
        <v/>
      </c>
    </row>
    <row r="6791" spans="18:23">
      <c r="R6791" s="127">
        <f t="shared" si="287"/>
        <v>0</v>
      </c>
      <c r="T6791" s="128">
        <f t="shared" si="286"/>
        <v>0</v>
      </c>
      <c r="U6791" s="129" t="str">
        <f>IFERROR(IF(#REF!="S",VLOOKUP('Raw Data'!A6791,References!#REF!,2,FALSE),(VLOOKUP($S6791,References!$B$3:$C$7,2,FALSE))),"")</f>
        <v/>
      </c>
      <c r="W6791" s="74" t="str">
        <f>IFERROR(VLOOKUP($O6791,'Customer List'!$A$1:$J$488,10,FALSE),"")</f>
        <v/>
      </c>
    </row>
    <row r="6792" spans="18:23">
      <c r="R6792" s="127">
        <f t="shared" si="287"/>
        <v>0</v>
      </c>
      <c r="T6792" s="128">
        <f t="shared" si="286"/>
        <v>0</v>
      </c>
      <c r="U6792" s="129" t="str">
        <f>IFERROR(IF(#REF!="S",VLOOKUP('Raw Data'!A6792,References!#REF!,2,FALSE),(VLOOKUP($S6792,References!$B$3:$C$7,2,FALSE))),"")</f>
        <v/>
      </c>
      <c r="W6792" s="74" t="str">
        <f>IFERROR(VLOOKUP($O6792,'Customer List'!$A$1:$J$488,10,FALSE),"")</f>
        <v/>
      </c>
    </row>
    <row r="6793" spans="18:23">
      <c r="R6793" s="127">
        <f t="shared" si="287"/>
        <v>0</v>
      </c>
      <c r="T6793" s="128">
        <f t="shared" si="286"/>
        <v>0</v>
      </c>
      <c r="U6793" s="129" t="str">
        <f>IFERROR(IF(#REF!="S",VLOOKUP('Raw Data'!A6793,References!#REF!,2,FALSE),(VLOOKUP($S6793,References!$B$3:$C$7,2,FALSE))),"")</f>
        <v/>
      </c>
      <c r="W6793" s="74" t="str">
        <f>IFERROR(VLOOKUP($O6793,'Customer List'!$A$1:$J$488,10,FALSE),"")</f>
        <v/>
      </c>
    </row>
    <row r="6794" spans="18:23">
      <c r="R6794" s="127">
        <f t="shared" si="287"/>
        <v>0</v>
      </c>
      <c r="T6794" s="128">
        <f t="shared" ref="T6794:T6857" si="288">IF(S6794="50 - Cleaning Fee",1,HOUR($R6794)+MINUTE(R6794)/60)</f>
        <v>0</v>
      </c>
      <c r="U6794" s="129" t="str">
        <f>IFERROR(IF(#REF!="S",VLOOKUP('Raw Data'!A6794,References!#REF!,2,FALSE),(VLOOKUP($S6794,References!$B$3:$C$7,2,FALSE))),"")</f>
        <v/>
      </c>
      <c r="W6794" s="74" t="str">
        <f>IFERROR(VLOOKUP($O6794,'Customer List'!$A$1:$J$488,10,FALSE),"")</f>
        <v/>
      </c>
    </row>
    <row r="6795" spans="18:23">
      <c r="R6795" s="127">
        <f t="shared" si="287"/>
        <v>0</v>
      </c>
      <c r="T6795" s="128">
        <f t="shared" si="288"/>
        <v>0</v>
      </c>
      <c r="U6795" s="129" t="str">
        <f>IFERROR(IF(#REF!="S",VLOOKUP('Raw Data'!A6795,References!#REF!,2,FALSE),(VLOOKUP($S6795,References!$B$3:$C$7,2,FALSE))),"")</f>
        <v/>
      </c>
      <c r="W6795" s="74" t="str">
        <f>IFERROR(VLOOKUP($O6795,'Customer List'!$A$1:$J$488,10,FALSE),"")</f>
        <v/>
      </c>
    </row>
    <row r="6796" spans="18:23">
      <c r="R6796" s="127">
        <f t="shared" si="287"/>
        <v>0</v>
      </c>
      <c r="T6796" s="128">
        <f t="shared" si="288"/>
        <v>0</v>
      </c>
      <c r="U6796" s="129" t="str">
        <f>IFERROR(IF(#REF!="S",VLOOKUP('Raw Data'!A6796,References!#REF!,2,FALSE),(VLOOKUP($S6796,References!$B$3:$C$7,2,FALSE))),"")</f>
        <v/>
      </c>
      <c r="W6796" s="74" t="str">
        <f>IFERROR(VLOOKUP($O6796,'Customer List'!$A$1:$J$488,10,FALSE),"")</f>
        <v/>
      </c>
    </row>
    <row r="6797" spans="18:23">
      <c r="R6797" s="127">
        <f t="shared" si="287"/>
        <v>0</v>
      </c>
      <c r="T6797" s="128">
        <f t="shared" si="288"/>
        <v>0</v>
      </c>
      <c r="U6797" s="129" t="str">
        <f>IFERROR(IF(#REF!="S",VLOOKUP('Raw Data'!A6797,References!#REF!,2,FALSE),(VLOOKUP($S6797,References!$B$3:$C$7,2,FALSE))),"")</f>
        <v/>
      </c>
      <c r="W6797" s="74" t="str">
        <f>IFERROR(VLOOKUP($O6797,'Customer List'!$A$1:$J$488,10,FALSE),"")</f>
        <v/>
      </c>
    </row>
    <row r="6798" spans="18:23">
      <c r="R6798" s="127">
        <f t="shared" si="287"/>
        <v>0</v>
      </c>
      <c r="T6798" s="128">
        <f t="shared" si="288"/>
        <v>0</v>
      </c>
      <c r="U6798" s="129" t="str">
        <f>IFERROR(IF(#REF!="S",VLOOKUP('Raw Data'!A6798,References!#REF!,2,FALSE),(VLOOKUP($S6798,References!$B$3:$C$7,2,FALSE))),"")</f>
        <v/>
      </c>
      <c r="W6798" s="74" t="str">
        <f>IFERROR(VLOOKUP($O6798,'Customer List'!$A$1:$J$488,10,FALSE),"")</f>
        <v/>
      </c>
    </row>
    <row r="6799" spans="18:23">
      <c r="R6799" s="127">
        <f t="shared" si="287"/>
        <v>0</v>
      </c>
      <c r="T6799" s="128">
        <f t="shared" si="288"/>
        <v>0</v>
      </c>
      <c r="U6799" s="129" t="str">
        <f>IFERROR(IF(#REF!="S",VLOOKUP('Raw Data'!A6799,References!#REF!,2,FALSE),(VLOOKUP($S6799,References!$B$3:$C$7,2,FALSE))),"")</f>
        <v/>
      </c>
      <c r="W6799" s="74" t="str">
        <f>IFERROR(VLOOKUP($O6799,'Customer List'!$A$1:$J$488,10,FALSE),"")</f>
        <v/>
      </c>
    </row>
    <row r="6800" spans="18:23">
      <c r="R6800" s="127">
        <f t="shared" si="287"/>
        <v>0</v>
      </c>
      <c r="T6800" s="128">
        <f t="shared" si="288"/>
        <v>0</v>
      </c>
      <c r="U6800" s="129" t="str">
        <f>IFERROR(IF(#REF!="S",VLOOKUP('Raw Data'!A6800,References!#REF!,2,FALSE),(VLOOKUP($S6800,References!$B$3:$C$7,2,FALSE))),"")</f>
        <v/>
      </c>
      <c r="W6800" s="74" t="str">
        <f>IFERROR(VLOOKUP($O6800,'Customer List'!$A$1:$J$488,10,FALSE),"")</f>
        <v/>
      </c>
    </row>
    <row r="6801" spans="18:23">
      <c r="R6801" s="127">
        <f t="shared" si="287"/>
        <v>0</v>
      </c>
      <c r="T6801" s="128">
        <f t="shared" si="288"/>
        <v>0</v>
      </c>
      <c r="U6801" s="129" t="str">
        <f>IFERROR(IF(#REF!="S",VLOOKUP('Raw Data'!A6801,References!#REF!,2,FALSE),(VLOOKUP($S6801,References!$B$3:$C$7,2,FALSE))),"")</f>
        <v/>
      </c>
      <c r="W6801" s="74" t="str">
        <f>IFERROR(VLOOKUP($O6801,'Customer List'!$A$1:$J$488,10,FALSE),"")</f>
        <v/>
      </c>
    </row>
    <row r="6802" spans="18:23">
      <c r="R6802" s="127">
        <f t="shared" si="287"/>
        <v>0</v>
      </c>
      <c r="T6802" s="128">
        <f t="shared" si="288"/>
        <v>0</v>
      </c>
      <c r="U6802" s="129" t="str">
        <f>IFERROR(IF(#REF!="S",VLOOKUP('Raw Data'!A6802,References!#REF!,2,FALSE),(VLOOKUP($S6802,References!$B$3:$C$7,2,FALSE))),"")</f>
        <v/>
      </c>
      <c r="W6802" s="74" t="str">
        <f>IFERROR(VLOOKUP($O6802,'Customer List'!$A$1:$J$488,10,FALSE),"")</f>
        <v/>
      </c>
    </row>
    <row r="6803" spans="18:23">
      <c r="R6803" s="127">
        <f t="shared" si="287"/>
        <v>0</v>
      </c>
      <c r="T6803" s="128">
        <f t="shared" si="288"/>
        <v>0</v>
      </c>
      <c r="U6803" s="129" t="str">
        <f>IFERROR(IF(#REF!="S",VLOOKUP('Raw Data'!A6803,References!#REF!,2,FALSE),(VLOOKUP($S6803,References!$B$3:$C$7,2,FALSE))),"")</f>
        <v/>
      </c>
      <c r="W6803" s="74" t="str">
        <f>IFERROR(VLOOKUP($O6803,'Customer List'!$A$1:$J$488,10,FALSE),"")</f>
        <v/>
      </c>
    </row>
    <row r="6804" spans="18:23">
      <c r="R6804" s="127">
        <f t="shared" si="287"/>
        <v>0</v>
      </c>
      <c r="T6804" s="128">
        <f t="shared" si="288"/>
        <v>0</v>
      </c>
      <c r="U6804" s="129" t="str">
        <f>IFERROR(IF(#REF!="S",VLOOKUP('Raw Data'!A6804,References!#REF!,2,FALSE),(VLOOKUP($S6804,References!$B$3:$C$7,2,FALSE))),"")</f>
        <v/>
      </c>
      <c r="W6804" s="74" t="str">
        <f>IFERROR(VLOOKUP($O6804,'Customer List'!$A$1:$J$488,10,FALSE),"")</f>
        <v/>
      </c>
    </row>
    <row r="6805" spans="18:23">
      <c r="R6805" s="127">
        <f t="shared" si="287"/>
        <v>0</v>
      </c>
      <c r="T6805" s="128">
        <f t="shared" si="288"/>
        <v>0</v>
      </c>
      <c r="U6805" s="129" t="str">
        <f>IFERROR(IF(#REF!="S",VLOOKUP('Raw Data'!A6805,References!#REF!,2,FALSE),(VLOOKUP($S6805,References!$B$3:$C$7,2,FALSE))),"")</f>
        <v/>
      </c>
      <c r="W6805" s="74" t="str">
        <f>IFERROR(VLOOKUP($O6805,'Customer List'!$A$1:$J$488,10,FALSE),"")</f>
        <v/>
      </c>
    </row>
    <row r="6806" spans="18:23">
      <c r="R6806" s="127">
        <f t="shared" si="287"/>
        <v>0</v>
      </c>
      <c r="T6806" s="128">
        <f t="shared" si="288"/>
        <v>0</v>
      </c>
      <c r="U6806" s="129" t="str">
        <f>IFERROR(IF(#REF!="S",VLOOKUP('Raw Data'!A6806,References!#REF!,2,FALSE),(VLOOKUP($S6806,References!$B$3:$C$7,2,FALSE))),"")</f>
        <v/>
      </c>
      <c r="W6806" s="74" t="str">
        <f>IFERROR(VLOOKUP($O6806,'Customer List'!$A$1:$J$488,10,FALSE),"")</f>
        <v/>
      </c>
    </row>
    <row r="6807" spans="18:23">
      <c r="R6807" s="127">
        <f t="shared" si="287"/>
        <v>0</v>
      </c>
      <c r="T6807" s="128">
        <f t="shared" si="288"/>
        <v>0</v>
      </c>
      <c r="U6807" s="129" t="str">
        <f>IFERROR(IF(#REF!="S",VLOOKUP('Raw Data'!A6807,References!#REF!,2,FALSE),(VLOOKUP($S6807,References!$B$3:$C$7,2,FALSE))),"")</f>
        <v/>
      </c>
      <c r="W6807" s="74" t="str">
        <f>IFERROR(VLOOKUP($O6807,'Customer List'!$A$1:$J$488,10,FALSE),"")</f>
        <v/>
      </c>
    </row>
    <row r="6808" spans="18:23">
      <c r="R6808" s="127">
        <f t="shared" si="287"/>
        <v>0</v>
      </c>
      <c r="T6808" s="128">
        <f t="shared" si="288"/>
        <v>0</v>
      </c>
      <c r="U6808" s="129" t="str">
        <f>IFERROR(IF(#REF!="S",VLOOKUP('Raw Data'!A6808,References!#REF!,2,FALSE),(VLOOKUP($S6808,References!$B$3:$C$7,2,FALSE))),"")</f>
        <v/>
      </c>
      <c r="W6808" s="74" t="str">
        <f>IFERROR(VLOOKUP($O6808,'Customer List'!$A$1:$J$488,10,FALSE),"")</f>
        <v/>
      </c>
    </row>
    <row r="6809" spans="18:23">
      <c r="R6809" s="127">
        <f t="shared" si="287"/>
        <v>0</v>
      </c>
      <c r="T6809" s="128">
        <f t="shared" si="288"/>
        <v>0</v>
      </c>
      <c r="U6809" s="129" t="str">
        <f>IFERROR(IF(#REF!="S",VLOOKUP('Raw Data'!A6809,References!#REF!,2,FALSE),(VLOOKUP($S6809,References!$B$3:$C$7,2,FALSE))),"")</f>
        <v/>
      </c>
      <c r="W6809" s="74" t="str">
        <f>IFERROR(VLOOKUP($O6809,'Customer List'!$A$1:$J$488,10,FALSE),"")</f>
        <v/>
      </c>
    </row>
    <row r="6810" spans="18:23">
      <c r="R6810" s="127">
        <f t="shared" si="287"/>
        <v>0</v>
      </c>
      <c r="T6810" s="128">
        <f t="shared" si="288"/>
        <v>0</v>
      </c>
      <c r="U6810" s="129" t="str">
        <f>IFERROR(IF(#REF!="S",VLOOKUP('Raw Data'!A6810,References!#REF!,2,FALSE),(VLOOKUP($S6810,References!$B$3:$C$7,2,FALSE))),"")</f>
        <v/>
      </c>
      <c r="W6810" s="74" t="str">
        <f>IFERROR(VLOOKUP($O6810,'Customer List'!$A$1:$J$488,10,FALSE),"")</f>
        <v/>
      </c>
    </row>
    <row r="6811" spans="18:23">
      <c r="R6811" s="127">
        <f t="shared" si="287"/>
        <v>0</v>
      </c>
      <c r="T6811" s="128">
        <f t="shared" si="288"/>
        <v>0</v>
      </c>
      <c r="U6811" s="129" t="str">
        <f>IFERROR(IF(#REF!="S",VLOOKUP('Raw Data'!A6811,References!#REF!,2,FALSE),(VLOOKUP($S6811,References!$B$3:$C$7,2,FALSE))),"")</f>
        <v/>
      </c>
      <c r="W6811" s="74" t="str">
        <f>IFERROR(VLOOKUP($O6811,'Customer List'!$A$1:$J$488,10,FALSE),"")</f>
        <v/>
      </c>
    </row>
    <row r="6812" spans="18:23">
      <c r="R6812" s="127">
        <f t="shared" si="287"/>
        <v>0</v>
      </c>
      <c r="T6812" s="128">
        <f t="shared" si="288"/>
        <v>0</v>
      </c>
      <c r="U6812" s="129" t="str">
        <f>IFERROR(IF(#REF!="S",VLOOKUP('Raw Data'!A6812,References!#REF!,2,FALSE),(VLOOKUP($S6812,References!$B$3:$C$7,2,FALSE))),"")</f>
        <v/>
      </c>
      <c r="W6812" s="74" t="str">
        <f>IFERROR(VLOOKUP($O6812,'Customer List'!$A$1:$J$488,10,FALSE),"")</f>
        <v/>
      </c>
    </row>
    <row r="6813" spans="18:23">
      <c r="R6813" s="127">
        <f t="shared" si="287"/>
        <v>0</v>
      </c>
      <c r="T6813" s="128">
        <f t="shared" si="288"/>
        <v>0</v>
      </c>
      <c r="U6813" s="129" t="str">
        <f>IFERROR(IF(#REF!="S",VLOOKUP('Raw Data'!A6813,References!#REF!,2,FALSE),(VLOOKUP($S6813,References!$B$3:$C$7,2,FALSE))),"")</f>
        <v/>
      </c>
      <c r="W6813" s="74" t="str">
        <f>IFERROR(VLOOKUP($O6813,'Customer List'!$A$1:$J$488,10,FALSE),"")</f>
        <v/>
      </c>
    </row>
    <row r="6814" spans="18:23">
      <c r="R6814" s="127">
        <f t="shared" si="287"/>
        <v>0</v>
      </c>
      <c r="T6814" s="128">
        <f t="shared" si="288"/>
        <v>0</v>
      </c>
      <c r="U6814" s="129" t="str">
        <f>IFERROR(IF(#REF!="S",VLOOKUP('Raw Data'!A6814,References!#REF!,2,FALSE),(VLOOKUP($S6814,References!$B$3:$C$7,2,FALSE))),"")</f>
        <v/>
      </c>
      <c r="W6814" s="74" t="str">
        <f>IFERROR(VLOOKUP($O6814,'Customer List'!$A$1:$J$488,10,FALSE),"")</f>
        <v/>
      </c>
    </row>
    <row r="6815" spans="18:23">
      <c r="R6815" s="127">
        <f t="shared" si="287"/>
        <v>0</v>
      </c>
      <c r="T6815" s="128">
        <f t="shared" si="288"/>
        <v>0</v>
      </c>
      <c r="U6815" s="129" t="str">
        <f>IFERROR(IF(#REF!="S",VLOOKUP('Raw Data'!A6815,References!#REF!,2,FALSE),(VLOOKUP($S6815,References!$B$3:$C$7,2,FALSE))),"")</f>
        <v/>
      </c>
      <c r="W6815" s="74" t="str">
        <f>IFERROR(VLOOKUP($O6815,'Customer List'!$A$1:$J$488,10,FALSE),"")</f>
        <v/>
      </c>
    </row>
    <row r="6816" spans="18:23">
      <c r="R6816" s="127">
        <f t="shared" si="287"/>
        <v>0</v>
      </c>
      <c r="T6816" s="128">
        <f t="shared" si="288"/>
        <v>0</v>
      </c>
      <c r="U6816" s="129" t="str">
        <f>IFERROR(IF(#REF!="S",VLOOKUP('Raw Data'!A6816,References!#REF!,2,FALSE),(VLOOKUP($S6816,References!$B$3:$C$7,2,FALSE))),"")</f>
        <v/>
      </c>
      <c r="W6816" s="74" t="str">
        <f>IFERROR(VLOOKUP($O6816,'Customer List'!$A$1:$J$488,10,FALSE),"")</f>
        <v/>
      </c>
    </row>
    <row r="6817" spans="18:23">
      <c r="R6817" s="127">
        <f t="shared" si="287"/>
        <v>0</v>
      </c>
      <c r="T6817" s="128">
        <f t="shared" si="288"/>
        <v>0</v>
      </c>
      <c r="U6817" s="129" t="str">
        <f>IFERROR(IF(#REF!="S",VLOOKUP('Raw Data'!A6817,References!#REF!,2,FALSE),(VLOOKUP($S6817,References!$B$3:$C$7,2,FALSE))),"")</f>
        <v/>
      </c>
      <c r="W6817" s="74" t="str">
        <f>IFERROR(VLOOKUP($O6817,'Customer List'!$A$1:$J$488,10,FALSE),"")</f>
        <v/>
      </c>
    </row>
    <row r="6818" spans="18:23">
      <c r="R6818" s="127">
        <f t="shared" ref="R6818:R6881" si="289">L6818-K6818</f>
        <v>0</v>
      </c>
      <c r="T6818" s="128">
        <f t="shared" si="288"/>
        <v>0</v>
      </c>
      <c r="U6818" s="129" t="str">
        <f>IFERROR(IF(#REF!="S",VLOOKUP('Raw Data'!A6818,References!#REF!,2,FALSE),(VLOOKUP($S6818,References!$B$3:$C$7,2,FALSE))),"")</f>
        <v/>
      </c>
      <c r="W6818" s="74" t="str">
        <f>IFERROR(VLOOKUP($O6818,'Customer List'!$A$1:$J$488,10,FALSE),"")</f>
        <v/>
      </c>
    </row>
    <row r="6819" spans="18:23">
      <c r="R6819" s="127">
        <f t="shared" si="289"/>
        <v>0</v>
      </c>
      <c r="T6819" s="128">
        <f t="shared" si="288"/>
        <v>0</v>
      </c>
      <c r="U6819" s="129" t="str">
        <f>IFERROR(IF(#REF!="S",VLOOKUP('Raw Data'!A6819,References!#REF!,2,FALSE),(VLOOKUP($S6819,References!$B$3:$C$7,2,FALSE))),"")</f>
        <v/>
      </c>
      <c r="W6819" s="74" t="str">
        <f>IFERROR(VLOOKUP($O6819,'Customer List'!$A$1:$J$488,10,FALSE),"")</f>
        <v/>
      </c>
    </row>
    <row r="6820" spans="18:23">
      <c r="R6820" s="127">
        <f t="shared" si="289"/>
        <v>0</v>
      </c>
      <c r="T6820" s="128">
        <f t="shared" si="288"/>
        <v>0</v>
      </c>
      <c r="U6820" s="129" t="str">
        <f>IFERROR(IF(#REF!="S",VLOOKUP('Raw Data'!A6820,References!#REF!,2,FALSE),(VLOOKUP($S6820,References!$B$3:$C$7,2,FALSE))),"")</f>
        <v/>
      </c>
      <c r="W6820" s="74" t="str">
        <f>IFERROR(VLOOKUP($O6820,'Customer List'!$A$1:$J$488,10,FALSE),"")</f>
        <v/>
      </c>
    </row>
    <row r="6821" spans="18:23">
      <c r="R6821" s="127">
        <f t="shared" si="289"/>
        <v>0</v>
      </c>
      <c r="T6821" s="128">
        <f t="shared" si="288"/>
        <v>0</v>
      </c>
      <c r="U6821" s="129" t="str">
        <f>IFERROR(IF(#REF!="S",VLOOKUP('Raw Data'!A6821,References!#REF!,2,FALSE),(VLOOKUP($S6821,References!$B$3:$C$7,2,FALSE))),"")</f>
        <v/>
      </c>
      <c r="W6821" s="74" t="str">
        <f>IFERROR(VLOOKUP($O6821,'Customer List'!$A$1:$J$488,10,FALSE),"")</f>
        <v/>
      </c>
    </row>
    <row r="6822" spans="18:23">
      <c r="R6822" s="127">
        <f t="shared" si="289"/>
        <v>0</v>
      </c>
      <c r="T6822" s="128">
        <f t="shared" si="288"/>
        <v>0</v>
      </c>
      <c r="U6822" s="129" t="str">
        <f>IFERROR(IF(#REF!="S",VLOOKUP('Raw Data'!A6822,References!#REF!,2,FALSE),(VLOOKUP($S6822,References!$B$3:$C$7,2,FALSE))),"")</f>
        <v/>
      </c>
      <c r="W6822" s="74" t="str">
        <f>IFERROR(VLOOKUP($O6822,'Customer List'!$A$1:$J$488,10,FALSE),"")</f>
        <v/>
      </c>
    </row>
    <row r="6823" spans="18:23">
      <c r="R6823" s="127">
        <f t="shared" si="289"/>
        <v>0</v>
      </c>
      <c r="T6823" s="128">
        <f t="shared" si="288"/>
        <v>0</v>
      </c>
      <c r="U6823" s="129" t="str">
        <f>IFERROR(IF(#REF!="S",VLOOKUP('Raw Data'!A6823,References!#REF!,2,FALSE),(VLOOKUP($S6823,References!$B$3:$C$7,2,FALSE))),"")</f>
        <v/>
      </c>
      <c r="W6823" s="74" t="str">
        <f>IFERROR(VLOOKUP($O6823,'Customer List'!$A$1:$J$488,10,FALSE),"")</f>
        <v/>
      </c>
    </row>
    <row r="6824" spans="18:23">
      <c r="R6824" s="127">
        <f t="shared" si="289"/>
        <v>0</v>
      </c>
      <c r="T6824" s="128">
        <f t="shared" si="288"/>
        <v>0</v>
      </c>
      <c r="U6824" s="129" t="str">
        <f>IFERROR(IF(#REF!="S",VLOOKUP('Raw Data'!A6824,References!#REF!,2,FALSE),(VLOOKUP($S6824,References!$B$3:$C$7,2,FALSE))),"")</f>
        <v/>
      </c>
      <c r="W6824" s="74" t="str">
        <f>IFERROR(VLOOKUP($O6824,'Customer List'!$A$1:$J$488,10,FALSE),"")</f>
        <v/>
      </c>
    </row>
    <row r="6825" spans="18:23">
      <c r="R6825" s="127">
        <f t="shared" si="289"/>
        <v>0</v>
      </c>
      <c r="T6825" s="128">
        <f t="shared" si="288"/>
        <v>0</v>
      </c>
      <c r="U6825" s="129" t="str">
        <f>IFERROR(IF(#REF!="S",VLOOKUP('Raw Data'!A6825,References!#REF!,2,FALSE),(VLOOKUP($S6825,References!$B$3:$C$7,2,FALSE))),"")</f>
        <v/>
      </c>
      <c r="W6825" s="74" t="str">
        <f>IFERROR(VLOOKUP($O6825,'Customer List'!$A$1:$J$488,10,FALSE),"")</f>
        <v/>
      </c>
    </row>
    <row r="6826" spans="18:23">
      <c r="R6826" s="127">
        <f t="shared" si="289"/>
        <v>0</v>
      </c>
      <c r="T6826" s="128">
        <f t="shared" si="288"/>
        <v>0</v>
      </c>
      <c r="U6826" s="129" t="str">
        <f>IFERROR(IF(#REF!="S",VLOOKUP('Raw Data'!A6826,References!#REF!,2,FALSE),(VLOOKUP($S6826,References!$B$3:$C$7,2,FALSE))),"")</f>
        <v/>
      </c>
      <c r="W6826" s="74" t="str">
        <f>IFERROR(VLOOKUP($O6826,'Customer List'!$A$1:$J$488,10,FALSE),"")</f>
        <v/>
      </c>
    </row>
    <row r="6827" spans="18:23">
      <c r="R6827" s="127">
        <f t="shared" si="289"/>
        <v>0</v>
      </c>
      <c r="T6827" s="128">
        <f t="shared" si="288"/>
        <v>0</v>
      </c>
      <c r="U6827" s="129" t="str">
        <f>IFERROR(IF(#REF!="S",VLOOKUP('Raw Data'!A6827,References!#REF!,2,FALSE),(VLOOKUP($S6827,References!$B$3:$C$7,2,FALSE))),"")</f>
        <v/>
      </c>
      <c r="W6827" s="74" t="str">
        <f>IFERROR(VLOOKUP($O6827,'Customer List'!$A$1:$J$488,10,FALSE),"")</f>
        <v/>
      </c>
    </row>
    <row r="6828" spans="18:23">
      <c r="R6828" s="127">
        <f t="shared" si="289"/>
        <v>0</v>
      </c>
      <c r="T6828" s="128">
        <f t="shared" si="288"/>
        <v>0</v>
      </c>
      <c r="U6828" s="129" t="str">
        <f>IFERROR(IF(#REF!="S",VLOOKUP('Raw Data'!A6828,References!#REF!,2,FALSE),(VLOOKUP($S6828,References!$B$3:$C$7,2,FALSE))),"")</f>
        <v/>
      </c>
      <c r="W6828" s="74" t="str">
        <f>IFERROR(VLOOKUP($O6828,'Customer List'!$A$1:$J$488,10,FALSE),"")</f>
        <v/>
      </c>
    </row>
    <row r="6829" spans="18:23">
      <c r="R6829" s="127">
        <f t="shared" si="289"/>
        <v>0</v>
      </c>
      <c r="T6829" s="128">
        <f t="shared" si="288"/>
        <v>0</v>
      </c>
      <c r="U6829" s="129" t="str">
        <f>IFERROR(IF(#REF!="S",VLOOKUP('Raw Data'!A6829,References!#REF!,2,FALSE),(VLOOKUP($S6829,References!$B$3:$C$7,2,FALSE))),"")</f>
        <v/>
      </c>
      <c r="W6829" s="74" t="str">
        <f>IFERROR(VLOOKUP($O6829,'Customer List'!$A$1:$J$488,10,FALSE),"")</f>
        <v/>
      </c>
    </row>
    <row r="6830" spans="18:23">
      <c r="R6830" s="127">
        <f t="shared" si="289"/>
        <v>0</v>
      </c>
      <c r="T6830" s="128">
        <f t="shared" si="288"/>
        <v>0</v>
      </c>
      <c r="U6830" s="129" t="str">
        <f>IFERROR(IF(#REF!="S",VLOOKUP('Raw Data'!A6830,References!#REF!,2,FALSE),(VLOOKUP($S6830,References!$B$3:$C$7,2,FALSE))),"")</f>
        <v/>
      </c>
      <c r="W6830" s="74" t="str">
        <f>IFERROR(VLOOKUP($O6830,'Customer List'!$A$1:$J$488,10,FALSE),"")</f>
        <v/>
      </c>
    </row>
    <row r="6831" spans="18:23">
      <c r="R6831" s="127">
        <f t="shared" si="289"/>
        <v>0</v>
      </c>
      <c r="T6831" s="128">
        <f t="shared" si="288"/>
        <v>0</v>
      </c>
      <c r="U6831" s="129" t="str">
        <f>IFERROR(IF(#REF!="S",VLOOKUP('Raw Data'!A6831,References!#REF!,2,FALSE),(VLOOKUP($S6831,References!$B$3:$C$7,2,FALSE))),"")</f>
        <v/>
      </c>
      <c r="W6831" s="74" t="str">
        <f>IFERROR(VLOOKUP($O6831,'Customer List'!$A$1:$J$488,10,FALSE),"")</f>
        <v/>
      </c>
    </row>
    <row r="6832" spans="18:23">
      <c r="R6832" s="127">
        <f t="shared" si="289"/>
        <v>0</v>
      </c>
      <c r="T6832" s="128">
        <f t="shared" si="288"/>
        <v>0</v>
      </c>
      <c r="U6832" s="129" t="str">
        <f>IFERROR(IF(#REF!="S",VLOOKUP('Raw Data'!A6832,References!#REF!,2,FALSE),(VLOOKUP($S6832,References!$B$3:$C$7,2,FALSE))),"")</f>
        <v/>
      </c>
      <c r="W6832" s="74" t="str">
        <f>IFERROR(VLOOKUP($O6832,'Customer List'!$A$1:$J$488,10,FALSE),"")</f>
        <v/>
      </c>
    </row>
    <row r="6833" spans="18:23">
      <c r="R6833" s="127">
        <f t="shared" si="289"/>
        <v>0</v>
      </c>
      <c r="T6833" s="128">
        <f t="shared" si="288"/>
        <v>0</v>
      </c>
      <c r="U6833" s="129" t="str">
        <f>IFERROR(IF(#REF!="S",VLOOKUP('Raw Data'!A6833,References!#REF!,2,FALSE),(VLOOKUP($S6833,References!$B$3:$C$7,2,FALSE))),"")</f>
        <v/>
      </c>
      <c r="W6833" s="74" t="str">
        <f>IFERROR(VLOOKUP($O6833,'Customer List'!$A$1:$J$488,10,FALSE),"")</f>
        <v/>
      </c>
    </row>
    <row r="6834" spans="18:23">
      <c r="R6834" s="127">
        <f t="shared" si="289"/>
        <v>0</v>
      </c>
      <c r="T6834" s="128">
        <f t="shared" si="288"/>
        <v>0</v>
      </c>
      <c r="U6834" s="129" t="str">
        <f>IFERROR(IF(#REF!="S",VLOOKUP('Raw Data'!A6834,References!#REF!,2,FALSE),(VLOOKUP($S6834,References!$B$3:$C$7,2,FALSE))),"")</f>
        <v/>
      </c>
      <c r="W6834" s="74" t="str">
        <f>IFERROR(VLOOKUP($O6834,'Customer List'!$A$1:$J$488,10,FALSE),"")</f>
        <v/>
      </c>
    </row>
    <row r="6835" spans="18:23">
      <c r="R6835" s="127">
        <f t="shared" si="289"/>
        <v>0</v>
      </c>
      <c r="T6835" s="128">
        <f t="shared" si="288"/>
        <v>0</v>
      </c>
      <c r="U6835" s="129" t="str">
        <f>IFERROR(IF(#REF!="S",VLOOKUP('Raw Data'!A6835,References!#REF!,2,FALSE),(VLOOKUP($S6835,References!$B$3:$C$7,2,FALSE))),"")</f>
        <v/>
      </c>
      <c r="W6835" s="74" t="str">
        <f>IFERROR(VLOOKUP($O6835,'Customer List'!$A$1:$J$488,10,FALSE),"")</f>
        <v/>
      </c>
    </row>
    <row r="6836" spans="18:23">
      <c r="R6836" s="127">
        <f t="shared" si="289"/>
        <v>0</v>
      </c>
      <c r="T6836" s="128">
        <f t="shared" si="288"/>
        <v>0</v>
      </c>
      <c r="U6836" s="129" t="str">
        <f>IFERROR(IF(#REF!="S",VLOOKUP('Raw Data'!A6836,References!#REF!,2,FALSE),(VLOOKUP($S6836,References!$B$3:$C$7,2,FALSE))),"")</f>
        <v/>
      </c>
      <c r="W6836" s="74" t="str">
        <f>IFERROR(VLOOKUP($O6836,'Customer List'!$A$1:$J$488,10,FALSE),"")</f>
        <v/>
      </c>
    </row>
    <row r="6837" spans="18:23">
      <c r="R6837" s="127">
        <f t="shared" si="289"/>
        <v>0</v>
      </c>
      <c r="T6837" s="128">
        <f t="shared" si="288"/>
        <v>0</v>
      </c>
      <c r="U6837" s="129" t="str">
        <f>IFERROR(IF(#REF!="S",VLOOKUP('Raw Data'!A6837,References!#REF!,2,FALSE),(VLOOKUP($S6837,References!$B$3:$C$7,2,FALSE))),"")</f>
        <v/>
      </c>
      <c r="W6837" s="74" t="str">
        <f>IFERROR(VLOOKUP($O6837,'Customer List'!$A$1:$J$488,10,FALSE),"")</f>
        <v/>
      </c>
    </row>
    <row r="6838" spans="18:23">
      <c r="R6838" s="127">
        <f t="shared" si="289"/>
        <v>0</v>
      </c>
      <c r="T6838" s="128">
        <f t="shared" si="288"/>
        <v>0</v>
      </c>
      <c r="U6838" s="129" t="str">
        <f>IFERROR(IF(#REF!="S",VLOOKUP('Raw Data'!A6838,References!#REF!,2,FALSE),(VLOOKUP($S6838,References!$B$3:$C$7,2,FALSE))),"")</f>
        <v/>
      </c>
      <c r="W6838" s="74" t="str">
        <f>IFERROR(VLOOKUP($O6838,'Customer List'!$A$1:$J$488,10,FALSE),"")</f>
        <v/>
      </c>
    </row>
    <row r="6839" spans="18:23">
      <c r="R6839" s="127">
        <f t="shared" si="289"/>
        <v>0</v>
      </c>
      <c r="T6839" s="128">
        <f t="shared" si="288"/>
        <v>0</v>
      </c>
      <c r="U6839" s="129" t="str">
        <f>IFERROR(IF(#REF!="S",VLOOKUP('Raw Data'!A6839,References!#REF!,2,FALSE),(VLOOKUP($S6839,References!$B$3:$C$7,2,FALSE))),"")</f>
        <v/>
      </c>
      <c r="W6839" s="74" t="str">
        <f>IFERROR(VLOOKUP($O6839,'Customer List'!$A$1:$J$488,10,FALSE),"")</f>
        <v/>
      </c>
    </row>
    <row r="6840" spans="18:23">
      <c r="R6840" s="127">
        <f t="shared" si="289"/>
        <v>0</v>
      </c>
      <c r="T6840" s="128">
        <f t="shared" si="288"/>
        <v>0</v>
      </c>
      <c r="U6840" s="129" t="str">
        <f>IFERROR(IF(#REF!="S",VLOOKUP('Raw Data'!A6840,References!#REF!,2,FALSE),(VLOOKUP($S6840,References!$B$3:$C$7,2,FALSE))),"")</f>
        <v/>
      </c>
      <c r="W6840" s="74" t="str">
        <f>IFERROR(VLOOKUP($O6840,'Customer List'!$A$1:$J$488,10,FALSE),"")</f>
        <v/>
      </c>
    </row>
    <row r="6841" spans="18:23">
      <c r="R6841" s="127">
        <f t="shared" si="289"/>
        <v>0</v>
      </c>
      <c r="T6841" s="128">
        <f t="shared" si="288"/>
        <v>0</v>
      </c>
      <c r="U6841" s="129" t="str">
        <f>IFERROR(IF(#REF!="S",VLOOKUP('Raw Data'!A6841,References!#REF!,2,FALSE),(VLOOKUP($S6841,References!$B$3:$C$7,2,FALSE))),"")</f>
        <v/>
      </c>
      <c r="W6841" s="74" t="str">
        <f>IFERROR(VLOOKUP($O6841,'Customer List'!$A$1:$J$488,10,FALSE),"")</f>
        <v/>
      </c>
    </row>
    <row r="6842" spans="18:23">
      <c r="R6842" s="127">
        <f t="shared" si="289"/>
        <v>0</v>
      </c>
      <c r="T6842" s="128">
        <f t="shared" si="288"/>
        <v>0</v>
      </c>
      <c r="U6842" s="129" t="str">
        <f>IFERROR(IF(#REF!="S",VLOOKUP('Raw Data'!A6842,References!#REF!,2,FALSE),(VLOOKUP($S6842,References!$B$3:$C$7,2,FALSE))),"")</f>
        <v/>
      </c>
      <c r="W6842" s="74" t="str">
        <f>IFERROR(VLOOKUP($O6842,'Customer List'!$A$1:$J$488,10,FALSE),"")</f>
        <v/>
      </c>
    </row>
    <row r="6843" spans="18:23">
      <c r="R6843" s="127">
        <f t="shared" si="289"/>
        <v>0</v>
      </c>
      <c r="T6843" s="128">
        <f t="shared" si="288"/>
        <v>0</v>
      </c>
      <c r="U6843" s="129" t="str">
        <f>IFERROR(IF(#REF!="S",VLOOKUP('Raw Data'!A6843,References!#REF!,2,FALSE),(VLOOKUP($S6843,References!$B$3:$C$7,2,FALSE))),"")</f>
        <v/>
      </c>
      <c r="W6843" s="74" t="str">
        <f>IFERROR(VLOOKUP($O6843,'Customer List'!$A$1:$J$488,10,FALSE),"")</f>
        <v/>
      </c>
    </row>
    <row r="6844" spans="18:23">
      <c r="R6844" s="127">
        <f t="shared" si="289"/>
        <v>0</v>
      </c>
      <c r="T6844" s="128">
        <f t="shared" si="288"/>
        <v>0</v>
      </c>
      <c r="U6844" s="129" t="str">
        <f>IFERROR(IF(#REF!="S",VLOOKUP('Raw Data'!A6844,References!#REF!,2,FALSE),(VLOOKUP($S6844,References!$B$3:$C$7,2,FALSE))),"")</f>
        <v/>
      </c>
      <c r="W6844" s="74" t="str">
        <f>IFERROR(VLOOKUP($O6844,'Customer List'!$A$1:$J$488,10,FALSE),"")</f>
        <v/>
      </c>
    </row>
    <row r="6845" spans="18:23">
      <c r="R6845" s="127">
        <f t="shared" si="289"/>
        <v>0</v>
      </c>
      <c r="T6845" s="128">
        <f t="shared" si="288"/>
        <v>0</v>
      </c>
      <c r="U6845" s="129" t="str">
        <f>IFERROR(IF(#REF!="S",VLOOKUP('Raw Data'!A6845,References!#REF!,2,FALSE),(VLOOKUP($S6845,References!$B$3:$C$7,2,FALSE))),"")</f>
        <v/>
      </c>
      <c r="W6845" s="74" t="str">
        <f>IFERROR(VLOOKUP($O6845,'Customer List'!$A$1:$J$488,10,FALSE),"")</f>
        <v/>
      </c>
    </row>
    <row r="6846" spans="18:23">
      <c r="R6846" s="127">
        <f t="shared" si="289"/>
        <v>0</v>
      </c>
      <c r="T6846" s="128">
        <f t="shared" si="288"/>
        <v>0</v>
      </c>
      <c r="U6846" s="129" t="str">
        <f>IFERROR(IF(#REF!="S",VLOOKUP('Raw Data'!A6846,References!#REF!,2,FALSE),(VLOOKUP($S6846,References!$B$3:$C$7,2,FALSE))),"")</f>
        <v/>
      </c>
      <c r="W6846" s="74" t="str">
        <f>IFERROR(VLOOKUP($O6846,'Customer List'!$A$1:$J$488,10,FALSE),"")</f>
        <v/>
      </c>
    </row>
    <row r="6847" spans="18:23">
      <c r="R6847" s="127">
        <f t="shared" si="289"/>
        <v>0</v>
      </c>
      <c r="T6847" s="128">
        <f t="shared" si="288"/>
        <v>0</v>
      </c>
      <c r="U6847" s="129" t="str">
        <f>IFERROR(IF(#REF!="S",VLOOKUP('Raw Data'!A6847,References!#REF!,2,FALSE),(VLOOKUP($S6847,References!$B$3:$C$7,2,FALSE))),"")</f>
        <v/>
      </c>
      <c r="W6847" s="74" t="str">
        <f>IFERROR(VLOOKUP($O6847,'Customer List'!$A$1:$J$488,10,FALSE),"")</f>
        <v/>
      </c>
    </row>
    <row r="6848" spans="18:23">
      <c r="R6848" s="127">
        <f t="shared" si="289"/>
        <v>0</v>
      </c>
      <c r="T6848" s="128">
        <f t="shared" si="288"/>
        <v>0</v>
      </c>
      <c r="U6848" s="129" t="str">
        <f>IFERROR(IF(#REF!="S",VLOOKUP('Raw Data'!A6848,References!#REF!,2,FALSE),(VLOOKUP($S6848,References!$B$3:$C$7,2,FALSE))),"")</f>
        <v/>
      </c>
      <c r="W6848" s="74" t="str">
        <f>IFERROR(VLOOKUP($O6848,'Customer List'!$A$1:$J$488,10,FALSE),"")</f>
        <v/>
      </c>
    </row>
    <row r="6849" spans="18:23">
      <c r="R6849" s="127">
        <f t="shared" si="289"/>
        <v>0</v>
      </c>
      <c r="T6849" s="128">
        <f t="shared" si="288"/>
        <v>0</v>
      </c>
      <c r="U6849" s="129" t="str">
        <f>IFERROR(IF(#REF!="S",VLOOKUP('Raw Data'!A6849,References!#REF!,2,FALSE),(VLOOKUP($S6849,References!$B$3:$C$7,2,FALSE))),"")</f>
        <v/>
      </c>
      <c r="W6849" s="74" t="str">
        <f>IFERROR(VLOOKUP($O6849,'Customer List'!$A$1:$J$488,10,FALSE),"")</f>
        <v/>
      </c>
    </row>
    <row r="6850" spans="18:23">
      <c r="R6850" s="127">
        <f t="shared" si="289"/>
        <v>0</v>
      </c>
      <c r="T6850" s="128">
        <f t="shared" si="288"/>
        <v>0</v>
      </c>
      <c r="U6850" s="129" t="str">
        <f>IFERROR(IF(#REF!="S",VLOOKUP('Raw Data'!A6850,References!#REF!,2,FALSE),(VLOOKUP($S6850,References!$B$3:$C$7,2,FALSE))),"")</f>
        <v/>
      </c>
      <c r="W6850" s="74" t="str">
        <f>IFERROR(VLOOKUP($O6850,'Customer List'!$A$1:$J$488,10,FALSE),"")</f>
        <v/>
      </c>
    </row>
    <row r="6851" spans="18:23">
      <c r="R6851" s="127">
        <f t="shared" si="289"/>
        <v>0</v>
      </c>
      <c r="T6851" s="128">
        <f t="shared" si="288"/>
        <v>0</v>
      </c>
      <c r="U6851" s="129" t="str">
        <f>IFERROR(IF(#REF!="S",VLOOKUP('Raw Data'!A6851,References!#REF!,2,FALSE),(VLOOKUP($S6851,References!$B$3:$C$7,2,FALSE))),"")</f>
        <v/>
      </c>
      <c r="W6851" s="74" t="str">
        <f>IFERROR(VLOOKUP($O6851,'Customer List'!$A$1:$J$488,10,FALSE),"")</f>
        <v/>
      </c>
    </row>
    <row r="6852" spans="18:23">
      <c r="R6852" s="127">
        <f t="shared" si="289"/>
        <v>0</v>
      </c>
      <c r="T6852" s="128">
        <f t="shared" si="288"/>
        <v>0</v>
      </c>
      <c r="U6852" s="129" t="str">
        <f>IFERROR(IF(#REF!="S",VLOOKUP('Raw Data'!A6852,References!#REF!,2,FALSE),(VLOOKUP($S6852,References!$B$3:$C$7,2,FALSE))),"")</f>
        <v/>
      </c>
      <c r="W6852" s="74" t="str">
        <f>IFERROR(VLOOKUP($O6852,'Customer List'!$A$1:$J$488,10,FALSE),"")</f>
        <v/>
      </c>
    </row>
    <row r="6853" spans="18:23">
      <c r="R6853" s="127">
        <f t="shared" si="289"/>
        <v>0</v>
      </c>
      <c r="T6853" s="128">
        <f t="shared" si="288"/>
        <v>0</v>
      </c>
      <c r="U6853" s="129" t="str">
        <f>IFERROR(IF(#REF!="S",VLOOKUP('Raw Data'!A6853,References!#REF!,2,FALSE),(VLOOKUP($S6853,References!$B$3:$C$7,2,FALSE))),"")</f>
        <v/>
      </c>
      <c r="W6853" s="74" t="str">
        <f>IFERROR(VLOOKUP($O6853,'Customer List'!$A$1:$J$488,10,FALSE),"")</f>
        <v/>
      </c>
    </row>
    <row r="6854" spans="18:23">
      <c r="R6854" s="127">
        <f t="shared" si="289"/>
        <v>0</v>
      </c>
      <c r="T6854" s="128">
        <f t="shared" si="288"/>
        <v>0</v>
      </c>
      <c r="U6854" s="129" t="str">
        <f>IFERROR(IF(#REF!="S",VLOOKUP('Raw Data'!A6854,References!#REF!,2,FALSE),(VLOOKUP($S6854,References!$B$3:$C$7,2,FALSE))),"")</f>
        <v/>
      </c>
      <c r="W6854" s="74" t="str">
        <f>IFERROR(VLOOKUP($O6854,'Customer List'!$A$1:$J$488,10,FALSE),"")</f>
        <v/>
      </c>
    </row>
    <row r="6855" spans="18:23">
      <c r="R6855" s="127">
        <f t="shared" si="289"/>
        <v>0</v>
      </c>
      <c r="T6855" s="128">
        <f t="shared" si="288"/>
        <v>0</v>
      </c>
      <c r="U6855" s="129" t="str">
        <f>IFERROR(IF(#REF!="S",VLOOKUP('Raw Data'!A6855,References!#REF!,2,FALSE),(VLOOKUP($S6855,References!$B$3:$C$7,2,FALSE))),"")</f>
        <v/>
      </c>
      <c r="W6855" s="74" t="str">
        <f>IFERROR(VLOOKUP($O6855,'Customer List'!$A$1:$J$488,10,FALSE),"")</f>
        <v/>
      </c>
    </row>
    <row r="6856" spans="18:23">
      <c r="R6856" s="127">
        <f t="shared" si="289"/>
        <v>0</v>
      </c>
      <c r="T6856" s="128">
        <f t="shared" si="288"/>
        <v>0</v>
      </c>
      <c r="U6856" s="129" t="str">
        <f>IFERROR(IF(#REF!="S",VLOOKUP('Raw Data'!A6856,References!#REF!,2,FALSE),(VLOOKUP($S6856,References!$B$3:$C$7,2,FALSE))),"")</f>
        <v/>
      </c>
      <c r="W6856" s="74" t="str">
        <f>IFERROR(VLOOKUP($O6856,'Customer List'!$A$1:$J$488,10,FALSE),"")</f>
        <v/>
      </c>
    </row>
    <row r="6857" spans="18:23">
      <c r="R6857" s="127">
        <f t="shared" si="289"/>
        <v>0</v>
      </c>
      <c r="T6857" s="128">
        <f t="shared" si="288"/>
        <v>0</v>
      </c>
      <c r="U6857" s="129" t="str">
        <f>IFERROR(IF(#REF!="S",VLOOKUP('Raw Data'!A6857,References!#REF!,2,FALSE),(VLOOKUP($S6857,References!$B$3:$C$7,2,FALSE))),"")</f>
        <v/>
      </c>
      <c r="W6857" s="74" t="str">
        <f>IFERROR(VLOOKUP($O6857,'Customer List'!$A$1:$J$488,10,FALSE),"")</f>
        <v/>
      </c>
    </row>
    <row r="6858" spans="18:23">
      <c r="R6858" s="127">
        <f t="shared" si="289"/>
        <v>0</v>
      </c>
      <c r="T6858" s="128">
        <f t="shared" ref="T6858:T6921" si="290">IF(S6858="50 - Cleaning Fee",1,HOUR($R6858)+MINUTE(R6858)/60)</f>
        <v>0</v>
      </c>
      <c r="U6858" s="129" t="str">
        <f>IFERROR(IF(#REF!="S",VLOOKUP('Raw Data'!A6858,References!#REF!,2,FALSE),(VLOOKUP($S6858,References!$B$3:$C$7,2,FALSE))),"")</f>
        <v/>
      </c>
      <c r="W6858" s="74" t="str">
        <f>IFERROR(VLOOKUP($O6858,'Customer List'!$A$1:$J$488,10,FALSE),"")</f>
        <v/>
      </c>
    </row>
    <row r="6859" spans="18:23">
      <c r="R6859" s="127">
        <f t="shared" si="289"/>
        <v>0</v>
      </c>
      <c r="T6859" s="128">
        <f t="shared" si="290"/>
        <v>0</v>
      </c>
      <c r="U6859" s="129" t="str">
        <f>IFERROR(IF(#REF!="S",VLOOKUP('Raw Data'!A6859,References!#REF!,2,FALSE),(VLOOKUP($S6859,References!$B$3:$C$7,2,FALSE))),"")</f>
        <v/>
      </c>
      <c r="W6859" s="74" t="str">
        <f>IFERROR(VLOOKUP($O6859,'Customer List'!$A$1:$J$488,10,FALSE),"")</f>
        <v/>
      </c>
    </row>
    <row r="6860" spans="18:23">
      <c r="R6860" s="127">
        <f t="shared" si="289"/>
        <v>0</v>
      </c>
      <c r="T6860" s="128">
        <f t="shared" si="290"/>
        <v>0</v>
      </c>
      <c r="U6860" s="129" t="str">
        <f>IFERROR(IF(#REF!="S",VLOOKUP('Raw Data'!A6860,References!#REF!,2,FALSE),(VLOOKUP($S6860,References!$B$3:$C$7,2,FALSE))),"")</f>
        <v/>
      </c>
      <c r="W6860" s="74" t="str">
        <f>IFERROR(VLOOKUP($O6860,'Customer List'!$A$1:$J$488,10,FALSE),"")</f>
        <v/>
      </c>
    </row>
    <row r="6861" spans="18:23">
      <c r="R6861" s="127">
        <f t="shared" si="289"/>
        <v>0</v>
      </c>
      <c r="T6861" s="128">
        <f t="shared" si="290"/>
        <v>0</v>
      </c>
      <c r="U6861" s="129" t="str">
        <f>IFERROR(IF(#REF!="S",VLOOKUP('Raw Data'!A6861,References!#REF!,2,FALSE),(VLOOKUP($S6861,References!$B$3:$C$7,2,FALSE))),"")</f>
        <v/>
      </c>
      <c r="W6861" s="74" t="str">
        <f>IFERROR(VLOOKUP($O6861,'Customer List'!$A$1:$J$488,10,FALSE),"")</f>
        <v/>
      </c>
    </row>
    <row r="6862" spans="18:23">
      <c r="R6862" s="127">
        <f t="shared" si="289"/>
        <v>0</v>
      </c>
      <c r="T6862" s="128">
        <f t="shared" si="290"/>
        <v>0</v>
      </c>
      <c r="U6862" s="129" t="str">
        <f>IFERROR(IF(#REF!="S",VLOOKUP('Raw Data'!A6862,References!#REF!,2,FALSE),(VLOOKUP($S6862,References!$B$3:$C$7,2,FALSE))),"")</f>
        <v/>
      </c>
      <c r="W6862" s="74" t="str">
        <f>IFERROR(VLOOKUP($O6862,'Customer List'!$A$1:$J$488,10,FALSE),"")</f>
        <v/>
      </c>
    </row>
    <row r="6863" spans="18:23">
      <c r="R6863" s="127">
        <f t="shared" si="289"/>
        <v>0</v>
      </c>
      <c r="T6863" s="128">
        <f t="shared" si="290"/>
        <v>0</v>
      </c>
      <c r="U6863" s="129" t="str">
        <f>IFERROR(IF(#REF!="S",VLOOKUP('Raw Data'!A6863,References!#REF!,2,FALSE),(VLOOKUP($S6863,References!$B$3:$C$7,2,FALSE))),"")</f>
        <v/>
      </c>
      <c r="W6863" s="74" t="str">
        <f>IFERROR(VLOOKUP($O6863,'Customer List'!$A$1:$J$488,10,FALSE),"")</f>
        <v/>
      </c>
    </row>
    <row r="6864" spans="18:23">
      <c r="R6864" s="127">
        <f t="shared" si="289"/>
        <v>0</v>
      </c>
      <c r="T6864" s="128">
        <f t="shared" si="290"/>
        <v>0</v>
      </c>
      <c r="U6864" s="129" t="str">
        <f>IFERROR(IF(#REF!="S",VLOOKUP('Raw Data'!A6864,References!#REF!,2,FALSE),(VLOOKUP($S6864,References!$B$3:$C$7,2,FALSE))),"")</f>
        <v/>
      </c>
      <c r="W6864" s="74" t="str">
        <f>IFERROR(VLOOKUP($O6864,'Customer List'!$A$1:$J$488,10,FALSE),"")</f>
        <v/>
      </c>
    </row>
    <row r="6865" spans="18:23">
      <c r="R6865" s="127">
        <f t="shared" si="289"/>
        <v>0</v>
      </c>
      <c r="T6865" s="128">
        <f t="shared" si="290"/>
        <v>0</v>
      </c>
      <c r="U6865" s="129" t="str">
        <f>IFERROR(IF(#REF!="S",VLOOKUP('Raw Data'!A6865,References!#REF!,2,FALSE),(VLOOKUP($S6865,References!$B$3:$C$7,2,FALSE))),"")</f>
        <v/>
      </c>
      <c r="W6865" s="74" t="str">
        <f>IFERROR(VLOOKUP($O6865,'Customer List'!$A$1:$J$488,10,FALSE),"")</f>
        <v/>
      </c>
    </row>
    <row r="6866" spans="18:23">
      <c r="R6866" s="127">
        <f t="shared" si="289"/>
        <v>0</v>
      </c>
      <c r="T6866" s="128">
        <f t="shared" si="290"/>
        <v>0</v>
      </c>
      <c r="U6866" s="129" t="str">
        <f>IFERROR(IF(#REF!="S",VLOOKUP('Raw Data'!A6866,References!#REF!,2,FALSE),(VLOOKUP($S6866,References!$B$3:$C$7,2,FALSE))),"")</f>
        <v/>
      </c>
      <c r="W6866" s="74" t="str">
        <f>IFERROR(VLOOKUP($O6866,'Customer List'!$A$1:$J$488,10,FALSE),"")</f>
        <v/>
      </c>
    </row>
    <row r="6867" spans="18:23">
      <c r="R6867" s="127">
        <f t="shared" si="289"/>
        <v>0</v>
      </c>
      <c r="T6867" s="128">
        <f t="shared" si="290"/>
        <v>0</v>
      </c>
      <c r="U6867" s="129" t="str">
        <f>IFERROR(IF(#REF!="S",VLOOKUP('Raw Data'!A6867,References!#REF!,2,FALSE),(VLOOKUP($S6867,References!$B$3:$C$7,2,FALSE))),"")</f>
        <v/>
      </c>
      <c r="W6867" s="74" t="str">
        <f>IFERROR(VLOOKUP($O6867,'Customer List'!$A$1:$J$488,10,FALSE),"")</f>
        <v/>
      </c>
    </row>
    <row r="6868" spans="18:23">
      <c r="R6868" s="127">
        <f t="shared" si="289"/>
        <v>0</v>
      </c>
      <c r="T6868" s="128">
        <f t="shared" si="290"/>
        <v>0</v>
      </c>
      <c r="U6868" s="129" t="str">
        <f>IFERROR(IF(#REF!="S",VLOOKUP('Raw Data'!A6868,References!#REF!,2,FALSE),(VLOOKUP($S6868,References!$B$3:$C$7,2,FALSE))),"")</f>
        <v/>
      </c>
      <c r="W6868" s="74" t="str">
        <f>IFERROR(VLOOKUP($O6868,'Customer List'!$A$1:$J$488,10,FALSE),"")</f>
        <v/>
      </c>
    </row>
    <row r="6869" spans="18:23">
      <c r="R6869" s="127">
        <f t="shared" si="289"/>
        <v>0</v>
      </c>
      <c r="T6869" s="128">
        <f t="shared" si="290"/>
        <v>0</v>
      </c>
      <c r="U6869" s="129" t="str">
        <f>IFERROR(IF(#REF!="S",VLOOKUP('Raw Data'!A6869,References!#REF!,2,FALSE),(VLOOKUP($S6869,References!$B$3:$C$7,2,FALSE))),"")</f>
        <v/>
      </c>
      <c r="W6869" s="74" t="str">
        <f>IFERROR(VLOOKUP($O6869,'Customer List'!$A$1:$J$488,10,FALSE),"")</f>
        <v/>
      </c>
    </row>
    <row r="6870" spans="18:23">
      <c r="R6870" s="127">
        <f t="shared" si="289"/>
        <v>0</v>
      </c>
      <c r="T6870" s="128">
        <f t="shared" si="290"/>
        <v>0</v>
      </c>
      <c r="U6870" s="129" t="str">
        <f>IFERROR(IF(#REF!="S",VLOOKUP('Raw Data'!A6870,References!#REF!,2,FALSE),(VLOOKUP($S6870,References!$B$3:$C$7,2,FALSE))),"")</f>
        <v/>
      </c>
      <c r="W6870" s="74" t="str">
        <f>IFERROR(VLOOKUP($O6870,'Customer List'!$A$1:$J$488,10,FALSE),"")</f>
        <v/>
      </c>
    </row>
    <row r="6871" spans="18:23">
      <c r="R6871" s="127">
        <f t="shared" si="289"/>
        <v>0</v>
      </c>
      <c r="T6871" s="128">
        <f t="shared" si="290"/>
        <v>0</v>
      </c>
      <c r="U6871" s="129" t="str">
        <f>IFERROR(IF(#REF!="S",VLOOKUP('Raw Data'!A6871,References!#REF!,2,FALSE),(VLOOKUP($S6871,References!$B$3:$C$7,2,FALSE))),"")</f>
        <v/>
      </c>
      <c r="W6871" s="74" t="str">
        <f>IFERROR(VLOOKUP($O6871,'Customer List'!$A$1:$J$488,10,FALSE),"")</f>
        <v/>
      </c>
    </row>
    <row r="6872" spans="18:23">
      <c r="R6872" s="127">
        <f t="shared" si="289"/>
        <v>0</v>
      </c>
      <c r="T6872" s="128">
        <f t="shared" si="290"/>
        <v>0</v>
      </c>
      <c r="U6872" s="129" t="str">
        <f>IFERROR(IF(#REF!="S",VLOOKUP('Raw Data'!A6872,References!#REF!,2,FALSE),(VLOOKUP($S6872,References!$B$3:$C$7,2,FALSE))),"")</f>
        <v/>
      </c>
      <c r="W6872" s="74" t="str">
        <f>IFERROR(VLOOKUP($O6872,'Customer List'!$A$1:$J$488,10,FALSE),"")</f>
        <v/>
      </c>
    </row>
    <row r="6873" spans="18:23">
      <c r="R6873" s="127">
        <f t="shared" si="289"/>
        <v>0</v>
      </c>
      <c r="T6873" s="128">
        <f t="shared" si="290"/>
        <v>0</v>
      </c>
      <c r="U6873" s="129" t="str">
        <f>IFERROR(IF(#REF!="S",VLOOKUP('Raw Data'!A6873,References!#REF!,2,FALSE),(VLOOKUP($S6873,References!$B$3:$C$7,2,FALSE))),"")</f>
        <v/>
      </c>
      <c r="W6873" s="74" t="str">
        <f>IFERROR(VLOOKUP($O6873,'Customer List'!$A$1:$J$488,10,FALSE),"")</f>
        <v/>
      </c>
    </row>
    <row r="6874" spans="18:23">
      <c r="R6874" s="127">
        <f t="shared" si="289"/>
        <v>0</v>
      </c>
      <c r="T6874" s="128">
        <f t="shared" si="290"/>
        <v>0</v>
      </c>
      <c r="U6874" s="129" t="str">
        <f>IFERROR(IF(#REF!="S",VLOOKUP('Raw Data'!A6874,References!#REF!,2,FALSE),(VLOOKUP($S6874,References!$B$3:$C$7,2,FALSE))),"")</f>
        <v/>
      </c>
      <c r="W6874" s="74" t="str">
        <f>IFERROR(VLOOKUP($O6874,'Customer List'!$A$1:$J$488,10,FALSE),"")</f>
        <v/>
      </c>
    </row>
    <row r="6875" spans="18:23">
      <c r="R6875" s="127">
        <f t="shared" si="289"/>
        <v>0</v>
      </c>
      <c r="T6875" s="128">
        <f t="shared" si="290"/>
        <v>0</v>
      </c>
      <c r="U6875" s="129" t="str">
        <f>IFERROR(IF(#REF!="S",VLOOKUP('Raw Data'!A6875,References!#REF!,2,FALSE),(VLOOKUP($S6875,References!$B$3:$C$7,2,FALSE))),"")</f>
        <v/>
      </c>
      <c r="W6875" s="74" t="str">
        <f>IFERROR(VLOOKUP($O6875,'Customer List'!$A$1:$J$488,10,FALSE),"")</f>
        <v/>
      </c>
    </row>
    <row r="6876" spans="18:23">
      <c r="R6876" s="127">
        <f t="shared" si="289"/>
        <v>0</v>
      </c>
      <c r="T6876" s="128">
        <f t="shared" si="290"/>
        <v>0</v>
      </c>
      <c r="U6876" s="129" t="str">
        <f>IFERROR(IF(#REF!="S",VLOOKUP('Raw Data'!A6876,References!#REF!,2,FALSE),(VLOOKUP($S6876,References!$B$3:$C$7,2,FALSE))),"")</f>
        <v/>
      </c>
      <c r="W6876" s="74" t="str">
        <f>IFERROR(VLOOKUP($O6876,'Customer List'!$A$1:$J$488,10,FALSE),"")</f>
        <v/>
      </c>
    </row>
    <row r="6877" spans="18:23">
      <c r="R6877" s="127">
        <f t="shared" si="289"/>
        <v>0</v>
      </c>
      <c r="T6877" s="128">
        <f t="shared" si="290"/>
        <v>0</v>
      </c>
      <c r="U6877" s="129" t="str">
        <f>IFERROR(IF(#REF!="S",VLOOKUP('Raw Data'!A6877,References!#REF!,2,FALSE),(VLOOKUP($S6877,References!$B$3:$C$7,2,FALSE))),"")</f>
        <v/>
      </c>
      <c r="W6877" s="74" t="str">
        <f>IFERROR(VLOOKUP($O6877,'Customer List'!$A$1:$J$488,10,FALSE),"")</f>
        <v/>
      </c>
    </row>
    <row r="6878" spans="18:23">
      <c r="R6878" s="127">
        <f t="shared" si="289"/>
        <v>0</v>
      </c>
      <c r="T6878" s="128">
        <f t="shared" si="290"/>
        <v>0</v>
      </c>
      <c r="U6878" s="129" t="str">
        <f>IFERROR(IF(#REF!="S",VLOOKUP('Raw Data'!A6878,References!#REF!,2,FALSE),(VLOOKUP($S6878,References!$B$3:$C$7,2,FALSE))),"")</f>
        <v/>
      </c>
      <c r="W6878" s="74" t="str">
        <f>IFERROR(VLOOKUP($O6878,'Customer List'!$A$1:$J$488,10,FALSE),"")</f>
        <v/>
      </c>
    </row>
    <row r="6879" spans="18:23">
      <c r="R6879" s="127">
        <f t="shared" si="289"/>
        <v>0</v>
      </c>
      <c r="T6879" s="128">
        <f t="shared" si="290"/>
        <v>0</v>
      </c>
      <c r="U6879" s="129" t="str">
        <f>IFERROR(IF(#REF!="S",VLOOKUP('Raw Data'!A6879,References!#REF!,2,FALSE),(VLOOKUP($S6879,References!$B$3:$C$7,2,FALSE))),"")</f>
        <v/>
      </c>
      <c r="W6879" s="74" t="str">
        <f>IFERROR(VLOOKUP($O6879,'Customer List'!$A$1:$J$488,10,FALSE),"")</f>
        <v/>
      </c>
    </row>
    <row r="6880" spans="18:23">
      <c r="R6880" s="127">
        <f t="shared" si="289"/>
        <v>0</v>
      </c>
      <c r="T6880" s="128">
        <f t="shared" si="290"/>
        <v>0</v>
      </c>
      <c r="U6880" s="129" t="str">
        <f>IFERROR(IF(#REF!="S",VLOOKUP('Raw Data'!A6880,References!#REF!,2,FALSE),(VLOOKUP($S6880,References!$B$3:$C$7,2,FALSE))),"")</f>
        <v/>
      </c>
      <c r="W6880" s="74" t="str">
        <f>IFERROR(VLOOKUP($O6880,'Customer List'!$A$1:$J$488,10,FALSE),"")</f>
        <v/>
      </c>
    </row>
    <row r="6881" spans="18:23">
      <c r="R6881" s="127">
        <f t="shared" si="289"/>
        <v>0</v>
      </c>
      <c r="T6881" s="128">
        <f t="shared" si="290"/>
        <v>0</v>
      </c>
      <c r="U6881" s="129" t="str">
        <f>IFERROR(IF(#REF!="S",VLOOKUP('Raw Data'!A6881,References!#REF!,2,FALSE),(VLOOKUP($S6881,References!$B$3:$C$7,2,FALSE))),"")</f>
        <v/>
      </c>
      <c r="W6881" s="74" t="str">
        <f>IFERROR(VLOOKUP($O6881,'Customer List'!$A$1:$J$488,10,FALSE),"")</f>
        <v/>
      </c>
    </row>
    <row r="6882" spans="18:23">
      <c r="R6882" s="127">
        <f t="shared" ref="R6882:R6945" si="291">L6882-K6882</f>
        <v>0</v>
      </c>
      <c r="T6882" s="128">
        <f t="shared" si="290"/>
        <v>0</v>
      </c>
      <c r="U6882" s="129" t="str">
        <f>IFERROR(IF(#REF!="S",VLOOKUP('Raw Data'!A6882,References!#REF!,2,FALSE),(VLOOKUP($S6882,References!$B$3:$C$7,2,FALSE))),"")</f>
        <v/>
      </c>
      <c r="W6882" s="74" t="str">
        <f>IFERROR(VLOOKUP($O6882,'Customer List'!$A$1:$J$488,10,FALSE),"")</f>
        <v/>
      </c>
    </row>
    <row r="6883" spans="18:23">
      <c r="R6883" s="127">
        <f t="shared" si="291"/>
        <v>0</v>
      </c>
      <c r="T6883" s="128">
        <f t="shared" si="290"/>
        <v>0</v>
      </c>
      <c r="U6883" s="129" t="str">
        <f>IFERROR(IF(#REF!="S",VLOOKUP('Raw Data'!A6883,References!#REF!,2,FALSE),(VLOOKUP($S6883,References!$B$3:$C$7,2,FALSE))),"")</f>
        <v/>
      </c>
      <c r="W6883" s="74" t="str">
        <f>IFERROR(VLOOKUP($O6883,'Customer List'!$A$1:$J$488,10,FALSE),"")</f>
        <v/>
      </c>
    </row>
    <row r="6884" spans="18:23">
      <c r="R6884" s="127">
        <f t="shared" si="291"/>
        <v>0</v>
      </c>
      <c r="T6884" s="128">
        <f t="shared" si="290"/>
        <v>0</v>
      </c>
      <c r="U6884" s="129" t="str">
        <f>IFERROR(IF(#REF!="S",VLOOKUP('Raw Data'!A6884,References!#REF!,2,FALSE),(VLOOKUP($S6884,References!$B$3:$C$7,2,FALSE))),"")</f>
        <v/>
      </c>
      <c r="W6884" s="74" t="str">
        <f>IFERROR(VLOOKUP($O6884,'Customer List'!$A$1:$J$488,10,FALSE),"")</f>
        <v/>
      </c>
    </row>
    <row r="6885" spans="18:23">
      <c r="R6885" s="127">
        <f t="shared" si="291"/>
        <v>0</v>
      </c>
      <c r="T6885" s="128">
        <f t="shared" si="290"/>
        <v>0</v>
      </c>
      <c r="U6885" s="129" t="str">
        <f>IFERROR(IF(#REF!="S",VLOOKUP('Raw Data'!A6885,References!#REF!,2,FALSE),(VLOOKUP($S6885,References!$B$3:$C$7,2,FALSE))),"")</f>
        <v/>
      </c>
      <c r="W6885" s="74" t="str">
        <f>IFERROR(VLOOKUP($O6885,'Customer List'!$A$1:$J$488,10,FALSE),"")</f>
        <v/>
      </c>
    </row>
    <row r="6886" spans="18:23">
      <c r="R6886" s="127">
        <f t="shared" si="291"/>
        <v>0</v>
      </c>
      <c r="T6886" s="128">
        <f t="shared" si="290"/>
        <v>0</v>
      </c>
      <c r="U6886" s="129" t="str">
        <f>IFERROR(IF(#REF!="S",VLOOKUP('Raw Data'!A6886,References!#REF!,2,FALSE),(VLOOKUP($S6886,References!$B$3:$C$7,2,FALSE))),"")</f>
        <v/>
      </c>
      <c r="W6886" s="74" t="str">
        <f>IFERROR(VLOOKUP($O6886,'Customer List'!$A$1:$J$488,10,FALSE),"")</f>
        <v/>
      </c>
    </row>
    <row r="6887" spans="18:23">
      <c r="R6887" s="127">
        <f t="shared" si="291"/>
        <v>0</v>
      </c>
      <c r="T6887" s="128">
        <f t="shared" si="290"/>
        <v>0</v>
      </c>
      <c r="U6887" s="129" t="str">
        <f>IFERROR(IF(#REF!="S",VLOOKUP('Raw Data'!A6887,References!#REF!,2,FALSE),(VLOOKUP($S6887,References!$B$3:$C$7,2,FALSE))),"")</f>
        <v/>
      </c>
      <c r="W6887" s="74" t="str">
        <f>IFERROR(VLOOKUP($O6887,'Customer List'!$A$1:$J$488,10,FALSE),"")</f>
        <v/>
      </c>
    </row>
    <row r="6888" spans="18:23">
      <c r="R6888" s="127">
        <f t="shared" si="291"/>
        <v>0</v>
      </c>
      <c r="T6888" s="128">
        <f t="shared" si="290"/>
        <v>0</v>
      </c>
      <c r="U6888" s="129" t="str">
        <f>IFERROR(IF(#REF!="S",VLOOKUP('Raw Data'!A6888,References!#REF!,2,FALSE),(VLOOKUP($S6888,References!$B$3:$C$7,2,FALSE))),"")</f>
        <v/>
      </c>
      <c r="W6888" s="74" t="str">
        <f>IFERROR(VLOOKUP($O6888,'Customer List'!$A$1:$J$488,10,FALSE),"")</f>
        <v/>
      </c>
    </row>
    <row r="6889" spans="18:23">
      <c r="R6889" s="127">
        <f t="shared" si="291"/>
        <v>0</v>
      </c>
      <c r="T6889" s="128">
        <f t="shared" si="290"/>
        <v>0</v>
      </c>
      <c r="U6889" s="129" t="str">
        <f>IFERROR(IF(#REF!="S",VLOOKUP('Raw Data'!A6889,References!#REF!,2,FALSE),(VLOOKUP($S6889,References!$B$3:$C$7,2,FALSE))),"")</f>
        <v/>
      </c>
      <c r="W6889" s="74" t="str">
        <f>IFERROR(VLOOKUP($O6889,'Customer List'!$A$1:$J$488,10,FALSE),"")</f>
        <v/>
      </c>
    </row>
    <row r="6890" spans="18:23">
      <c r="R6890" s="127">
        <f t="shared" si="291"/>
        <v>0</v>
      </c>
      <c r="T6890" s="128">
        <f t="shared" si="290"/>
        <v>0</v>
      </c>
      <c r="U6890" s="129" t="str">
        <f>IFERROR(IF(#REF!="S",VLOOKUP('Raw Data'!A6890,References!#REF!,2,FALSE),(VLOOKUP($S6890,References!$B$3:$C$7,2,FALSE))),"")</f>
        <v/>
      </c>
      <c r="W6890" s="74" t="str">
        <f>IFERROR(VLOOKUP($O6890,'Customer List'!$A$1:$J$488,10,FALSE),"")</f>
        <v/>
      </c>
    </row>
    <row r="6891" spans="18:23">
      <c r="R6891" s="127">
        <f t="shared" si="291"/>
        <v>0</v>
      </c>
      <c r="T6891" s="128">
        <f t="shared" si="290"/>
        <v>0</v>
      </c>
      <c r="U6891" s="129" t="str">
        <f>IFERROR(IF(#REF!="S",VLOOKUP('Raw Data'!A6891,References!#REF!,2,FALSE),(VLOOKUP($S6891,References!$B$3:$C$7,2,FALSE))),"")</f>
        <v/>
      </c>
      <c r="W6891" s="74" t="str">
        <f>IFERROR(VLOOKUP($O6891,'Customer List'!$A$1:$J$488,10,FALSE),"")</f>
        <v/>
      </c>
    </row>
    <row r="6892" spans="18:23">
      <c r="R6892" s="127">
        <f t="shared" si="291"/>
        <v>0</v>
      </c>
      <c r="T6892" s="128">
        <f t="shared" si="290"/>
        <v>0</v>
      </c>
      <c r="U6892" s="129" t="str">
        <f>IFERROR(IF(#REF!="S",VLOOKUP('Raw Data'!A6892,References!#REF!,2,FALSE),(VLOOKUP($S6892,References!$B$3:$C$7,2,FALSE))),"")</f>
        <v/>
      </c>
      <c r="W6892" s="74" t="str">
        <f>IFERROR(VLOOKUP($O6892,'Customer List'!$A$1:$J$488,10,FALSE),"")</f>
        <v/>
      </c>
    </row>
    <row r="6893" spans="18:23">
      <c r="R6893" s="127">
        <f t="shared" si="291"/>
        <v>0</v>
      </c>
      <c r="T6893" s="128">
        <f t="shared" si="290"/>
        <v>0</v>
      </c>
      <c r="U6893" s="129" t="str">
        <f>IFERROR(IF(#REF!="S",VLOOKUP('Raw Data'!A6893,References!#REF!,2,FALSE),(VLOOKUP($S6893,References!$B$3:$C$7,2,FALSE))),"")</f>
        <v/>
      </c>
      <c r="W6893" s="74" t="str">
        <f>IFERROR(VLOOKUP($O6893,'Customer List'!$A$1:$J$488,10,FALSE),"")</f>
        <v/>
      </c>
    </row>
    <row r="6894" spans="18:23">
      <c r="R6894" s="127">
        <f t="shared" si="291"/>
        <v>0</v>
      </c>
      <c r="T6894" s="128">
        <f t="shared" si="290"/>
        <v>0</v>
      </c>
      <c r="U6894" s="129" t="str">
        <f>IFERROR(IF(#REF!="S",VLOOKUP('Raw Data'!A6894,References!#REF!,2,FALSE),(VLOOKUP($S6894,References!$B$3:$C$7,2,FALSE))),"")</f>
        <v/>
      </c>
      <c r="W6894" s="74" t="str">
        <f>IFERROR(VLOOKUP($O6894,'Customer List'!$A$1:$J$488,10,FALSE),"")</f>
        <v/>
      </c>
    </row>
    <row r="6895" spans="18:23">
      <c r="R6895" s="127">
        <f t="shared" si="291"/>
        <v>0</v>
      </c>
      <c r="T6895" s="128">
        <f t="shared" si="290"/>
        <v>0</v>
      </c>
      <c r="U6895" s="129" t="str">
        <f>IFERROR(IF(#REF!="S",VLOOKUP('Raw Data'!A6895,References!#REF!,2,FALSE),(VLOOKUP($S6895,References!$B$3:$C$7,2,FALSE))),"")</f>
        <v/>
      </c>
      <c r="W6895" s="74" t="str">
        <f>IFERROR(VLOOKUP($O6895,'Customer List'!$A$1:$J$488,10,FALSE),"")</f>
        <v/>
      </c>
    </row>
    <row r="6896" spans="18:23">
      <c r="R6896" s="127">
        <f t="shared" si="291"/>
        <v>0</v>
      </c>
      <c r="T6896" s="128">
        <f t="shared" si="290"/>
        <v>0</v>
      </c>
      <c r="U6896" s="129" t="str">
        <f>IFERROR(IF(#REF!="S",VLOOKUP('Raw Data'!A6896,References!#REF!,2,FALSE),(VLOOKUP($S6896,References!$B$3:$C$7,2,FALSE))),"")</f>
        <v/>
      </c>
      <c r="W6896" s="74" t="str">
        <f>IFERROR(VLOOKUP($O6896,'Customer List'!$A$1:$J$488,10,FALSE),"")</f>
        <v/>
      </c>
    </row>
    <row r="6897" spans="18:23">
      <c r="R6897" s="127">
        <f t="shared" si="291"/>
        <v>0</v>
      </c>
      <c r="T6897" s="128">
        <f t="shared" si="290"/>
        <v>0</v>
      </c>
      <c r="U6897" s="129" t="str">
        <f>IFERROR(IF(#REF!="S",VLOOKUP('Raw Data'!A6897,References!#REF!,2,FALSE),(VLOOKUP($S6897,References!$B$3:$C$7,2,FALSE))),"")</f>
        <v/>
      </c>
      <c r="W6897" s="74" t="str">
        <f>IFERROR(VLOOKUP($O6897,'Customer List'!$A$1:$J$488,10,FALSE),"")</f>
        <v/>
      </c>
    </row>
    <row r="6898" spans="18:23">
      <c r="R6898" s="127">
        <f t="shared" si="291"/>
        <v>0</v>
      </c>
      <c r="T6898" s="128">
        <f t="shared" si="290"/>
        <v>0</v>
      </c>
      <c r="U6898" s="129" t="str">
        <f>IFERROR(IF(#REF!="S",VLOOKUP('Raw Data'!A6898,References!#REF!,2,FALSE),(VLOOKUP($S6898,References!$B$3:$C$7,2,FALSE))),"")</f>
        <v/>
      </c>
      <c r="W6898" s="74" t="str">
        <f>IFERROR(VLOOKUP($O6898,'Customer List'!$A$1:$J$488,10,FALSE),"")</f>
        <v/>
      </c>
    </row>
    <row r="6899" spans="18:23">
      <c r="R6899" s="127">
        <f t="shared" si="291"/>
        <v>0</v>
      </c>
      <c r="T6899" s="128">
        <f t="shared" si="290"/>
        <v>0</v>
      </c>
      <c r="U6899" s="129" t="str">
        <f>IFERROR(IF(#REF!="S",VLOOKUP('Raw Data'!A6899,References!#REF!,2,FALSE),(VLOOKUP($S6899,References!$B$3:$C$7,2,FALSE))),"")</f>
        <v/>
      </c>
      <c r="W6899" s="74" t="str">
        <f>IFERROR(VLOOKUP($O6899,'Customer List'!$A$1:$J$488,10,FALSE),"")</f>
        <v/>
      </c>
    </row>
    <row r="6900" spans="18:23">
      <c r="R6900" s="127">
        <f t="shared" si="291"/>
        <v>0</v>
      </c>
      <c r="T6900" s="128">
        <f t="shared" si="290"/>
        <v>0</v>
      </c>
      <c r="U6900" s="129" t="str">
        <f>IFERROR(IF(#REF!="S",VLOOKUP('Raw Data'!A6900,References!#REF!,2,FALSE),(VLOOKUP($S6900,References!$B$3:$C$7,2,FALSE))),"")</f>
        <v/>
      </c>
      <c r="W6900" s="74" t="str">
        <f>IFERROR(VLOOKUP($O6900,'Customer List'!$A$1:$J$488,10,FALSE),"")</f>
        <v/>
      </c>
    </row>
    <row r="6901" spans="18:23">
      <c r="R6901" s="127">
        <f t="shared" si="291"/>
        <v>0</v>
      </c>
      <c r="T6901" s="128">
        <f t="shared" si="290"/>
        <v>0</v>
      </c>
      <c r="U6901" s="129" t="str">
        <f>IFERROR(IF(#REF!="S",VLOOKUP('Raw Data'!A6901,References!#REF!,2,FALSE),(VLOOKUP($S6901,References!$B$3:$C$7,2,FALSE))),"")</f>
        <v/>
      </c>
      <c r="W6901" s="74" t="str">
        <f>IFERROR(VLOOKUP($O6901,'Customer List'!$A$1:$J$488,10,FALSE),"")</f>
        <v/>
      </c>
    </row>
    <row r="6902" spans="18:23">
      <c r="R6902" s="127">
        <f t="shared" si="291"/>
        <v>0</v>
      </c>
      <c r="T6902" s="128">
        <f t="shared" si="290"/>
        <v>0</v>
      </c>
      <c r="U6902" s="129" t="str">
        <f>IFERROR(IF(#REF!="S",VLOOKUP('Raw Data'!A6902,References!#REF!,2,FALSE),(VLOOKUP($S6902,References!$B$3:$C$7,2,FALSE))),"")</f>
        <v/>
      </c>
      <c r="W6902" s="74" t="str">
        <f>IFERROR(VLOOKUP($O6902,'Customer List'!$A$1:$J$488,10,FALSE),"")</f>
        <v/>
      </c>
    </row>
    <row r="6903" spans="18:23">
      <c r="R6903" s="127">
        <f t="shared" si="291"/>
        <v>0</v>
      </c>
      <c r="T6903" s="128">
        <f t="shared" si="290"/>
        <v>0</v>
      </c>
      <c r="U6903" s="129" t="str">
        <f>IFERROR(IF(#REF!="S",VLOOKUP('Raw Data'!A6903,References!#REF!,2,FALSE),(VLOOKUP($S6903,References!$B$3:$C$7,2,FALSE))),"")</f>
        <v/>
      </c>
      <c r="W6903" s="74" t="str">
        <f>IFERROR(VLOOKUP($O6903,'Customer List'!$A$1:$J$488,10,FALSE),"")</f>
        <v/>
      </c>
    </row>
    <row r="6904" spans="18:23">
      <c r="R6904" s="127">
        <f t="shared" si="291"/>
        <v>0</v>
      </c>
      <c r="T6904" s="128">
        <f t="shared" si="290"/>
        <v>0</v>
      </c>
      <c r="U6904" s="129" t="str">
        <f>IFERROR(IF(#REF!="S",VLOOKUP('Raw Data'!A6904,References!#REF!,2,FALSE),(VLOOKUP($S6904,References!$B$3:$C$7,2,FALSE))),"")</f>
        <v/>
      </c>
      <c r="W6904" s="74" t="str">
        <f>IFERROR(VLOOKUP($O6904,'Customer List'!$A$1:$J$488,10,FALSE),"")</f>
        <v/>
      </c>
    </row>
    <row r="6905" spans="18:23">
      <c r="R6905" s="127">
        <f t="shared" si="291"/>
        <v>0</v>
      </c>
      <c r="T6905" s="128">
        <f t="shared" si="290"/>
        <v>0</v>
      </c>
      <c r="U6905" s="129" t="str">
        <f>IFERROR(IF(#REF!="S",VLOOKUP('Raw Data'!A6905,References!#REF!,2,FALSE),(VLOOKUP($S6905,References!$B$3:$C$7,2,FALSE))),"")</f>
        <v/>
      </c>
      <c r="W6905" s="74" t="str">
        <f>IFERROR(VLOOKUP($O6905,'Customer List'!$A$1:$J$488,10,FALSE),"")</f>
        <v/>
      </c>
    </row>
    <row r="6906" spans="18:23">
      <c r="R6906" s="127">
        <f t="shared" si="291"/>
        <v>0</v>
      </c>
      <c r="T6906" s="128">
        <f t="shared" si="290"/>
        <v>0</v>
      </c>
      <c r="U6906" s="129" t="str">
        <f>IFERROR(IF(#REF!="S",VLOOKUP('Raw Data'!A6906,References!#REF!,2,FALSE),(VLOOKUP($S6906,References!$B$3:$C$7,2,FALSE))),"")</f>
        <v/>
      </c>
      <c r="W6906" s="74" t="str">
        <f>IFERROR(VLOOKUP($O6906,'Customer List'!$A$1:$J$488,10,FALSE),"")</f>
        <v/>
      </c>
    </row>
    <row r="6907" spans="18:23">
      <c r="R6907" s="127">
        <f t="shared" si="291"/>
        <v>0</v>
      </c>
      <c r="T6907" s="128">
        <f t="shared" si="290"/>
        <v>0</v>
      </c>
      <c r="U6907" s="129" t="str">
        <f>IFERROR(IF(#REF!="S",VLOOKUP('Raw Data'!A6907,References!#REF!,2,FALSE),(VLOOKUP($S6907,References!$B$3:$C$7,2,FALSE))),"")</f>
        <v/>
      </c>
      <c r="W6907" s="74" t="str">
        <f>IFERROR(VLOOKUP($O6907,'Customer List'!$A$1:$J$488,10,FALSE),"")</f>
        <v/>
      </c>
    </row>
    <row r="6908" spans="18:23">
      <c r="R6908" s="127">
        <f t="shared" si="291"/>
        <v>0</v>
      </c>
      <c r="T6908" s="128">
        <f t="shared" si="290"/>
        <v>0</v>
      </c>
      <c r="U6908" s="129" t="str">
        <f>IFERROR(IF(#REF!="S",VLOOKUP('Raw Data'!A6908,References!#REF!,2,FALSE),(VLOOKUP($S6908,References!$B$3:$C$7,2,FALSE))),"")</f>
        <v/>
      </c>
      <c r="W6908" s="74" t="str">
        <f>IFERROR(VLOOKUP($O6908,'Customer List'!$A$1:$J$488,10,FALSE),"")</f>
        <v/>
      </c>
    </row>
    <row r="6909" spans="18:23">
      <c r="R6909" s="127">
        <f t="shared" si="291"/>
        <v>0</v>
      </c>
      <c r="T6909" s="128">
        <f t="shared" si="290"/>
        <v>0</v>
      </c>
      <c r="U6909" s="129" t="str">
        <f>IFERROR(IF(#REF!="S",VLOOKUP('Raw Data'!A6909,References!#REF!,2,FALSE),(VLOOKUP($S6909,References!$B$3:$C$7,2,FALSE))),"")</f>
        <v/>
      </c>
      <c r="W6909" s="74" t="str">
        <f>IFERROR(VLOOKUP($O6909,'Customer List'!$A$1:$J$488,10,FALSE),"")</f>
        <v/>
      </c>
    </row>
    <row r="6910" spans="18:23">
      <c r="R6910" s="127">
        <f t="shared" si="291"/>
        <v>0</v>
      </c>
      <c r="T6910" s="128">
        <f t="shared" si="290"/>
        <v>0</v>
      </c>
      <c r="U6910" s="129" t="str">
        <f>IFERROR(IF(#REF!="S",VLOOKUP('Raw Data'!A6910,References!#REF!,2,FALSE),(VLOOKUP($S6910,References!$B$3:$C$7,2,FALSE))),"")</f>
        <v/>
      </c>
      <c r="W6910" s="74" t="str">
        <f>IFERROR(VLOOKUP($O6910,'Customer List'!$A$1:$J$488,10,FALSE),"")</f>
        <v/>
      </c>
    </row>
    <row r="6911" spans="18:23">
      <c r="R6911" s="127">
        <f t="shared" si="291"/>
        <v>0</v>
      </c>
      <c r="T6911" s="128">
        <f t="shared" si="290"/>
        <v>0</v>
      </c>
      <c r="U6911" s="129" t="str">
        <f>IFERROR(IF(#REF!="S",VLOOKUP('Raw Data'!A6911,References!#REF!,2,FALSE),(VLOOKUP($S6911,References!$B$3:$C$7,2,FALSE))),"")</f>
        <v/>
      </c>
      <c r="W6911" s="74" t="str">
        <f>IFERROR(VLOOKUP($O6911,'Customer List'!$A$1:$J$488,10,FALSE),"")</f>
        <v/>
      </c>
    </row>
    <row r="6912" spans="18:23">
      <c r="R6912" s="127">
        <f t="shared" si="291"/>
        <v>0</v>
      </c>
      <c r="T6912" s="128">
        <f t="shared" si="290"/>
        <v>0</v>
      </c>
      <c r="U6912" s="129" t="str">
        <f>IFERROR(IF(#REF!="S",VLOOKUP('Raw Data'!A6912,References!#REF!,2,FALSE),(VLOOKUP($S6912,References!$B$3:$C$7,2,FALSE))),"")</f>
        <v/>
      </c>
      <c r="W6912" s="74" t="str">
        <f>IFERROR(VLOOKUP($O6912,'Customer List'!$A$1:$J$488,10,FALSE),"")</f>
        <v/>
      </c>
    </row>
    <row r="6913" spans="18:23">
      <c r="R6913" s="127">
        <f t="shared" si="291"/>
        <v>0</v>
      </c>
      <c r="T6913" s="128">
        <f t="shared" si="290"/>
        <v>0</v>
      </c>
      <c r="U6913" s="129" t="str">
        <f>IFERROR(IF(#REF!="S",VLOOKUP('Raw Data'!A6913,References!#REF!,2,FALSE),(VLOOKUP($S6913,References!$B$3:$C$7,2,FALSE))),"")</f>
        <v/>
      </c>
      <c r="W6913" s="74" t="str">
        <f>IFERROR(VLOOKUP($O6913,'Customer List'!$A$1:$J$488,10,FALSE),"")</f>
        <v/>
      </c>
    </row>
    <row r="6914" spans="18:23">
      <c r="R6914" s="127">
        <f t="shared" si="291"/>
        <v>0</v>
      </c>
      <c r="T6914" s="128">
        <f t="shared" si="290"/>
        <v>0</v>
      </c>
      <c r="U6914" s="129" t="str">
        <f>IFERROR(IF(#REF!="S",VLOOKUP('Raw Data'!A6914,References!#REF!,2,FALSE),(VLOOKUP($S6914,References!$B$3:$C$7,2,FALSE))),"")</f>
        <v/>
      </c>
      <c r="W6914" s="74" t="str">
        <f>IFERROR(VLOOKUP($O6914,'Customer List'!$A$1:$J$488,10,FALSE),"")</f>
        <v/>
      </c>
    </row>
    <row r="6915" spans="18:23">
      <c r="R6915" s="127">
        <f t="shared" si="291"/>
        <v>0</v>
      </c>
      <c r="T6915" s="128">
        <f t="shared" si="290"/>
        <v>0</v>
      </c>
      <c r="U6915" s="129" t="str">
        <f>IFERROR(IF(#REF!="S",VLOOKUP('Raw Data'!A6915,References!#REF!,2,FALSE),(VLOOKUP($S6915,References!$B$3:$C$7,2,FALSE))),"")</f>
        <v/>
      </c>
      <c r="W6915" s="74" t="str">
        <f>IFERROR(VLOOKUP($O6915,'Customer List'!$A$1:$J$488,10,FALSE),"")</f>
        <v/>
      </c>
    </row>
    <row r="6916" spans="18:23">
      <c r="R6916" s="127">
        <f t="shared" si="291"/>
        <v>0</v>
      </c>
      <c r="T6916" s="128">
        <f t="shared" si="290"/>
        <v>0</v>
      </c>
      <c r="U6916" s="129" t="str">
        <f>IFERROR(IF(#REF!="S",VLOOKUP('Raw Data'!A6916,References!#REF!,2,FALSE),(VLOOKUP($S6916,References!$B$3:$C$7,2,FALSE))),"")</f>
        <v/>
      </c>
      <c r="W6916" s="74" t="str">
        <f>IFERROR(VLOOKUP($O6916,'Customer List'!$A$1:$J$488,10,FALSE),"")</f>
        <v/>
      </c>
    </row>
    <row r="6917" spans="18:23">
      <c r="R6917" s="127">
        <f t="shared" si="291"/>
        <v>0</v>
      </c>
      <c r="T6917" s="128">
        <f t="shared" si="290"/>
        <v>0</v>
      </c>
      <c r="U6917" s="129" t="str">
        <f>IFERROR(IF(#REF!="S",VLOOKUP('Raw Data'!A6917,References!#REF!,2,FALSE),(VLOOKUP($S6917,References!$B$3:$C$7,2,FALSE))),"")</f>
        <v/>
      </c>
      <c r="W6917" s="74" t="str">
        <f>IFERROR(VLOOKUP($O6917,'Customer List'!$A$1:$J$488,10,FALSE),"")</f>
        <v/>
      </c>
    </row>
    <row r="6918" spans="18:23">
      <c r="R6918" s="127">
        <f t="shared" si="291"/>
        <v>0</v>
      </c>
      <c r="T6918" s="128">
        <f t="shared" si="290"/>
        <v>0</v>
      </c>
      <c r="U6918" s="129" t="str">
        <f>IFERROR(IF(#REF!="S",VLOOKUP('Raw Data'!A6918,References!#REF!,2,FALSE),(VLOOKUP($S6918,References!$B$3:$C$7,2,FALSE))),"")</f>
        <v/>
      </c>
      <c r="W6918" s="74" t="str">
        <f>IFERROR(VLOOKUP($O6918,'Customer List'!$A$1:$J$488,10,FALSE),"")</f>
        <v/>
      </c>
    </row>
    <row r="6919" spans="18:23">
      <c r="R6919" s="127">
        <f t="shared" si="291"/>
        <v>0</v>
      </c>
      <c r="T6919" s="128">
        <f t="shared" si="290"/>
        <v>0</v>
      </c>
      <c r="U6919" s="129" t="str">
        <f>IFERROR(IF(#REF!="S",VLOOKUP('Raw Data'!A6919,References!#REF!,2,FALSE),(VLOOKUP($S6919,References!$B$3:$C$7,2,FALSE))),"")</f>
        <v/>
      </c>
      <c r="W6919" s="74" t="str">
        <f>IFERROR(VLOOKUP($O6919,'Customer List'!$A$1:$J$488,10,FALSE),"")</f>
        <v/>
      </c>
    </row>
    <row r="6920" spans="18:23">
      <c r="R6920" s="127">
        <f t="shared" si="291"/>
        <v>0</v>
      </c>
      <c r="T6920" s="128">
        <f t="shared" si="290"/>
        <v>0</v>
      </c>
      <c r="U6920" s="129" t="str">
        <f>IFERROR(IF(#REF!="S",VLOOKUP('Raw Data'!A6920,References!#REF!,2,FALSE),(VLOOKUP($S6920,References!$B$3:$C$7,2,FALSE))),"")</f>
        <v/>
      </c>
      <c r="W6920" s="74" t="str">
        <f>IFERROR(VLOOKUP($O6920,'Customer List'!$A$1:$J$488,10,FALSE),"")</f>
        <v/>
      </c>
    </row>
    <row r="6921" spans="18:23">
      <c r="R6921" s="127">
        <f t="shared" si="291"/>
        <v>0</v>
      </c>
      <c r="T6921" s="128">
        <f t="shared" si="290"/>
        <v>0</v>
      </c>
      <c r="U6921" s="129" t="str">
        <f>IFERROR(IF(#REF!="S",VLOOKUP('Raw Data'!A6921,References!#REF!,2,FALSE),(VLOOKUP($S6921,References!$B$3:$C$7,2,FALSE))),"")</f>
        <v/>
      </c>
      <c r="W6921" s="74" t="str">
        <f>IFERROR(VLOOKUP($O6921,'Customer List'!$A$1:$J$488,10,FALSE),"")</f>
        <v/>
      </c>
    </row>
    <row r="6922" spans="18:23">
      <c r="R6922" s="127">
        <f t="shared" si="291"/>
        <v>0</v>
      </c>
      <c r="T6922" s="128">
        <f t="shared" ref="T6922:T6985" si="292">IF(S6922="50 - Cleaning Fee",1,HOUR($R6922)+MINUTE(R6922)/60)</f>
        <v>0</v>
      </c>
      <c r="U6922" s="129" t="str">
        <f>IFERROR(IF(#REF!="S",VLOOKUP('Raw Data'!A6922,References!#REF!,2,FALSE),(VLOOKUP($S6922,References!$B$3:$C$7,2,FALSE))),"")</f>
        <v/>
      </c>
      <c r="W6922" s="74" t="str">
        <f>IFERROR(VLOOKUP($O6922,'Customer List'!$A$1:$J$488,10,FALSE),"")</f>
        <v/>
      </c>
    </row>
    <row r="6923" spans="18:23">
      <c r="R6923" s="127">
        <f t="shared" si="291"/>
        <v>0</v>
      </c>
      <c r="T6923" s="128">
        <f t="shared" si="292"/>
        <v>0</v>
      </c>
      <c r="U6923" s="129" t="str">
        <f>IFERROR(IF(#REF!="S",VLOOKUP('Raw Data'!A6923,References!#REF!,2,FALSE),(VLOOKUP($S6923,References!$B$3:$C$7,2,FALSE))),"")</f>
        <v/>
      </c>
      <c r="W6923" s="74" t="str">
        <f>IFERROR(VLOOKUP($O6923,'Customer List'!$A$1:$J$488,10,FALSE),"")</f>
        <v/>
      </c>
    </row>
    <row r="6924" spans="18:23">
      <c r="R6924" s="127">
        <f t="shared" si="291"/>
        <v>0</v>
      </c>
      <c r="T6924" s="128">
        <f t="shared" si="292"/>
        <v>0</v>
      </c>
      <c r="U6924" s="129" t="str">
        <f>IFERROR(IF(#REF!="S",VLOOKUP('Raw Data'!A6924,References!#REF!,2,FALSE),(VLOOKUP($S6924,References!$B$3:$C$7,2,FALSE))),"")</f>
        <v/>
      </c>
      <c r="W6924" s="74" t="str">
        <f>IFERROR(VLOOKUP($O6924,'Customer List'!$A$1:$J$488,10,FALSE),"")</f>
        <v/>
      </c>
    </row>
    <row r="6925" spans="18:23">
      <c r="R6925" s="127">
        <f t="shared" si="291"/>
        <v>0</v>
      </c>
      <c r="T6925" s="128">
        <f t="shared" si="292"/>
        <v>0</v>
      </c>
      <c r="U6925" s="129" t="str">
        <f>IFERROR(IF(#REF!="S",VLOOKUP('Raw Data'!A6925,References!#REF!,2,FALSE),(VLOOKUP($S6925,References!$B$3:$C$7,2,FALSE))),"")</f>
        <v/>
      </c>
      <c r="W6925" s="74" t="str">
        <f>IFERROR(VLOOKUP($O6925,'Customer List'!$A$1:$J$488,10,FALSE),"")</f>
        <v/>
      </c>
    </row>
    <row r="6926" spans="18:23">
      <c r="R6926" s="127">
        <f t="shared" si="291"/>
        <v>0</v>
      </c>
      <c r="T6926" s="128">
        <f t="shared" si="292"/>
        <v>0</v>
      </c>
      <c r="U6926" s="129" t="str">
        <f>IFERROR(IF(#REF!="S",VLOOKUP('Raw Data'!A6926,References!#REF!,2,FALSE),(VLOOKUP($S6926,References!$B$3:$C$7,2,FALSE))),"")</f>
        <v/>
      </c>
      <c r="W6926" s="74" t="str">
        <f>IFERROR(VLOOKUP($O6926,'Customer List'!$A$1:$J$488,10,FALSE),"")</f>
        <v/>
      </c>
    </row>
    <row r="6927" spans="18:23">
      <c r="R6927" s="127">
        <f t="shared" si="291"/>
        <v>0</v>
      </c>
      <c r="T6927" s="128">
        <f t="shared" si="292"/>
        <v>0</v>
      </c>
      <c r="U6927" s="129" t="str">
        <f>IFERROR(IF(#REF!="S",VLOOKUP('Raw Data'!A6927,References!#REF!,2,FALSE),(VLOOKUP($S6927,References!$B$3:$C$7,2,FALSE))),"")</f>
        <v/>
      </c>
      <c r="W6927" s="74" t="str">
        <f>IFERROR(VLOOKUP($O6927,'Customer List'!$A$1:$J$488,10,FALSE),"")</f>
        <v/>
      </c>
    </row>
    <row r="6928" spans="18:23">
      <c r="R6928" s="127">
        <f t="shared" si="291"/>
        <v>0</v>
      </c>
      <c r="T6928" s="128">
        <f t="shared" si="292"/>
        <v>0</v>
      </c>
      <c r="U6928" s="129" t="str">
        <f>IFERROR(IF(#REF!="S",VLOOKUP('Raw Data'!A6928,References!#REF!,2,FALSE),(VLOOKUP($S6928,References!$B$3:$C$7,2,FALSE))),"")</f>
        <v/>
      </c>
      <c r="W6928" s="74" t="str">
        <f>IFERROR(VLOOKUP($O6928,'Customer List'!$A$1:$J$488,10,FALSE),"")</f>
        <v/>
      </c>
    </row>
    <row r="6929" spans="18:23">
      <c r="R6929" s="127">
        <f t="shared" si="291"/>
        <v>0</v>
      </c>
      <c r="T6929" s="128">
        <f t="shared" si="292"/>
        <v>0</v>
      </c>
      <c r="U6929" s="129" t="str">
        <f>IFERROR(IF(#REF!="S",VLOOKUP('Raw Data'!A6929,References!#REF!,2,FALSE),(VLOOKUP($S6929,References!$B$3:$C$7,2,FALSE))),"")</f>
        <v/>
      </c>
      <c r="W6929" s="74" t="str">
        <f>IFERROR(VLOOKUP($O6929,'Customer List'!$A$1:$J$488,10,FALSE),"")</f>
        <v/>
      </c>
    </row>
    <row r="6930" spans="18:23">
      <c r="R6930" s="127">
        <f t="shared" si="291"/>
        <v>0</v>
      </c>
      <c r="T6930" s="128">
        <f t="shared" si="292"/>
        <v>0</v>
      </c>
      <c r="U6930" s="129" t="str">
        <f>IFERROR(IF(#REF!="S",VLOOKUP('Raw Data'!A6930,References!#REF!,2,FALSE),(VLOOKUP($S6930,References!$B$3:$C$7,2,FALSE))),"")</f>
        <v/>
      </c>
      <c r="W6930" s="74" t="str">
        <f>IFERROR(VLOOKUP($O6930,'Customer List'!$A$1:$J$488,10,FALSE),"")</f>
        <v/>
      </c>
    </row>
    <row r="6931" spans="18:23">
      <c r="R6931" s="127">
        <f t="shared" si="291"/>
        <v>0</v>
      </c>
      <c r="T6931" s="128">
        <f t="shared" si="292"/>
        <v>0</v>
      </c>
      <c r="U6931" s="129" t="str">
        <f>IFERROR(IF(#REF!="S",VLOOKUP('Raw Data'!A6931,References!#REF!,2,FALSE),(VLOOKUP($S6931,References!$B$3:$C$7,2,FALSE))),"")</f>
        <v/>
      </c>
      <c r="W6931" s="74" t="str">
        <f>IFERROR(VLOOKUP($O6931,'Customer List'!$A$1:$J$488,10,FALSE),"")</f>
        <v/>
      </c>
    </row>
    <row r="6932" spans="18:23">
      <c r="R6932" s="127">
        <f t="shared" si="291"/>
        <v>0</v>
      </c>
      <c r="T6932" s="128">
        <f t="shared" si="292"/>
        <v>0</v>
      </c>
      <c r="U6932" s="129" t="str">
        <f>IFERROR(IF(#REF!="S",VLOOKUP('Raw Data'!A6932,References!#REF!,2,FALSE),(VLOOKUP($S6932,References!$B$3:$C$7,2,FALSE))),"")</f>
        <v/>
      </c>
      <c r="W6932" s="74" t="str">
        <f>IFERROR(VLOOKUP($O6932,'Customer List'!$A$1:$J$488,10,FALSE),"")</f>
        <v/>
      </c>
    </row>
    <row r="6933" spans="18:23">
      <c r="R6933" s="127">
        <f t="shared" si="291"/>
        <v>0</v>
      </c>
      <c r="T6933" s="128">
        <f t="shared" si="292"/>
        <v>0</v>
      </c>
      <c r="U6933" s="129" t="str">
        <f>IFERROR(IF(#REF!="S",VLOOKUP('Raw Data'!A6933,References!#REF!,2,FALSE),(VLOOKUP($S6933,References!$B$3:$C$7,2,FALSE))),"")</f>
        <v/>
      </c>
      <c r="W6933" s="74" t="str">
        <f>IFERROR(VLOOKUP($O6933,'Customer List'!$A$1:$J$488,10,FALSE),"")</f>
        <v/>
      </c>
    </row>
    <row r="6934" spans="18:23">
      <c r="R6934" s="127">
        <f t="shared" si="291"/>
        <v>0</v>
      </c>
      <c r="T6934" s="128">
        <f t="shared" si="292"/>
        <v>0</v>
      </c>
      <c r="U6934" s="129" t="str">
        <f>IFERROR(IF(#REF!="S",VLOOKUP('Raw Data'!A6934,References!#REF!,2,FALSE),(VLOOKUP($S6934,References!$B$3:$C$7,2,FALSE))),"")</f>
        <v/>
      </c>
      <c r="W6934" s="74" t="str">
        <f>IFERROR(VLOOKUP($O6934,'Customer List'!$A$1:$J$488,10,FALSE),"")</f>
        <v/>
      </c>
    </row>
    <row r="6935" spans="18:23">
      <c r="R6935" s="127">
        <f t="shared" si="291"/>
        <v>0</v>
      </c>
      <c r="T6935" s="128">
        <f t="shared" si="292"/>
        <v>0</v>
      </c>
      <c r="U6935" s="129" t="str">
        <f>IFERROR(IF(#REF!="S",VLOOKUP('Raw Data'!A6935,References!#REF!,2,FALSE),(VLOOKUP($S6935,References!$B$3:$C$7,2,FALSE))),"")</f>
        <v/>
      </c>
      <c r="W6935" s="74" t="str">
        <f>IFERROR(VLOOKUP($O6935,'Customer List'!$A$1:$J$488,10,FALSE),"")</f>
        <v/>
      </c>
    </row>
    <row r="6936" spans="18:23">
      <c r="R6936" s="127">
        <f t="shared" si="291"/>
        <v>0</v>
      </c>
      <c r="T6936" s="128">
        <f t="shared" si="292"/>
        <v>0</v>
      </c>
      <c r="U6936" s="129" t="str">
        <f>IFERROR(IF(#REF!="S",VLOOKUP('Raw Data'!A6936,References!#REF!,2,FALSE),(VLOOKUP($S6936,References!$B$3:$C$7,2,FALSE))),"")</f>
        <v/>
      </c>
      <c r="W6936" s="74" t="str">
        <f>IFERROR(VLOOKUP($O6936,'Customer List'!$A$1:$J$488,10,FALSE),"")</f>
        <v/>
      </c>
    </row>
    <row r="6937" spans="18:23">
      <c r="R6937" s="127">
        <f t="shared" si="291"/>
        <v>0</v>
      </c>
      <c r="T6937" s="128">
        <f t="shared" si="292"/>
        <v>0</v>
      </c>
      <c r="U6937" s="129" t="str">
        <f>IFERROR(IF(#REF!="S",VLOOKUP('Raw Data'!A6937,References!#REF!,2,FALSE),(VLOOKUP($S6937,References!$B$3:$C$7,2,FALSE))),"")</f>
        <v/>
      </c>
      <c r="W6937" s="74" t="str">
        <f>IFERROR(VLOOKUP($O6937,'Customer List'!$A$1:$J$488,10,FALSE),"")</f>
        <v/>
      </c>
    </row>
    <row r="6938" spans="18:23">
      <c r="R6938" s="127">
        <f t="shared" si="291"/>
        <v>0</v>
      </c>
      <c r="T6938" s="128">
        <f t="shared" si="292"/>
        <v>0</v>
      </c>
      <c r="U6938" s="129" t="str">
        <f>IFERROR(IF(#REF!="S",VLOOKUP('Raw Data'!A6938,References!#REF!,2,FALSE),(VLOOKUP($S6938,References!$B$3:$C$7,2,FALSE))),"")</f>
        <v/>
      </c>
      <c r="W6938" s="74" t="str">
        <f>IFERROR(VLOOKUP($O6938,'Customer List'!$A$1:$J$488,10,FALSE),"")</f>
        <v/>
      </c>
    </row>
    <row r="6939" spans="18:23">
      <c r="R6939" s="127">
        <f t="shared" si="291"/>
        <v>0</v>
      </c>
      <c r="T6939" s="128">
        <f t="shared" si="292"/>
        <v>0</v>
      </c>
      <c r="U6939" s="129" t="str">
        <f>IFERROR(IF(#REF!="S",VLOOKUP('Raw Data'!A6939,References!#REF!,2,FALSE),(VLOOKUP($S6939,References!$B$3:$C$7,2,FALSE))),"")</f>
        <v/>
      </c>
      <c r="W6939" s="74" t="str">
        <f>IFERROR(VLOOKUP($O6939,'Customer List'!$A$1:$J$488,10,FALSE),"")</f>
        <v/>
      </c>
    </row>
    <row r="6940" spans="18:23">
      <c r="R6940" s="127">
        <f t="shared" si="291"/>
        <v>0</v>
      </c>
      <c r="T6940" s="128">
        <f t="shared" si="292"/>
        <v>0</v>
      </c>
      <c r="U6940" s="129" t="str">
        <f>IFERROR(IF(#REF!="S",VLOOKUP('Raw Data'!A6940,References!#REF!,2,FALSE),(VLOOKUP($S6940,References!$B$3:$C$7,2,FALSE))),"")</f>
        <v/>
      </c>
      <c r="W6940" s="74" t="str">
        <f>IFERROR(VLOOKUP($O6940,'Customer List'!$A$1:$J$488,10,FALSE),"")</f>
        <v/>
      </c>
    </row>
    <row r="6941" spans="18:23">
      <c r="R6941" s="127">
        <f t="shared" si="291"/>
        <v>0</v>
      </c>
      <c r="T6941" s="128">
        <f t="shared" si="292"/>
        <v>0</v>
      </c>
      <c r="U6941" s="129" t="str">
        <f>IFERROR(IF(#REF!="S",VLOOKUP('Raw Data'!A6941,References!#REF!,2,FALSE),(VLOOKUP($S6941,References!$B$3:$C$7,2,FALSE))),"")</f>
        <v/>
      </c>
      <c r="W6941" s="74" t="str">
        <f>IFERROR(VLOOKUP($O6941,'Customer List'!$A$1:$J$488,10,FALSE),"")</f>
        <v/>
      </c>
    </row>
    <row r="6942" spans="18:23">
      <c r="R6942" s="127">
        <f t="shared" si="291"/>
        <v>0</v>
      </c>
      <c r="T6942" s="128">
        <f t="shared" si="292"/>
        <v>0</v>
      </c>
      <c r="U6942" s="129" t="str">
        <f>IFERROR(IF(#REF!="S",VLOOKUP('Raw Data'!A6942,References!#REF!,2,FALSE),(VLOOKUP($S6942,References!$B$3:$C$7,2,FALSE))),"")</f>
        <v/>
      </c>
      <c r="W6942" s="74" t="str">
        <f>IFERROR(VLOOKUP($O6942,'Customer List'!$A$1:$J$488,10,FALSE),"")</f>
        <v/>
      </c>
    </row>
    <row r="6943" spans="18:23">
      <c r="R6943" s="127">
        <f t="shared" si="291"/>
        <v>0</v>
      </c>
      <c r="T6943" s="128">
        <f t="shared" si="292"/>
        <v>0</v>
      </c>
      <c r="U6943" s="129" t="str">
        <f>IFERROR(IF(#REF!="S",VLOOKUP('Raw Data'!A6943,References!#REF!,2,FALSE),(VLOOKUP($S6943,References!$B$3:$C$7,2,FALSE))),"")</f>
        <v/>
      </c>
      <c r="W6943" s="74" t="str">
        <f>IFERROR(VLOOKUP($O6943,'Customer List'!$A$1:$J$488,10,FALSE),"")</f>
        <v/>
      </c>
    </row>
    <row r="6944" spans="18:23">
      <c r="R6944" s="127">
        <f t="shared" si="291"/>
        <v>0</v>
      </c>
      <c r="T6944" s="128">
        <f t="shared" si="292"/>
        <v>0</v>
      </c>
      <c r="U6944" s="129" t="str">
        <f>IFERROR(IF(#REF!="S",VLOOKUP('Raw Data'!A6944,References!#REF!,2,FALSE),(VLOOKUP($S6944,References!$B$3:$C$7,2,FALSE))),"")</f>
        <v/>
      </c>
      <c r="W6944" s="74" t="str">
        <f>IFERROR(VLOOKUP($O6944,'Customer List'!$A$1:$J$488,10,FALSE),"")</f>
        <v/>
      </c>
    </row>
    <row r="6945" spans="18:23">
      <c r="R6945" s="127">
        <f t="shared" si="291"/>
        <v>0</v>
      </c>
      <c r="T6945" s="128">
        <f t="shared" si="292"/>
        <v>0</v>
      </c>
      <c r="U6945" s="129" t="str">
        <f>IFERROR(IF(#REF!="S",VLOOKUP('Raw Data'!A6945,References!#REF!,2,FALSE),(VLOOKUP($S6945,References!$B$3:$C$7,2,FALSE))),"")</f>
        <v/>
      </c>
      <c r="W6945" s="74" t="str">
        <f>IFERROR(VLOOKUP($O6945,'Customer List'!$A$1:$J$488,10,FALSE),"")</f>
        <v/>
      </c>
    </row>
    <row r="6946" spans="18:23">
      <c r="R6946" s="127">
        <f t="shared" ref="R6946:R7009" si="293">L6946-K6946</f>
        <v>0</v>
      </c>
      <c r="T6946" s="128">
        <f t="shared" si="292"/>
        <v>0</v>
      </c>
      <c r="U6946" s="129" t="str">
        <f>IFERROR(IF(#REF!="S",VLOOKUP('Raw Data'!A6946,References!#REF!,2,FALSE),(VLOOKUP($S6946,References!$B$3:$C$7,2,FALSE))),"")</f>
        <v/>
      </c>
      <c r="W6946" s="74" t="str">
        <f>IFERROR(VLOOKUP($O6946,'Customer List'!$A$1:$J$488,10,FALSE),"")</f>
        <v/>
      </c>
    </row>
    <row r="6947" spans="18:23">
      <c r="R6947" s="127">
        <f t="shared" si="293"/>
        <v>0</v>
      </c>
      <c r="T6947" s="128">
        <f t="shared" si="292"/>
        <v>0</v>
      </c>
      <c r="U6947" s="129" t="str">
        <f>IFERROR(IF(#REF!="S",VLOOKUP('Raw Data'!A6947,References!#REF!,2,FALSE),(VLOOKUP($S6947,References!$B$3:$C$7,2,FALSE))),"")</f>
        <v/>
      </c>
      <c r="W6947" s="74" t="str">
        <f>IFERROR(VLOOKUP($O6947,'Customer List'!$A$1:$J$488,10,FALSE),"")</f>
        <v/>
      </c>
    </row>
    <row r="6948" spans="18:23">
      <c r="R6948" s="127">
        <f t="shared" si="293"/>
        <v>0</v>
      </c>
      <c r="T6948" s="128">
        <f t="shared" si="292"/>
        <v>0</v>
      </c>
      <c r="U6948" s="129" t="str">
        <f>IFERROR(IF(#REF!="S",VLOOKUP('Raw Data'!A6948,References!#REF!,2,FALSE),(VLOOKUP($S6948,References!$B$3:$C$7,2,FALSE))),"")</f>
        <v/>
      </c>
      <c r="W6948" s="74" t="str">
        <f>IFERROR(VLOOKUP($O6948,'Customer List'!$A$1:$J$488,10,FALSE),"")</f>
        <v/>
      </c>
    </row>
    <row r="6949" spans="18:23">
      <c r="R6949" s="127">
        <f t="shared" si="293"/>
        <v>0</v>
      </c>
      <c r="T6949" s="128">
        <f t="shared" si="292"/>
        <v>0</v>
      </c>
      <c r="U6949" s="129" t="str">
        <f>IFERROR(IF(#REF!="S",VLOOKUP('Raw Data'!A6949,References!#REF!,2,FALSE),(VLOOKUP($S6949,References!$B$3:$C$7,2,FALSE))),"")</f>
        <v/>
      </c>
      <c r="W6949" s="74" t="str">
        <f>IFERROR(VLOOKUP($O6949,'Customer List'!$A$1:$J$488,10,FALSE),"")</f>
        <v/>
      </c>
    </row>
    <row r="6950" spans="18:23">
      <c r="R6950" s="127">
        <f t="shared" si="293"/>
        <v>0</v>
      </c>
      <c r="T6950" s="128">
        <f t="shared" si="292"/>
        <v>0</v>
      </c>
      <c r="U6950" s="129" t="str">
        <f>IFERROR(IF(#REF!="S",VLOOKUP('Raw Data'!A6950,References!#REF!,2,FALSE),(VLOOKUP($S6950,References!$B$3:$C$7,2,FALSE))),"")</f>
        <v/>
      </c>
      <c r="W6950" s="74" t="str">
        <f>IFERROR(VLOOKUP($O6950,'Customer List'!$A$1:$J$488,10,FALSE),"")</f>
        <v/>
      </c>
    </row>
    <row r="6951" spans="18:23">
      <c r="R6951" s="127">
        <f t="shared" si="293"/>
        <v>0</v>
      </c>
      <c r="T6951" s="128">
        <f t="shared" si="292"/>
        <v>0</v>
      </c>
      <c r="U6951" s="129" t="str">
        <f>IFERROR(IF(#REF!="S",VLOOKUP('Raw Data'!A6951,References!#REF!,2,FALSE),(VLOOKUP($S6951,References!$B$3:$C$7,2,FALSE))),"")</f>
        <v/>
      </c>
      <c r="W6951" s="74" t="str">
        <f>IFERROR(VLOOKUP($O6951,'Customer List'!$A$1:$J$488,10,FALSE),"")</f>
        <v/>
      </c>
    </row>
    <row r="6952" spans="18:23">
      <c r="R6952" s="127">
        <f t="shared" si="293"/>
        <v>0</v>
      </c>
      <c r="T6952" s="128">
        <f t="shared" si="292"/>
        <v>0</v>
      </c>
      <c r="U6952" s="129" t="str">
        <f>IFERROR(IF(#REF!="S",VLOOKUP('Raw Data'!A6952,References!#REF!,2,FALSE),(VLOOKUP($S6952,References!$B$3:$C$7,2,FALSE))),"")</f>
        <v/>
      </c>
      <c r="W6952" s="74" t="str">
        <f>IFERROR(VLOOKUP($O6952,'Customer List'!$A$1:$J$488,10,FALSE),"")</f>
        <v/>
      </c>
    </row>
    <row r="6953" spans="18:23">
      <c r="R6953" s="127">
        <f t="shared" si="293"/>
        <v>0</v>
      </c>
      <c r="T6953" s="128">
        <f t="shared" si="292"/>
        <v>0</v>
      </c>
      <c r="U6953" s="129" t="str">
        <f>IFERROR(IF(#REF!="S",VLOOKUP('Raw Data'!A6953,References!#REF!,2,FALSE),(VLOOKUP($S6953,References!$B$3:$C$7,2,FALSE))),"")</f>
        <v/>
      </c>
      <c r="W6953" s="74" t="str">
        <f>IFERROR(VLOOKUP($O6953,'Customer List'!$A$1:$J$488,10,FALSE),"")</f>
        <v/>
      </c>
    </row>
    <row r="6954" spans="18:23">
      <c r="R6954" s="127">
        <f t="shared" si="293"/>
        <v>0</v>
      </c>
      <c r="T6954" s="128">
        <f t="shared" si="292"/>
        <v>0</v>
      </c>
      <c r="U6954" s="129" t="str">
        <f>IFERROR(IF(#REF!="S",VLOOKUP('Raw Data'!A6954,References!#REF!,2,FALSE),(VLOOKUP($S6954,References!$B$3:$C$7,2,FALSE))),"")</f>
        <v/>
      </c>
      <c r="W6954" s="74" t="str">
        <f>IFERROR(VLOOKUP($O6954,'Customer List'!$A$1:$J$488,10,FALSE),"")</f>
        <v/>
      </c>
    </row>
    <row r="6955" spans="18:23">
      <c r="R6955" s="127">
        <f t="shared" si="293"/>
        <v>0</v>
      </c>
      <c r="T6955" s="128">
        <f t="shared" si="292"/>
        <v>0</v>
      </c>
      <c r="U6955" s="129" t="str">
        <f>IFERROR(IF(#REF!="S",VLOOKUP('Raw Data'!A6955,References!#REF!,2,FALSE),(VLOOKUP($S6955,References!$B$3:$C$7,2,FALSE))),"")</f>
        <v/>
      </c>
      <c r="W6955" s="74" t="str">
        <f>IFERROR(VLOOKUP($O6955,'Customer List'!$A$1:$J$488,10,FALSE),"")</f>
        <v/>
      </c>
    </row>
    <row r="6956" spans="18:23">
      <c r="R6956" s="127">
        <f t="shared" si="293"/>
        <v>0</v>
      </c>
      <c r="T6956" s="128">
        <f t="shared" si="292"/>
        <v>0</v>
      </c>
      <c r="U6956" s="129" t="str">
        <f>IFERROR(IF(#REF!="S",VLOOKUP('Raw Data'!A6956,References!#REF!,2,FALSE),(VLOOKUP($S6956,References!$B$3:$C$7,2,FALSE))),"")</f>
        <v/>
      </c>
      <c r="W6956" s="74" t="str">
        <f>IFERROR(VLOOKUP($O6956,'Customer List'!$A$1:$J$488,10,FALSE),"")</f>
        <v/>
      </c>
    </row>
    <row r="6957" spans="18:23">
      <c r="R6957" s="127">
        <f t="shared" si="293"/>
        <v>0</v>
      </c>
      <c r="T6957" s="128">
        <f t="shared" si="292"/>
        <v>0</v>
      </c>
      <c r="U6957" s="129" t="str">
        <f>IFERROR(IF(#REF!="S",VLOOKUP('Raw Data'!A6957,References!#REF!,2,FALSE),(VLOOKUP($S6957,References!$B$3:$C$7,2,FALSE))),"")</f>
        <v/>
      </c>
      <c r="W6957" s="74" t="str">
        <f>IFERROR(VLOOKUP($O6957,'Customer List'!$A$1:$J$488,10,FALSE),"")</f>
        <v/>
      </c>
    </row>
    <row r="6958" spans="18:23">
      <c r="R6958" s="127">
        <f t="shared" si="293"/>
        <v>0</v>
      </c>
      <c r="T6958" s="128">
        <f t="shared" si="292"/>
        <v>0</v>
      </c>
      <c r="U6958" s="129" t="str">
        <f>IFERROR(IF(#REF!="S",VLOOKUP('Raw Data'!A6958,References!#REF!,2,FALSE),(VLOOKUP($S6958,References!$B$3:$C$7,2,FALSE))),"")</f>
        <v/>
      </c>
      <c r="W6958" s="74" t="str">
        <f>IFERROR(VLOOKUP($O6958,'Customer List'!$A$1:$J$488,10,FALSE),"")</f>
        <v/>
      </c>
    </row>
    <row r="6959" spans="18:23">
      <c r="R6959" s="127">
        <f t="shared" si="293"/>
        <v>0</v>
      </c>
      <c r="T6959" s="128">
        <f t="shared" si="292"/>
        <v>0</v>
      </c>
      <c r="U6959" s="129" t="str">
        <f>IFERROR(IF(#REF!="S",VLOOKUP('Raw Data'!A6959,References!#REF!,2,FALSE),(VLOOKUP($S6959,References!$B$3:$C$7,2,FALSE))),"")</f>
        <v/>
      </c>
      <c r="W6959" s="74" t="str">
        <f>IFERROR(VLOOKUP($O6959,'Customer List'!$A$1:$J$488,10,FALSE),"")</f>
        <v/>
      </c>
    </row>
    <row r="6960" spans="18:23">
      <c r="R6960" s="127">
        <f t="shared" si="293"/>
        <v>0</v>
      </c>
      <c r="T6960" s="128">
        <f t="shared" si="292"/>
        <v>0</v>
      </c>
      <c r="U6960" s="129" t="str">
        <f>IFERROR(IF(#REF!="S",VLOOKUP('Raw Data'!A6960,References!#REF!,2,FALSE),(VLOOKUP($S6960,References!$B$3:$C$7,2,FALSE))),"")</f>
        <v/>
      </c>
      <c r="W6960" s="74" t="str">
        <f>IFERROR(VLOOKUP($O6960,'Customer List'!$A$1:$J$488,10,FALSE),"")</f>
        <v/>
      </c>
    </row>
    <row r="6961" spans="18:23">
      <c r="R6961" s="127">
        <f t="shared" si="293"/>
        <v>0</v>
      </c>
      <c r="T6961" s="128">
        <f t="shared" si="292"/>
        <v>0</v>
      </c>
      <c r="U6961" s="129" t="str">
        <f>IFERROR(IF(#REF!="S",VLOOKUP('Raw Data'!A6961,References!#REF!,2,FALSE),(VLOOKUP($S6961,References!$B$3:$C$7,2,FALSE))),"")</f>
        <v/>
      </c>
      <c r="W6961" s="74" t="str">
        <f>IFERROR(VLOOKUP($O6961,'Customer List'!$A$1:$J$488,10,FALSE),"")</f>
        <v/>
      </c>
    </row>
    <row r="6962" spans="18:23">
      <c r="R6962" s="127">
        <f t="shared" si="293"/>
        <v>0</v>
      </c>
      <c r="T6962" s="128">
        <f t="shared" si="292"/>
        <v>0</v>
      </c>
      <c r="U6962" s="129" t="str">
        <f>IFERROR(IF(#REF!="S",VLOOKUP('Raw Data'!A6962,References!#REF!,2,FALSE),(VLOOKUP($S6962,References!$B$3:$C$7,2,FALSE))),"")</f>
        <v/>
      </c>
      <c r="W6962" s="74" t="str">
        <f>IFERROR(VLOOKUP($O6962,'Customer List'!$A$1:$J$488,10,FALSE),"")</f>
        <v/>
      </c>
    </row>
    <row r="6963" spans="18:23">
      <c r="R6963" s="127">
        <f t="shared" si="293"/>
        <v>0</v>
      </c>
      <c r="T6963" s="128">
        <f t="shared" si="292"/>
        <v>0</v>
      </c>
      <c r="U6963" s="129" t="str">
        <f>IFERROR(IF(#REF!="S",VLOOKUP('Raw Data'!A6963,References!#REF!,2,FALSE),(VLOOKUP($S6963,References!$B$3:$C$7,2,FALSE))),"")</f>
        <v/>
      </c>
      <c r="W6963" s="74" t="str">
        <f>IFERROR(VLOOKUP($O6963,'Customer List'!$A$1:$J$488,10,FALSE),"")</f>
        <v/>
      </c>
    </row>
    <row r="6964" spans="18:23">
      <c r="R6964" s="127">
        <f t="shared" si="293"/>
        <v>0</v>
      </c>
      <c r="T6964" s="128">
        <f t="shared" si="292"/>
        <v>0</v>
      </c>
      <c r="U6964" s="129" t="str">
        <f>IFERROR(IF(#REF!="S",VLOOKUP('Raw Data'!A6964,References!#REF!,2,FALSE),(VLOOKUP($S6964,References!$B$3:$C$7,2,FALSE))),"")</f>
        <v/>
      </c>
      <c r="W6964" s="74" t="str">
        <f>IFERROR(VLOOKUP($O6964,'Customer List'!$A$1:$J$488,10,FALSE),"")</f>
        <v/>
      </c>
    </row>
    <row r="6965" spans="18:23">
      <c r="R6965" s="127">
        <f t="shared" si="293"/>
        <v>0</v>
      </c>
      <c r="T6965" s="128">
        <f t="shared" si="292"/>
        <v>0</v>
      </c>
      <c r="U6965" s="129" t="str">
        <f>IFERROR(IF(#REF!="S",VLOOKUP('Raw Data'!A6965,References!#REF!,2,FALSE),(VLOOKUP($S6965,References!$B$3:$C$7,2,FALSE))),"")</f>
        <v/>
      </c>
      <c r="W6965" s="74" t="str">
        <f>IFERROR(VLOOKUP($O6965,'Customer List'!$A$1:$J$488,10,FALSE),"")</f>
        <v/>
      </c>
    </row>
    <row r="6966" spans="18:23">
      <c r="R6966" s="127">
        <f t="shared" si="293"/>
        <v>0</v>
      </c>
      <c r="T6966" s="128">
        <f t="shared" si="292"/>
        <v>0</v>
      </c>
      <c r="U6966" s="129" t="str">
        <f>IFERROR(IF(#REF!="S",VLOOKUP('Raw Data'!A6966,References!#REF!,2,FALSE),(VLOOKUP($S6966,References!$B$3:$C$7,2,FALSE))),"")</f>
        <v/>
      </c>
      <c r="W6966" s="74" t="str">
        <f>IFERROR(VLOOKUP($O6966,'Customer List'!$A$1:$J$488,10,FALSE),"")</f>
        <v/>
      </c>
    </row>
    <row r="6967" spans="18:23">
      <c r="R6967" s="127">
        <f t="shared" si="293"/>
        <v>0</v>
      </c>
      <c r="T6967" s="128">
        <f t="shared" si="292"/>
        <v>0</v>
      </c>
      <c r="U6967" s="129" t="str">
        <f>IFERROR(IF(#REF!="S",VLOOKUP('Raw Data'!A6967,References!#REF!,2,FALSE),(VLOOKUP($S6967,References!$B$3:$C$7,2,FALSE))),"")</f>
        <v/>
      </c>
      <c r="W6967" s="74" t="str">
        <f>IFERROR(VLOOKUP($O6967,'Customer List'!$A$1:$J$488,10,FALSE),"")</f>
        <v/>
      </c>
    </row>
    <row r="6968" spans="18:23">
      <c r="R6968" s="127">
        <f t="shared" si="293"/>
        <v>0</v>
      </c>
      <c r="T6968" s="128">
        <f t="shared" si="292"/>
        <v>0</v>
      </c>
      <c r="U6968" s="129" t="str">
        <f>IFERROR(IF(#REF!="S",VLOOKUP('Raw Data'!A6968,References!#REF!,2,FALSE),(VLOOKUP($S6968,References!$B$3:$C$7,2,FALSE))),"")</f>
        <v/>
      </c>
      <c r="W6968" s="74" t="str">
        <f>IFERROR(VLOOKUP($O6968,'Customer List'!$A$1:$J$488,10,FALSE),"")</f>
        <v/>
      </c>
    </row>
    <row r="6969" spans="18:23">
      <c r="R6969" s="127">
        <f t="shared" si="293"/>
        <v>0</v>
      </c>
      <c r="T6969" s="128">
        <f t="shared" si="292"/>
        <v>0</v>
      </c>
      <c r="U6969" s="129" t="str">
        <f>IFERROR(IF(#REF!="S",VLOOKUP('Raw Data'!A6969,References!#REF!,2,FALSE),(VLOOKUP($S6969,References!$B$3:$C$7,2,FALSE))),"")</f>
        <v/>
      </c>
      <c r="W6969" s="74" t="str">
        <f>IFERROR(VLOOKUP($O6969,'Customer List'!$A$1:$J$488,10,FALSE),"")</f>
        <v/>
      </c>
    </row>
    <row r="6970" spans="18:23">
      <c r="R6970" s="127">
        <f t="shared" si="293"/>
        <v>0</v>
      </c>
      <c r="T6970" s="128">
        <f t="shared" si="292"/>
        <v>0</v>
      </c>
      <c r="U6970" s="129" t="str">
        <f>IFERROR(IF(#REF!="S",VLOOKUP('Raw Data'!A6970,References!#REF!,2,FALSE),(VLOOKUP($S6970,References!$B$3:$C$7,2,FALSE))),"")</f>
        <v/>
      </c>
      <c r="W6970" s="74" t="str">
        <f>IFERROR(VLOOKUP($O6970,'Customer List'!$A$1:$J$488,10,FALSE),"")</f>
        <v/>
      </c>
    </row>
    <row r="6971" spans="18:23">
      <c r="R6971" s="127">
        <f t="shared" si="293"/>
        <v>0</v>
      </c>
      <c r="T6971" s="128">
        <f t="shared" si="292"/>
        <v>0</v>
      </c>
      <c r="U6971" s="129" t="str">
        <f>IFERROR(IF(#REF!="S",VLOOKUP('Raw Data'!A6971,References!#REF!,2,FALSE),(VLOOKUP($S6971,References!$B$3:$C$7,2,FALSE))),"")</f>
        <v/>
      </c>
      <c r="W6971" s="74" t="str">
        <f>IFERROR(VLOOKUP($O6971,'Customer List'!$A$1:$J$488,10,FALSE),"")</f>
        <v/>
      </c>
    </row>
    <row r="6972" spans="18:23">
      <c r="R6972" s="127">
        <f t="shared" si="293"/>
        <v>0</v>
      </c>
      <c r="T6972" s="128">
        <f t="shared" si="292"/>
        <v>0</v>
      </c>
      <c r="U6972" s="129" t="str">
        <f>IFERROR(IF(#REF!="S",VLOOKUP('Raw Data'!A6972,References!#REF!,2,FALSE),(VLOOKUP($S6972,References!$B$3:$C$7,2,FALSE))),"")</f>
        <v/>
      </c>
      <c r="W6972" s="74" t="str">
        <f>IFERROR(VLOOKUP($O6972,'Customer List'!$A$1:$J$488,10,FALSE),"")</f>
        <v/>
      </c>
    </row>
    <row r="6973" spans="18:23">
      <c r="R6973" s="127">
        <f t="shared" si="293"/>
        <v>0</v>
      </c>
      <c r="T6973" s="128">
        <f t="shared" si="292"/>
        <v>0</v>
      </c>
      <c r="U6973" s="129" t="str">
        <f>IFERROR(IF(#REF!="S",VLOOKUP('Raw Data'!A6973,References!#REF!,2,FALSE),(VLOOKUP($S6973,References!$B$3:$C$7,2,FALSE))),"")</f>
        <v/>
      </c>
      <c r="W6973" s="74" t="str">
        <f>IFERROR(VLOOKUP($O6973,'Customer List'!$A$1:$J$488,10,FALSE),"")</f>
        <v/>
      </c>
    </row>
    <row r="6974" spans="18:23">
      <c r="R6974" s="127">
        <f t="shared" si="293"/>
        <v>0</v>
      </c>
      <c r="T6974" s="128">
        <f t="shared" si="292"/>
        <v>0</v>
      </c>
      <c r="U6974" s="129" t="str">
        <f>IFERROR(IF(#REF!="S",VLOOKUP('Raw Data'!A6974,References!#REF!,2,FALSE),(VLOOKUP($S6974,References!$B$3:$C$7,2,FALSE))),"")</f>
        <v/>
      </c>
      <c r="W6974" s="74" t="str">
        <f>IFERROR(VLOOKUP($O6974,'Customer List'!$A$1:$J$488,10,FALSE),"")</f>
        <v/>
      </c>
    </row>
    <row r="6975" spans="18:23">
      <c r="R6975" s="127">
        <f t="shared" si="293"/>
        <v>0</v>
      </c>
      <c r="T6975" s="128">
        <f t="shared" si="292"/>
        <v>0</v>
      </c>
      <c r="U6975" s="129" t="str">
        <f>IFERROR(IF(#REF!="S",VLOOKUP('Raw Data'!A6975,References!#REF!,2,FALSE),(VLOOKUP($S6975,References!$B$3:$C$7,2,FALSE))),"")</f>
        <v/>
      </c>
      <c r="W6975" s="74" t="str">
        <f>IFERROR(VLOOKUP($O6975,'Customer List'!$A$1:$J$488,10,FALSE),"")</f>
        <v/>
      </c>
    </row>
    <row r="6976" spans="18:23">
      <c r="R6976" s="127">
        <f t="shared" si="293"/>
        <v>0</v>
      </c>
      <c r="T6976" s="128">
        <f t="shared" si="292"/>
        <v>0</v>
      </c>
      <c r="U6976" s="129" t="str">
        <f>IFERROR(IF(#REF!="S",VLOOKUP('Raw Data'!A6976,References!#REF!,2,FALSE),(VLOOKUP($S6976,References!$B$3:$C$7,2,FALSE))),"")</f>
        <v/>
      </c>
      <c r="W6976" s="74" t="str">
        <f>IFERROR(VLOOKUP($O6976,'Customer List'!$A$1:$J$488,10,FALSE),"")</f>
        <v/>
      </c>
    </row>
    <row r="6977" spans="18:23">
      <c r="R6977" s="127">
        <f t="shared" si="293"/>
        <v>0</v>
      </c>
      <c r="T6977" s="128">
        <f t="shared" si="292"/>
        <v>0</v>
      </c>
      <c r="U6977" s="129" t="str">
        <f>IFERROR(IF(#REF!="S",VLOOKUP('Raw Data'!A6977,References!#REF!,2,FALSE),(VLOOKUP($S6977,References!$B$3:$C$7,2,FALSE))),"")</f>
        <v/>
      </c>
      <c r="W6977" s="74" t="str">
        <f>IFERROR(VLOOKUP($O6977,'Customer List'!$A$1:$J$488,10,FALSE),"")</f>
        <v/>
      </c>
    </row>
    <row r="6978" spans="18:23">
      <c r="R6978" s="127">
        <f t="shared" si="293"/>
        <v>0</v>
      </c>
      <c r="T6978" s="128">
        <f t="shared" si="292"/>
        <v>0</v>
      </c>
      <c r="U6978" s="129" t="str">
        <f>IFERROR(IF(#REF!="S",VLOOKUP('Raw Data'!A6978,References!#REF!,2,FALSE),(VLOOKUP($S6978,References!$B$3:$C$7,2,FALSE))),"")</f>
        <v/>
      </c>
      <c r="W6978" s="74" t="str">
        <f>IFERROR(VLOOKUP($O6978,'Customer List'!$A$1:$J$488,10,FALSE),"")</f>
        <v/>
      </c>
    </row>
    <row r="6979" spans="18:23">
      <c r="R6979" s="127">
        <f t="shared" si="293"/>
        <v>0</v>
      </c>
      <c r="T6979" s="128">
        <f t="shared" si="292"/>
        <v>0</v>
      </c>
      <c r="U6979" s="129" t="str">
        <f>IFERROR(IF(#REF!="S",VLOOKUP('Raw Data'!A6979,References!#REF!,2,FALSE),(VLOOKUP($S6979,References!$B$3:$C$7,2,FALSE))),"")</f>
        <v/>
      </c>
      <c r="W6979" s="74" t="str">
        <f>IFERROR(VLOOKUP($O6979,'Customer List'!$A$1:$J$488,10,FALSE),"")</f>
        <v/>
      </c>
    </row>
    <row r="6980" spans="18:23">
      <c r="R6980" s="127">
        <f t="shared" si="293"/>
        <v>0</v>
      </c>
      <c r="T6980" s="128">
        <f t="shared" si="292"/>
        <v>0</v>
      </c>
      <c r="U6980" s="129" t="str">
        <f>IFERROR(IF(#REF!="S",VLOOKUP('Raw Data'!A6980,References!#REF!,2,FALSE),(VLOOKUP($S6980,References!$B$3:$C$7,2,FALSE))),"")</f>
        <v/>
      </c>
      <c r="W6980" s="74" t="str">
        <f>IFERROR(VLOOKUP($O6980,'Customer List'!$A$1:$J$488,10,FALSE),"")</f>
        <v/>
      </c>
    </row>
    <row r="6981" spans="18:23">
      <c r="R6981" s="127">
        <f t="shared" si="293"/>
        <v>0</v>
      </c>
      <c r="T6981" s="128">
        <f t="shared" si="292"/>
        <v>0</v>
      </c>
      <c r="U6981" s="129" t="str">
        <f>IFERROR(IF(#REF!="S",VLOOKUP('Raw Data'!A6981,References!#REF!,2,FALSE),(VLOOKUP($S6981,References!$B$3:$C$7,2,FALSE))),"")</f>
        <v/>
      </c>
      <c r="W6981" s="74" t="str">
        <f>IFERROR(VLOOKUP($O6981,'Customer List'!$A$1:$J$488,10,FALSE),"")</f>
        <v/>
      </c>
    </row>
    <row r="6982" spans="18:23">
      <c r="R6982" s="127">
        <f t="shared" si="293"/>
        <v>0</v>
      </c>
      <c r="T6982" s="128">
        <f t="shared" si="292"/>
        <v>0</v>
      </c>
      <c r="U6982" s="129" t="str">
        <f>IFERROR(IF(#REF!="S",VLOOKUP('Raw Data'!A6982,References!#REF!,2,FALSE),(VLOOKUP($S6982,References!$B$3:$C$7,2,FALSE))),"")</f>
        <v/>
      </c>
      <c r="W6982" s="74" t="str">
        <f>IFERROR(VLOOKUP($O6982,'Customer List'!$A$1:$J$488,10,FALSE),"")</f>
        <v/>
      </c>
    </row>
    <row r="6983" spans="18:23">
      <c r="R6983" s="127">
        <f t="shared" si="293"/>
        <v>0</v>
      </c>
      <c r="T6983" s="128">
        <f t="shared" si="292"/>
        <v>0</v>
      </c>
      <c r="U6983" s="129" t="str">
        <f>IFERROR(IF(#REF!="S",VLOOKUP('Raw Data'!A6983,References!#REF!,2,FALSE),(VLOOKUP($S6983,References!$B$3:$C$7,2,FALSE))),"")</f>
        <v/>
      </c>
      <c r="W6983" s="74" t="str">
        <f>IFERROR(VLOOKUP($O6983,'Customer List'!$A$1:$J$488,10,FALSE),"")</f>
        <v/>
      </c>
    </row>
    <row r="6984" spans="18:23">
      <c r="R6984" s="127">
        <f t="shared" si="293"/>
        <v>0</v>
      </c>
      <c r="T6984" s="128">
        <f t="shared" si="292"/>
        <v>0</v>
      </c>
      <c r="U6984" s="129" t="str">
        <f>IFERROR(IF(#REF!="S",VLOOKUP('Raw Data'!A6984,References!#REF!,2,FALSE),(VLOOKUP($S6984,References!$B$3:$C$7,2,FALSE))),"")</f>
        <v/>
      </c>
      <c r="W6984" s="74" t="str">
        <f>IFERROR(VLOOKUP($O6984,'Customer List'!$A$1:$J$488,10,FALSE),"")</f>
        <v/>
      </c>
    </row>
    <row r="6985" spans="18:23">
      <c r="R6985" s="127">
        <f t="shared" si="293"/>
        <v>0</v>
      </c>
      <c r="T6985" s="128">
        <f t="shared" si="292"/>
        <v>0</v>
      </c>
      <c r="U6985" s="129" t="str">
        <f>IFERROR(IF(#REF!="S",VLOOKUP('Raw Data'!A6985,References!#REF!,2,FALSE),(VLOOKUP($S6985,References!$B$3:$C$7,2,FALSE))),"")</f>
        <v/>
      </c>
      <c r="W6985" s="74" t="str">
        <f>IFERROR(VLOOKUP($O6985,'Customer List'!$A$1:$J$488,10,FALSE),"")</f>
        <v/>
      </c>
    </row>
    <row r="6986" spans="18:23">
      <c r="R6986" s="127">
        <f t="shared" si="293"/>
        <v>0</v>
      </c>
      <c r="T6986" s="128">
        <f t="shared" ref="T6986:T7049" si="294">IF(S6986="50 - Cleaning Fee",1,HOUR($R6986)+MINUTE(R6986)/60)</f>
        <v>0</v>
      </c>
      <c r="U6986" s="129" t="str">
        <f>IFERROR(IF(#REF!="S",VLOOKUP('Raw Data'!A6986,References!#REF!,2,FALSE),(VLOOKUP($S6986,References!$B$3:$C$7,2,FALSE))),"")</f>
        <v/>
      </c>
      <c r="W6986" s="74" t="str">
        <f>IFERROR(VLOOKUP($O6986,'Customer List'!$A$1:$J$488,10,FALSE),"")</f>
        <v/>
      </c>
    </row>
    <row r="6987" spans="18:23">
      <c r="R6987" s="127">
        <f t="shared" si="293"/>
        <v>0</v>
      </c>
      <c r="T6987" s="128">
        <f t="shared" si="294"/>
        <v>0</v>
      </c>
      <c r="U6987" s="129" t="str">
        <f>IFERROR(IF(#REF!="S",VLOOKUP('Raw Data'!A6987,References!#REF!,2,FALSE),(VLOOKUP($S6987,References!$B$3:$C$7,2,FALSE))),"")</f>
        <v/>
      </c>
      <c r="W6987" s="74" t="str">
        <f>IFERROR(VLOOKUP($O6987,'Customer List'!$A$1:$J$488,10,FALSE),"")</f>
        <v/>
      </c>
    </row>
    <row r="6988" spans="18:23">
      <c r="R6988" s="127">
        <f t="shared" si="293"/>
        <v>0</v>
      </c>
      <c r="T6988" s="128">
        <f t="shared" si="294"/>
        <v>0</v>
      </c>
      <c r="U6988" s="129" t="str">
        <f>IFERROR(IF(#REF!="S",VLOOKUP('Raw Data'!A6988,References!#REF!,2,FALSE),(VLOOKUP($S6988,References!$B$3:$C$7,2,FALSE))),"")</f>
        <v/>
      </c>
      <c r="W6988" s="74" t="str">
        <f>IFERROR(VLOOKUP($O6988,'Customer List'!$A$1:$J$488,10,FALSE),"")</f>
        <v/>
      </c>
    </row>
    <row r="6989" spans="18:23">
      <c r="R6989" s="127">
        <f t="shared" si="293"/>
        <v>0</v>
      </c>
      <c r="T6989" s="128">
        <f t="shared" si="294"/>
        <v>0</v>
      </c>
      <c r="U6989" s="129" t="str">
        <f>IFERROR(IF(#REF!="S",VLOOKUP('Raw Data'!A6989,References!#REF!,2,FALSE),(VLOOKUP($S6989,References!$B$3:$C$7,2,FALSE))),"")</f>
        <v/>
      </c>
      <c r="W6989" s="74" t="str">
        <f>IFERROR(VLOOKUP($O6989,'Customer List'!$A$1:$J$488,10,FALSE),"")</f>
        <v/>
      </c>
    </row>
    <row r="6990" spans="18:23">
      <c r="R6990" s="127">
        <f t="shared" si="293"/>
        <v>0</v>
      </c>
      <c r="T6990" s="128">
        <f t="shared" si="294"/>
        <v>0</v>
      </c>
      <c r="U6990" s="129" t="str">
        <f>IFERROR(IF(#REF!="S",VLOOKUP('Raw Data'!A6990,References!#REF!,2,FALSE),(VLOOKUP($S6990,References!$B$3:$C$7,2,FALSE))),"")</f>
        <v/>
      </c>
      <c r="W6990" s="74" t="str">
        <f>IFERROR(VLOOKUP($O6990,'Customer List'!$A$1:$J$488,10,FALSE),"")</f>
        <v/>
      </c>
    </row>
    <row r="6991" spans="18:23">
      <c r="R6991" s="127">
        <f t="shared" si="293"/>
        <v>0</v>
      </c>
      <c r="T6991" s="128">
        <f t="shared" si="294"/>
        <v>0</v>
      </c>
      <c r="U6991" s="129" t="str">
        <f>IFERROR(IF(#REF!="S",VLOOKUP('Raw Data'!A6991,References!#REF!,2,FALSE),(VLOOKUP($S6991,References!$B$3:$C$7,2,FALSE))),"")</f>
        <v/>
      </c>
      <c r="W6991" s="74" t="str">
        <f>IFERROR(VLOOKUP($O6991,'Customer List'!$A$1:$J$488,10,FALSE),"")</f>
        <v/>
      </c>
    </row>
    <row r="6992" spans="18:23">
      <c r="R6992" s="127">
        <f t="shared" si="293"/>
        <v>0</v>
      </c>
      <c r="T6992" s="128">
        <f t="shared" si="294"/>
        <v>0</v>
      </c>
      <c r="U6992" s="129" t="str">
        <f>IFERROR(IF(#REF!="S",VLOOKUP('Raw Data'!A6992,References!#REF!,2,FALSE),(VLOOKUP($S6992,References!$B$3:$C$7,2,FALSE))),"")</f>
        <v/>
      </c>
      <c r="W6992" s="74" t="str">
        <f>IFERROR(VLOOKUP($O6992,'Customer List'!$A$1:$J$488,10,FALSE),"")</f>
        <v/>
      </c>
    </row>
    <row r="6993" spans="18:23">
      <c r="R6993" s="127">
        <f t="shared" si="293"/>
        <v>0</v>
      </c>
      <c r="T6993" s="128">
        <f t="shared" si="294"/>
        <v>0</v>
      </c>
      <c r="U6993" s="129" t="str">
        <f>IFERROR(IF(#REF!="S",VLOOKUP('Raw Data'!A6993,References!#REF!,2,FALSE),(VLOOKUP($S6993,References!$B$3:$C$7,2,FALSE))),"")</f>
        <v/>
      </c>
      <c r="W6993" s="74" t="str">
        <f>IFERROR(VLOOKUP($O6993,'Customer List'!$A$1:$J$488,10,FALSE),"")</f>
        <v/>
      </c>
    </row>
    <row r="6994" spans="18:23">
      <c r="R6994" s="127">
        <f t="shared" si="293"/>
        <v>0</v>
      </c>
      <c r="T6994" s="128">
        <f t="shared" si="294"/>
        <v>0</v>
      </c>
      <c r="U6994" s="129" t="str">
        <f>IFERROR(IF(#REF!="S",VLOOKUP('Raw Data'!A6994,References!#REF!,2,FALSE),(VLOOKUP($S6994,References!$B$3:$C$7,2,FALSE))),"")</f>
        <v/>
      </c>
      <c r="W6994" s="74" t="str">
        <f>IFERROR(VLOOKUP($O6994,'Customer List'!$A$1:$J$488,10,FALSE),"")</f>
        <v/>
      </c>
    </row>
    <row r="6995" spans="18:23">
      <c r="R6995" s="127">
        <f t="shared" si="293"/>
        <v>0</v>
      </c>
      <c r="T6995" s="128">
        <f t="shared" si="294"/>
        <v>0</v>
      </c>
      <c r="U6995" s="129" t="str">
        <f>IFERROR(IF(#REF!="S",VLOOKUP('Raw Data'!A6995,References!#REF!,2,FALSE),(VLOOKUP($S6995,References!$B$3:$C$7,2,FALSE))),"")</f>
        <v/>
      </c>
      <c r="W6995" s="74" t="str">
        <f>IFERROR(VLOOKUP($O6995,'Customer List'!$A$1:$J$488,10,FALSE),"")</f>
        <v/>
      </c>
    </row>
    <row r="6996" spans="18:23">
      <c r="R6996" s="127">
        <f t="shared" si="293"/>
        <v>0</v>
      </c>
      <c r="T6996" s="128">
        <f t="shared" si="294"/>
        <v>0</v>
      </c>
      <c r="U6996" s="129" t="str">
        <f>IFERROR(IF(#REF!="S",VLOOKUP('Raw Data'!A6996,References!#REF!,2,FALSE),(VLOOKUP($S6996,References!$B$3:$C$7,2,FALSE))),"")</f>
        <v/>
      </c>
      <c r="W6996" s="74" t="str">
        <f>IFERROR(VLOOKUP($O6996,'Customer List'!$A$1:$J$488,10,FALSE),"")</f>
        <v/>
      </c>
    </row>
    <row r="6997" spans="18:23">
      <c r="R6997" s="127">
        <f t="shared" si="293"/>
        <v>0</v>
      </c>
      <c r="T6997" s="128">
        <f t="shared" si="294"/>
        <v>0</v>
      </c>
      <c r="U6997" s="129" t="str">
        <f>IFERROR(IF(#REF!="S",VLOOKUP('Raw Data'!A6997,References!#REF!,2,FALSE),(VLOOKUP($S6997,References!$B$3:$C$7,2,FALSE))),"")</f>
        <v/>
      </c>
      <c r="W6997" s="74" t="str">
        <f>IFERROR(VLOOKUP($O6997,'Customer List'!$A$1:$J$488,10,FALSE),"")</f>
        <v/>
      </c>
    </row>
    <row r="6998" spans="18:23">
      <c r="R6998" s="127">
        <f t="shared" si="293"/>
        <v>0</v>
      </c>
      <c r="T6998" s="128">
        <f t="shared" si="294"/>
        <v>0</v>
      </c>
      <c r="U6998" s="129" t="str">
        <f>IFERROR(IF(#REF!="S",VLOOKUP('Raw Data'!A6998,References!#REF!,2,FALSE),(VLOOKUP($S6998,References!$B$3:$C$7,2,FALSE))),"")</f>
        <v/>
      </c>
      <c r="W6998" s="74" t="str">
        <f>IFERROR(VLOOKUP($O6998,'Customer List'!$A$1:$J$488,10,FALSE),"")</f>
        <v/>
      </c>
    </row>
    <row r="6999" spans="18:23">
      <c r="R6999" s="127">
        <f t="shared" si="293"/>
        <v>0</v>
      </c>
      <c r="T6999" s="128">
        <f t="shared" si="294"/>
        <v>0</v>
      </c>
      <c r="U6999" s="129" t="str">
        <f>IFERROR(IF(#REF!="S",VLOOKUP('Raw Data'!A6999,References!#REF!,2,FALSE),(VLOOKUP($S6999,References!$B$3:$C$7,2,FALSE))),"")</f>
        <v/>
      </c>
      <c r="W6999" s="74" t="str">
        <f>IFERROR(VLOOKUP($O6999,'Customer List'!$A$1:$J$488,10,FALSE),"")</f>
        <v/>
      </c>
    </row>
    <row r="7000" spans="18:23">
      <c r="R7000" s="127">
        <f t="shared" si="293"/>
        <v>0</v>
      </c>
      <c r="T7000" s="128">
        <f t="shared" si="294"/>
        <v>0</v>
      </c>
      <c r="U7000" s="129" t="str">
        <f>IFERROR(IF(#REF!="S",VLOOKUP('Raw Data'!A7000,References!#REF!,2,FALSE),(VLOOKUP($S7000,References!$B$3:$C$7,2,FALSE))),"")</f>
        <v/>
      </c>
      <c r="W7000" s="74" t="str">
        <f>IFERROR(VLOOKUP($O7000,'Customer List'!$A$1:$J$488,10,FALSE),"")</f>
        <v/>
      </c>
    </row>
    <row r="7001" spans="18:23">
      <c r="R7001" s="127">
        <f t="shared" si="293"/>
        <v>0</v>
      </c>
      <c r="T7001" s="128">
        <f t="shared" si="294"/>
        <v>0</v>
      </c>
      <c r="U7001" s="129" t="str">
        <f>IFERROR(IF(#REF!="S",VLOOKUP('Raw Data'!A7001,References!#REF!,2,FALSE),(VLOOKUP($S7001,References!$B$3:$C$7,2,FALSE))),"")</f>
        <v/>
      </c>
      <c r="W7001" s="74" t="str">
        <f>IFERROR(VLOOKUP($O7001,'Customer List'!$A$1:$J$488,10,FALSE),"")</f>
        <v/>
      </c>
    </row>
    <row r="7002" spans="18:23">
      <c r="R7002" s="127">
        <f t="shared" si="293"/>
        <v>0</v>
      </c>
      <c r="T7002" s="128">
        <f t="shared" si="294"/>
        <v>0</v>
      </c>
      <c r="U7002" s="129" t="str">
        <f>IFERROR(IF(#REF!="S",VLOOKUP('Raw Data'!A7002,References!#REF!,2,FALSE),(VLOOKUP($S7002,References!$B$3:$C$7,2,FALSE))),"")</f>
        <v/>
      </c>
      <c r="W7002" s="74" t="str">
        <f>IFERROR(VLOOKUP($O7002,'Customer List'!$A$1:$J$488,10,FALSE),"")</f>
        <v/>
      </c>
    </row>
    <row r="7003" spans="18:23">
      <c r="R7003" s="127">
        <f t="shared" si="293"/>
        <v>0</v>
      </c>
      <c r="T7003" s="128">
        <f t="shared" si="294"/>
        <v>0</v>
      </c>
      <c r="U7003" s="129" t="str">
        <f>IFERROR(IF(#REF!="S",VLOOKUP('Raw Data'!A7003,References!#REF!,2,FALSE),(VLOOKUP($S7003,References!$B$3:$C$7,2,FALSE))),"")</f>
        <v/>
      </c>
      <c r="W7003" s="74" t="str">
        <f>IFERROR(VLOOKUP($O7003,'Customer List'!$A$1:$J$488,10,FALSE),"")</f>
        <v/>
      </c>
    </row>
    <row r="7004" spans="18:23">
      <c r="R7004" s="127">
        <f t="shared" si="293"/>
        <v>0</v>
      </c>
      <c r="T7004" s="128">
        <f t="shared" si="294"/>
        <v>0</v>
      </c>
      <c r="U7004" s="129" t="str">
        <f>IFERROR(IF(#REF!="S",VLOOKUP('Raw Data'!A7004,References!#REF!,2,FALSE),(VLOOKUP($S7004,References!$B$3:$C$7,2,FALSE))),"")</f>
        <v/>
      </c>
      <c r="W7004" s="74" t="str">
        <f>IFERROR(VLOOKUP($O7004,'Customer List'!$A$1:$J$488,10,FALSE),"")</f>
        <v/>
      </c>
    </row>
    <row r="7005" spans="18:23">
      <c r="R7005" s="127">
        <f t="shared" si="293"/>
        <v>0</v>
      </c>
      <c r="T7005" s="128">
        <f t="shared" si="294"/>
        <v>0</v>
      </c>
      <c r="U7005" s="129" t="str">
        <f>IFERROR(IF(#REF!="S",VLOOKUP('Raw Data'!A7005,References!#REF!,2,FALSE),(VLOOKUP($S7005,References!$B$3:$C$7,2,FALSE))),"")</f>
        <v/>
      </c>
      <c r="W7005" s="74" t="str">
        <f>IFERROR(VLOOKUP($O7005,'Customer List'!$A$1:$J$488,10,FALSE),"")</f>
        <v/>
      </c>
    </row>
    <row r="7006" spans="18:23">
      <c r="R7006" s="127">
        <f t="shared" si="293"/>
        <v>0</v>
      </c>
      <c r="T7006" s="128">
        <f t="shared" si="294"/>
        <v>0</v>
      </c>
      <c r="U7006" s="129" t="str">
        <f>IFERROR(IF(#REF!="S",VLOOKUP('Raw Data'!A7006,References!#REF!,2,FALSE),(VLOOKUP($S7006,References!$B$3:$C$7,2,FALSE))),"")</f>
        <v/>
      </c>
      <c r="W7006" s="74" t="str">
        <f>IFERROR(VLOOKUP($O7006,'Customer List'!$A$1:$J$488,10,FALSE),"")</f>
        <v/>
      </c>
    </row>
    <row r="7007" spans="18:23">
      <c r="R7007" s="127">
        <f t="shared" si="293"/>
        <v>0</v>
      </c>
      <c r="T7007" s="128">
        <f t="shared" si="294"/>
        <v>0</v>
      </c>
      <c r="U7007" s="129" t="str">
        <f>IFERROR(IF(#REF!="S",VLOOKUP('Raw Data'!A7007,References!#REF!,2,FALSE),(VLOOKUP($S7007,References!$B$3:$C$7,2,FALSE))),"")</f>
        <v/>
      </c>
      <c r="W7007" s="74" t="str">
        <f>IFERROR(VLOOKUP($O7007,'Customer List'!$A$1:$J$488,10,FALSE),"")</f>
        <v/>
      </c>
    </row>
    <row r="7008" spans="18:23">
      <c r="R7008" s="127">
        <f t="shared" si="293"/>
        <v>0</v>
      </c>
      <c r="T7008" s="128">
        <f t="shared" si="294"/>
        <v>0</v>
      </c>
      <c r="U7008" s="129" t="str">
        <f>IFERROR(IF(#REF!="S",VLOOKUP('Raw Data'!A7008,References!#REF!,2,FALSE),(VLOOKUP($S7008,References!$B$3:$C$7,2,FALSE))),"")</f>
        <v/>
      </c>
      <c r="W7008" s="74" t="str">
        <f>IFERROR(VLOOKUP($O7008,'Customer List'!$A$1:$J$488,10,FALSE),"")</f>
        <v/>
      </c>
    </row>
    <row r="7009" spans="18:23">
      <c r="R7009" s="127">
        <f t="shared" si="293"/>
        <v>0</v>
      </c>
      <c r="T7009" s="128">
        <f t="shared" si="294"/>
        <v>0</v>
      </c>
      <c r="U7009" s="129" t="str">
        <f>IFERROR(IF(#REF!="S",VLOOKUP('Raw Data'!A7009,References!#REF!,2,FALSE),(VLOOKUP($S7009,References!$B$3:$C$7,2,FALSE))),"")</f>
        <v/>
      </c>
      <c r="W7009" s="74" t="str">
        <f>IFERROR(VLOOKUP($O7009,'Customer List'!$A$1:$J$488,10,FALSE),"")</f>
        <v/>
      </c>
    </row>
    <row r="7010" spans="18:23">
      <c r="R7010" s="127">
        <f t="shared" ref="R7010:R7073" si="295">L7010-K7010</f>
        <v>0</v>
      </c>
      <c r="T7010" s="128">
        <f t="shared" si="294"/>
        <v>0</v>
      </c>
      <c r="U7010" s="129" t="str">
        <f>IFERROR(IF(#REF!="S",VLOOKUP('Raw Data'!A7010,References!#REF!,2,FALSE),(VLOOKUP($S7010,References!$B$3:$C$7,2,FALSE))),"")</f>
        <v/>
      </c>
      <c r="W7010" s="74" t="str">
        <f>IFERROR(VLOOKUP($O7010,'Customer List'!$A$1:$J$488,10,FALSE),"")</f>
        <v/>
      </c>
    </row>
    <row r="7011" spans="18:23">
      <c r="R7011" s="127">
        <f t="shared" si="295"/>
        <v>0</v>
      </c>
      <c r="T7011" s="128">
        <f t="shared" si="294"/>
        <v>0</v>
      </c>
      <c r="U7011" s="129" t="str">
        <f>IFERROR(IF(#REF!="S",VLOOKUP('Raw Data'!A7011,References!#REF!,2,FALSE),(VLOOKUP($S7011,References!$B$3:$C$7,2,FALSE))),"")</f>
        <v/>
      </c>
      <c r="W7011" s="74" t="str">
        <f>IFERROR(VLOOKUP($O7011,'Customer List'!$A$1:$J$488,10,FALSE),"")</f>
        <v/>
      </c>
    </row>
    <row r="7012" spans="18:23">
      <c r="R7012" s="127">
        <f t="shared" si="295"/>
        <v>0</v>
      </c>
      <c r="T7012" s="128">
        <f t="shared" si="294"/>
        <v>0</v>
      </c>
      <c r="U7012" s="129" t="str">
        <f>IFERROR(IF(#REF!="S",VLOOKUP('Raw Data'!A7012,References!#REF!,2,FALSE),(VLOOKUP($S7012,References!$B$3:$C$7,2,FALSE))),"")</f>
        <v/>
      </c>
      <c r="W7012" s="74" t="str">
        <f>IFERROR(VLOOKUP($O7012,'Customer List'!$A$1:$J$488,10,FALSE),"")</f>
        <v/>
      </c>
    </row>
    <row r="7013" spans="18:23">
      <c r="R7013" s="127">
        <f t="shared" si="295"/>
        <v>0</v>
      </c>
      <c r="T7013" s="128">
        <f t="shared" si="294"/>
        <v>0</v>
      </c>
      <c r="U7013" s="129" t="str">
        <f>IFERROR(IF(#REF!="S",VLOOKUP('Raw Data'!A7013,References!#REF!,2,FALSE),(VLOOKUP($S7013,References!$B$3:$C$7,2,FALSE))),"")</f>
        <v/>
      </c>
      <c r="W7013" s="74" t="str">
        <f>IFERROR(VLOOKUP($O7013,'Customer List'!$A$1:$J$488,10,FALSE),"")</f>
        <v/>
      </c>
    </row>
    <row r="7014" spans="18:23">
      <c r="R7014" s="127">
        <f t="shared" si="295"/>
        <v>0</v>
      </c>
      <c r="T7014" s="128">
        <f t="shared" si="294"/>
        <v>0</v>
      </c>
      <c r="U7014" s="129" t="str">
        <f>IFERROR(IF(#REF!="S",VLOOKUP('Raw Data'!A7014,References!#REF!,2,FALSE),(VLOOKUP($S7014,References!$B$3:$C$7,2,FALSE))),"")</f>
        <v/>
      </c>
      <c r="W7014" s="74" t="str">
        <f>IFERROR(VLOOKUP($O7014,'Customer List'!$A$1:$J$488,10,FALSE),"")</f>
        <v/>
      </c>
    </row>
    <row r="7015" spans="18:23">
      <c r="R7015" s="127">
        <f t="shared" si="295"/>
        <v>0</v>
      </c>
      <c r="T7015" s="128">
        <f t="shared" si="294"/>
        <v>0</v>
      </c>
      <c r="U7015" s="129" t="str">
        <f>IFERROR(IF(#REF!="S",VLOOKUP('Raw Data'!A7015,References!#REF!,2,FALSE),(VLOOKUP($S7015,References!$B$3:$C$7,2,FALSE))),"")</f>
        <v/>
      </c>
      <c r="W7015" s="74" t="str">
        <f>IFERROR(VLOOKUP($O7015,'Customer List'!$A$1:$J$488,10,FALSE),"")</f>
        <v/>
      </c>
    </row>
    <row r="7016" spans="18:23">
      <c r="R7016" s="127">
        <f t="shared" si="295"/>
        <v>0</v>
      </c>
      <c r="T7016" s="128">
        <f t="shared" si="294"/>
        <v>0</v>
      </c>
      <c r="U7016" s="129" t="str">
        <f>IFERROR(IF(#REF!="S",VLOOKUP('Raw Data'!A7016,References!#REF!,2,FALSE),(VLOOKUP($S7016,References!$B$3:$C$7,2,FALSE))),"")</f>
        <v/>
      </c>
      <c r="W7016" s="74" t="str">
        <f>IFERROR(VLOOKUP($O7016,'Customer List'!$A$1:$J$488,10,FALSE),"")</f>
        <v/>
      </c>
    </row>
    <row r="7017" spans="18:23">
      <c r="R7017" s="127">
        <f t="shared" si="295"/>
        <v>0</v>
      </c>
      <c r="T7017" s="128">
        <f t="shared" si="294"/>
        <v>0</v>
      </c>
      <c r="U7017" s="129" t="str">
        <f>IFERROR(IF(#REF!="S",VLOOKUP('Raw Data'!A7017,References!#REF!,2,FALSE),(VLOOKUP($S7017,References!$B$3:$C$7,2,FALSE))),"")</f>
        <v/>
      </c>
      <c r="W7017" s="74" t="str">
        <f>IFERROR(VLOOKUP($O7017,'Customer List'!$A$1:$J$488,10,FALSE),"")</f>
        <v/>
      </c>
    </row>
    <row r="7018" spans="18:23">
      <c r="R7018" s="127">
        <f t="shared" si="295"/>
        <v>0</v>
      </c>
      <c r="T7018" s="128">
        <f t="shared" si="294"/>
        <v>0</v>
      </c>
      <c r="U7018" s="129" t="str">
        <f>IFERROR(IF(#REF!="S",VLOOKUP('Raw Data'!A7018,References!#REF!,2,FALSE),(VLOOKUP($S7018,References!$B$3:$C$7,2,FALSE))),"")</f>
        <v/>
      </c>
      <c r="W7018" s="74" t="str">
        <f>IFERROR(VLOOKUP($O7018,'Customer List'!$A$1:$J$488,10,FALSE),"")</f>
        <v/>
      </c>
    </row>
    <row r="7019" spans="18:23">
      <c r="R7019" s="127">
        <f t="shared" si="295"/>
        <v>0</v>
      </c>
      <c r="T7019" s="128">
        <f t="shared" si="294"/>
        <v>0</v>
      </c>
      <c r="U7019" s="129" t="str">
        <f>IFERROR(IF(#REF!="S",VLOOKUP('Raw Data'!A7019,References!#REF!,2,FALSE),(VLOOKUP($S7019,References!$B$3:$C$7,2,FALSE))),"")</f>
        <v/>
      </c>
      <c r="W7019" s="74" t="str">
        <f>IFERROR(VLOOKUP($O7019,'Customer List'!$A$1:$J$488,10,FALSE),"")</f>
        <v/>
      </c>
    </row>
    <row r="7020" spans="18:23">
      <c r="R7020" s="127">
        <f t="shared" si="295"/>
        <v>0</v>
      </c>
      <c r="T7020" s="128">
        <f t="shared" si="294"/>
        <v>0</v>
      </c>
      <c r="U7020" s="129" t="str">
        <f>IFERROR(IF(#REF!="S",VLOOKUP('Raw Data'!A7020,References!#REF!,2,FALSE),(VLOOKUP($S7020,References!$B$3:$C$7,2,FALSE))),"")</f>
        <v/>
      </c>
      <c r="W7020" s="74" t="str">
        <f>IFERROR(VLOOKUP($O7020,'Customer List'!$A$1:$J$488,10,FALSE),"")</f>
        <v/>
      </c>
    </row>
    <row r="7021" spans="18:23">
      <c r="R7021" s="127">
        <f t="shared" si="295"/>
        <v>0</v>
      </c>
      <c r="T7021" s="128">
        <f t="shared" si="294"/>
        <v>0</v>
      </c>
      <c r="U7021" s="129" t="str">
        <f>IFERROR(IF(#REF!="S",VLOOKUP('Raw Data'!A7021,References!#REF!,2,FALSE),(VLOOKUP($S7021,References!$B$3:$C$7,2,FALSE))),"")</f>
        <v/>
      </c>
      <c r="W7021" s="74" t="str">
        <f>IFERROR(VLOOKUP($O7021,'Customer List'!$A$1:$J$488,10,FALSE),"")</f>
        <v/>
      </c>
    </row>
    <row r="7022" spans="18:23">
      <c r="R7022" s="127">
        <f t="shared" si="295"/>
        <v>0</v>
      </c>
      <c r="T7022" s="128">
        <f t="shared" si="294"/>
        <v>0</v>
      </c>
      <c r="U7022" s="129" t="str">
        <f>IFERROR(IF(#REF!="S",VLOOKUP('Raw Data'!A7022,References!#REF!,2,FALSE),(VLOOKUP($S7022,References!$B$3:$C$7,2,FALSE))),"")</f>
        <v/>
      </c>
      <c r="W7022" s="74" t="str">
        <f>IFERROR(VLOOKUP($O7022,'Customer List'!$A$1:$J$488,10,FALSE),"")</f>
        <v/>
      </c>
    </row>
    <row r="7023" spans="18:23">
      <c r="R7023" s="127">
        <f t="shared" si="295"/>
        <v>0</v>
      </c>
      <c r="T7023" s="128">
        <f t="shared" si="294"/>
        <v>0</v>
      </c>
      <c r="U7023" s="129" t="str">
        <f>IFERROR(IF(#REF!="S",VLOOKUP('Raw Data'!A7023,References!#REF!,2,FALSE),(VLOOKUP($S7023,References!$B$3:$C$7,2,FALSE))),"")</f>
        <v/>
      </c>
      <c r="W7023" s="74" t="str">
        <f>IFERROR(VLOOKUP($O7023,'Customer List'!$A$1:$J$488,10,FALSE),"")</f>
        <v/>
      </c>
    </row>
    <row r="7024" spans="18:23">
      <c r="R7024" s="127">
        <f t="shared" si="295"/>
        <v>0</v>
      </c>
      <c r="T7024" s="128">
        <f t="shared" si="294"/>
        <v>0</v>
      </c>
      <c r="U7024" s="129" t="str">
        <f>IFERROR(IF(#REF!="S",VLOOKUP('Raw Data'!A7024,References!#REF!,2,FALSE),(VLOOKUP($S7024,References!$B$3:$C$7,2,FALSE))),"")</f>
        <v/>
      </c>
      <c r="W7024" s="74" t="str">
        <f>IFERROR(VLOOKUP($O7024,'Customer List'!$A$1:$J$488,10,FALSE),"")</f>
        <v/>
      </c>
    </row>
    <row r="7025" spans="18:23">
      <c r="R7025" s="127">
        <f t="shared" si="295"/>
        <v>0</v>
      </c>
      <c r="T7025" s="128">
        <f t="shared" si="294"/>
        <v>0</v>
      </c>
      <c r="U7025" s="129" t="str">
        <f>IFERROR(IF(#REF!="S",VLOOKUP('Raw Data'!A7025,References!#REF!,2,FALSE),(VLOOKUP($S7025,References!$B$3:$C$7,2,FALSE))),"")</f>
        <v/>
      </c>
      <c r="W7025" s="74" t="str">
        <f>IFERROR(VLOOKUP($O7025,'Customer List'!$A$1:$J$488,10,FALSE),"")</f>
        <v/>
      </c>
    </row>
    <row r="7026" spans="18:23">
      <c r="R7026" s="127">
        <f t="shared" si="295"/>
        <v>0</v>
      </c>
      <c r="T7026" s="128">
        <f t="shared" si="294"/>
        <v>0</v>
      </c>
      <c r="U7026" s="129" t="str">
        <f>IFERROR(IF(#REF!="S",VLOOKUP('Raw Data'!A7026,References!#REF!,2,FALSE),(VLOOKUP($S7026,References!$B$3:$C$7,2,FALSE))),"")</f>
        <v/>
      </c>
      <c r="W7026" s="74" t="str">
        <f>IFERROR(VLOOKUP($O7026,'Customer List'!$A$1:$J$488,10,FALSE),"")</f>
        <v/>
      </c>
    </row>
    <row r="7027" spans="18:23">
      <c r="R7027" s="127">
        <f t="shared" si="295"/>
        <v>0</v>
      </c>
      <c r="T7027" s="128">
        <f t="shared" si="294"/>
        <v>0</v>
      </c>
      <c r="U7027" s="129" t="str">
        <f>IFERROR(IF(#REF!="S",VLOOKUP('Raw Data'!A7027,References!#REF!,2,FALSE),(VLOOKUP($S7027,References!$B$3:$C$7,2,FALSE))),"")</f>
        <v/>
      </c>
      <c r="W7027" s="74" t="str">
        <f>IFERROR(VLOOKUP($O7027,'Customer List'!$A$1:$J$488,10,FALSE),"")</f>
        <v/>
      </c>
    </row>
    <row r="7028" spans="18:23">
      <c r="R7028" s="127">
        <f t="shared" si="295"/>
        <v>0</v>
      </c>
      <c r="T7028" s="128">
        <f t="shared" si="294"/>
        <v>0</v>
      </c>
      <c r="U7028" s="129" t="str">
        <f>IFERROR(IF(#REF!="S",VLOOKUP('Raw Data'!A7028,References!#REF!,2,FALSE),(VLOOKUP($S7028,References!$B$3:$C$7,2,FALSE))),"")</f>
        <v/>
      </c>
      <c r="W7028" s="74" t="str">
        <f>IFERROR(VLOOKUP($O7028,'Customer List'!$A$1:$J$488,10,FALSE),"")</f>
        <v/>
      </c>
    </row>
    <row r="7029" spans="18:23">
      <c r="R7029" s="127">
        <f t="shared" si="295"/>
        <v>0</v>
      </c>
      <c r="T7029" s="128">
        <f t="shared" si="294"/>
        <v>0</v>
      </c>
      <c r="U7029" s="129" t="str">
        <f>IFERROR(IF(#REF!="S",VLOOKUP('Raw Data'!A7029,References!#REF!,2,FALSE),(VLOOKUP($S7029,References!$B$3:$C$7,2,FALSE))),"")</f>
        <v/>
      </c>
      <c r="W7029" s="74" t="str">
        <f>IFERROR(VLOOKUP($O7029,'Customer List'!$A$1:$J$488,10,FALSE),"")</f>
        <v/>
      </c>
    </row>
    <row r="7030" spans="18:23">
      <c r="R7030" s="127">
        <f t="shared" si="295"/>
        <v>0</v>
      </c>
      <c r="T7030" s="128">
        <f t="shared" si="294"/>
        <v>0</v>
      </c>
      <c r="U7030" s="129" t="str">
        <f>IFERROR(IF(#REF!="S",VLOOKUP('Raw Data'!A7030,References!#REF!,2,FALSE),(VLOOKUP($S7030,References!$B$3:$C$7,2,FALSE))),"")</f>
        <v/>
      </c>
      <c r="W7030" s="74" t="str">
        <f>IFERROR(VLOOKUP($O7030,'Customer List'!$A$1:$J$488,10,FALSE),"")</f>
        <v/>
      </c>
    </row>
    <row r="7031" spans="18:23">
      <c r="R7031" s="127">
        <f t="shared" si="295"/>
        <v>0</v>
      </c>
      <c r="T7031" s="128">
        <f t="shared" si="294"/>
        <v>0</v>
      </c>
      <c r="U7031" s="129" t="str">
        <f>IFERROR(IF(#REF!="S",VLOOKUP('Raw Data'!A7031,References!#REF!,2,FALSE),(VLOOKUP($S7031,References!$B$3:$C$7,2,FALSE))),"")</f>
        <v/>
      </c>
      <c r="W7031" s="74" t="str">
        <f>IFERROR(VLOOKUP($O7031,'Customer List'!$A$1:$J$488,10,FALSE),"")</f>
        <v/>
      </c>
    </row>
    <row r="7032" spans="18:23">
      <c r="R7032" s="127">
        <f t="shared" si="295"/>
        <v>0</v>
      </c>
      <c r="T7032" s="128">
        <f t="shared" si="294"/>
        <v>0</v>
      </c>
      <c r="U7032" s="129" t="str">
        <f>IFERROR(IF(#REF!="S",VLOOKUP('Raw Data'!A7032,References!#REF!,2,FALSE),(VLOOKUP($S7032,References!$B$3:$C$7,2,FALSE))),"")</f>
        <v/>
      </c>
      <c r="W7032" s="74" t="str">
        <f>IFERROR(VLOOKUP($O7032,'Customer List'!$A$1:$J$488,10,FALSE),"")</f>
        <v/>
      </c>
    </row>
    <row r="7033" spans="18:23">
      <c r="R7033" s="127">
        <f t="shared" si="295"/>
        <v>0</v>
      </c>
      <c r="T7033" s="128">
        <f t="shared" si="294"/>
        <v>0</v>
      </c>
      <c r="U7033" s="129" t="str">
        <f>IFERROR(IF(#REF!="S",VLOOKUP('Raw Data'!A7033,References!#REF!,2,FALSE),(VLOOKUP($S7033,References!$B$3:$C$7,2,FALSE))),"")</f>
        <v/>
      </c>
      <c r="W7033" s="74" t="str">
        <f>IFERROR(VLOOKUP($O7033,'Customer List'!$A$1:$J$488,10,FALSE),"")</f>
        <v/>
      </c>
    </row>
    <row r="7034" spans="18:23">
      <c r="R7034" s="127">
        <f t="shared" si="295"/>
        <v>0</v>
      </c>
      <c r="T7034" s="128">
        <f t="shared" si="294"/>
        <v>0</v>
      </c>
      <c r="U7034" s="129" t="str">
        <f>IFERROR(IF(#REF!="S",VLOOKUP('Raw Data'!A7034,References!#REF!,2,FALSE),(VLOOKUP($S7034,References!$B$3:$C$7,2,FALSE))),"")</f>
        <v/>
      </c>
      <c r="W7034" s="74" t="str">
        <f>IFERROR(VLOOKUP($O7034,'Customer List'!$A$1:$J$488,10,FALSE),"")</f>
        <v/>
      </c>
    </row>
    <row r="7035" spans="18:23">
      <c r="R7035" s="127">
        <f t="shared" si="295"/>
        <v>0</v>
      </c>
      <c r="T7035" s="128">
        <f t="shared" si="294"/>
        <v>0</v>
      </c>
      <c r="U7035" s="129" t="str">
        <f>IFERROR(IF(#REF!="S",VLOOKUP('Raw Data'!A7035,References!#REF!,2,FALSE),(VLOOKUP($S7035,References!$B$3:$C$7,2,FALSE))),"")</f>
        <v/>
      </c>
      <c r="W7035" s="74" t="str">
        <f>IFERROR(VLOOKUP($O7035,'Customer List'!$A$1:$J$488,10,FALSE),"")</f>
        <v/>
      </c>
    </row>
    <row r="7036" spans="18:23">
      <c r="R7036" s="127">
        <f t="shared" si="295"/>
        <v>0</v>
      </c>
      <c r="T7036" s="128">
        <f t="shared" si="294"/>
        <v>0</v>
      </c>
      <c r="U7036" s="129" t="str">
        <f>IFERROR(IF(#REF!="S",VLOOKUP('Raw Data'!A7036,References!#REF!,2,FALSE),(VLOOKUP($S7036,References!$B$3:$C$7,2,FALSE))),"")</f>
        <v/>
      </c>
      <c r="W7036" s="74" t="str">
        <f>IFERROR(VLOOKUP($O7036,'Customer List'!$A$1:$J$488,10,FALSE),"")</f>
        <v/>
      </c>
    </row>
    <row r="7037" spans="18:23">
      <c r="R7037" s="127">
        <f t="shared" si="295"/>
        <v>0</v>
      </c>
      <c r="T7037" s="128">
        <f t="shared" si="294"/>
        <v>0</v>
      </c>
      <c r="U7037" s="129" t="str">
        <f>IFERROR(IF(#REF!="S",VLOOKUP('Raw Data'!A7037,References!#REF!,2,FALSE),(VLOOKUP($S7037,References!$B$3:$C$7,2,FALSE))),"")</f>
        <v/>
      </c>
      <c r="W7037" s="74" t="str">
        <f>IFERROR(VLOOKUP($O7037,'Customer List'!$A$1:$J$488,10,FALSE),"")</f>
        <v/>
      </c>
    </row>
    <row r="7038" spans="18:23">
      <c r="R7038" s="127">
        <f t="shared" si="295"/>
        <v>0</v>
      </c>
      <c r="T7038" s="128">
        <f t="shared" si="294"/>
        <v>0</v>
      </c>
      <c r="U7038" s="129" t="str">
        <f>IFERROR(IF(#REF!="S",VLOOKUP('Raw Data'!A7038,References!#REF!,2,FALSE),(VLOOKUP($S7038,References!$B$3:$C$7,2,FALSE))),"")</f>
        <v/>
      </c>
      <c r="W7038" s="74" t="str">
        <f>IFERROR(VLOOKUP($O7038,'Customer List'!$A$1:$J$488,10,FALSE),"")</f>
        <v/>
      </c>
    </row>
    <row r="7039" spans="18:23">
      <c r="R7039" s="127">
        <f t="shared" si="295"/>
        <v>0</v>
      </c>
      <c r="T7039" s="128">
        <f t="shared" si="294"/>
        <v>0</v>
      </c>
      <c r="U7039" s="129" t="str">
        <f>IFERROR(IF(#REF!="S",VLOOKUP('Raw Data'!A7039,References!#REF!,2,FALSE),(VLOOKUP($S7039,References!$B$3:$C$7,2,FALSE))),"")</f>
        <v/>
      </c>
      <c r="W7039" s="74" t="str">
        <f>IFERROR(VLOOKUP($O7039,'Customer List'!$A$1:$J$488,10,FALSE),"")</f>
        <v/>
      </c>
    </row>
    <row r="7040" spans="18:23">
      <c r="R7040" s="127">
        <f t="shared" si="295"/>
        <v>0</v>
      </c>
      <c r="T7040" s="128">
        <f t="shared" si="294"/>
        <v>0</v>
      </c>
      <c r="U7040" s="129" t="str">
        <f>IFERROR(IF(#REF!="S",VLOOKUP('Raw Data'!A7040,References!#REF!,2,FALSE),(VLOOKUP($S7040,References!$B$3:$C$7,2,FALSE))),"")</f>
        <v/>
      </c>
      <c r="W7040" s="74" t="str">
        <f>IFERROR(VLOOKUP($O7040,'Customer List'!$A$1:$J$488,10,FALSE),"")</f>
        <v/>
      </c>
    </row>
    <row r="7041" spans="18:23">
      <c r="R7041" s="127">
        <f t="shared" si="295"/>
        <v>0</v>
      </c>
      <c r="T7041" s="128">
        <f t="shared" si="294"/>
        <v>0</v>
      </c>
      <c r="U7041" s="129" t="str">
        <f>IFERROR(IF(#REF!="S",VLOOKUP('Raw Data'!A7041,References!#REF!,2,FALSE),(VLOOKUP($S7041,References!$B$3:$C$7,2,FALSE))),"")</f>
        <v/>
      </c>
      <c r="W7041" s="74" t="str">
        <f>IFERROR(VLOOKUP($O7041,'Customer List'!$A$1:$J$488,10,FALSE),"")</f>
        <v/>
      </c>
    </row>
    <row r="7042" spans="18:23">
      <c r="R7042" s="127">
        <f t="shared" si="295"/>
        <v>0</v>
      </c>
      <c r="T7042" s="128">
        <f t="shared" si="294"/>
        <v>0</v>
      </c>
      <c r="U7042" s="129" t="str">
        <f>IFERROR(IF(#REF!="S",VLOOKUP('Raw Data'!A7042,References!#REF!,2,FALSE),(VLOOKUP($S7042,References!$B$3:$C$7,2,FALSE))),"")</f>
        <v/>
      </c>
      <c r="W7042" s="74" t="str">
        <f>IFERROR(VLOOKUP($O7042,'Customer List'!$A$1:$J$488,10,FALSE),"")</f>
        <v/>
      </c>
    </row>
    <row r="7043" spans="18:23">
      <c r="R7043" s="127">
        <f t="shared" si="295"/>
        <v>0</v>
      </c>
      <c r="T7043" s="128">
        <f t="shared" si="294"/>
        <v>0</v>
      </c>
      <c r="U7043" s="129" t="str">
        <f>IFERROR(IF(#REF!="S",VLOOKUP('Raw Data'!A7043,References!#REF!,2,FALSE),(VLOOKUP($S7043,References!$B$3:$C$7,2,FALSE))),"")</f>
        <v/>
      </c>
      <c r="W7043" s="74" t="str">
        <f>IFERROR(VLOOKUP($O7043,'Customer List'!$A$1:$J$488,10,FALSE),"")</f>
        <v/>
      </c>
    </row>
    <row r="7044" spans="18:23">
      <c r="R7044" s="127">
        <f t="shared" si="295"/>
        <v>0</v>
      </c>
      <c r="T7044" s="128">
        <f t="shared" si="294"/>
        <v>0</v>
      </c>
      <c r="U7044" s="129" t="str">
        <f>IFERROR(IF(#REF!="S",VLOOKUP('Raw Data'!A7044,References!#REF!,2,FALSE),(VLOOKUP($S7044,References!$B$3:$C$7,2,FALSE))),"")</f>
        <v/>
      </c>
      <c r="W7044" s="74" t="str">
        <f>IFERROR(VLOOKUP($O7044,'Customer List'!$A$1:$J$488,10,FALSE),"")</f>
        <v/>
      </c>
    </row>
    <row r="7045" spans="18:23">
      <c r="R7045" s="127">
        <f t="shared" si="295"/>
        <v>0</v>
      </c>
      <c r="T7045" s="128">
        <f t="shared" si="294"/>
        <v>0</v>
      </c>
      <c r="U7045" s="129" t="str">
        <f>IFERROR(IF(#REF!="S",VLOOKUP('Raw Data'!A7045,References!#REF!,2,FALSE),(VLOOKUP($S7045,References!$B$3:$C$7,2,FALSE))),"")</f>
        <v/>
      </c>
      <c r="W7045" s="74" t="str">
        <f>IFERROR(VLOOKUP($O7045,'Customer List'!$A$1:$J$488,10,FALSE),"")</f>
        <v/>
      </c>
    </row>
    <row r="7046" spans="18:23">
      <c r="R7046" s="127">
        <f t="shared" si="295"/>
        <v>0</v>
      </c>
      <c r="T7046" s="128">
        <f t="shared" si="294"/>
        <v>0</v>
      </c>
      <c r="U7046" s="129" t="str">
        <f>IFERROR(IF(#REF!="S",VLOOKUP('Raw Data'!A7046,References!#REF!,2,FALSE),(VLOOKUP($S7046,References!$B$3:$C$7,2,FALSE))),"")</f>
        <v/>
      </c>
      <c r="W7046" s="74" t="str">
        <f>IFERROR(VLOOKUP($O7046,'Customer List'!$A$1:$J$488,10,FALSE),"")</f>
        <v/>
      </c>
    </row>
    <row r="7047" spans="18:23">
      <c r="R7047" s="127">
        <f t="shared" si="295"/>
        <v>0</v>
      </c>
      <c r="T7047" s="128">
        <f t="shared" si="294"/>
        <v>0</v>
      </c>
      <c r="U7047" s="129" t="str">
        <f>IFERROR(IF(#REF!="S",VLOOKUP('Raw Data'!A7047,References!#REF!,2,FALSE),(VLOOKUP($S7047,References!$B$3:$C$7,2,FALSE))),"")</f>
        <v/>
      </c>
      <c r="W7047" s="74" t="str">
        <f>IFERROR(VLOOKUP($O7047,'Customer List'!$A$1:$J$488,10,FALSE),"")</f>
        <v/>
      </c>
    </row>
    <row r="7048" spans="18:23">
      <c r="R7048" s="127">
        <f t="shared" si="295"/>
        <v>0</v>
      </c>
      <c r="T7048" s="128">
        <f t="shared" si="294"/>
        <v>0</v>
      </c>
      <c r="U7048" s="129" t="str">
        <f>IFERROR(IF(#REF!="S",VLOOKUP('Raw Data'!A7048,References!#REF!,2,FALSE),(VLOOKUP($S7048,References!$B$3:$C$7,2,FALSE))),"")</f>
        <v/>
      </c>
      <c r="W7048" s="74" t="str">
        <f>IFERROR(VLOOKUP($O7048,'Customer List'!$A$1:$J$488,10,FALSE),"")</f>
        <v/>
      </c>
    </row>
    <row r="7049" spans="18:23">
      <c r="R7049" s="127">
        <f t="shared" si="295"/>
        <v>0</v>
      </c>
      <c r="T7049" s="128">
        <f t="shared" si="294"/>
        <v>0</v>
      </c>
      <c r="U7049" s="129" t="str">
        <f>IFERROR(IF(#REF!="S",VLOOKUP('Raw Data'!A7049,References!#REF!,2,FALSE),(VLOOKUP($S7049,References!$B$3:$C$7,2,FALSE))),"")</f>
        <v/>
      </c>
      <c r="W7049" s="74" t="str">
        <f>IFERROR(VLOOKUP($O7049,'Customer List'!$A$1:$J$488,10,FALSE),"")</f>
        <v/>
      </c>
    </row>
    <row r="7050" spans="18:23">
      <c r="R7050" s="127">
        <f t="shared" si="295"/>
        <v>0</v>
      </c>
      <c r="T7050" s="128">
        <f t="shared" ref="T7050:T7113" si="296">IF(S7050="50 - Cleaning Fee",1,HOUR($R7050)+MINUTE(R7050)/60)</f>
        <v>0</v>
      </c>
      <c r="U7050" s="129" t="str">
        <f>IFERROR(IF(#REF!="S",VLOOKUP('Raw Data'!A7050,References!#REF!,2,FALSE),(VLOOKUP($S7050,References!$B$3:$C$7,2,FALSE))),"")</f>
        <v/>
      </c>
      <c r="W7050" s="74" t="str">
        <f>IFERROR(VLOOKUP($O7050,'Customer List'!$A$1:$J$488,10,FALSE),"")</f>
        <v/>
      </c>
    </row>
    <row r="7051" spans="18:23">
      <c r="R7051" s="127">
        <f t="shared" si="295"/>
        <v>0</v>
      </c>
      <c r="T7051" s="128">
        <f t="shared" si="296"/>
        <v>0</v>
      </c>
      <c r="U7051" s="129" t="str">
        <f>IFERROR(IF(#REF!="S",VLOOKUP('Raw Data'!A7051,References!#REF!,2,FALSE),(VLOOKUP($S7051,References!$B$3:$C$7,2,FALSE))),"")</f>
        <v/>
      </c>
      <c r="W7051" s="74" t="str">
        <f>IFERROR(VLOOKUP($O7051,'Customer List'!$A$1:$J$488,10,FALSE),"")</f>
        <v/>
      </c>
    </row>
    <row r="7052" spans="18:23">
      <c r="R7052" s="127">
        <f t="shared" si="295"/>
        <v>0</v>
      </c>
      <c r="T7052" s="128">
        <f t="shared" si="296"/>
        <v>0</v>
      </c>
      <c r="U7052" s="129" t="str">
        <f>IFERROR(IF(#REF!="S",VLOOKUP('Raw Data'!A7052,References!#REF!,2,FALSE),(VLOOKUP($S7052,References!$B$3:$C$7,2,FALSE))),"")</f>
        <v/>
      </c>
      <c r="W7052" s="74" t="str">
        <f>IFERROR(VLOOKUP($O7052,'Customer List'!$A$1:$J$488,10,FALSE),"")</f>
        <v/>
      </c>
    </row>
    <row r="7053" spans="18:23">
      <c r="R7053" s="127">
        <f t="shared" si="295"/>
        <v>0</v>
      </c>
      <c r="T7053" s="128">
        <f t="shared" si="296"/>
        <v>0</v>
      </c>
      <c r="U7053" s="129" t="str">
        <f>IFERROR(IF(#REF!="S",VLOOKUP('Raw Data'!A7053,References!#REF!,2,FALSE),(VLOOKUP($S7053,References!$B$3:$C$7,2,FALSE))),"")</f>
        <v/>
      </c>
      <c r="W7053" s="74" t="str">
        <f>IFERROR(VLOOKUP($O7053,'Customer List'!$A$1:$J$488,10,FALSE),"")</f>
        <v/>
      </c>
    </row>
    <row r="7054" spans="18:23">
      <c r="R7054" s="127">
        <f t="shared" si="295"/>
        <v>0</v>
      </c>
      <c r="T7054" s="128">
        <f t="shared" si="296"/>
        <v>0</v>
      </c>
      <c r="U7054" s="129" t="str">
        <f>IFERROR(IF(#REF!="S",VLOOKUP('Raw Data'!A7054,References!#REF!,2,FALSE),(VLOOKUP($S7054,References!$B$3:$C$7,2,FALSE))),"")</f>
        <v/>
      </c>
      <c r="W7054" s="74" t="str">
        <f>IFERROR(VLOOKUP($O7054,'Customer List'!$A$1:$J$488,10,FALSE),"")</f>
        <v/>
      </c>
    </row>
    <row r="7055" spans="18:23">
      <c r="R7055" s="127">
        <f t="shared" si="295"/>
        <v>0</v>
      </c>
      <c r="T7055" s="128">
        <f t="shared" si="296"/>
        <v>0</v>
      </c>
      <c r="U7055" s="129" t="str">
        <f>IFERROR(IF(#REF!="S",VLOOKUP('Raw Data'!A7055,References!#REF!,2,FALSE),(VLOOKUP($S7055,References!$B$3:$C$7,2,FALSE))),"")</f>
        <v/>
      </c>
      <c r="W7055" s="74" t="str">
        <f>IFERROR(VLOOKUP($O7055,'Customer List'!$A$1:$J$488,10,FALSE),"")</f>
        <v/>
      </c>
    </row>
    <row r="7056" spans="18:23">
      <c r="R7056" s="127">
        <f t="shared" si="295"/>
        <v>0</v>
      </c>
      <c r="T7056" s="128">
        <f t="shared" si="296"/>
        <v>0</v>
      </c>
      <c r="U7056" s="129" t="str">
        <f>IFERROR(IF(#REF!="S",VLOOKUP('Raw Data'!A7056,References!#REF!,2,FALSE),(VLOOKUP($S7056,References!$B$3:$C$7,2,FALSE))),"")</f>
        <v/>
      </c>
      <c r="W7056" s="74" t="str">
        <f>IFERROR(VLOOKUP($O7056,'Customer List'!$A$1:$J$488,10,FALSE),"")</f>
        <v/>
      </c>
    </row>
    <row r="7057" spans="18:23">
      <c r="R7057" s="127">
        <f t="shared" si="295"/>
        <v>0</v>
      </c>
      <c r="T7057" s="128">
        <f t="shared" si="296"/>
        <v>0</v>
      </c>
      <c r="U7057" s="129" t="str">
        <f>IFERROR(IF(#REF!="S",VLOOKUP('Raw Data'!A7057,References!#REF!,2,FALSE),(VLOOKUP($S7057,References!$B$3:$C$7,2,FALSE))),"")</f>
        <v/>
      </c>
      <c r="W7057" s="74" t="str">
        <f>IFERROR(VLOOKUP($O7057,'Customer List'!$A$1:$J$488,10,FALSE),"")</f>
        <v/>
      </c>
    </row>
    <row r="7058" spans="18:23">
      <c r="R7058" s="127">
        <f t="shared" si="295"/>
        <v>0</v>
      </c>
      <c r="T7058" s="128">
        <f t="shared" si="296"/>
        <v>0</v>
      </c>
      <c r="U7058" s="129" t="str">
        <f>IFERROR(IF(#REF!="S",VLOOKUP('Raw Data'!A7058,References!#REF!,2,FALSE),(VLOOKUP($S7058,References!$B$3:$C$7,2,FALSE))),"")</f>
        <v/>
      </c>
      <c r="W7058" s="74" t="str">
        <f>IFERROR(VLOOKUP($O7058,'Customer List'!$A$1:$J$488,10,FALSE),"")</f>
        <v/>
      </c>
    </row>
    <row r="7059" spans="18:23">
      <c r="R7059" s="127">
        <f t="shared" si="295"/>
        <v>0</v>
      </c>
      <c r="T7059" s="128">
        <f t="shared" si="296"/>
        <v>0</v>
      </c>
      <c r="U7059" s="129" t="str">
        <f>IFERROR(IF(#REF!="S",VLOOKUP('Raw Data'!A7059,References!#REF!,2,FALSE),(VLOOKUP($S7059,References!$B$3:$C$7,2,FALSE))),"")</f>
        <v/>
      </c>
      <c r="W7059" s="74" t="str">
        <f>IFERROR(VLOOKUP($O7059,'Customer List'!$A$1:$J$488,10,FALSE),"")</f>
        <v/>
      </c>
    </row>
    <row r="7060" spans="18:23">
      <c r="R7060" s="127">
        <f t="shared" si="295"/>
        <v>0</v>
      </c>
      <c r="T7060" s="128">
        <f t="shared" si="296"/>
        <v>0</v>
      </c>
      <c r="U7060" s="129" t="str">
        <f>IFERROR(IF(#REF!="S",VLOOKUP('Raw Data'!A7060,References!#REF!,2,FALSE),(VLOOKUP($S7060,References!$B$3:$C$7,2,FALSE))),"")</f>
        <v/>
      </c>
      <c r="W7060" s="74" t="str">
        <f>IFERROR(VLOOKUP($O7060,'Customer List'!$A$1:$J$488,10,FALSE),"")</f>
        <v/>
      </c>
    </row>
    <row r="7061" spans="18:23">
      <c r="R7061" s="127">
        <f t="shared" si="295"/>
        <v>0</v>
      </c>
      <c r="T7061" s="128">
        <f t="shared" si="296"/>
        <v>0</v>
      </c>
      <c r="U7061" s="129" t="str">
        <f>IFERROR(IF(#REF!="S",VLOOKUP('Raw Data'!A7061,References!#REF!,2,FALSE),(VLOOKUP($S7061,References!$B$3:$C$7,2,FALSE))),"")</f>
        <v/>
      </c>
      <c r="W7061" s="74" t="str">
        <f>IFERROR(VLOOKUP($O7061,'Customer List'!$A$1:$J$488,10,FALSE),"")</f>
        <v/>
      </c>
    </row>
    <row r="7062" spans="18:23">
      <c r="R7062" s="127">
        <f t="shared" si="295"/>
        <v>0</v>
      </c>
      <c r="T7062" s="128">
        <f t="shared" si="296"/>
        <v>0</v>
      </c>
      <c r="U7062" s="129" t="str">
        <f>IFERROR(IF(#REF!="S",VLOOKUP('Raw Data'!A7062,References!#REF!,2,FALSE),(VLOOKUP($S7062,References!$B$3:$C$7,2,FALSE))),"")</f>
        <v/>
      </c>
      <c r="W7062" s="74" t="str">
        <f>IFERROR(VLOOKUP($O7062,'Customer List'!$A$1:$J$488,10,FALSE),"")</f>
        <v/>
      </c>
    </row>
    <row r="7063" spans="18:23">
      <c r="R7063" s="127">
        <f t="shared" si="295"/>
        <v>0</v>
      </c>
      <c r="T7063" s="128">
        <f t="shared" si="296"/>
        <v>0</v>
      </c>
      <c r="U7063" s="129" t="str">
        <f>IFERROR(IF(#REF!="S",VLOOKUP('Raw Data'!A7063,References!#REF!,2,FALSE),(VLOOKUP($S7063,References!$B$3:$C$7,2,FALSE))),"")</f>
        <v/>
      </c>
      <c r="W7063" s="74" t="str">
        <f>IFERROR(VLOOKUP($O7063,'Customer List'!$A$1:$J$488,10,FALSE),"")</f>
        <v/>
      </c>
    </row>
    <row r="7064" spans="18:23">
      <c r="R7064" s="127">
        <f t="shared" si="295"/>
        <v>0</v>
      </c>
      <c r="T7064" s="128">
        <f t="shared" si="296"/>
        <v>0</v>
      </c>
      <c r="U7064" s="129" t="str">
        <f>IFERROR(IF(#REF!="S",VLOOKUP('Raw Data'!A7064,References!#REF!,2,FALSE),(VLOOKUP($S7064,References!$B$3:$C$7,2,FALSE))),"")</f>
        <v/>
      </c>
      <c r="W7064" s="74" t="str">
        <f>IFERROR(VLOOKUP($O7064,'Customer List'!$A$1:$J$488,10,FALSE),"")</f>
        <v/>
      </c>
    </row>
    <row r="7065" spans="18:23">
      <c r="R7065" s="127">
        <f t="shared" si="295"/>
        <v>0</v>
      </c>
      <c r="T7065" s="128">
        <f t="shared" si="296"/>
        <v>0</v>
      </c>
      <c r="U7065" s="129" t="str">
        <f>IFERROR(IF(#REF!="S",VLOOKUP('Raw Data'!A7065,References!#REF!,2,FALSE),(VLOOKUP($S7065,References!$B$3:$C$7,2,FALSE))),"")</f>
        <v/>
      </c>
      <c r="W7065" s="74" t="str">
        <f>IFERROR(VLOOKUP($O7065,'Customer List'!$A$1:$J$488,10,FALSE),"")</f>
        <v/>
      </c>
    </row>
    <row r="7066" spans="18:23">
      <c r="R7066" s="127">
        <f t="shared" si="295"/>
        <v>0</v>
      </c>
      <c r="T7066" s="128">
        <f t="shared" si="296"/>
        <v>0</v>
      </c>
      <c r="U7066" s="129" t="str">
        <f>IFERROR(IF(#REF!="S",VLOOKUP('Raw Data'!A7066,References!#REF!,2,FALSE),(VLOOKUP($S7066,References!$B$3:$C$7,2,FALSE))),"")</f>
        <v/>
      </c>
      <c r="W7066" s="74" t="str">
        <f>IFERROR(VLOOKUP($O7066,'Customer List'!$A$1:$J$488,10,FALSE),"")</f>
        <v/>
      </c>
    </row>
    <row r="7067" spans="18:23">
      <c r="R7067" s="127">
        <f t="shared" si="295"/>
        <v>0</v>
      </c>
      <c r="T7067" s="128">
        <f t="shared" si="296"/>
        <v>0</v>
      </c>
      <c r="U7067" s="129" t="str">
        <f>IFERROR(IF(#REF!="S",VLOOKUP('Raw Data'!A7067,References!#REF!,2,FALSE),(VLOOKUP($S7067,References!$B$3:$C$7,2,FALSE))),"")</f>
        <v/>
      </c>
      <c r="W7067" s="74" t="str">
        <f>IFERROR(VLOOKUP($O7067,'Customer List'!$A$1:$J$488,10,FALSE),"")</f>
        <v/>
      </c>
    </row>
    <row r="7068" spans="18:23">
      <c r="R7068" s="127">
        <f t="shared" si="295"/>
        <v>0</v>
      </c>
      <c r="T7068" s="128">
        <f t="shared" si="296"/>
        <v>0</v>
      </c>
      <c r="U7068" s="129" t="str">
        <f>IFERROR(IF(#REF!="S",VLOOKUP('Raw Data'!A7068,References!#REF!,2,FALSE),(VLOOKUP($S7068,References!$B$3:$C$7,2,FALSE))),"")</f>
        <v/>
      </c>
      <c r="W7068" s="74" t="str">
        <f>IFERROR(VLOOKUP($O7068,'Customer List'!$A$1:$J$488,10,FALSE),"")</f>
        <v/>
      </c>
    </row>
    <row r="7069" spans="18:23">
      <c r="R7069" s="127">
        <f t="shared" si="295"/>
        <v>0</v>
      </c>
      <c r="T7069" s="128">
        <f t="shared" si="296"/>
        <v>0</v>
      </c>
      <c r="U7069" s="129" t="str">
        <f>IFERROR(IF(#REF!="S",VLOOKUP('Raw Data'!A7069,References!#REF!,2,FALSE),(VLOOKUP($S7069,References!$B$3:$C$7,2,FALSE))),"")</f>
        <v/>
      </c>
      <c r="W7069" s="74" t="str">
        <f>IFERROR(VLOOKUP($O7069,'Customer List'!$A$1:$J$488,10,FALSE),"")</f>
        <v/>
      </c>
    </row>
    <row r="7070" spans="18:23">
      <c r="R7070" s="127">
        <f t="shared" si="295"/>
        <v>0</v>
      </c>
      <c r="T7070" s="128">
        <f t="shared" si="296"/>
        <v>0</v>
      </c>
      <c r="U7070" s="129" t="str">
        <f>IFERROR(IF(#REF!="S",VLOOKUP('Raw Data'!A7070,References!#REF!,2,FALSE),(VLOOKUP($S7070,References!$B$3:$C$7,2,FALSE))),"")</f>
        <v/>
      </c>
      <c r="W7070" s="74" t="str">
        <f>IFERROR(VLOOKUP($O7070,'Customer List'!$A$1:$J$488,10,FALSE),"")</f>
        <v/>
      </c>
    </row>
    <row r="7071" spans="18:23">
      <c r="R7071" s="127">
        <f t="shared" si="295"/>
        <v>0</v>
      </c>
      <c r="T7071" s="128">
        <f t="shared" si="296"/>
        <v>0</v>
      </c>
      <c r="U7071" s="129" t="str">
        <f>IFERROR(IF(#REF!="S",VLOOKUP('Raw Data'!A7071,References!#REF!,2,FALSE),(VLOOKUP($S7071,References!$B$3:$C$7,2,FALSE))),"")</f>
        <v/>
      </c>
      <c r="W7071" s="74" t="str">
        <f>IFERROR(VLOOKUP($O7071,'Customer List'!$A$1:$J$488,10,FALSE),"")</f>
        <v/>
      </c>
    </row>
    <row r="7072" spans="18:23">
      <c r="R7072" s="127">
        <f t="shared" si="295"/>
        <v>0</v>
      </c>
      <c r="T7072" s="128">
        <f t="shared" si="296"/>
        <v>0</v>
      </c>
      <c r="U7072" s="129" t="str">
        <f>IFERROR(IF(#REF!="S",VLOOKUP('Raw Data'!A7072,References!#REF!,2,FALSE),(VLOOKUP($S7072,References!$B$3:$C$7,2,FALSE))),"")</f>
        <v/>
      </c>
      <c r="W7072" s="74" t="str">
        <f>IFERROR(VLOOKUP($O7072,'Customer List'!$A$1:$J$488,10,FALSE),"")</f>
        <v/>
      </c>
    </row>
    <row r="7073" spans="18:23">
      <c r="R7073" s="127">
        <f t="shared" si="295"/>
        <v>0</v>
      </c>
      <c r="T7073" s="128">
        <f t="shared" si="296"/>
        <v>0</v>
      </c>
      <c r="U7073" s="129" t="str">
        <f>IFERROR(IF(#REF!="S",VLOOKUP('Raw Data'!A7073,References!#REF!,2,FALSE),(VLOOKUP($S7073,References!$B$3:$C$7,2,FALSE))),"")</f>
        <v/>
      </c>
      <c r="W7073" s="74" t="str">
        <f>IFERROR(VLOOKUP($O7073,'Customer List'!$A$1:$J$488,10,FALSE),"")</f>
        <v/>
      </c>
    </row>
    <row r="7074" spans="18:23">
      <c r="R7074" s="127">
        <f t="shared" ref="R7074:R7137" si="297">L7074-K7074</f>
        <v>0</v>
      </c>
      <c r="T7074" s="128">
        <f t="shared" si="296"/>
        <v>0</v>
      </c>
      <c r="U7074" s="129" t="str">
        <f>IFERROR(IF(#REF!="S",VLOOKUP('Raw Data'!A7074,References!#REF!,2,FALSE),(VLOOKUP($S7074,References!$B$3:$C$7,2,FALSE))),"")</f>
        <v/>
      </c>
      <c r="W7074" s="74" t="str">
        <f>IFERROR(VLOOKUP($O7074,'Customer List'!$A$1:$J$488,10,FALSE),"")</f>
        <v/>
      </c>
    </row>
    <row r="7075" spans="18:23">
      <c r="R7075" s="127">
        <f t="shared" si="297"/>
        <v>0</v>
      </c>
      <c r="T7075" s="128">
        <f t="shared" si="296"/>
        <v>0</v>
      </c>
      <c r="U7075" s="129" t="str">
        <f>IFERROR(IF(#REF!="S",VLOOKUP('Raw Data'!A7075,References!#REF!,2,FALSE),(VLOOKUP($S7075,References!$B$3:$C$7,2,FALSE))),"")</f>
        <v/>
      </c>
      <c r="W7075" s="74" t="str">
        <f>IFERROR(VLOOKUP($O7075,'Customer List'!$A$1:$J$488,10,FALSE),"")</f>
        <v/>
      </c>
    </row>
    <row r="7076" spans="18:23">
      <c r="R7076" s="127">
        <f t="shared" si="297"/>
        <v>0</v>
      </c>
      <c r="T7076" s="128">
        <f t="shared" si="296"/>
        <v>0</v>
      </c>
      <c r="U7076" s="129" t="str">
        <f>IFERROR(IF(#REF!="S",VLOOKUP('Raw Data'!A7076,References!#REF!,2,FALSE),(VLOOKUP($S7076,References!$B$3:$C$7,2,FALSE))),"")</f>
        <v/>
      </c>
      <c r="W7076" s="74" t="str">
        <f>IFERROR(VLOOKUP($O7076,'Customer List'!$A$1:$J$488,10,FALSE),"")</f>
        <v/>
      </c>
    </row>
    <row r="7077" spans="18:23">
      <c r="R7077" s="127">
        <f t="shared" si="297"/>
        <v>0</v>
      </c>
      <c r="T7077" s="128">
        <f t="shared" si="296"/>
        <v>0</v>
      </c>
      <c r="U7077" s="129" t="str">
        <f>IFERROR(IF(#REF!="S",VLOOKUP('Raw Data'!A7077,References!#REF!,2,FALSE),(VLOOKUP($S7077,References!$B$3:$C$7,2,FALSE))),"")</f>
        <v/>
      </c>
      <c r="W7077" s="74" t="str">
        <f>IFERROR(VLOOKUP($O7077,'Customer List'!$A$1:$J$488,10,FALSE),"")</f>
        <v/>
      </c>
    </row>
    <row r="7078" spans="18:23">
      <c r="R7078" s="127">
        <f t="shared" si="297"/>
        <v>0</v>
      </c>
      <c r="T7078" s="128">
        <f t="shared" si="296"/>
        <v>0</v>
      </c>
      <c r="U7078" s="129" t="str">
        <f>IFERROR(IF(#REF!="S",VLOOKUP('Raw Data'!A7078,References!#REF!,2,FALSE),(VLOOKUP($S7078,References!$B$3:$C$7,2,FALSE))),"")</f>
        <v/>
      </c>
      <c r="W7078" s="74" t="str">
        <f>IFERROR(VLOOKUP($O7078,'Customer List'!$A$1:$J$488,10,FALSE),"")</f>
        <v/>
      </c>
    </row>
    <row r="7079" spans="18:23">
      <c r="R7079" s="127">
        <f t="shared" si="297"/>
        <v>0</v>
      </c>
      <c r="T7079" s="128">
        <f t="shared" si="296"/>
        <v>0</v>
      </c>
      <c r="U7079" s="129" t="str">
        <f>IFERROR(IF(#REF!="S",VLOOKUP('Raw Data'!A7079,References!#REF!,2,FALSE),(VLOOKUP($S7079,References!$B$3:$C$7,2,FALSE))),"")</f>
        <v/>
      </c>
      <c r="W7079" s="74" t="str">
        <f>IFERROR(VLOOKUP($O7079,'Customer List'!$A$1:$J$488,10,FALSE),"")</f>
        <v/>
      </c>
    </row>
    <row r="7080" spans="18:23">
      <c r="R7080" s="127">
        <f t="shared" si="297"/>
        <v>0</v>
      </c>
      <c r="T7080" s="128">
        <f t="shared" si="296"/>
        <v>0</v>
      </c>
      <c r="U7080" s="129" t="str">
        <f>IFERROR(IF(#REF!="S",VLOOKUP('Raw Data'!A7080,References!#REF!,2,FALSE),(VLOOKUP($S7080,References!$B$3:$C$7,2,FALSE))),"")</f>
        <v/>
      </c>
      <c r="W7080" s="74" t="str">
        <f>IFERROR(VLOOKUP($O7080,'Customer List'!$A$1:$J$488,10,FALSE),"")</f>
        <v/>
      </c>
    </row>
    <row r="7081" spans="18:23">
      <c r="R7081" s="127">
        <f t="shared" si="297"/>
        <v>0</v>
      </c>
      <c r="T7081" s="128">
        <f t="shared" si="296"/>
        <v>0</v>
      </c>
      <c r="U7081" s="129" t="str">
        <f>IFERROR(IF(#REF!="S",VLOOKUP('Raw Data'!A7081,References!#REF!,2,FALSE),(VLOOKUP($S7081,References!$B$3:$C$7,2,FALSE))),"")</f>
        <v/>
      </c>
      <c r="W7081" s="74" t="str">
        <f>IFERROR(VLOOKUP($O7081,'Customer List'!$A$1:$J$488,10,FALSE),"")</f>
        <v/>
      </c>
    </row>
    <row r="7082" spans="18:23">
      <c r="R7082" s="127">
        <f t="shared" si="297"/>
        <v>0</v>
      </c>
      <c r="T7082" s="128">
        <f t="shared" si="296"/>
        <v>0</v>
      </c>
      <c r="U7082" s="129" t="str">
        <f>IFERROR(IF(#REF!="S",VLOOKUP('Raw Data'!A7082,References!#REF!,2,FALSE),(VLOOKUP($S7082,References!$B$3:$C$7,2,FALSE))),"")</f>
        <v/>
      </c>
      <c r="W7082" s="74" t="str">
        <f>IFERROR(VLOOKUP($O7082,'Customer List'!$A$1:$J$488,10,FALSE),"")</f>
        <v/>
      </c>
    </row>
    <row r="7083" spans="18:23">
      <c r="R7083" s="127">
        <f t="shared" si="297"/>
        <v>0</v>
      </c>
      <c r="T7083" s="128">
        <f t="shared" si="296"/>
        <v>0</v>
      </c>
      <c r="U7083" s="129" t="str">
        <f>IFERROR(IF(#REF!="S",VLOOKUP('Raw Data'!A7083,References!#REF!,2,FALSE),(VLOOKUP($S7083,References!$B$3:$C$7,2,FALSE))),"")</f>
        <v/>
      </c>
      <c r="W7083" s="74" t="str">
        <f>IFERROR(VLOOKUP($O7083,'Customer List'!$A$1:$J$488,10,FALSE),"")</f>
        <v/>
      </c>
    </row>
    <row r="7084" spans="18:23">
      <c r="R7084" s="127">
        <f t="shared" si="297"/>
        <v>0</v>
      </c>
      <c r="T7084" s="128">
        <f t="shared" si="296"/>
        <v>0</v>
      </c>
      <c r="U7084" s="129" t="str">
        <f>IFERROR(IF(#REF!="S",VLOOKUP('Raw Data'!A7084,References!#REF!,2,FALSE),(VLOOKUP($S7084,References!$B$3:$C$7,2,FALSE))),"")</f>
        <v/>
      </c>
      <c r="W7084" s="74" t="str">
        <f>IFERROR(VLOOKUP($O7084,'Customer List'!$A$1:$J$488,10,FALSE),"")</f>
        <v/>
      </c>
    </row>
    <row r="7085" spans="18:23">
      <c r="R7085" s="127">
        <f t="shared" si="297"/>
        <v>0</v>
      </c>
      <c r="T7085" s="128">
        <f t="shared" si="296"/>
        <v>0</v>
      </c>
      <c r="U7085" s="129" t="str">
        <f>IFERROR(IF(#REF!="S",VLOOKUP('Raw Data'!A7085,References!#REF!,2,FALSE),(VLOOKUP($S7085,References!$B$3:$C$7,2,FALSE))),"")</f>
        <v/>
      </c>
      <c r="W7085" s="74" t="str">
        <f>IFERROR(VLOOKUP($O7085,'Customer List'!$A$1:$J$488,10,FALSE),"")</f>
        <v/>
      </c>
    </row>
    <row r="7086" spans="18:23">
      <c r="R7086" s="127">
        <f t="shared" si="297"/>
        <v>0</v>
      </c>
      <c r="T7086" s="128">
        <f t="shared" si="296"/>
        <v>0</v>
      </c>
      <c r="U7086" s="129" t="str">
        <f>IFERROR(IF(#REF!="S",VLOOKUP('Raw Data'!A7086,References!#REF!,2,FALSE),(VLOOKUP($S7086,References!$B$3:$C$7,2,FALSE))),"")</f>
        <v/>
      </c>
      <c r="W7086" s="74" t="str">
        <f>IFERROR(VLOOKUP($O7086,'Customer List'!$A$1:$J$488,10,FALSE),"")</f>
        <v/>
      </c>
    </row>
    <row r="7087" spans="18:23">
      <c r="R7087" s="127">
        <f t="shared" si="297"/>
        <v>0</v>
      </c>
      <c r="T7087" s="128">
        <f t="shared" si="296"/>
        <v>0</v>
      </c>
      <c r="U7087" s="129" t="str">
        <f>IFERROR(IF(#REF!="S",VLOOKUP('Raw Data'!A7087,References!#REF!,2,FALSE),(VLOOKUP($S7087,References!$B$3:$C$7,2,FALSE))),"")</f>
        <v/>
      </c>
      <c r="W7087" s="74" t="str">
        <f>IFERROR(VLOOKUP($O7087,'Customer List'!$A$1:$J$488,10,FALSE),"")</f>
        <v/>
      </c>
    </row>
    <row r="7088" spans="18:23">
      <c r="R7088" s="127">
        <f t="shared" si="297"/>
        <v>0</v>
      </c>
      <c r="T7088" s="128">
        <f t="shared" si="296"/>
        <v>0</v>
      </c>
      <c r="U7088" s="129" t="str">
        <f>IFERROR(IF(#REF!="S",VLOOKUP('Raw Data'!A7088,References!#REF!,2,FALSE),(VLOOKUP($S7088,References!$B$3:$C$7,2,FALSE))),"")</f>
        <v/>
      </c>
      <c r="W7088" s="74" t="str">
        <f>IFERROR(VLOOKUP($O7088,'Customer List'!$A$1:$J$488,10,FALSE),"")</f>
        <v/>
      </c>
    </row>
    <row r="7089" spans="18:23">
      <c r="R7089" s="127">
        <f t="shared" si="297"/>
        <v>0</v>
      </c>
      <c r="T7089" s="128">
        <f t="shared" si="296"/>
        <v>0</v>
      </c>
      <c r="U7089" s="129" t="str">
        <f>IFERROR(IF(#REF!="S",VLOOKUP('Raw Data'!A7089,References!#REF!,2,FALSE),(VLOOKUP($S7089,References!$B$3:$C$7,2,FALSE))),"")</f>
        <v/>
      </c>
      <c r="W7089" s="74" t="str">
        <f>IFERROR(VLOOKUP($O7089,'Customer List'!$A$1:$J$488,10,FALSE),"")</f>
        <v/>
      </c>
    </row>
    <row r="7090" spans="18:23">
      <c r="R7090" s="127">
        <f t="shared" si="297"/>
        <v>0</v>
      </c>
      <c r="T7090" s="128">
        <f t="shared" si="296"/>
        <v>0</v>
      </c>
      <c r="U7090" s="129" t="str">
        <f>IFERROR(IF(#REF!="S",VLOOKUP('Raw Data'!A7090,References!#REF!,2,FALSE),(VLOOKUP($S7090,References!$B$3:$C$7,2,FALSE))),"")</f>
        <v/>
      </c>
      <c r="W7090" s="74" t="str">
        <f>IFERROR(VLOOKUP($O7090,'Customer List'!$A$1:$J$488,10,FALSE),"")</f>
        <v/>
      </c>
    </row>
    <row r="7091" spans="18:23">
      <c r="R7091" s="127">
        <f t="shared" si="297"/>
        <v>0</v>
      </c>
      <c r="T7091" s="128">
        <f t="shared" si="296"/>
        <v>0</v>
      </c>
      <c r="U7091" s="129" t="str">
        <f>IFERROR(IF(#REF!="S",VLOOKUP('Raw Data'!A7091,References!#REF!,2,FALSE),(VLOOKUP($S7091,References!$B$3:$C$7,2,FALSE))),"")</f>
        <v/>
      </c>
      <c r="W7091" s="74" t="str">
        <f>IFERROR(VLOOKUP($O7091,'Customer List'!$A$1:$J$488,10,FALSE),"")</f>
        <v/>
      </c>
    </row>
    <row r="7092" spans="18:23">
      <c r="R7092" s="127">
        <f t="shared" si="297"/>
        <v>0</v>
      </c>
      <c r="T7092" s="128">
        <f t="shared" si="296"/>
        <v>0</v>
      </c>
      <c r="U7092" s="129" t="str">
        <f>IFERROR(IF(#REF!="S",VLOOKUP('Raw Data'!A7092,References!#REF!,2,FALSE),(VLOOKUP($S7092,References!$B$3:$C$7,2,FALSE))),"")</f>
        <v/>
      </c>
      <c r="W7092" s="74" t="str">
        <f>IFERROR(VLOOKUP($O7092,'Customer List'!$A$1:$J$488,10,FALSE),"")</f>
        <v/>
      </c>
    </row>
    <row r="7093" spans="18:23">
      <c r="R7093" s="127">
        <f t="shared" si="297"/>
        <v>0</v>
      </c>
      <c r="T7093" s="128">
        <f t="shared" si="296"/>
        <v>0</v>
      </c>
      <c r="U7093" s="129" t="str">
        <f>IFERROR(IF(#REF!="S",VLOOKUP('Raw Data'!A7093,References!#REF!,2,FALSE),(VLOOKUP($S7093,References!$B$3:$C$7,2,FALSE))),"")</f>
        <v/>
      </c>
      <c r="W7093" s="74" t="str">
        <f>IFERROR(VLOOKUP($O7093,'Customer List'!$A$1:$J$488,10,FALSE),"")</f>
        <v/>
      </c>
    </row>
    <row r="7094" spans="18:23">
      <c r="R7094" s="127">
        <f t="shared" si="297"/>
        <v>0</v>
      </c>
      <c r="T7094" s="128">
        <f t="shared" si="296"/>
        <v>0</v>
      </c>
      <c r="U7094" s="129" t="str">
        <f>IFERROR(IF(#REF!="S",VLOOKUP('Raw Data'!A7094,References!#REF!,2,FALSE),(VLOOKUP($S7094,References!$B$3:$C$7,2,FALSE))),"")</f>
        <v/>
      </c>
      <c r="W7094" s="74" t="str">
        <f>IFERROR(VLOOKUP($O7094,'Customer List'!$A$1:$J$488,10,FALSE),"")</f>
        <v/>
      </c>
    </row>
    <row r="7095" spans="18:23">
      <c r="R7095" s="127">
        <f t="shared" si="297"/>
        <v>0</v>
      </c>
      <c r="T7095" s="128">
        <f t="shared" si="296"/>
        <v>0</v>
      </c>
      <c r="U7095" s="129" t="str">
        <f>IFERROR(IF(#REF!="S",VLOOKUP('Raw Data'!A7095,References!#REF!,2,FALSE),(VLOOKUP($S7095,References!$B$3:$C$7,2,FALSE))),"")</f>
        <v/>
      </c>
      <c r="W7095" s="74" t="str">
        <f>IFERROR(VLOOKUP($O7095,'Customer List'!$A$1:$J$488,10,FALSE),"")</f>
        <v/>
      </c>
    </row>
    <row r="7096" spans="18:23">
      <c r="R7096" s="127">
        <f t="shared" si="297"/>
        <v>0</v>
      </c>
      <c r="T7096" s="128">
        <f t="shared" si="296"/>
        <v>0</v>
      </c>
      <c r="U7096" s="129" t="str">
        <f>IFERROR(IF(#REF!="S",VLOOKUP('Raw Data'!A7096,References!#REF!,2,FALSE),(VLOOKUP($S7096,References!$B$3:$C$7,2,FALSE))),"")</f>
        <v/>
      </c>
      <c r="W7096" s="74" t="str">
        <f>IFERROR(VLOOKUP($O7096,'Customer List'!$A$1:$J$488,10,FALSE),"")</f>
        <v/>
      </c>
    </row>
    <row r="7097" spans="18:23">
      <c r="R7097" s="127">
        <f t="shared" si="297"/>
        <v>0</v>
      </c>
      <c r="T7097" s="128">
        <f t="shared" si="296"/>
        <v>0</v>
      </c>
      <c r="U7097" s="129" t="str">
        <f>IFERROR(IF(#REF!="S",VLOOKUP('Raw Data'!A7097,References!#REF!,2,FALSE),(VLOOKUP($S7097,References!$B$3:$C$7,2,FALSE))),"")</f>
        <v/>
      </c>
      <c r="W7097" s="74" t="str">
        <f>IFERROR(VLOOKUP($O7097,'Customer List'!$A$1:$J$488,10,FALSE),"")</f>
        <v/>
      </c>
    </row>
    <row r="7098" spans="18:23">
      <c r="R7098" s="127">
        <f t="shared" si="297"/>
        <v>0</v>
      </c>
      <c r="T7098" s="128">
        <f t="shared" si="296"/>
        <v>0</v>
      </c>
      <c r="U7098" s="129" t="str">
        <f>IFERROR(IF(#REF!="S",VLOOKUP('Raw Data'!A7098,References!#REF!,2,FALSE),(VLOOKUP($S7098,References!$B$3:$C$7,2,FALSE))),"")</f>
        <v/>
      </c>
      <c r="W7098" s="74" t="str">
        <f>IFERROR(VLOOKUP($O7098,'Customer List'!$A$1:$J$488,10,FALSE),"")</f>
        <v/>
      </c>
    </row>
    <row r="7099" spans="18:23">
      <c r="R7099" s="127">
        <f t="shared" si="297"/>
        <v>0</v>
      </c>
      <c r="T7099" s="128">
        <f t="shared" si="296"/>
        <v>0</v>
      </c>
      <c r="U7099" s="129" t="str">
        <f>IFERROR(IF(#REF!="S",VLOOKUP('Raw Data'!A7099,References!#REF!,2,FALSE),(VLOOKUP($S7099,References!$B$3:$C$7,2,FALSE))),"")</f>
        <v/>
      </c>
      <c r="W7099" s="74" t="str">
        <f>IFERROR(VLOOKUP($O7099,'Customer List'!$A$1:$J$488,10,FALSE),"")</f>
        <v/>
      </c>
    </row>
    <row r="7100" spans="18:23">
      <c r="R7100" s="127">
        <f t="shared" si="297"/>
        <v>0</v>
      </c>
      <c r="T7100" s="128">
        <f t="shared" si="296"/>
        <v>0</v>
      </c>
      <c r="U7100" s="129" t="str">
        <f>IFERROR(IF(#REF!="S",VLOOKUP('Raw Data'!A7100,References!#REF!,2,FALSE),(VLOOKUP($S7100,References!$B$3:$C$7,2,FALSE))),"")</f>
        <v/>
      </c>
      <c r="W7100" s="74" t="str">
        <f>IFERROR(VLOOKUP($O7100,'Customer List'!$A$1:$J$488,10,FALSE),"")</f>
        <v/>
      </c>
    </row>
    <row r="7101" spans="18:23">
      <c r="R7101" s="127">
        <f t="shared" si="297"/>
        <v>0</v>
      </c>
      <c r="T7101" s="128">
        <f t="shared" si="296"/>
        <v>0</v>
      </c>
      <c r="U7101" s="129" t="str">
        <f>IFERROR(IF(#REF!="S",VLOOKUP('Raw Data'!A7101,References!#REF!,2,FALSE),(VLOOKUP($S7101,References!$B$3:$C$7,2,FALSE))),"")</f>
        <v/>
      </c>
      <c r="W7101" s="74" t="str">
        <f>IFERROR(VLOOKUP($O7101,'Customer List'!$A$1:$J$488,10,FALSE),"")</f>
        <v/>
      </c>
    </row>
    <row r="7102" spans="18:23">
      <c r="R7102" s="127">
        <f t="shared" si="297"/>
        <v>0</v>
      </c>
      <c r="T7102" s="128">
        <f t="shared" si="296"/>
        <v>0</v>
      </c>
      <c r="U7102" s="129" t="str">
        <f>IFERROR(IF(#REF!="S",VLOOKUP('Raw Data'!A7102,References!#REF!,2,FALSE),(VLOOKUP($S7102,References!$B$3:$C$7,2,FALSE))),"")</f>
        <v/>
      </c>
      <c r="W7102" s="74" t="str">
        <f>IFERROR(VLOOKUP($O7102,'Customer List'!$A$1:$J$488,10,FALSE),"")</f>
        <v/>
      </c>
    </row>
    <row r="7103" spans="18:23">
      <c r="R7103" s="127">
        <f t="shared" si="297"/>
        <v>0</v>
      </c>
      <c r="T7103" s="128">
        <f t="shared" si="296"/>
        <v>0</v>
      </c>
      <c r="U7103" s="129" t="str">
        <f>IFERROR(IF(#REF!="S",VLOOKUP('Raw Data'!A7103,References!#REF!,2,FALSE),(VLOOKUP($S7103,References!$B$3:$C$7,2,FALSE))),"")</f>
        <v/>
      </c>
      <c r="W7103" s="74" t="str">
        <f>IFERROR(VLOOKUP($O7103,'Customer List'!$A$1:$J$488,10,FALSE),"")</f>
        <v/>
      </c>
    </row>
    <row r="7104" spans="18:23">
      <c r="R7104" s="127">
        <f t="shared" si="297"/>
        <v>0</v>
      </c>
      <c r="T7104" s="128">
        <f t="shared" si="296"/>
        <v>0</v>
      </c>
      <c r="U7104" s="129" t="str">
        <f>IFERROR(IF(#REF!="S",VLOOKUP('Raw Data'!A7104,References!#REF!,2,FALSE),(VLOOKUP($S7104,References!$B$3:$C$7,2,FALSE))),"")</f>
        <v/>
      </c>
      <c r="W7104" s="74" t="str">
        <f>IFERROR(VLOOKUP($O7104,'Customer List'!$A$1:$J$488,10,FALSE),"")</f>
        <v/>
      </c>
    </row>
    <row r="7105" spans="18:23">
      <c r="R7105" s="127">
        <f t="shared" si="297"/>
        <v>0</v>
      </c>
      <c r="T7105" s="128">
        <f t="shared" si="296"/>
        <v>0</v>
      </c>
      <c r="U7105" s="129" t="str">
        <f>IFERROR(IF(#REF!="S",VLOOKUP('Raw Data'!A7105,References!#REF!,2,FALSE),(VLOOKUP($S7105,References!$B$3:$C$7,2,FALSE))),"")</f>
        <v/>
      </c>
      <c r="W7105" s="74" t="str">
        <f>IFERROR(VLOOKUP($O7105,'Customer List'!$A$1:$J$488,10,FALSE),"")</f>
        <v/>
      </c>
    </row>
    <row r="7106" spans="18:23">
      <c r="R7106" s="127">
        <f t="shared" si="297"/>
        <v>0</v>
      </c>
      <c r="T7106" s="128">
        <f t="shared" si="296"/>
        <v>0</v>
      </c>
      <c r="U7106" s="129" t="str">
        <f>IFERROR(IF(#REF!="S",VLOOKUP('Raw Data'!A7106,References!#REF!,2,FALSE),(VLOOKUP($S7106,References!$B$3:$C$7,2,FALSE))),"")</f>
        <v/>
      </c>
      <c r="W7106" s="74" t="str">
        <f>IFERROR(VLOOKUP($O7106,'Customer List'!$A$1:$J$488,10,FALSE),"")</f>
        <v/>
      </c>
    </row>
    <row r="7107" spans="18:23">
      <c r="R7107" s="127">
        <f t="shared" si="297"/>
        <v>0</v>
      </c>
      <c r="T7107" s="128">
        <f t="shared" si="296"/>
        <v>0</v>
      </c>
      <c r="U7107" s="129" t="str">
        <f>IFERROR(IF(#REF!="S",VLOOKUP('Raw Data'!A7107,References!#REF!,2,FALSE),(VLOOKUP($S7107,References!$B$3:$C$7,2,FALSE))),"")</f>
        <v/>
      </c>
      <c r="W7107" s="74" t="str">
        <f>IFERROR(VLOOKUP($O7107,'Customer List'!$A$1:$J$488,10,FALSE),"")</f>
        <v/>
      </c>
    </row>
    <row r="7108" spans="18:23">
      <c r="R7108" s="127">
        <f t="shared" si="297"/>
        <v>0</v>
      </c>
      <c r="T7108" s="128">
        <f t="shared" si="296"/>
        <v>0</v>
      </c>
      <c r="U7108" s="129" t="str">
        <f>IFERROR(IF(#REF!="S",VLOOKUP('Raw Data'!A7108,References!#REF!,2,FALSE),(VLOOKUP($S7108,References!$B$3:$C$7,2,FALSE))),"")</f>
        <v/>
      </c>
      <c r="W7108" s="74" t="str">
        <f>IFERROR(VLOOKUP($O7108,'Customer List'!$A$1:$J$488,10,FALSE),"")</f>
        <v/>
      </c>
    </row>
    <row r="7109" spans="18:23">
      <c r="R7109" s="127">
        <f t="shared" si="297"/>
        <v>0</v>
      </c>
      <c r="T7109" s="128">
        <f t="shared" si="296"/>
        <v>0</v>
      </c>
      <c r="U7109" s="129" t="str">
        <f>IFERROR(IF(#REF!="S",VLOOKUP('Raw Data'!A7109,References!#REF!,2,FALSE),(VLOOKUP($S7109,References!$B$3:$C$7,2,FALSE))),"")</f>
        <v/>
      </c>
      <c r="W7109" s="74" t="str">
        <f>IFERROR(VLOOKUP($O7109,'Customer List'!$A$1:$J$488,10,FALSE),"")</f>
        <v/>
      </c>
    </row>
    <row r="7110" spans="18:23">
      <c r="R7110" s="127">
        <f t="shared" si="297"/>
        <v>0</v>
      </c>
      <c r="T7110" s="128">
        <f t="shared" si="296"/>
        <v>0</v>
      </c>
      <c r="U7110" s="129" t="str">
        <f>IFERROR(IF(#REF!="S",VLOOKUP('Raw Data'!A7110,References!#REF!,2,FALSE),(VLOOKUP($S7110,References!$B$3:$C$7,2,FALSE))),"")</f>
        <v/>
      </c>
      <c r="W7110" s="74" t="str">
        <f>IFERROR(VLOOKUP($O7110,'Customer List'!$A$1:$J$488,10,FALSE),"")</f>
        <v/>
      </c>
    </row>
    <row r="7111" spans="18:23">
      <c r="R7111" s="127">
        <f t="shared" si="297"/>
        <v>0</v>
      </c>
      <c r="T7111" s="128">
        <f t="shared" si="296"/>
        <v>0</v>
      </c>
      <c r="U7111" s="129" t="str">
        <f>IFERROR(IF(#REF!="S",VLOOKUP('Raw Data'!A7111,References!#REF!,2,FALSE),(VLOOKUP($S7111,References!$B$3:$C$7,2,FALSE))),"")</f>
        <v/>
      </c>
      <c r="W7111" s="74" t="str">
        <f>IFERROR(VLOOKUP($O7111,'Customer List'!$A$1:$J$488,10,FALSE),"")</f>
        <v/>
      </c>
    </row>
    <row r="7112" spans="18:23">
      <c r="R7112" s="127">
        <f t="shared" si="297"/>
        <v>0</v>
      </c>
      <c r="T7112" s="128">
        <f t="shared" si="296"/>
        <v>0</v>
      </c>
      <c r="U7112" s="129" t="str">
        <f>IFERROR(IF(#REF!="S",VLOOKUP('Raw Data'!A7112,References!#REF!,2,FALSE),(VLOOKUP($S7112,References!$B$3:$C$7,2,FALSE))),"")</f>
        <v/>
      </c>
      <c r="W7112" s="74" t="str">
        <f>IFERROR(VLOOKUP($O7112,'Customer List'!$A$1:$J$488,10,FALSE),"")</f>
        <v/>
      </c>
    </row>
    <row r="7113" spans="18:23">
      <c r="R7113" s="127">
        <f t="shared" si="297"/>
        <v>0</v>
      </c>
      <c r="T7113" s="128">
        <f t="shared" si="296"/>
        <v>0</v>
      </c>
      <c r="U7113" s="129" t="str">
        <f>IFERROR(IF(#REF!="S",VLOOKUP('Raw Data'!A7113,References!#REF!,2,FALSE),(VLOOKUP($S7113,References!$B$3:$C$7,2,FALSE))),"")</f>
        <v/>
      </c>
      <c r="W7113" s="74" t="str">
        <f>IFERROR(VLOOKUP($O7113,'Customer List'!$A$1:$J$488,10,FALSE),"")</f>
        <v/>
      </c>
    </row>
    <row r="7114" spans="18:23">
      <c r="R7114" s="127">
        <f t="shared" si="297"/>
        <v>0</v>
      </c>
      <c r="T7114" s="128">
        <f t="shared" ref="T7114:T7177" si="298">IF(S7114="50 - Cleaning Fee",1,HOUR($R7114)+MINUTE(R7114)/60)</f>
        <v>0</v>
      </c>
      <c r="U7114" s="129" t="str">
        <f>IFERROR(IF(#REF!="S",VLOOKUP('Raw Data'!A7114,References!#REF!,2,FALSE),(VLOOKUP($S7114,References!$B$3:$C$7,2,FALSE))),"")</f>
        <v/>
      </c>
      <c r="W7114" s="74" t="str">
        <f>IFERROR(VLOOKUP($O7114,'Customer List'!$A$1:$J$488,10,FALSE),"")</f>
        <v/>
      </c>
    </row>
    <row r="7115" spans="18:23">
      <c r="R7115" s="127">
        <f t="shared" si="297"/>
        <v>0</v>
      </c>
      <c r="T7115" s="128">
        <f t="shared" si="298"/>
        <v>0</v>
      </c>
      <c r="U7115" s="129" t="str">
        <f>IFERROR(IF(#REF!="S",VLOOKUP('Raw Data'!A7115,References!#REF!,2,FALSE),(VLOOKUP($S7115,References!$B$3:$C$7,2,FALSE))),"")</f>
        <v/>
      </c>
      <c r="W7115" s="74" t="str">
        <f>IFERROR(VLOOKUP($O7115,'Customer List'!$A$1:$J$488,10,FALSE),"")</f>
        <v/>
      </c>
    </row>
    <row r="7116" spans="18:23">
      <c r="R7116" s="127">
        <f t="shared" si="297"/>
        <v>0</v>
      </c>
      <c r="T7116" s="128">
        <f t="shared" si="298"/>
        <v>0</v>
      </c>
      <c r="U7116" s="129" t="str">
        <f>IFERROR(IF(#REF!="S",VLOOKUP('Raw Data'!A7116,References!#REF!,2,FALSE),(VLOOKUP($S7116,References!$B$3:$C$7,2,FALSE))),"")</f>
        <v/>
      </c>
      <c r="W7116" s="74" t="str">
        <f>IFERROR(VLOOKUP($O7116,'Customer List'!$A$1:$J$488,10,FALSE),"")</f>
        <v/>
      </c>
    </row>
    <row r="7117" spans="18:23">
      <c r="R7117" s="127">
        <f t="shared" si="297"/>
        <v>0</v>
      </c>
      <c r="T7117" s="128">
        <f t="shared" si="298"/>
        <v>0</v>
      </c>
      <c r="U7117" s="129" t="str">
        <f>IFERROR(IF(#REF!="S",VLOOKUP('Raw Data'!A7117,References!#REF!,2,FALSE),(VLOOKUP($S7117,References!$B$3:$C$7,2,FALSE))),"")</f>
        <v/>
      </c>
      <c r="W7117" s="74" t="str">
        <f>IFERROR(VLOOKUP($O7117,'Customer List'!$A$1:$J$488,10,FALSE),"")</f>
        <v/>
      </c>
    </row>
    <row r="7118" spans="18:23">
      <c r="R7118" s="127">
        <f t="shared" si="297"/>
        <v>0</v>
      </c>
      <c r="T7118" s="128">
        <f t="shared" si="298"/>
        <v>0</v>
      </c>
      <c r="U7118" s="129" t="str">
        <f>IFERROR(IF(#REF!="S",VLOOKUP('Raw Data'!A7118,References!#REF!,2,FALSE),(VLOOKUP($S7118,References!$B$3:$C$7,2,FALSE))),"")</f>
        <v/>
      </c>
      <c r="W7118" s="74" t="str">
        <f>IFERROR(VLOOKUP($O7118,'Customer List'!$A$1:$J$488,10,FALSE),"")</f>
        <v/>
      </c>
    </row>
    <row r="7119" spans="18:23">
      <c r="R7119" s="127">
        <f t="shared" si="297"/>
        <v>0</v>
      </c>
      <c r="T7119" s="128">
        <f t="shared" si="298"/>
        <v>0</v>
      </c>
      <c r="U7119" s="129" t="str">
        <f>IFERROR(IF(#REF!="S",VLOOKUP('Raw Data'!A7119,References!#REF!,2,FALSE),(VLOOKUP($S7119,References!$B$3:$C$7,2,FALSE))),"")</f>
        <v/>
      </c>
      <c r="W7119" s="74" t="str">
        <f>IFERROR(VLOOKUP($O7119,'Customer List'!$A$1:$J$488,10,FALSE),"")</f>
        <v/>
      </c>
    </row>
    <row r="7120" spans="18:23">
      <c r="R7120" s="127">
        <f t="shared" si="297"/>
        <v>0</v>
      </c>
      <c r="T7120" s="128">
        <f t="shared" si="298"/>
        <v>0</v>
      </c>
      <c r="U7120" s="129" t="str">
        <f>IFERROR(IF(#REF!="S",VLOOKUP('Raw Data'!A7120,References!#REF!,2,FALSE),(VLOOKUP($S7120,References!$B$3:$C$7,2,FALSE))),"")</f>
        <v/>
      </c>
      <c r="W7120" s="74" t="str">
        <f>IFERROR(VLOOKUP($O7120,'Customer List'!$A$1:$J$488,10,FALSE),"")</f>
        <v/>
      </c>
    </row>
    <row r="7121" spans="18:23">
      <c r="R7121" s="127">
        <f t="shared" si="297"/>
        <v>0</v>
      </c>
      <c r="T7121" s="128">
        <f t="shared" si="298"/>
        <v>0</v>
      </c>
      <c r="U7121" s="129" t="str">
        <f>IFERROR(IF(#REF!="S",VLOOKUP('Raw Data'!A7121,References!#REF!,2,FALSE),(VLOOKUP($S7121,References!$B$3:$C$7,2,FALSE))),"")</f>
        <v/>
      </c>
      <c r="W7121" s="74" t="str">
        <f>IFERROR(VLOOKUP($O7121,'Customer List'!$A$1:$J$488,10,FALSE),"")</f>
        <v/>
      </c>
    </row>
    <row r="7122" spans="18:23">
      <c r="R7122" s="127">
        <f t="shared" si="297"/>
        <v>0</v>
      </c>
      <c r="T7122" s="128">
        <f t="shared" si="298"/>
        <v>0</v>
      </c>
      <c r="U7122" s="129" t="str">
        <f>IFERROR(IF(#REF!="S",VLOOKUP('Raw Data'!A7122,References!#REF!,2,FALSE),(VLOOKUP($S7122,References!$B$3:$C$7,2,FALSE))),"")</f>
        <v/>
      </c>
      <c r="W7122" s="74" t="str">
        <f>IFERROR(VLOOKUP($O7122,'Customer List'!$A$1:$J$488,10,FALSE),"")</f>
        <v/>
      </c>
    </row>
    <row r="7123" spans="18:23">
      <c r="R7123" s="127">
        <f t="shared" si="297"/>
        <v>0</v>
      </c>
      <c r="T7123" s="128">
        <f t="shared" si="298"/>
        <v>0</v>
      </c>
      <c r="U7123" s="129" t="str">
        <f>IFERROR(IF(#REF!="S",VLOOKUP('Raw Data'!A7123,References!#REF!,2,FALSE),(VLOOKUP($S7123,References!$B$3:$C$7,2,FALSE))),"")</f>
        <v/>
      </c>
      <c r="W7123" s="74" t="str">
        <f>IFERROR(VLOOKUP($O7123,'Customer List'!$A$1:$J$488,10,FALSE),"")</f>
        <v/>
      </c>
    </row>
    <row r="7124" spans="18:23">
      <c r="R7124" s="127">
        <f t="shared" si="297"/>
        <v>0</v>
      </c>
      <c r="T7124" s="128">
        <f t="shared" si="298"/>
        <v>0</v>
      </c>
      <c r="U7124" s="129" t="str">
        <f>IFERROR(IF(#REF!="S",VLOOKUP('Raw Data'!A7124,References!#REF!,2,FALSE),(VLOOKUP($S7124,References!$B$3:$C$7,2,FALSE))),"")</f>
        <v/>
      </c>
      <c r="W7124" s="74" t="str">
        <f>IFERROR(VLOOKUP($O7124,'Customer List'!$A$1:$J$488,10,FALSE),"")</f>
        <v/>
      </c>
    </row>
    <row r="7125" spans="18:23">
      <c r="R7125" s="127">
        <f t="shared" si="297"/>
        <v>0</v>
      </c>
      <c r="T7125" s="128">
        <f t="shared" si="298"/>
        <v>0</v>
      </c>
      <c r="U7125" s="129" t="str">
        <f>IFERROR(IF(#REF!="S",VLOOKUP('Raw Data'!A7125,References!#REF!,2,FALSE),(VLOOKUP($S7125,References!$B$3:$C$7,2,FALSE))),"")</f>
        <v/>
      </c>
      <c r="W7125" s="74" t="str">
        <f>IFERROR(VLOOKUP($O7125,'Customer List'!$A$1:$J$488,10,FALSE),"")</f>
        <v/>
      </c>
    </row>
    <row r="7126" spans="18:23">
      <c r="R7126" s="127">
        <f t="shared" si="297"/>
        <v>0</v>
      </c>
      <c r="T7126" s="128">
        <f t="shared" si="298"/>
        <v>0</v>
      </c>
      <c r="U7126" s="129" t="str">
        <f>IFERROR(IF(#REF!="S",VLOOKUP('Raw Data'!A7126,References!#REF!,2,FALSE),(VLOOKUP($S7126,References!$B$3:$C$7,2,FALSE))),"")</f>
        <v/>
      </c>
      <c r="W7126" s="74" t="str">
        <f>IFERROR(VLOOKUP($O7126,'Customer List'!$A$1:$J$488,10,FALSE),"")</f>
        <v/>
      </c>
    </row>
    <row r="7127" spans="18:23">
      <c r="R7127" s="127">
        <f t="shared" si="297"/>
        <v>0</v>
      </c>
      <c r="T7127" s="128">
        <f t="shared" si="298"/>
        <v>0</v>
      </c>
      <c r="U7127" s="129" t="str">
        <f>IFERROR(IF(#REF!="S",VLOOKUP('Raw Data'!A7127,References!#REF!,2,FALSE),(VLOOKUP($S7127,References!$B$3:$C$7,2,FALSE))),"")</f>
        <v/>
      </c>
      <c r="W7127" s="74" t="str">
        <f>IFERROR(VLOOKUP($O7127,'Customer List'!$A$1:$J$488,10,FALSE),"")</f>
        <v/>
      </c>
    </row>
    <row r="7128" spans="18:23">
      <c r="R7128" s="127">
        <f t="shared" si="297"/>
        <v>0</v>
      </c>
      <c r="T7128" s="128">
        <f t="shared" si="298"/>
        <v>0</v>
      </c>
      <c r="U7128" s="129" t="str">
        <f>IFERROR(IF(#REF!="S",VLOOKUP('Raw Data'!A7128,References!#REF!,2,FALSE),(VLOOKUP($S7128,References!$B$3:$C$7,2,FALSE))),"")</f>
        <v/>
      </c>
      <c r="W7128" s="74" t="str">
        <f>IFERROR(VLOOKUP($O7128,'Customer List'!$A$1:$J$488,10,FALSE),"")</f>
        <v/>
      </c>
    </row>
    <row r="7129" spans="18:23">
      <c r="R7129" s="127">
        <f t="shared" si="297"/>
        <v>0</v>
      </c>
      <c r="T7129" s="128">
        <f t="shared" si="298"/>
        <v>0</v>
      </c>
      <c r="U7129" s="129" t="str">
        <f>IFERROR(IF(#REF!="S",VLOOKUP('Raw Data'!A7129,References!#REF!,2,FALSE),(VLOOKUP($S7129,References!$B$3:$C$7,2,FALSE))),"")</f>
        <v/>
      </c>
      <c r="W7129" s="74" t="str">
        <f>IFERROR(VLOOKUP($O7129,'Customer List'!$A$1:$J$488,10,FALSE),"")</f>
        <v/>
      </c>
    </row>
    <row r="7130" spans="18:23">
      <c r="R7130" s="127">
        <f t="shared" si="297"/>
        <v>0</v>
      </c>
      <c r="T7130" s="128">
        <f t="shared" si="298"/>
        <v>0</v>
      </c>
      <c r="U7130" s="129" t="str">
        <f>IFERROR(IF(#REF!="S",VLOOKUP('Raw Data'!A7130,References!#REF!,2,FALSE),(VLOOKUP($S7130,References!$B$3:$C$7,2,FALSE))),"")</f>
        <v/>
      </c>
      <c r="W7130" s="74" t="str">
        <f>IFERROR(VLOOKUP($O7130,'Customer List'!$A$1:$J$488,10,FALSE),"")</f>
        <v/>
      </c>
    </row>
    <row r="7131" spans="18:23">
      <c r="R7131" s="127">
        <f t="shared" si="297"/>
        <v>0</v>
      </c>
      <c r="T7131" s="128">
        <f t="shared" si="298"/>
        <v>0</v>
      </c>
      <c r="U7131" s="129" t="str">
        <f>IFERROR(IF(#REF!="S",VLOOKUP('Raw Data'!A7131,References!#REF!,2,FALSE),(VLOOKUP($S7131,References!$B$3:$C$7,2,FALSE))),"")</f>
        <v/>
      </c>
      <c r="W7131" s="74" t="str">
        <f>IFERROR(VLOOKUP($O7131,'Customer List'!$A$1:$J$488,10,FALSE),"")</f>
        <v/>
      </c>
    </row>
    <row r="7132" spans="18:23">
      <c r="R7132" s="127">
        <f t="shared" si="297"/>
        <v>0</v>
      </c>
      <c r="T7132" s="128">
        <f t="shared" si="298"/>
        <v>0</v>
      </c>
      <c r="U7132" s="129" t="str">
        <f>IFERROR(IF(#REF!="S",VLOOKUP('Raw Data'!A7132,References!#REF!,2,FALSE),(VLOOKUP($S7132,References!$B$3:$C$7,2,FALSE))),"")</f>
        <v/>
      </c>
      <c r="W7132" s="74" t="str">
        <f>IFERROR(VLOOKUP($O7132,'Customer List'!$A$1:$J$488,10,FALSE),"")</f>
        <v/>
      </c>
    </row>
    <row r="7133" spans="18:23">
      <c r="R7133" s="127">
        <f t="shared" si="297"/>
        <v>0</v>
      </c>
      <c r="T7133" s="128">
        <f t="shared" si="298"/>
        <v>0</v>
      </c>
      <c r="U7133" s="129" t="str">
        <f>IFERROR(IF(#REF!="S",VLOOKUP('Raw Data'!A7133,References!#REF!,2,FALSE),(VLOOKUP($S7133,References!$B$3:$C$7,2,FALSE))),"")</f>
        <v/>
      </c>
      <c r="W7133" s="74" t="str">
        <f>IFERROR(VLOOKUP($O7133,'Customer List'!$A$1:$J$488,10,FALSE),"")</f>
        <v/>
      </c>
    </row>
    <row r="7134" spans="18:23">
      <c r="R7134" s="127">
        <f t="shared" si="297"/>
        <v>0</v>
      </c>
      <c r="T7134" s="128">
        <f t="shared" si="298"/>
        <v>0</v>
      </c>
      <c r="U7134" s="129" t="str">
        <f>IFERROR(IF(#REF!="S",VLOOKUP('Raw Data'!A7134,References!#REF!,2,FALSE),(VLOOKUP($S7134,References!$B$3:$C$7,2,FALSE))),"")</f>
        <v/>
      </c>
      <c r="W7134" s="74" t="str">
        <f>IFERROR(VLOOKUP($O7134,'Customer List'!$A$1:$J$488,10,FALSE),"")</f>
        <v/>
      </c>
    </row>
    <row r="7135" spans="18:23">
      <c r="R7135" s="127">
        <f t="shared" si="297"/>
        <v>0</v>
      </c>
      <c r="T7135" s="128">
        <f t="shared" si="298"/>
        <v>0</v>
      </c>
      <c r="U7135" s="129" t="str">
        <f>IFERROR(IF(#REF!="S",VLOOKUP('Raw Data'!A7135,References!#REF!,2,FALSE),(VLOOKUP($S7135,References!$B$3:$C$7,2,FALSE))),"")</f>
        <v/>
      </c>
      <c r="W7135" s="74" t="str">
        <f>IFERROR(VLOOKUP($O7135,'Customer List'!$A$1:$J$488,10,FALSE),"")</f>
        <v/>
      </c>
    </row>
    <row r="7136" spans="18:23">
      <c r="R7136" s="127">
        <f t="shared" si="297"/>
        <v>0</v>
      </c>
      <c r="T7136" s="128">
        <f t="shared" si="298"/>
        <v>0</v>
      </c>
      <c r="U7136" s="129" t="str">
        <f>IFERROR(IF(#REF!="S",VLOOKUP('Raw Data'!A7136,References!#REF!,2,FALSE),(VLOOKUP($S7136,References!$B$3:$C$7,2,FALSE))),"")</f>
        <v/>
      </c>
      <c r="W7136" s="74" t="str">
        <f>IFERROR(VLOOKUP($O7136,'Customer List'!$A$1:$J$488,10,FALSE),"")</f>
        <v/>
      </c>
    </row>
    <row r="7137" spans="18:23">
      <c r="R7137" s="127">
        <f t="shared" si="297"/>
        <v>0</v>
      </c>
      <c r="T7137" s="128">
        <f t="shared" si="298"/>
        <v>0</v>
      </c>
      <c r="U7137" s="129" t="str">
        <f>IFERROR(IF(#REF!="S",VLOOKUP('Raw Data'!A7137,References!#REF!,2,FALSE),(VLOOKUP($S7137,References!$B$3:$C$7,2,FALSE))),"")</f>
        <v/>
      </c>
      <c r="W7137" s="74" t="str">
        <f>IFERROR(VLOOKUP($O7137,'Customer List'!$A$1:$J$488,10,FALSE),"")</f>
        <v/>
      </c>
    </row>
    <row r="7138" spans="18:23">
      <c r="R7138" s="127">
        <f t="shared" ref="R7138:R7201" si="299">L7138-K7138</f>
        <v>0</v>
      </c>
      <c r="T7138" s="128">
        <f t="shared" si="298"/>
        <v>0</v>
      </c>
      <c r="U7138" s="129" t="str">
        <f>IFERROR(IF(#REF!="S",VLOOKUP('Raw Data'!A7138,References!#REF!,2,FALSE),(VLOOKUP($S7138,References!$B$3:$C$7,2,FALSE))),"")</f>
        <v/>
      </c>
      <c r="W7138" s="74" t="str">
        <f>IFERROR(VLOOKUP($O7138,'Customer List'!$A$1:$J$488,10,FALSE),"")</f>
        <v/>
      </c>
    </row>
    <row r="7139" spans="18:23">
      <c r="R7139" s="127">
        <f t="shared" si="299"/>
        <v>0</v>
      </c>
      <c r="T7139" s="128">
        <f t="shared" si="298"/>
        <v>0</v>
      </c>
      <c r="U7139" s="129" t="str">
        <f>IFERROR(IF(#REF!="S",VLOOKUP('Raw Data'!A7139,References!#REF!,2,FALSE),(VLOOKUP($S7139,References!$B$3:$C$7,2,FALSE))),"")</f>
        <v/>
      </c>
      <c r="W7139" s="74" t="str">
        <f>IFERROR(VLOOKUP($O7139,'Customer List'!$A$1:$J$488,10,FALSE),"")</f>
        <v/>
      </c>
    </row>
    <row r="7140" spans="18:23">
      <c r="R7140" s="127">
        <f t="shared" si="299"/>
        <v>0</v>
      </c>
      <c r="T7140" s="128">
        <f t="shared" si="298"/>
        <v>0</v>
      </c>
      <c r="U7140" s="129" t="str">
        <f>IFERROR(IF(#REF!="S",VLOOKUP('Raw Data'!A7140,References!#REF!,2,FALSE),(VLOOKUP($S7140,References!$B$3:$C$7,2,FALSE))),"")</f>
        <v/>
      </c>
      <c r="W7140" s="74" t="str">
        <f>IFERROR(VLOOKUP($O7140,'Customer List'!$A$1:$J$488,10,FALSE),"")</f>
        <v/>
      </c>
    </row>
    <row r="7141" spans="18:23">
      <c r="R7141" s="127">
        <f t="shared" si="299"/>
        <v>0</v>
      </c>
      <c r="T7141" s="128">
        <f t="shared" si="298"/>
        <v>0</v>
      </c>
      <c r="U7141" s="129" t="str">
        <f>IFERROR(IF(#REF!="S",VLOOKUP('Raw Data'!A7141,References!#REF!,2,FALSE),(VLOOKUP($S7141,References!$B$3:$C$7,2,FALSE))),"")</f>
        <v/>
      </c>
      <c r="W7141" s="74" t="str">
        <f>IFERROR(VLOOKUP($O7141,'Customer List'!$A$1:$J$488,10,FALSE),"")</f>
        <v/>
      </c>
    </row>
    <row r="7142" spans="18:23">
      <c r="R7142" s="127">
        <f t="shared" si="299"/>
        <v>0</v>
      </c>
      <c r="T7142" s="128">
        <f t="shared" si="298"/>
        <v>0</v>
      </c>
      <c r="U7142" s="129" t="str">
        <f>IFERROR(IF(#REF!="S",VLOOKUP('Raw Data'!A7142,References!#REF!,2,FALSE),(VLOOKUP($S7142,References!$B$3:$C$7,2,FALSE))),"")</f>
        <v/>
      </c>
      <c r="W7142" s="74" t="str">
        <f>IFERROR(VLOOKUP($O7142,'Customer List'!$A$1:$J$488,10,FALSE),"")</f>
        <v/>
      </c>
    </row>
    <row r="7143" spans="18:23">
      <c r="R7143" s="127">
        <f t="shared" si="299"/>
        <v>0</v>
      </c>
      <c r="T7143" s="128">
        <f t="shared" si="298"/>
        <v>0</v>
      </c>
      <c r="U7143" s="129" t="str">
        <f>IFERROR(IF(#REF!="S",VLOOKUP('Raw Data'!A7143,References!#REF!,2,FALSE),(VLOOKUP($S7143,References!$B$3:$C$7,2,FALSE))),"")</f>
        <v/>
      </c>
      <c r="W7143" s="74" t="str">
        <f>IFERROR(VLOOKUP($O7143,'Customer List'!$A$1:$J$488,10,FALSE),"")</f>
        <v/>
      </c>
    </row>
    <row r="7144" spans="18:23">
      <c r="R7144" s="127">
        <f t="shared" si="299"/>
        <v>0</v>
      </c>
      <c r="T7144" s="128">
        <f t="shared" si="298"/>
        <v>0</v>
      </c>
      <c r="U7144" s="129" t="str">
        <f>IFERROR(IF(#REF!="S",VLOOKUP('Raw Data'!A7144,References!#REF!,2,FALSE),(VLOOKUP($S7144,References!$B$3:$C$7,2,FALSE))),"")</f>
        <v/>
      </c>
      <c r="W7144" s="74" t="str">
        <f>IFERROR(VLOOKUP($O7144,'Customer List'!$A$1:$J$488,10,FALSE),"")</f>
        <v/>
      </c>
    </row>
    <row r="7145" spans="18:23">
      <c r="R7145" s="127">
        <f t="shared" si="299"/>
        <v>0</v>
      </c>
      <c r="T7145" s="128">
        <f t="shared" si="298"/>
        <v>0</v>
      </c>
      <c r="U7145" s="129" t="str">
        <f>IFERROR(IF(#REF!="S",VLOOKUP('Raw Data'!A7145,References!#REF!,2,FALSE),(VLOOKUP($S7145,References!$B$3:$C$7,2,FALSE))),"")</f>
        <v/>
      </c>
      <c r="W7145" s="74" t="str">
        <f>IFERROR(VLOOKUP($O7145,'Customer List'!$A$1:$J$488,10,FALSE),"")</f>
        <v/>
      </c>
    </row>
    <row r="7146" spans="18:23">
      <c r="R7146" s="127">
        <f t="shared" si="299"/>
        <v>0</v>
      </c>
      <c r="T7146" s="128">
        <f t="shared" si="298"/>
        <v>0</v>
      </c>
      <c r="U7146" s="129" t="str">
        <f>IFERROR(IF(#REF!="S",VLOOKUP('Raw Data'!A7146,References!#REF!,2,FALSE),(VLOOKUP($S7146,References!$B$3:$C$7,2,FALSE))),"")</f>
        <v/>
      </c>
      <c r="W7146" s="74" t="str">
        <f>IFERROR(VLOOKUP($O7146,'Customer List'!$A$1:$J$488,10,FALSE),"")</f>
        <v/>
      </c>
    </row>
    <row r="7147" spans="18:23">
      <c r="R7147" s="127">
        <f t="shared" si="299"/>
        <v>0</v>
      </c>
      <c r="T7147" s="128">
        <f t="shared" si="298"/>
        <v>0</v>
      </c>
      <c r="U7147" s="129" t="str">
        <f>IFERROR(IF(#REF!="S",VLOOKUP('Raw Data'!A7147,References!#REF!,2,FALSE),(VLOOKUP($S7147,References!$B$3:$C$7,2,FALSE))),"")</f>
        <v/>
      </c>
      <c r="W7147" s="74" t="str">
        <f>IFERROR(VLOOKUP($O7147,'Customer List'!$A$1:$J$488,10,FALSE),"")</f>
        <v/>
      </c>
    </row>
    <row r="7148" spans="18:23">
      <c r="R7148" s="127">
        <f t="shared" si="299"/>
        <v>0</v>
      </c>
      <c r="T7148" s="128">
        <f t="shared" si="298"/>
        <v>0</v>
      </c>
      <c r="U7148" s="129" t="str">
        <f>IFERROR(IF(#REF!="S",VLOOKUP('Raw Data'!A7148,References!#REF!,2,FALSE),(VLOOKUP($S7148,References!$B$3:$C$7,2,FALSE))),"")</f>
        <v/>
      </c>
      <c r="W7148" s="74" t="str">
        <f>IFERROR(VLOOKUP($O7148,'Customer List'!$A$1:$J$488,10,FALSE),"")</f>
        <v/>
      </c>
    </row>
    <row r="7149" spans="18:23">
      <c r="R7149" s="127">
        <f t="shared" si="299"/>
        <v>0</v>
      </c>
      <c r="T7149" s="128">
        <f t="shared" si="298"/>
        <v>0</v>
      </c>
      <c r="U7149" s="129" t="str">
        <f>IFERROR(IF(#REF!="S",VLOOKUP('Raw Data'!A7149,References!#REF!,2,FALSE),(VLOOKUP($S7149,References!$B$3:$C$7,2,FALSE))),"")</f>
        <v/>
      </c>
      <c r="W7149" s="74" t="str">
        <f>IFERROR(VLOOKUP($O7149,'Customer List'!$A$1:$J$488,10,FALSE),"")</f>
        <v/>
      </c>
    </row>
    <row r="7150" spans="18:23">
      <c r="R7150" s="127">
        <f t="shared" si="299"/>
        <v>0</v>
      </c>
      <c r="T7150" s="128">
        <f t="shared" si="298"/>
        <v>0</v>
      </c>
      <c r="U7150" s="129" t="str">
        <f>IFERROR(IF(#REF!="S",VLOOKUP('Raw Data'!A7150,References!#REF!,2,FALSE),(VLOOKUP($S7150,References!$B$3:$C$7,2,FALSE))),"")</f>
        <v/>
      </c>
      <c r="W7150" s="74" t="str">
        <f>IFERROR(VLOOKUP($O7150,'Customer List'!$A$1:$J$488,10,FALSE),"")</f>
        <v/>
      </c>
    </row>
    <row r="7151" spans="18:23">
      <c r="R7151" s="127">
        <f t="shared" si="299"/>
        <v>0</v>
      </c>
      <c r="T7151" s="128">
        <f t="shared" si="298"/>
        <v>0</v>
      </c>
      <c r="U7151" s="129" t="str">
        <f>IFERROR(IF(#REF!="S",VLOOKUP('Raw Data'!A7151,References!#REF!,2,FALSE),(VLOOKUP($S7151,References!$B$3:$C$7,2,FALSE))),"")</f>
        <v/>
      </c>
      <c r="W7151" s="74" t="str">
        <f>IFERROR(VLOOKUP($O7151,'Customer List'!$A$1:$J$488,10,FALSE),"")</f>
        <v/>
      </c>
    </row>
    <row r="7152" spans="18:23">
      <c r="R7152" s="127">
        <f t="shared" si="299"/>
        <v>0</v>
      </c>
      <c r="T7152" s="128">
        <f t="shared" si="298"/>
        <v>0</v>
      </c>
      <c r="U7152" s="129" t="str">
        <f>IFERROR(IF(#REF!="S",VLOOKUP('Raw Data'!A7152,References!#REF!,2,FALSE),(VLOOKUP($S7152,References!$B$3:$C$7,2,FALSE))),"")</f>
        <v/>
      </c>
      <c r="W7152" s="74" t="str">
        <f>IFERROR(VLOOKUP($O7152,'Customer List'!$A$1:$J$488,10,FALSE),"")</f>
        <v/>
      </c>
    </row>
    <row r="7153" spans="18:23">
      <c r="R7153" s="127">
        <f t="shared" si="299"/>
        <v>0</v>
      </c>
      <c r="T7153" s="128">
        <f t="shared" si="298"/>
        <v>0</v>
      </c>
      <c r="U7153" s="129" t="str">
        <f>IFERROR(IF(#REF!="S",VLOOKUP('Raw Data'!A7153,References!#REF!,2,FALSE),(VLOOKUP($S7153,References!$B$3:$C$7,2,FALSE))),"")</f>
        <v/>
      </c>
      <c r="W7153" s="74" t="str">
        <f>IFERROR(VLOOKUP($O7153,'Customer List'!$A$1:$J$488,10,FALSE),"")</f>
        <v/>
      </c>
    </row>
    <row r="7154" spans="18:23">
      <c r="R7154" s="127">
        <f t="shared" si="299"/>
        <v>0</v>
      </c>
      <c r="T7154" s="128">
        <f t="shared" si="298"/>
        <v>0</v>
      </c>
      <c r="U7154" s="129" t="str">
        <f>IFERROR(IF(#REF!="S",VLOOKUP('Raw Data'!A7154,References!#REF!,2,FALSE),(VLOOKUP($S7154,References!$B$3:$C$7,2,FALSE))),"")</f>
        <v/>
      </c>
      <c r="W7154" s="74" t="str">
        <f>IFERROR(VLOOKUP($O7154,'Customer List'!$A$1:$J$488,10,FALSE),"")</f>
        <v/>
      </c>
    </row>
    <row r="7155" spans="18:23">
      <c r="R7155" s="127">
        <f t="shared" si="299"/>
        <v>0</v>
      </c>
      <c r="T7155" s="128">
        <f t="shared" si="298"/>
        <v>0</v>
      </c>
      <c r="U7155" s="129" t="str">
        <f>IFERROR(IF(#REF!="S",VLOOKUP('Raw Data'!A7155,References!#REF!,2,FALSE),(VLOOKUP($S7155,References!$B$3:$C$7,2,FALSE))),"")</f>
        <v/>
      </c>
      <c r="W7155" s="74" t="str">
        <f>IFERROR(VLOOKUP($O7155,'Customer List'!$A$1:$J$488,10,FALSE),"")</f>
        <v/>
      </c>
    </row>
    <row r="7156" spans="18:23">
      <c r="R7156" s="127">
        <f t="shared" si="299"/>
        <v>0</v>
      </c>
      <c r="T7156" s="128">
        <f t="shared" si="298"/>
        <v>0</v>
      </c>
      <c r="U7156" s="129" t="str">
        <f>IFERROR(IF(#REF!="S",VLOOKUP('Raw Data'!A7156,References!#REF!,2,FALSE),(VLOOKUP($S7156,References!$B$3:$C$7,2,FALSE))),"")</f>
        <v/>
      </c>
      <c r="W7156" s="74" t="str">
        <f>IFERROR(VLOOKUP($O7156,'Customer List'!$A$1:$J$488,10,FALSE),"")</f>
        <v/>
      </c>
    </row>
    <row r="7157" spans="18:23">
      <c r="R7157" s="127">
        <f t="shared" si="299"/>
        <v>0</v>
      </c>
      <c r="T7157" s="128">
        <f t="shared" si="298"/>
        <v>0</v>
      </c>
      <c r="U7157" s="129" t="str">
        <f>IFERROR(IF(#REF!="S",VLOOKUP('Raw Data'!A7157,References!#REF!,2,FALSE),(VLOOKUP($S7157,References!$B$3:$C$7,2,FALSE))),"")</f>
        <v/>
      </c>
      <c r="W7157" s="74" t="str">
        <f>IFERROR(VLOOKUP($O7157,'Customer List'!$A$1:$J$488,10,FALSE),"")</f>
        <v/>
      </c>
    </row>
    <row r="7158" spans="18:23">
      <c r="R7158" s="127">
        <f t="shared" si="299"/>
        <v>0</v>
      </c>
      <c r="T7158" s="128">
        <f t="shared" si="298"/>
        <v>0</v>
      </c>
      <c r="U7158" s="129" t="str">
        <f>IFERROR(IF(#REF!="S",VLOOKUP('Raw Data'!A7158,References!#REF!,2,FALSE),(VLOOKUP($S7158,References!$B$3:$C$7,2,FALSE))),"")</f>
        <v/>
      </c>
      <c r="W7158" s="74" t="str">
        <f>IFERROR(VLOOKUP($O7158,'Customer List'!$A$1:$J$488,10,FALSE),"")</f>
        <v/>
      </c>
    </row>
    <row r="7159" spans="18:23">
      <c r="R7159" s="127">
        <f t="shared" si="299"/>
        <v>0</v>
      </c>
      <c r="T7159" s="128">
        <f t="shared" si="298"/>
        <v>0</v>
      </c>
      <c r="U7159" s="129" t="str">
        <f>IFERROR(IF(#REF!="S",VLOOKUP('Raw Data'!A7159,References!#REF!,2,FALSE),(VLOOKUP($S7159,References!$B$3:$C$7,2,FALSE))),"")</f>
        <v/>
      </c>
      <c r="W7159" s="74" t="str">
        <f>IFERROR(VLOOKUP($O7159,'Customer List'!$A$1:$J$488,10,FALSE),"")</f>
        <v/>
      </c>
    </row>
    <row r="7160" spans="18:23">
      <c r="R7160" s="127">
        <f t="shared" si="299"/>
        <v>0</v>
      </c>
      <c r="T7160" s="128">
        <f t="shared" si="298"/>
        <v>0</v>
      </c>
      <c r="U7160" s="129" t="str">
        <f>IFERROR(IF(#REF!="S",VLOOKUP('Raw Data'!A7160,References!#REF!,2,FALSE),(VLOOKUP($S7160,References!$B$3:$C$7,2,FALSE))),"")</f>
        <v/>
      </c>
      <c r="W7160" s="74" t="str">
        <f>IFERROR(VLOOKUP($O7160,'Customer List'!$A$1:$J$488,10,FALSE),"")</f>
        <v/>
      </c>
    </row>
    <row r="7161" spans="18:23">
      <c r="R7161" s="127">
        <f t="shared" si="299"/>
        <v>0</v>
      </c>
      <c r="T7161" s="128">
        <f t="shared" si="298"/>
        <v>0</v>
      </c>
      <c r="U7161" s="129" t="str">
        <f>IFERROR(IF(#REF!="S",VLOOKUP('Raw Data'!A7161,References!#REF!,2,FALSE),(VLOOKUP($S7161,References!$B$3:$C$7,2,FALSE))),"")</f>
        <v/>
      </c>
      <c r="W7161" s="74" t="str">
        <f>IFERROR(VLOOKUP($O7161,'Customer List'!$A$1:$J$488,10,FALSE),"")</f>
        <v/>
      </c>
    </row>
    <row r="7162" spans="18:23">
      <c r="R7162" s="127">
        <f t="shared" si="299"/>
        <v>0</v>
      </c>
      <c r="T7162" s="128">
        <f t="shared" si="298"/>
        <v>0</v>
      </c>
      <c r="U7162" s="129" t="str">
        <f>IFERROR(IF(#REF!="S",VLOOKUP('Raw Data'!A7162,References!#REF!,2,FALSE),(VLOOKUP($S7162,References!$B$3:$C$7,2,FALSE))),"")</f>
        <v/>
      </c>
      <c r="W7162" s="74" t="str">
        <f>IFERROR(VLOOKUP($O7162,'Customer List'!$A$1:$J$488,10,FALSE),"")</f>
        <v/>
      </c>
    </row>
    <row r="7163" spans="18:23">
      <c r="R7163" s="127">
        <f t="shared" si="299"/>
        <v>0</v>
      </c>
      <c r="T7163" s="128">
        <f t="shared" si="298"/>
        <v>0</v>
      </c>
      <c r="U7163" s="129" t="str">
        <f>IFERROR(IF(#REF!="S",VLOOKUP('Raw Data'!A7163,References!#REF!,2,FALSE),(VLOOKUP($S7163,References!$B$3:$C$7,2,FALSE))),"")</f>
        <v/>
      </c>
      <c r="W7163" s="74" t="str">
        <f>IFERROR(VLOOKUP($O7163,'Customer List'!$A$1:$J$488,10,FALSE),"")</f>
        <v/>
      </c>
    </row>
    <row r="7164" spans="18:23">
      <c r="R7164" s="127">
        <f t="shared" si="299"/>
        <v>0</v>
      </c>
      <c r="T7164" s="128">
        <f t="shared" si="298"/>
        <v>0</v>
      </c>
      <c r="U7164" s="129" t="str">
        <f>IFERROR(IF(#REF!="S",VLOOKUP('Raw Data'!A7164,References!#REF!,2,FALSE),(VLOOKUP($S7164,References!$B$3:$C$7,2,FALSE))),"")</f>
        <v/>
      </c>
      <c r="W7164" s="74" t="str">
        <f>IFERROR(VLOOKUP($O7164,'Customer List'!$A$1:$J$488,10,FALSE),"")</f>
        <v/>
      </c>
    </row>
    <row r="7165" spans="18:23">
      <c r="R7165" s="127">
        <f t="shared" si="299"/>
        <v>0</v>
      </c>
      <c r="T7165" s="128">
        <f t="shared" si="298"/>
        <v>0</v>
      </c>
      <c r="U7165" s="129" t="str">
        <f>IFERROR(IF(#REF!="S",VLOOKUP('Raw Data'!A7165,References!#REF!,2,FALSE),(VLOOKUP($S7165,References!$B$3:$C$7,2,FALSE))),"")</f>
        <v/>
      </c>
      <c r="W7165" s="74" t="str">
        <f>IFERROR(VLOOKUP($O7165,'Customer List'!$A$1:$J$488,10,FALSE),"")</f>
        <v/>
      </c>
    </row>
    <row r="7166" spans="18:23">
      <c r="R7166" s="127">
        <f t="shared" si="299"/>
        <v>0</v>
      </c>
      <c r="T7166" s="128">
        <f t="shared" si="298"/>
        <v>0</v>
      </c>
      <c r="U7166" s="129" t="str">
        <f>IFERROR(IF(#REF!="S",VLOOKUP('Raw Data'!A7166,References!#REF!,2,FALSE),(VLOOKUP($S7166,References!$B$3:$C$7,2,FALSE))),"")</f>
        <v/>
      </c>
      <c r="W7166" s="74" t="str">
        <f>IFERROR(VLOOKUP($O7166,'Customer List'!$A$1:$J$488,10,FALSE),"")</f>
        <v/>
      </c>
    </row>
    <row r="7167" spans="18:23">
      <c r="R7167" s="127">
        <f t="shared" si="299"/>
        <v>0</v>
      </c>
      <c r="T7167" s="128">
        <f t="shared" si="298"/>
        <v>0</v>
      </c>
      <c r="U7167" s="129" t="str">
        <f>IFERROR(IF(#REF!="S",VLOOKUP('Raw Data'!A7167,References!#REF!,2,FALSE),(VLOOKUP($S7167,References!$B$3:$C$7,2,FALSE))),"")</f>
        <v/>
      </c>
      <c r="W7167" s="74" t="str">
        <f>IFERROR(VLOOKUP($O7167,'Customer List'!$A$1:$J$488,10,FALSE),"")</f>
        <v/>
      </c>
    </row>
    <row r="7168" spans="18:23">
      <c r="R7168" s="127">
        <f t="shared" si="299"/>
        <v>0</v>
      </c>
      <c r="T7168" s="128">
        <f t="shared" si="298"/>
        <v>0</v>
      </c>
      <c r="U7168" s="129" t="str">
        <f>IFERROR(IF(#REF!="S",VLOOKUP('Raw Data'!A7168,References!#REF!,2,FALSE),(VLOOKUP($S7168,References!$B$3:$C$7,2,FALSE))),"")</f>
        <v/>
      </c>
      <c r="W7168" s="74" t="str">
        <f>IFERROR(VLOOKUP($O7168,'Customer List'!$A$1:$J$488,10,FALSE),"")</f>
        <v/>
      </c>
    </row>
    <row r="7169" spans="18:23">
      <c r="R7169" s="127">
        <f t="shared" si="299"/>
        <v>0</v>
      </c>
      <c r="T7169" s="128">
        <f t="shared" si="298"/>
        <v>0</v>
      </c>
      <c r="U7169" s="129" t="str">
        <f>IFERROR(IF(#REF!="S",VLOOKUP('Raw Data'!A7169,References!#REF!,2,FALSE),(VLOOKUP($S7169,References!$B$3:$C$7,2,FALSE))),"")</f>
        <v/>
      </c>
      <c r="W7169" s="74" t="str">
        <f>IFERROR(VLOOKUP($O7169,'Customer List'!$A$1:$J$488,10,FALSE),"")</f>
        <v/>
      </c>
    </row>
    <row r="7170" spans="18:23">
      <c r="R7170" s="127">
        <f t="shared" si="299"/>
        <v>0</v>
      </c>
      <c r="T7170" s="128">
        <f t="shared" si="298"/>
        <v>0</v>
      </c>
      <c r="U7170" s="129" t="str">
        <f>IFERROR(IF(#REF!="S",VLOOKUP('Raw Data'!A7170,References!#REF!,2,FALSE),(VLOOKUP($S7170,References!$B$3:$C$7,2,FALSE))),"")</f>
        <v/>
      </c>
      <c r="W7170" s="74" t="str">
        <f>IFERROR(VLOOKUP($O7170,'Customer List'!$A$1:$J$488,10,FALSE),"")</f>
        <v/>
      </c>
    </row>
    <row r="7171" spans="18:23">
      <c r="R7171" s="127">
        <f t="shared" si="299"/>
        <v>0</v>
      </c>
      <c r="T7171" s="128">
        <f t="shared" si="298"/>
        <v>0</v>
      </c>
      <c r="U7171" s="129" t="str">
        <f>IFERROR(IF(#REF!="S",VLOOKUP('Raw Data'!A7171,References!#REF!,2,FALSE),(VLOOKUP($S7171,References!$B$3:$C$7,2,FALSE))),"")</f>
        <v/>
      </c>
      <c r="W7171" s="74" t="str">
        <f>IFERROR(VLOOKUP($O7171,'Customer List'!$A$1:$J$488,10,FALSE),"")</f>
        <v/>
      </c>
    </row>
    <row r="7172" spans="18:23">
      <c r="R7172" s="127">
        <f t="shared" si="299"/>
        <v>0</v>
      </c>
      <c r="T7172" s="128">
        <f t="shared" si="298"/>
        <v>0</v>
      </c>
      <c r="U7172" s="129" t="str">
        <f>IFERROR(IF(#REF!="S",VLOOKUP('Raw Data'!A7172,References!#REF!,2,FALSE),(VLOOKUP($S7172,References!$B$3:$C$7,2,FALSE))),"")</f>
        <v/>
      </c>
      <c r="W7172" s="74" t="str">
        <f>IFERROR(VLOOKUP($O7172,'Customer List'!$A$1:$J$488,10,FALSE),"")</f>
        <v/>
      </c>
    </row>
    <row r="7173" spans="18:23">
      <c r="R7173" s="127">
        <f t="shared" si="299"/>
        <v>0</v>
      </c>
      <c r="T7173" s="128">
        <f t="shared" si="298"/>
        <v>0</v>
      </c>
      <c r="U7173" s="129" t="str">
        <f>IFERROR(IF(#REF!="S",VLOOKUP('Raw Data'!A7173,References!#REF!,2,FALSE),(VLOOKUP($S7173,References!$B$3:$C$7,2,FALSE))),"")</f>
        <v/>
      </c>
      <c r="W7173" s="74" t="str">
        <f>IFERROR(VLOOKUP($O7173,'Customer List'!$A$1:$J$488,10,FALSE),"")</f>
        <v/>
      </c>
    </row>
    <row r="7174" spans="18:23">
      <c r="R7174" s="127">
        <f t="shared" si="299"/>
        <v>0</v>
      </c>
      <c r="T7174" s="128">
        <f t="shared" si="298"/>
        <v>0</v>
      </c>
      <c r="U7174" s="129" t="str">
        <f>IFERROR(IF(#REF!="S",VLOOKUP('Raw Data'!A7174,References!#REF!,2,FALSE),(VLOOKUP($S7174,References!$B$3:$C$7,2,FALSE))),"")</f>
        <v/>
      </c>
      <c r="W7174" s="74" t="str">
        <f>IFERROR(VLOOKUP($O7174,'Customer List'!$A$1:$J$488,10,FALSE),"")</f>
        <v/>
      </c>
    </row>
    <row r="7175" spans="18:23">
      <c r="R7175" s="127">
        <f t="shared" si="299"/>
        <v>0</v>
      </c>
      <c r="T7175" s="128">
        <f t="shared" si="298"/>
        <v>0</v>
      </c>
      <c r="U7175" s="129" t="str">
        <f>IFERROR(IF(#REF!="S",VLOOKUP('Raw Data'!A7175,References!#REF!,2,FALSE),(VLOOKUP($S7175,References!$B$3:$C$7,2,FALSE))),"")</f>
        <v/>
      </c>
      <c r="W7175" s="74" t="str">
        <f>IFERROR(VLOOKUP($O7175,'Customer List'!$A$1:$J$488,10,FALSE),"")</f>
        <v/>
      </c>
    </row>
    <row r="7176" spans="18:23">
      <c r="R7176" s="127">
        <f t="shared" si="299"/>
        <v>0</v>
      </c>
      <c r="T7176" s="128">
        <f t="shared" si="298"/>
        <v>0</v>
      </c>
      <c r="U7176" s="129" t="str">
        <f>IFERROR(IF(#REF!="S",VLOOKUP('Raw Data'!A7176,References!#REF!,2,FALSE),(VLOOKUP($S7176,References!$B$3:$C$7,2,FALSE))),"")</f>
        <v/>
      </c>
      <c r="W7176" s="74" t="str">
        <f>IFERROR(VLOOKUP($O7176,'Customer List'!$A$1:$J$488,10,FALSE),"")</f>
        <v/>
      </c>
    </row>
    <row r="7177" spans="18:23">
      <c r="R7177" s="127">
        <f t="shared" si="299"/>
        <v>0</v>
      </c>
      <c r="T7177" s="128">
        <f t="shared" si="298"/>
        <v>0</v>
      </c>
      <c r="U7177" s="129" t="str">
        <f>IFERROR(IF(#REF!="S",VLOOKUP('Raw Data'!A7177,References!#REF!,2,FALSE),(VLOOKUP($S7177,References!$B$3:$C$7,2,FALSE))),"")</f>
        <v/>
      </c>
      <c r="W7177" s="74" t="str">
        <f>IFERROR(VLOOKUP($O7177,'Customer List'!$A$1:$J$488,10,FALSE),"")</f>
        <v/>
      </c>
    </row>
    <row r="7178" spans="18:23">
      <c r="R7178" s="127">
        <f t="shared" si="299"/>
        <v>0</v>
      </c>
      <c r="T7178" s="128">
        <f t="shared" ref="T7178:T7241" si="300">IF(S7178="50 - Cleaning Fee",1,HOUR($R7178)+MINUTE(R7178)/60)</f>
        <v>0</v>
      </c>
      <c r="U7178" s="129" t="str">
        <f>IFERROR(IF(#REF!="S",VLOOKUP('Raw Data'!A7178,References!#REF!,2,FALSE),(VLOOKUP($S7178,References!$B$3:$C$7,2,FALSE))),"")</f>
        <v/>
      </c>
      <c r="W7178" s="74" t="str">
        <f>IFERROR(VLOOKUP($O7178,'Customer List'!$A$1:$J$488,10,FALSE),"")</f>
        <v/>
      </c>
    </row>
    <row r="7179" spans="18:23">
      <c r="R7179" s="127">
        <f t="shared" si="299"/>
        <v>0</v>
      </c>
      <c r="T7179" s="128">
        <f t="shared" si="300"/>
        <v>0</v>
      </c>
      <c r="U7179" s="129" t="str">
        <f>IFERROR(IF(#REF!="S",VLOOKUP('Raw Data'!A7179,References!#REF!,2,FALSE),(VLOOKUP($S7179,References!$B$3:$C$7,2,FALSE))),"")</f>
        <v/>
      </c>
      <c r="W7179" s="74" t="str">
        <f>IFERROR(VLOOKUP($O7179,'Customer List'!$A$1:$J$488,10,FALSE),"")</f>
        <v/>
      </c>
    </row>
    <row r="7180" spans="18:23">
      <c r="R7180" s="127">
        <f t="shared" si="299"/>
        <v>0</v>
      </c>
      <c r="T7180" s="128">
        <f t="shared" si="300"/>
        <v>0</v>
      </c>
      <c r="U7180" s="129" t="str">
        <f>IFERROR(IF(#REF!="S",VLOOKUP('Raw Data'!A7180,References!#REF!,2,FALSE),(VLOOKUP($S7180,References!$B$3:$C$7,2,FALSE))),"")</f>
        <v/>
      </c>
      <c r="W7180" s="74" t="str">
        <f>IFERROR(VLOOKUP($O7180,'Customer List'!$A$1:$J$488,10,FALSE),"")</f>
        <v/>
      </c>
    </row>
    <row r="7181" spans="18:23">
      <c r="R7181" s="127">
        <f t="shared" si="299"/>
        <v>0</v>
      </c>
      <c r="T7181" s="128">
        <f t="shared" si="300"/>
        <v>0</v>
      </c>
      <c r="U7181" s="129" t="str">
        <f>IFERROR(IF(#REF!="S",VLOOKUP('Raw Data'!A7181,References!#REF!,2,FALSE),(VLOOKUP($S7181,References!$B$3:$C$7,2,FALSE))),"")</f>
        <v/>
      </c>
      <c r="W7181" s="74" t="str">
        <f>IFERROR(VLOOKUP($O7181,'Customer List'!$A$1:$J$488,10,FALSE),"")</f>
        <v/>
      </c>
    </row>
    <row r="7182" spans="18:23">
      <c r="R7182" s="127">
        <f t="shared" si="299"/>
        <v>0</v>
      </c>
      <c r="T7182" s="128">
        <f t="shared" si="300"/>
        <v>0</v>
      </c>
      <c r="U7182" s="129" t="str">
        <f>IFERROR(IF(#REF!="S",VLOOKUP('Raw Data'!A7182,References!#REF!,2,FALSE),(VLOOKUP($S7182,References!$B$3:$C$7,2,FALSE))),"")</f>
        <v/>
      </c>
      <c r="W7182" s="74" t="str">
        <f>IFERROR(VLOOKUP($O7182,'Customer List'!$A$1:$J$488,10,FALSE),"")</f>
        <v/>
      </c>
    </row>
    <row r="7183" spans="18:23">
      <c r="R7183" s="127">
        <f t="shared" si="299"/>
        <v>0</v>
      </c>
      <c r="T7183" s="128">
        <f t="shared" si="300"/>
        <v>0</v>
      </c>
      <c r="U7183" s="129" t="str">
        <f>IFERROR(IF(#REF!="S",VLOOKUP('Raw Data'!A7183,References!#REF!,2,FALSE),(VLOOKUP($S7183,References!$B$3:$C$7,2,FALSE))),"")</f>
        <v/>
      </c>
      <c r="W7183" s="74" t="str">
        <f>IFERROR(VLOOKUP($O7183,'Customer List'!$A$1:$J$488,10,FALSE),"")</f>
        <v/>
      </c>
    </row>
    <row r="7184" spans="18:23">
      <c r="R7184" s="127">
        <f t="shared" si="299"/>
        <v>0</v>
      </c>
      <c r="T7184" s="128">
        <f t="shared" si="300"/>
        <v>0</v>
      </c>
      <c r="U7184" s="129" t="str">
        <f>IFERROR(IF(#REF!="S",VLOOKUP('Raw Data'!A7184,References!#REF!,2,FALSE),(VLOOKUP($S7184,References!$B$3:$C$7,2,FALSE))),"")</f>
        <v/>
      </c>
      <c r="W7184" s="74" t="str">
        <f>IFERROR(VLOOKUP($O7184,'Customer List'!$A$1:$J$488,10,FALSE),"")</f>
        <v/>
      </c>
    </row>
    <row r="7185" spans="18:23">
      <c r="R7185" s="127">
        <f t="shared" si="299"/>
        <v>0</v>
      </c>
      <c r="T7185" s="128">
        <f t="shared" si="300"/>
        <v>0</v>
      </c>
      <c r="U7185" s="129" t="str">
        <f>IFERROR(IF(#REF!="S",VLOOKUP('Raw Data'!A7185,References!#REF!,2,FALSE),(VLOOKUP($S7185,References!$B$3:$C$7,2,FALSE))),"")</f>
        <v/>
      </c>
      <c r="W7185" s="74" t="str">
        <f>IFERROR(VLOOKUP($O7185,'Customer List'!$A$1:$J$488,10,FALSE),"")</f>
        <v/>
      </c>
    </row>
    <row r="7186" spans="18:23">
      <c r="R7186" s="127">
        <f t="shared" si="299"/>
        <v>0</v>
      </c>
      <c r="T7186" s="128">
        <f t="shared" si="300"/>
        <v>0</v>
      </c>
      <c r="U7186" s="129" t="str">
        <f>IFERROR(IF(#REF!="S",VLOOKUP('Raw Data'!A7186,References!#REF!,2,FALSE),(VLOOKUP($S7186,References!$B$3:$C$7,2,FALSE))),"")</f>
        <v/>
      </c>
      <c r="W7186" s="74" t="str">
        <f>IFERROR(VLOOKUP($O7186,'Customer List'!$A$1:$J$488,10,FALSE),"")</f>
        <v/>
      </c>
    </row>
    <row r="7187" spans="18:23">
      <c r="R7187" s="127">
        <f t="shared" si="299"/>
        <v>0</v>
      </c>
      <c r="T7187" s="128">
        <f t="shared" si="300"/>
        <v>0</v>
      </c>
      <c r="U7187" s="129" t="str">
        <f>IFERROR(IF(#REF!="S",VLOOKUP('Raw Data'!A7187,References!#REF!,2,FALSE),(VLOOKUP($S7187,References!$B$3:$C$7,2,FALSE))),"")</f>
        <v/>
      </c>
      <c r="W7187" s="74" t="str">
        <f>IFERROR(VLOOKUP($O7187,'Customer List'!$A$1:$J$488,10,FALSE),"")</f>
        <v/>
      </c>
    </row>
    <row r="7188" spans="18:23">
      <c r="R7188" s="127">
        <f t="shared" si="299"/>
        <v>0</v>
      </c>
      <c r="T7188" s="128">
        <f t="shared" si="300"/>
        <v>0</v>
      </c>
      <c r="U7188" s="129" t="str">
        <f>IFERROR(IF(#REF!="S",VLOOKUP('Raw Data'!A7188,References!#REF!,2,FALSE),(VLOOKUP($S7188,References!$B$3:$C$7,2,FALSE))),"")</f>
        <v/>
      </c>
      <c r="W7188" s="74" t="str">
        <f>IFERROR(VLOOKUP($O7188,'Customer List'!$A$1:$J$488,10,FALSE),"")</f>
        <v/>
      </c>
    </row>
    <row r="7189" spans="18:23">
      <c r="R7189" s="127">
        <f t="shared" si="299"/>
        <v>0</v>
      </c>
      <c r="T7189" s="128">
        <f t="shared" si="300"/>
        <v>0</v>
      </c>
      <c r="U7189" s="129" t="str">
        <f>IFERROR(IF(#REF!="S",VLOOKUP('Raw Data'!A7189,References!#REF!,2,FALSE),(VLOOKUP($S7189,References!$B$3:$C$7,2,FALSE))),"")</f>
        <v/>
      </c>
      <c r="W7189" s="74" t="str">
        <f>IFERROR(VLOOKUP($O7189,'Customer List'!$A$1:$J$488,10,FALSE),"")</f>
        <v/>
      </c>
    </row>
    <row r="7190" spans="18:23">
      <c r="R7190" s="127">
        <f t="shared" si="299"/>
        <v>0</v>
      </c>
      <c r="T7190" s="128">
        <f t="shared" si="300"/>
        <v>0</v>
      </c>
      <c r="U7190" s="129" t="str">
        <f>IFERROR(IF(#REF!="S",VLOOKUP('Raw Data'!A7190,References!#REF!,2,FALSE),(VLOOKUP($S7190,References!$B$3:$C$7,2,FALSE))),"")</f>
        <v/>
      </c>
      <c r="W7190" s="74" t="str">
        <f>IFERROR(VLOOKUP($O7190,'Customer List'!$A$1:$J$488,10,FALSE),"")</f>
        <v/>
      </c>
    </row>
    <row r="7191" spans="18:23">
      <c r="R7191" s="127">
        <f t="shared" si="299"/>
        <v>0</v>
      </c>
      <c r="T7191" s="128">
        <f t="shared" si="300"/>
        <v>0</v>
      </c>
      <c r="U7191" s="129" t="str">
        <f>IFERROR(IF(#REF!="S",VLOOKUP('Raw Data'!A7191,References!#REF!,2,FALSE),(VLOOKUP($S7191,References!$B$3:$C$7,2,FALSE))),"")</f>
        <v/>
      </c>
      <c r="W7191" s="74" t="str">
        <f>IFERROR(VLOOKUP($O7191,'Customer List'!$A$1:$J$488,10,FALSE),"")</f>
        <v/>
      </c>
    </row>
    <row r="7192" spans="18:23">
      <c r="R7192" s="127">
        <f t="shared" si="299"/>
        <v>0</v>
      </c>
      <c r="T7192" s="128">
        <f t="shared" si="300"/>
        <v>0</v>
      </c>
      <c r="U7192" s="129" t="str">
        <f>IFERROR(IF(#REF!="S",VLOOKUP('Raw Data'!A7192,References!#REF!,2,FALSE),(VLOOKUP($S7192,References!$B$3:$C$7,2,FALSE))),"")</f>
        <v/>
      </c>
      <c r="W7192" s="74" t="str">
        <f>IFERROR(VLOOKUP($O7192,'Customer List'!$A$1:$J$488,10,FALSE),"")</f>
        <v/>
      </c>
    </row>
    <row r="7193" spans="18:23">
      <c r="R7193" s="127">
        <f t="shared" si="299"/>
        <v>0</v>
      </c>
      <c r="T7193" s="128">
        <f t="shared" si="300"/>
        <v>0</v>
      </c>
      <c r="U7193" s="129" t="str">
        <f>IFERROR(IF(#REF!="S",VLOOKUP('Raw Data'!A7193,References!#REF!,2,FALSE),(VLOOKUP($S7193,References!$B$3:$C$7,2,FALSE))),"")</f>
        <v/>
      </c>
      <c r="W7193" s="74" t="str">
        <f>IFERROR(VLOOKUP($O7193,'Customer List'!$A$1:$J$488,10,FALSE),"")</f>
        <v/>
      </c>
    </row>
    <row r="7194" spans="18:23">
      <c r="R7194" s="127">
        <f t="shared" si="299"/>
        <v>0</v>
      </c>
      <c r="T7194" s="128">
        <f t="shared" si="300"/>
        <v>0</v>
      </c>
      <c r="U7194" s="129" t="str">
        <f>IFERROR(IF(#REF!="S",VLOOKUP('Raw Data'!A7194,References!#REF!,2,FALSE),(VLOOKUP($S7194,References!$B$3:$C$7,2,FALSE))),"")</f>
        <v/>
      </c>
      <c r="W7194" s="74" t="str">
        <f>IFERROR(VLOOKUP($O7194,'Customer List'!$A$1:$J$488,10,FALSE),"")</f>
        <v/>
      </c>
    </row>
    <row r="7195" spans="18:23">
      <c r="R7195" s="127">
        <f t="shared" si="299"/>
        <v>0</v>
      </c>
      <c r="T7195" s="128">
        <f t="shared" si="300"/>
        <v>0</v>
      </c>
      <c r="U7195" s="129" t="str">
        <f>IFERROR(IF(#REF!="S",VLOOKUP('Raw Data'!A7195,References!#REF!,2,FALSE),(VLOOKUP($S7195,References!$B$3:$C$7,2,FALSE))),"")</f>
        <v/>
      </c>
      <c r="W7195" s="74" t="str">
        <f>IFERROR(VLOOKUP($O7195,'Customer List'!$A$1:$J$488,10,FALSE),"")</f>
        <v/>
      </c>
    </row>
    <row r="7196" spans="18:23">
      <c r="R7196" s="127">
        <f t="shared" si="299"/>
        <v>0</v>
      </c>
      <c r="T7196" s="128">
        <f t="shared" si="300"/>
        <v>0</v>
      </c>
      <c r="U7196" s="129" t="str">
        <f>IFERROR(IF(#REF!="S",VLOOKUP('Raw Data'!A7196,References!#REF!,2,FALSE),(VLOOKUP($S7196,References!$B$3:$C$7,2,FALSE))),"")</f>
        <v/>
      </c>
      <c r="W7196" s="74" t="str">
        <f>IFERROR(VLOOKUP($O7196,'Customer List'!$A$1:$J$488,10,FALSE),"")</f>
        <v/>
      </c>
    </row>
    <row r="7197" spans="18:23">
      <c r="R7197" s="127">
        <f t="shared" si="299"/>
        <v>0</v>
      </c>
      <c r="T7197" s="128">
        <f t="shared" si="300"/>
        <v>0</v>
      </c>
      <c r="U7197" s="129" t="str">
        <f>IFERROR(IF(#REF!="S",VLOOKUP('Raw Data'!A7197,References!#REF!,2,FALSE),(VLOOKUP($S7197,References!$B$3:$C$7,2,FALSE))),"")</f>
        <v/>
      </c>
      <c r="W7197" s="74" t="str">
        <f>IFERROR(VLOOKUP($O7197,'Customer List'!$A$1:$J$488,10,FALSE),"")</f>
        <v/>
      </c>
    </row>
    <row r="7198" spans="18:23">
      <c r="R7198" s="127">
        <f t="shared" si="299"/>
        <v>0</v>
      </c>
      <c r="T7198" s="128">
        <f t="shared" si="300"/>
        <v>0</v>
      </c>
      <c r="U7198" s="129" t="str">
        <f>IFERROR(IF(#REF!="S",VLOOKUP('Raw Data'!A7198,References!#REF!,2,FALSE),(VLOOKUP($S7198,References!$B$3:$C$7,2,FALSE))),"")</f>
        <v/>
      </c>
      <c r="W7198" s="74" t="str">
        <f>IFERROR(VLOOKUP($O7198,'Customer List'!$A$1:$J$488,10,FALSE),"")</f>
        <v/>
      </c>
    </row>
    <row r="7199" spans="18:23">
      <c r="R7199" s="127">
        <f t="shared" si="299"/>
        <v>0</v>
      </c>
      <c r="T7199" s="128">
        <f t="shared" si="300"/>
        <v>0</v>
      </c>
      <c r="U7199" s="129" t="str">
        <f>IFERROR(IF(#REF!="S",VLOOKUP('Raw Data'!A7199,References!#REF!,2,FALSE),(VLOOKUP($S7199,References!$B$3:$C$7,2,FALSE))),"")</f>
        <v/>
      </c>
      <c r="W7199" s="74" t="str">
        <f>IFERROR(VLOOKUP($O7199,'Customer List'!$A$1:$J$488,10,FALSE),"")</f>
        <v/>
      </c>
    </row>
    <row r="7200" spans="18:23">
      <c r="R7200" s="127">
        <f t="shared" si="299"/>
        <v>0</v>
      </c>
      <c r="T7200" s="128">
        <f t="shared" si="300"/>
        <v>0</v>
      </c>
      <c r="U7200" s="129" t="str">
        <f>IFERROR(IF(#REF!="S",VLOOKUP('Raw Data'!A7200,References!#REF!,2,FALSE),(VLOOKUP($S7200,References!$B$3:$C$7,2,FALSE))),"")</f>
        <v/>
      </c>
      <c r="W7200" s="74" t="str">
        <f>IFERROR(VLOOKUP($O7200,'Customer List'!$A$1:$J$488,10,FALSE),"")</f>
        <v/>
      </c>
    </row>
    <row r="7201" spans="18:23">
      <c r="R7201" s="127">
        <f t="shared" si="299"/>
        <v>0</v>
      </c>
      <c r="T7201" s="128">
        <f t="shared" si="300"/>
        <v>0</v>
      </c>
      <c r="U7201" s="129" t="str">
        <f>IFERROR(IF(#REF!="S",VLOOKUP('Raw Data'!A7201,References!#REF!,2,FALSE),(VLOOKUP($S7201,References!$B$3:$C$7,2,FALSE))),"")</f>
        <v/>
      </c>
      <c r="W7201" s="74" t="str">
        <f>IFERROR(VLOOKUP($O7201,'Customer List'!$A$1:$J$488,10,FALSE),"")</f>
        <v/>
      </c>
    </row>
    <row r="7202" spans="18:23">
      <c r="R7202" s="127">
        <f t="shared" ref="R7202:R7265" si="301">L7202-K7202</f>
        <v>0</v>
      </c>
      <c r="T7202" s="128">
        <f t="shared" si="300"/>
        <v>0</v>
      </c>
      <c r="U7202" s="129" t="str">
        <f>IFERROR(IF(#REF!="S",VLOOKUP('Raw Data'!A7202,References!#REF!,2,FALSE),(VLOOKUP($S7202,References!$B$3:$C$7,2,FALSE))),"")</f>
        <v/>
      </c>
      <c r="W7202" s="74" t="str">
        <f>IFERROR(VLOOKUP($O7202,'Customer List'!$A$1:$J$488,10,FALSE),"")</f>
        <v/>
      </c>
    </row>
    <row r="7203" spans="18:23">
      <c r="R7203" s="127">
        <f t="shared" si="301"/>
        <v>0</v>
      </c>
      <c r="T7203" s="128">
        <f t="shared" si="300"/>
        <v>0</v>
      </c>
      <c r="U7203" s="129" t="str">
        <f>IFERROR(IF(#REF!="S",VLOOKUP('Raw Data'!A7203,References!#REF!,2,FALSE),(VLOOKUP($S7203,References!$B$3:$C$7,2,FALSE))),"")</f>
        <v/>
      </c>
      <c r="W7203" s="74" t="str">
        <f>IFERROR(VLOOKUP($O7203,'Customer List'!$A$1:$J$488,10,FALSE),"")</f>
        <v/>
      </c>
    </row>
    <row r="7204" spans="18:23">
      <c r="R7204" s="127">
        <f t="shared" si="301"/>
        <v>0</v>
      </c>
      <c r="T7204" s="128">
        <f t="shared" si="300"/>
        <v>0</v>
      </c>
      <c r="U7204" s="129" t="str">
        <f>IFERROR(IF(#REF!="S",VLOOKUP('Raw Data'!A7204,References!#REF!,2,FALSE),(VLOOKUP($S7204,References!$B$3:$C$7,2,FALSE))),"")</f>
        <v/>
      </c>
      <c r="W7204" s="74" t="str">
        <f>IFERROR(VLOOKUP($O7204,'Customer List'!$A$1:$J$488,10,FALSE),"")</f>
        <v/>
      </c>
    </row>
    <row r="7205" spans="18:23">
      <c r="R7205" s="127">
        <f t="shared" si="301"/>
        <v>0</v>
      </c>
      <c r="T7205" s="128">
        <f t="shared" si="300"/>
        <v>0</v>
      </c>
      <c r="U7205" s="129" t="str">
        <f>IFERROR(IF(#REF!="S",VLOOKUP('Raw Data'!A7205,References!#REF!,2,FALSE),(VLOOKUP($S7205,References!$B$3:$C$7,2,FALSE))),"")</f>
        <v/>
      </c>
      <c r="W7205" s="74" t="str">
        <f>IFERROR(VLOOKUP($O7205,'Customer List'!$A$1:$J$488,10,FALSE),"")</f>
        <v/>
      </c>
    </row>
    <row r="7206" spans="18:23">
      <c r="R7206" s="127">
        <f t="shared" si="301"/>
        <v>0</v>
      </c>
      <c r="T7206" s="128">
        <f t="shared" si="300"/>
        <v>0</v>
      </c>
      <c r="U7206" s="129" t="str">
        <f>IFERROR(IF(#REF!="S",VLOOKUP('Raw Data'!A7206,References!#REF!,2,FALSE),(VLOOKUP($S7206,References!$B$3:$C$7,2,FALSE))),"")</f>
        <v/>
      </c>
      <c r="W7206" s="74" t="str">
        <f>IFERROR(VLOOKUP($O7206,'Customer List'!$A$1:$J$488,10,FALSE),"")</f>
        <v/>
      </c>
    </row>
    <row r="7207" spans="18:23">
      <c r="R7207" s="127">
        <f t="shared" si="301"/>
        <v>0</v>
      </c>
      <c r="T7207" s="128">
        <f t="shared" si="300"/>
        <v>0</v>
      </c>
      <c r="U7207" s="129" t="str">
        <f>IFERROR(IF(#REF!="S",VLOOKUP('Raw Data'!A7207,References!#REF!,2,FALSE),(VLOOKUP($S7207,References!$B$3:$C$7,2,FALSE))),"")</f>
        <v/>
      </c>
      <c r="W7207" s="74" t="str">
        <f>IFERROR(VLOOKUP($O7207,'Customer List'!$A$1:$J$488,10,FALSE),"")</f>
        <v/>
      </c>
    </row>
    <row r="7208" spans="18:23">
      <c r="R7208" s="127">
        <f t="shared" si="301"/>
        <v>0</v>
      </c>
      <c r="T7208" s="128">
        <f t="shared" si="300"/>
        <v>0</v>
      </c>
      <c r="U7208" s="129" t="str">
        <f>IFERROR(IF(#REF!="S",VLOOKUP('Raw Data'!A7208,References!#REF!,2,FALSE),(VLOOKUP($S7208,References!$B$3:$C$7,2,FALSE))),"")</f>
        <v/>
      </c>
      <c r="W7208" s="74" t="str">
        <f>IFERROR(VLOOKUP($O7208,'Customer List'!$A$1:$J$488,10,FALSE),"")</f>
        <v/>
      </c>
    </row>
    <row r="7209" spans="18:23">
      <c r="R7209" s="127">
        <f t="shared" si="301"/>
        <v>0</v>
      </c>
      <c r="T7209" s="128">
        <f t="shared" si="300"/>
        <v>0</v>
      </c>
      <c r="U7209" s="129" t="str">
        <f>IFERROR(IF(#REF!="S",VLOOKUP('Raw Data'!A7209,References!#REF!,2,FALSE),(VLOOKUP($S7209,References!$B$3:$C$7,2,FALSE))),"")</f>
        <v/>
      </c>
      <c r="W7209" s="74" t="str">
        <f>IFERROR(VLOOKUP($O7209,'Customer List'!$A$1:$J$488,10,FALSE),"")</f>
        <v/>
      </c>
    </row>
    <row r="7210" spans="18:23">
      <c r="R7210" s="127">
        <f t="shared" si="301"/>
        <v>0</v>
      </c>
      <c r="T7210" s="128">
        <f t="shared" si="300"/>
        <v>0</v>
      </c>
      <c r="U7210" s="129" t="str">
        <f>IFERROR(IF(#REF!="S",VLOOKUP('Raw Data'!A7210,References!#REF!,2,FALSE),(VLOOKUP($S7210,References!$B$3:$C$7,2,FALSE))),"")</f>
        <v/>
      </c>
      <c r="W7210" s="74" t="str">
        <f>IFERROR(VLOOKUP($O7210,'Customer List'!$A$1:$J$488,10,FALSE),"")</f>
        <v/>
      </c>
    </row>
    <row r="7211" spans="18:23">
      <c r="R7211" s="127">
        <f t="shared" si="301"/>
        <v>0</v>
      </c>
      <c r="T7211" s="128">
        <f t="shared" si="300"/>
        <v>0</v>
      </c>
      <c r="U7211" s="129" t="str">
        <f>IFERROR(IF(#REF!="S",VLOOKUP('Raw Data'!A7211,References!#REF!,2,FALSE),(VLOOKUP($S7211,References!$B$3:$C$7,2,FALSE))),"")</f>
        <v/>
      </c>
      <c r="W7211" s="74" t="str">
        <f>IFERROR(VLOOKUP($O7211,'Customer List'!$A$1:$J$488,10,FALSE),"")</f>
        <v/>
      </c>
    </row>
    <row r="7212" spans="18:23">
      <c r="R7212" s="127">
        <f t="shared" si="301"/>
        <v>0</v>
      </c>
      <c r="T7212" s="128">
        <f t="shared" si="300"/>
        <v>0</v>
      </c>
      <c r="U7212" s="129" t="str">
        <f>IFERROR(IF(#REF!="S",VLOOKUP('Raw Data'!A7212,References!#REF!,2,FALSE),(VLOOKUP($S7212,References!$B$3:$C$7,2,FALSE))),"")</f>
        <v/>
      </c>
      <c r="W7212" s="74" t="str">
        <f>IFERROR(VLOOKUP($O7212,'Customer List'!$A$1:$J$488,10,FALSE),"")</f>
        <v/>
      </c>
    </row>
    <row r="7213" spans="18:23">
      <c r="R7213" s="127">
        <f t="shared" si="301"/>
        <v>0</v>
      </c>
      <c r="T7213" s="128">
        <f t="shared" si="300"/>
        <v>0</v>
      </c>
      <c r="U7213" s="129" t="str">
        <f>IFERROR(IF(#REF!="S",VLOOKUP('Raw Data'!A7213,References!#REF!,2,FALSE),(VLOOKUP($S7213,References!$B$3:$C$7,2,FALSE))),"")</f>
        <v/>
      </c>
      <c r="W7213" s="74" t="str">
        <f>IFERROR(VLOOKUP($O7213,'Customer List'!$A$1:$J$488,10,FALSE),"")</f>
        <v/>
      </c>
    </row>
    <row r="7214" spans="18:23">
      <c r="R7214" s="127">
        <f t="shared" si="301"/>
        <v>0</v>
      </c>
      <c r="T7214" s="128">
        <f t="shared" si="300"/>
        <v>0</v>
      </c>
      <c r="U7214" s="129" t="str">
        <f>IFERROR(IF(#REF!="S",VLOOKUP('Raw Data'!A7214,References!#REF!,2,FALSE),(VLOOKUP($S7214,References!$B$3:$C$7,2,FALSE))),"")</f>
        <v/>
      </c>
      <c r="W7214" s="74" t="str">
        <f>IFERROR(VLOOKUP($O7214,'Customer List'!$A$1:$J$488,10,FALSE),"")</f>
        <v/>
      </c>
    </row>
    <row r="7215" spans="18:23">
      <c r="R7215" s="127">
        <f t="shared" si="301"/>
        <v>0</v>
      </c>
      <c r="T7215" s="128">
        <f t="shared" si="300"/>
        <v>0</v>
      </c>
      <c r="U7215" s="129" t="str">
        <f>IFERROR(IF(#REF!="S",VLOOKUP('Raw Data'!A7215,References!#REF!,2,FALSE),(VLOOKUP($S7215,References!$B$3:$C$7,2,FALSE))),"")</f>
        <v/>
      </c>
      <c r="W7215" s="74" t="str">
        <f>IFERROR(VLOOKUP($O7215,'Customer List'!$A$1:$J$488,10,FALSE),"")</f>
        <v/>
      </c>
    </row>
    <row r="7216" spans="18:23">
      <c r="R7216" s="127">
        <f t="shared" si="301"/>
        <v>0</v>
      </c>
      <c r="T7216" s="128">
        <f t="shared" si="300"/>
        <v>0</v>
      </c>
      <c r="U7216" s="129" t="str">
        <f>IFERROR(IF(#REF!="S",VLOOKUP('Raw Data'!A7216,References!#REF!,2,FALSE),(VLOOKUP($S7216,References!$B$3:$C$7,2,FALSE))),"")</f>
        <v/>
      </c>
      <c r="W7216" s="74" t="str">
        <f>IFERROR(VLOOKUP($O7216,'Customer List'!$A$1:$J$488,10,FALSE),"")</f>
        <v/>
      </c>
    </row>
    <row r="7217" spans="18:23">
      <c r="R7217" s="127">
        <f t="shared" si="301"/>
        <v>0</v>
      </c>
      <c r="T7217" s="128">
        <f t="shared" si="300"/>
        <v>0</v>
      </c>
      <c r="U7217" s="129" t="str">
        <f>IFERROR(IF(#REF!="S",VLOOKUP('Raw Data'!A7217,References!#REF!,2,FALSE),(VLOOKUP($S7217,References!$B$3:$C$7,2,FALSE))),"")</f>
        <v/>
      </c>
      <c r="W7217" s="74" t="str">
        <f>IFERROR(VLOOKUP($O7217,'Customer List'!$A$1:$J$488,10,FALSE),"")</f>
        <v/>
      </c>
    </row>
    <row r="7218" spans="18:23">
      <c r="R7218" s="127">
        <f t="shared" si="301"/>
        <v>0</v>
      </c>
      <c r="T7218" s="128">
        <f t="shared" si="300"/>
        <v>0</v>
      </c>
      <c r="U7218" s="129" t="str">
        <f>IFERROR(IF(#REF!="S",VLOOKUP('Raw Data'!A7218,References!#REF!,2,FALSE),(VLOOKUP($S7218,References!$B$3:$C$7,2,FALSE))),"")</f>
        <v/>
      </c>
      <c r="W7218" s="74" t="str">
        <f>IFERROR(VLOOKUP($O7218,'Customer List'!$A$1:$J$488,10,FALSE),"")</f>
        <v/>
      </c>
    </row>
    <row r="7219" spans="18:23">
      <c r="R7219" s="127">
        <f t="shared" si="301"/>
        <v>0</v>
      </c>
      <c r="T7219" s="128">
        <f t="shared" si="300"/>
        <v>0</v>
      </c>
      <c r="U7219" s="129" t="str">
        <f>IFERROR(IF(#REF!="S",VLOOKUP('Raw Data'!A7219,References!#REF!,2,FALSE),(VLOOKUP($S7219,References!$B$3:$C$7,2,FALSE))),"")</f>
        <v/>
      </c>
      <c r="W7219" s="74" t="str">
        <f>IFERROR(VLOOKUP($O7219,'Customer List'!$A$1:$J$488,10,FALSE),"")</f>
        <v/>
      </c>
    </row>
    <row r="7220" spans="18:23">
      <c r="R7220" s="127">
        <f t="shared" si="301"/>
        <v>0</v>
      </c>
      <c r="T7220" s="128">
        <f t="shared" si="300"/>
        <v>0</v>
      </c>
      <c r="U7220" s="129" t="str">
        <f>IFERROR(IF(#REF!="S",VLOOKUP('Raw Data'!A7220,References!#REF!,2,FALSE),(VLOOKUP($S7220,References!$B$3:$C$7,2,FALSE))),"")</f>
        <v/>
      </c>
      <c r="W7220" s="74" t="str">
        <f>IFERROR(VLOOKUP($O7220,'Customer List'!$A$1:$J$488,10,FALSE),"")</f>
        <v/>
      </c>
    </row>
    <row r="7221" spans="18:23">
      <c r="R7221" s="127">
        <f t="shared" si="301"/>
        <v>0</v>
      </c>
      <c r="T7221" s="128">
        <f t="shared" si="300"/>
        <v>0</v>
      </c>
      <c r="U7221" s="129" t="str">
        <f>IFERROR(IF(#REF!="S",VLOOKUP('Raw Data'!A7221,References!#REF!,2,FALSE),(VLOOKUP($S7221,References!$B$3:$C$7,2,FALSE))),"")</f>
        <v/>
      </c>
      <c r="W7221" s="74" t="str">
        <f>IFERROR(VLOOKUP($O7221,'Customer List'!$A$1:$J$488,10,FALSE),"")</f>
        <v/>
      </c>
    </row>
    <row r="7222" spans="18:23">
      <c r="R7222" s="127">
        <f t="shared" si="301"/>
        <v>0</v>
      </c>
      <c r="T7222" s="128">
        <f t="shared" si="300"/>
        <v>0</v>
      </c>
      <c r="U7222" s="129" t="str">
        <f>IFERROR(IF(#REF!="S",VLOOKUP('Raw Data'!A7222,References!#REF!,2,FALSE),(VLOOKUP($S7222,References!$B$3:$C$7,2,FALSE))),"")</f>
        <v/>
      </c>
      <c r="W7222" s="74" t="str">
        <f>IFERROR(VLOOKUP($O7222,'Customer List'!$A$1:$J$488,10,FALSE),"")</f>
        <v/>
      </c>
    </row>
    <row r="7223" spans="18:23">
      <c r="R7223" s="127">
        <f t="shared" si="301"/>
        <v>0</v>
      </c>
      <c r="T7223" s="128">
        <f t="shared" si="300"/>
        <v>0</v>
      </c>
      <c r="U7223" s="129" t="str">
        <f>IFERROR(IF(#REF!="S",VLOOKUP('Raw Data'!A7223,References!#REF!,2,FALSE),(VLOOKUP($S7223,References!$B$3:$C$7,2,FALSE))),"")</f>
        <v/>
      </c>
      <c r="W7223" s="74" t="str">
        <f>IFERROR(VLOOKUP($O7223,'Customer List'!$A$1:$J$488,10,FALSE),"")</f>
        <v/>
      </c>
    </row>
    <row r="7224" spans="18:23">
      <c r="R7224" s="127">
        <f t="shared" si="301"/>
        <v>0</v>
      </c>
      <c r="T7224" s="128">
        <f t="shared" si="300"/>
        <v>0</v>
      </c>
      <c r="U7224" s="129" t="str">
        <f>IFERROR(IF(#REF!="S",VLOOKUP('Raw Data'!A7224,References!#REF!,2,FALSE),(VLOOKUP($S7224,References!$B$3:$C$7,2,FALSE))),"")</f>
        <v/>
      </c>
      <c r="W7224" s="74" t="str">
        <f>IFERROR(VLOOKUP($O7224,'Customer List'!$A$1:$J$488,10,FALSE),"")</f>
        <v/>
      </c>
    </row>
    <row r="7225" spans="18:23">
      <c r="R7225" s="127">
        <f t="shared" si="301"/>
        <v>0</v>
      </c>
      <c r="T7225" s="128">
        <f t="shared" si="300"/>
        <v>0</v>
      </c>
      <c r="U7225" s="129" t="str">
        <f>IFERROR(IF(#REF!="S",VLOOKUP('Raw Data'!A7225,References!#REF!,2,FALSE),(VLOOKUP($S7225,References!$B$3:$C$7,2,FALSE))),"")</f>
        <v/>
      </c>
      <c r="W7225" s="74" t="str">
        <f>IFERROR(VLOOKUP($O7225,'Customer List'!$A$1:$J$488,10,FALSE),"")</f>
        <v/>
      </c>
    </row>
    <row r="7226" spans="18:23">
      <c r="R7226" s="127">
        <f t="shared" si="301"/>
        <v>0</v>
      </c>
      <c r="T7226" s="128">
        <f t="shared" si="300"/>
        <v>0</v>
      </c>
      <c r="U7226" s="129" t="str">
        <f>IFERROR(IF(#REF!="S",VLOOKUP('Raw Data'!A7226,References!#REF!,2,FALSE),(VLOOKUP($S7226,References!$B$3:$C$7,2,FALSE))),"")</f>
        <v/>
      </c>
      <c r="W7226" s="74" t="str">
        <f>IFERROR(VLOOKUP($O7226,'Customer List'!$A$1:$J$488,10,FALSE),"")</f>
        <v/>
      </c>
    </row>
    <row r="7227" spans="18:23">
      <c r="R7227" s="127">
        <f t="shared" si="301"/>
        <v>0</v>
      </c>
      <c r="T7227" s="128">
        <f t="shared" si="300"/>
        <v>0</v>
      </c>
      <c r="U7227" s="129" t="str">
        <f>IFERROR(IF(#REF!="S",VLOOKUP('Raw Data'!A7227,References!#REF!,2,FALSE),(VLOOKUP($S7227,References!$B$3:$C$7,2,FALSE))),"")</f>
        <v/>
      </c>
      <c r="W7227" s="74" t="str">
        <f>IFERROR(VLOOKUP($O7227,'Customer List'!$A$1:$J$488,10,FALSE),"")</f>
        <v/>
      </c>
    </row>
    <row r="7228" spans="18:23">
      <c r="R7228" s="127">
        <f t="shared" si="301"/>
        <v>0</v>
      </c>
      <c r="T7228" s="128">
        <f t="shared" si="300"/>
        <v>0</v>
      </c>
      <c r="U7228" s="129" t="str">
        <f>IFERROR(IF(#REF!="S",VLOOKUP('Raw Data'!A7228,References!#REF!,2,FALSE),(VLOOKUP($S7228,References!$B$3:$C$7,2,FALSE))),"")</f>
        <v/>
      </c>
      <c r="W7228" s="74" t="str">
        <f>IFERROR(VLOOKUP($O7228,'Customer List'!$A$1:$J$488,10,FALSE),"")</f>
        <v/>
      </c>
    </row>
    <row r="7229" spans="18:23">
      <c r="R7229" s="127">
        <f t="shared" si="301"/>
        <v>0</v>
      </c>
      <c r="T7229" s="128">
        <f t="shared" si="300"/>
        <v>0</v>
      </c>
      <c r="U7229" s="129" t="str">
        <f>IFERROR(IF(#REF!="S",VLOOKUP('Raw Data'!A7229,References!#REF!,2,FALSE),(VLOOKUP($S7229,References!$B$3:$C$7,2,FALSE))),"")</f>
        <v/>
      </c>
      <c r="W7229" s="74" t="str">
        <f>IFERROR(VLOOKUP($O7229,'Customer List'!$A$1:$J$488,10,FALSE),"")</f>
        <v/>
      </c>
    </row>
    <row r="7230" spans="18:23">
      <c r="R7230" s="127">
        <f t="shared" si="301"/>
        <v>0</v>
      </c>
      <c r="T7230" s="128">
        <f t="shared" si="300"/>
        <v>0</v>
      </c>
      <c r="U7230" s="129" t="str">
        <f>IFERROR(IF(#REF!="S",VLOOKUP('Raw Data'!A7230,References!#REF!,2,FALSE),(VLOOKUP($S7230,References!$B$3:$C$7,2,FALSE))),"")</f>
        <v/>
      </c>
      <c r="W7230" s="74" t="str">
        <f>IFERROR(VLOOKUP($O7230,'Customer List'!$A$1:$J$488,10,FALSE),"")</f>
        <v/>
      </c>
    </row>
    <row r="7231" spans="18:23">
      <c r="R7231" s="127">
        <f t="shared" si="301"/>
        <v>0</v>
      </c>
      <c r="T7231" s="128">
        <f t="shared" si="300"/>
        <v>0</v>
      </c>
      <c r="U7231" s="129" t="str">
        <f>IFERROR(IF(#REF!="S",VLOOKUP('Raw Data'!A7231,References!#REF!,2,FALSE),(VLOOKUP($S7231,References!$B$3:$C$7,2,FALSE))),"")</f>
        <v/>
      </c>
      <c r="W7231" s="74" t="str">
        <f>IFERROR(VLOOKUP($O7231,'Customer List'!$A$1:$J$488,10,FALSE),"")</f>
        <v/>
      </c>
    </row>
    <row r="7232" spans="18:23">
      <c r="R7232" s="127">
        <f t="shared" si="301"/>
        <v>0</v>
      </c>
      <c r="T7232" s="128">
        <f t="shared" si="300"/>
        <v>0</v>
      </c>
      <c r="U7232" s="129" t="str">
        <f>IFERROR(IF(#REF!="S",VLOOKUP('Raw Data'!A7232,References!#REF!,2,FALSE),(VLOOKUP($S7232,References!$B$3:$C$7,2,FALSE))),"")</f>
        <v/>
      </c>
      <c r="W7232" s="74" t="str">
        <f>IFERROR(VLOOKUP($O7232,'Customer List'!$A$1:$J$488,10,FALSE),"")</f>
        <v/>
      </c>
    </row>
    <row r="7233" spans="18:23">
      <c r="R7233" s="127">
        <f t="shared" si="301"/>
        <v>0</v>
      </c>
      <c r="T7233" s="128">
        <f t="shared" si="300"/>
        <v>0</v>
      </c>
      <c r="U7233" s="129" t="str">
        <f>IFERROR(IF(#REF!="S",VLOOKUP('Raw Data'!A7233,References!#REF!,2,FALSE),(VLOOKUP($S7233,References!$B$3:$C$7,2,FALSE))),"")</f>
        <v/>
      </c>
      <c r="W7233" s="74" t="str">
        <f>IFERROR(VLOOKUP($O7233,'Customer List'!$A$1:$J$488,10,FALSE),"")</f>
        <v/>
      </c>
    </row>
    <row r="7234" spans="18:23">
      <c r="R7234" s="127">
        <f t="shared" si="301"/>
        <v>0</v>
      </c>
      <c r="T7234" s="128">
        <f t="shared" si="300"/>
        <v>0</v>
      </c>
      <c r="U7234" s="129" t="str">
        <f>IFERROR(IF(#REF!="S",VLOOKUP('Raw Data'!A7234,References!#REF!,2,FALSE),(VLOOKUP($S7234,References!$B$3:$C$7,2,FALSE))),"")</f>
        <v/>
      </c>
      <c r="W7234" s="74" t="str">
        <f>IFERROR(VLOOKUP($O7234,'Customer List'!$A$1:$J$488,10,FALSE),"")</f>
        <v/>
      </c>
    </row>
    <row r="7235" spans="18:23">
      <c r="R7235" s="127">
        <f t="shared" si="301"/>
        <v>0</v>
      </c>
      <c r="T7235" s="128">
        <f t="shared" si="300"/>
        <v>0</v>
      </c>
      <c r="U7235" s="129" t="str">
        <f>IFERROR(IF(#REF!="S",VLOOKUP('Raw Data'!A7235,References!#REF!,2,FALSE),(VLOOKUP($S7235,References!$B$3:$C$7,2,FALSE))),"")</f>
        <v/>
      </c>
      <c r="W7235" s="74" t="str">
        <f>IFERROR(VLOOKUP($O7235,'Customer List'!$A$1:$J$488,10,FALSE),"")</f>
        <v/>
      </c>
    </row>
    <row r="7236" spans="18:23">
      <c r="R7236" s="127">
        <f t="shared" si="301"/>
        <v>0</v>
      </c>
      <c r="T7236" s="128">
        <f t="shared" si="300"/>
        <v>0</v>
      </c>
      <c r="U7236" s="129" t="str">
        <f>IFERROR(IF(#REF!="S",VLOOKUP('Raw Data'!A7236,References!#REF!,2,FALSE),(VLOOKUP($S7236,References!$B$3:$C$7,2,FALSE))),"")</f>
        <v/>
      </c>
      <c r="W7236" s="74" t="str">
        <f>IFERROR(VLOOKUP($O7236,'Customer List'!$A$1:$J$488,10,FALSE),"")</f>
        <v/>
      </c>
    </row>
    <row r="7237" spans="18:23">
      <c r="R7237" s="127">
        <f t="shared" si="301"/>
        <v>0</v>
      </c>
      <c r="T7237" s="128">
        <f t="shared" si="300"/>
        <v>0</v>
      </c>
      <c r="U7237" s="129" t="str">
        <f>IFERROR(IF(#REF!="S",VLOOKUP('Raw Data'!A7237,References!#REF!,2,FALSE),(VLOOKUP($S7237,References!$B$3:$C$7,2,FALSE))),"")</f>
        <v/>
      </c>
      <c r="W7237" s="74" t="str">
        <f>IFERROR(VLOOKUP($O7237,'Customer List'!$A$1:$J$488,10,FALSE),"")</f>
        <v/>
      </c>
    </row>
    <row r="7238" spans="18:23">
      <c r="R7238" s="127">
        <f t="shared" si="301"/>
        <v>0</v>
      </c>
      <c r="T7238" s="128">
        <f t="shared" si="300"/>
        <v>0</v>
      </c>
      <c r="U7238" s="129" t="str">
        <f>IFERROR(IF(#REF!="S",VLOOKUP('Raw Data'!A7238,References!#REF!,2,FALSE),(VLOOKUP($S7238,References!$B$3:$C$7,2,FALSE))),"")</f>
        <v/>
      </c>
      <c r="W7238" s="74" t="str">
        <f>IFERROR(VLOOKUP($O7238,'Customer List'!$A$1:$J$488,10,FALSE),"")</f>
        <v/>
      </c>
    </row>
    <row r="7239" spans="18:23">
      <c r="R7239" s="127">
        <f t="shared" si="301"/>
        <v>0</v>
      </c>
      <c r="T7239" s="128">
        <f t="shared" si="300"/>
        <v>0</v>
      </c>
      <c r="U7239" s="129" t="str">
        <f>IFERROR(IF(#REF!="S",VLOOKUP('Raw Data'!A7239,References!#REF!,2,FALSE),(VLOOKUP($S7239,References!$B$3:$C$7,2,FALSE))),"")</f>
        <v/>
      </c>
      <c r="W7239" s="74" t="str">
        <f>IFERROR(VLOOKUP($O7239,'Customer List'!$A$1:$J$488,10,FALSE),"")</f>
        <v/>
      </c>
    </row>
    <row r="7240" spans="18:23">
      <c r="R7240" s="127">
        <f t="shared" si="301"/>
        <v>0</v>
      </c>
      <c r="T7240" s="128">
        <f t="shared" si="300"/>
        <v>0</v>
      </c>
      <c r="U7240" s="129" t="str">
        <f>IFERROR(IF(#REF!="S",VLOOKUP('Raw Data'!A7240,References!#REF!,2,FALSE),(VLOOKUP($S7240,References!$B$3:$C$7,2,FALSE))),"")</f>
        <v/>
      </c>
      <c r="W7240" s="74" t="str">
        <f>IFERROR(VLOOKUP($O7240,'Customer List'!$A$1:$J$488,10,FALSE),"")</f>
        <v/>
      </c>
    </row>
    <row r="7241" spans="18:23">
      <c r="R7241" s="127">
        <f t="shared" si="301"/>
        <v>0</v>
      </c>
      <c r="T7241" s="128">
        <f t="shared" si="300"/>
        <v>0</v>
      </c>
      <c r="U7241" s="129" t="str">
        <f>IFERROR(IF(#REF!="S",VLOOKUP('Raw Data'!A7241,References!#REF!,2,FALSE),(VLOOKUP($S7241,References!$B$3:$C$7,2,FALSE))),"")</f>
        <v/>
      </c>
      <c r="W7241" s="74" t="str">
        <f>IFERROR(VLOOKUP($O7241,'Customer List'!$A$1:$J$488,10,FALSE),"")</f>
        <v/>
      </c>
    </row>
    <row r="7242" spans="18:23">
      <c r="R7242" s="127">
        <f t="shared" si="301"/>
        <v>0</v>
      </c>
      <c r="T7242" s="128">
        <f t="shared" ref="T7242:T7305" si="302">IF(S7242="50 - Cleaning Fee",1,HOUR($R7242)+MINUTE(R7242)/60)</f>
        <v>0</v>
      </c>
      <c r="U7242" s="129" t="str">
        <f>IFERROR(IF(#REF!="S",VLOOKUP('Raw Data'!A7242,References!#REF!,2,FALSE),(VLOOKUP($S7242,References!$B$3:$C$7,2,FALSE))),"")</f>
        <v/>
      </c>
      <c r="W7242" s="74" t="str">
        <f>IFERROR(VLOOKUP($O7242,'Customer List'!$A$1:$J$488,10,FALSE),"")</f>
        <v/>
      </c>
    </row>
    <row r="7243" spans="18:23">
      <c r="R7243" s="127">
        <f t="shared" si="301"/>
        <v>0</v>
      </c>
      <c r="T7243" s="128">
        <f t="shared" si="302"/>
        <v>0</v>
      </c>
      <c r="U7243" s="129" t="str">
        <f>IFERROR(IF(#REF!="S",VLOOKUP('Raw Data'!A7243,References!#REF!,2,FALSE),(VLOOKUP($S7243,References!$B$3:$C$7,2,FALSE))),"")</f>
        <v/>
      </c>
      <c r="W7243" s="74" t="str">
        <f>IFERROR(VLOOKUP($O7243,'Customer List'!$A$1:$J$488,10,FALSE),"")</f>
        <v/>
      </c>
    </row>
    <row r="7244" spans="18:23">
      <c r="R7244" s="127">
        <f t="shared" si="301"/>
        <v>0</v>
      </c>
      <c r="T7244" s="128">
        <f t="shared" si="302"/>
        <v>0</v>
      </c>
      <c r="U7244" s="129" t="str">
        <f>IFERROR(IF(#REF!="S",VLOOKUP('Raw Data'!A7244,References!#REF!,2,FALSE),(VLOOKUP($S7244,References!$B$3:$C$7,2,FALSE))),"")</f>
        <v/>
      </c>
      <c r="W7244" s="74" t="str">
        <f>IFERROR(VLOOKUP($O7244,'Customer List'!$A$1:$J$488,10,FALSE),"")</f>
        <v/>
      </c>
    </row>
    <row r="7245" spans="18:23">
      <c r="R7245" s="127">
        <f t="shared" si="301"/>
        <v>0</v>
      </c>
      <c r="T7245" s="128">
        <f t="shared" si="302"/>
        <v>0</v>
      </c>
      <c r="U7245" s="129" t="str">
        <f>IFERROR(IF(#REF!="S",VLOOKUP('Raw Data'!A7245,References!#REF!,2,FALSE),(VLOOKUP($S7245,References!$B$3:$C$7,2,FALSE))),"")</f>
        <v/>
      </c>
      <c r="W7245" s="74" t="str">
        <f>IFERROR(VLOOKUP($O7245,'Customer List'!$A$1:$J$488,10,FALSE),"")</f>
        <v/>
      </c>
    </row>
    <row r="7246" spans="18:23">
      <c r="R7246" s="127">
        <f t="shared" si="301"/>
        <v>0</v>
      </c>
      <c r="T7246" s="128">
        <f t="shared" si="302"/>
        <v>0</v>
      </c>
      <c r="U7246" s="129" t="str">
        <f>IFERROR(IF(#REF!="S",VLOOKUP('Raw Data'!A7246,References!#REF!,2,FALSE),(VLOOKUP($S7246,References!$B$3:$C$7,2,FALSE))),"")</f>
        <v/>
      </c>
      <c r="W7246" s="74" t="str">
        <f>IFERROR(VLOOKUP($O7246,'Customer List'!$A$1:$J$488,10,FALSE),"")</f>
        <v/>
      </c>
    </row>
    <row r="7247" spans="18:23">
      <c r="R7247" s="127">
        <f t="shared" si="301"/>
        <v>0</v>
      </c>
      <c r="T7247" s="128">
        <f t="shared" si="302"/>
        <v>0</v>
      </c>
      <c r="U7247" s="129" t="str">
        <f>IFERROR(IF(#REF!="S",VLOOKUP('Raw Data'!A7247,References!#REF!,2,FALSE),(VLOOKUP($S7247,References!$B$3:$C$7,2,FALSE))),"")</f>
        <v/>
      </c>
      <c r="W7247" s="74" t="str">
        <f>IFERROR(VLOOKUP($O7247,'Customer List'!$A$1:$J$488,10,FALSE),"")</f>
        <v/>
      </c>
    </row>
    <row r="7248" spans="18:23">
      <c r="R7248" s="127">
        <f t="shared" si="301"/>
        <v>0</v>
      </c>
      <c r="T7248" s="128">
        <f t="shared" si="302"/>
        <v>0</v>
      </c>
      <c r="U7248" s="129" t="str">
        <f>IFERROR(IF(#REF!="S",VLOOKUP('Raw Data'!A7248,References!#REF!,2,FALSE),(VLOOKUP($S7248,References!$B$3:$C$7,2,FALSE))),"")</f>
        <v/>
      </c>
      <c r="W7248" s="74" t="str">
        <f>IFERROR(VLOOKUP($O7248,'Customer List'!$A$1:$J$488,10,FALSE),"")</f>
        <v/>
      </c>
    </row>
    <row r="7249" spans="18:23">
      <c r="R7249" s="127">
        <f t="shared" si="301"/>
        <v>0</v>
      </c>
      <c r="T7249" s="128">
        <f t="shared" si="302"/>
        <v>0</v>
      </c>
      <c r="U7249" s="129" t="str">
        <f>IFERROR(IF(#REF!="S",VLOOKUP('Raw Data'!A7249,References!#REF!,2,FALSE),(VLOOKUP($S7249,References!$B$3:$C$7,2,FALSE))),"")</f>
        <v/>
      </c>
      <c r="W7249" s="74" t="str">
        <f>IFERROR(VLOOKUP($O7249,'Customer List'!$A$1:$J$488,10,FALSE),"")</f>
        <v/>
      </c>
    </row>
    <row r="7250" spans="18:23">
      <c r="R7250" s="127">
        <f t="shared" si="301"/>
        <v>0</v>
      </c>
      <c r="T7250" s="128">
        <f t="shared" si="302"/>
        <v>0</v>
      </c>
      <c r="U7250" s="129" t="str">
        <f>IFERROR(IF(#REF!="S",VLOOKUP('Raw Data'!A7250,References!#REF!,2,FALSE),(VLOOKUP($S7250,References!$B$3:$C$7,2,FALSE))),"")</f>
        <v/>
      </c>
      <c r="W7250" s="74" t="str">
        <f>IFERROR(VLOOKUP($O7250,'Customer List'!$A$1:$J$488,10,FALSE),"")</f>
        <v/>
      </c>
    </row>
    <row r="7251" spans="18:23">
      <c r="R7251" s="127">
        <f t="shared" si="301"/>
        <v>0</v>
      </c>
      <c r="T7251" s="128">
        <f t="shared" si="302"/>
        <v>0</v>
      </c>
      <c r="U7251" s="129" t="str">
        <f>IFERROR(IF(#REF!="S",VLOOKUP('Raw Data'!A7251,References!#REF!,2,FALSE),(VLOOKUP($S7251,References!$B$3:$C$7,2,FALSE))),"")</f>
        <v/>
      </c>
      <c r="W7251" s="74" t="str">
        <f>IFERROR(VLOOKUP($O7251,'Customer List'!$A$1:$J$488,10,FALSE),"")</f>
        <v/>
      </c>
    </row>
    <row r="7252" spans="18:23">
      <c r="R7252" s="127">
        <f t="shared" si="301"/>
        <v>0</v>
      </c>
      <c r="T7252" s="128">
        <f t="shared" si="302"/>
        <v>0</v>
      </c>
      <c r="U7252" s="129" t="str">
        <f>IFERROR(IF(#REF!="S",VLOOKUP('Raw Data'!A7252,References!#REF!,2,FALSE),(VLOOKUP($S7252,References!$B$3:$C$7,2,FALSE))),"")</f>
        <v/>
      </c>
      <c r="W7252" s="74" t="str">
        <f>IFERROR(VLOOKUP($O7252,'Customer List'!$A$1:$J$488,10,FALSE),"")</f>
        <v/>
      </c>
    </row>
    <row r="7253" spans="18:23">
      <c r="R7253" s="127">
        <f t="shared" si="301"/>
        <v>0</v>
      </c>
      <c r="T7253" s="128">
        <f t="shared" si="302"/>
        <v>0</v>
      </c>
      <c r="U7253" s="129" t="str">
        <f>IFERROR(IF(#REF!="S",VLOOKUP('Raw Data'!A7253,References!#REF!,2,FALSE),(VLOOKUP($S7253,References!$B$3:$C$7,2,FALSE))),"")</f>
        <v/>
      </c>
      <c r="W7253" s="74" t="str">
        <f>IFERROR(VLOOKUP($O7253,'Customer List'!$A$1:$J$488,10,FALSE),"")</f>
        <v/>
      </c>
    </row>
    <row r="7254" spans="18:23">
      <c r="R7254" s="127">
        <f t="shared" si="301"/>
        <v>0</v>
      </c>
      <c r="T7254" s="128">
        <f t="shared" si="302"/>
        <v>0</v>
      </c>
      <c r="U7254" s="129" t="str">
        <f>IFERROR(IF(#REF!="S",VLOOKUP('Raw Data'!A7254,References!#REF!,2,FALSE),(VLOOKUP($S7254,References!$B$3:$C$7,2,FALSE))),"")</f>
        <v/>
      </c>
      <c r="W7254" s="74" t="str">
        <f>IFERROR(VLOOKUP($O7254,'Customer List'!$A$1:$J$488,10,FALSE),"")</f>
        <v/>
      </c>
    </row>
    <row r="7255" spans="18:23">
      <c r="R7255" s="127">
        <f t="shared" si="301"/>
        <v>0</v>
      </c>
      <c r="T7255" s="128">
        <f t="shared" si="302"/>
        <v>0</v>
      </c>
      <c r="U7255" s="129" t="str">
        <f>IFERROR(IF(#REF!="S",VLOOKUP('Raw Data'!A7255,References!#REF!,2,FALSE),(VLOOKUP($S7255,References!$B$3:$C$7,2,FALSE))),"")</f>
        <v/>
      </c>
      <c r="W7255" s="74" t="str">
        <f>IFERROR(VLOOKUP($O7255,'Customer List'!$A$1:$J$488,10,FALSE),"")</f>
        <v/>
      </c>
    </row>
    <row r="7256" spans="18:23">
      <c r="R7256" s="127">
        <f t="shared" si="301"/>
        <v>0</v>
      </c>
      <c r="T7256" s="128">
        <f t="shared" si="302"/>
        <v>0</v>
      </c>
      <c r="U7256" s="129" t="str">
        <f>IFERROR(IF(#REF!="S",VLOOKUP('Raw Data'!A7256,References!#REF!,2,FALSE),(VLOOKUP($S7256,References!$B$3:$C$7,2,FALSE))),"")</f>
        <v/>
      </c>
      <c r="W7256" s="74" t="str">
        <f>IFERROR(VLOOKUP($O7256,'Customer List'!$A$1:$J$488,10,FALSE),"")</f>
        <v/>
      </c>
    </row>
    <row r="7257" spans="18:23">
      <c r="R7257" s="127">
        <f t="shared" si="301"/>
        <v>0</v>
      </c>
      <c r="T7257" s="128">
        <f t="shared" si="302"/>
        <v>0</v>
      </c>
      <c r="U7257" s="129" t="str">
        <f>IFERROR(IF(#REF!="S",VLOOKUP('Raw Data'!A7257,References!#REF!,2,FALSE),(VLOOKUP($S7257,References!$B$3:$C$7,2,FALSE))),"")</f>
        <v/>
      </c>
      <c r="W7257" s="74" t="str">
        <f>IFERROR(VLOOKUP($O7257,'Customer List'!$A$1:$J$488,10,FALSE),"")</f>
        <v/>
      </c>
    </row>
    <row r="7258" spans="18:23">
      <c r="R7258" s="127">
        <f t="shared" si="301"/>
        <v>0</v>
      </c>
      <c r="T7258" s="128">
        <f t="shared" si="302"/>
        <v>0</v>
      </c>
      <c r="U7258" s="129" t="str">
        <f>IFERROR(IF(#REF!="S",VLOOKUP('Raw Data'!A7258,References!#REF!,2,FALSE),(VLOOKUP($S7258,References!$B$3:$C$7,2,FALSE))),"")</f>
        <v/>
      </c>
      <c r="W7258" s="74" t="str">
        <f>IFERROR(VLOOKUP($O7258,'Customer List'!$A$1:$J$488,10,FALSE),"")</f>
        <v/>
      </c>
    </row>
    <row r="7259" spans="18:23">
      <c r="R7259" s="127">
        <f t="shared" si="301"/>
        <v>0</v>
      </c>
      <c r="T7259" s="128">
        <f t="shared" si="302"/>
        <v>0</v>
      </c>
      <c r="U7259" s="129" t="str">
        <f>IFERROR(IF(#REF!="S",VLOOKUP('Raw Data'!A7259,References!#REF!,2,FALSE),(VLOOKUP($S7259,References!$B$3:$C$7,2,FALSE))),"")</f>
        <v/>
      </c>
      <c r="W7259" s="74" t="str">
        <f>IFERROR(VLOOKUP($O7259,'Customer List'!$A$1:$J$488,10,FALSE),"")</f>
        <v/>
      </c>
    </row>
    <row r="7260" spans="18:23">
      <c r="R7260" s="127">
        <f t="shared" si="301"/>
        <v>0</v>
      </c>
      <c r="T7260" s="128">
        <f t="shared" si="302"/>
        <v>0</v>
      </c>
      <c r="U7260" s="129" t="str">
        <f>IFERROR(IF(#REF!="S",VLOOKUP('Raw Data'!A7260,References!#REF!,2,FALSE),(VLOOKUP($S7260,References!$B$3:$C$7,2,FALSE))),"")</f>
        <v/>
      </c>
      <c r="W7260" s="74" t="str">
        <f>IFERROR(VLOOKUP($O7260,'Customer List'!$A$1:$J$488,10,FALSE),"")</f>
        <v/>
      </c>
    </row>
    <row r="7261" spans="18:23">
      <c r="R7261" s="127">
        <f t="shared" si="301"/>
        <v>0</v>
      </c>
      <c r="T7261" s="128">
        <f t="shared" si="302"/>
        <v>0</v>
      </c>
      <c r="U7261" s="129" t="str">
        <f>IFERROR(IF(#REF!="S",VLOOKUP('Raw Data'!A7261,References!#REF!,2,FALSE),(VLOOKUP($S7261,References!$B$3:$C$7,2,FALSE))),"")</f>
        <v/>
      </c>
      <c r="W7261" s="74" t="str">
        <f>IFERROR(VLOOKUP($O7261,'Customer List'!$A$1:$J$488,10,FALSE),"")</f>
        <v/>
      </c>
    </row>
    <row r="7262" spans="18:23">
      <c r="R7262" s="127">
        <f t="shared" si="301"/>
        <v>0</v>
      </c>
      <c r="T7262" s="128">
        <f t="shared" si="302"/>
        <v>0</v>
      </c>
      <c r="U7262" s="129" t="str">
        <f>IFERROR(IF(#REF!="S",VLOOKUP('Raw Data'!A7262,References!#REF!,2,FALSE),(VLOOKUP($S7262,References!$B$3:$C$7,2,FALSE))),"")</f>
        <v/>
      </c>
      <c r="W7262" s="74" t="str">
        <f>IFERROR(VLOOKUP($O7262,'Customer List'!$A$1:$J$488,10,FALSE),"")</f>
        <v/>
      </c>
    </row>
    <row r="7263" spans="18:23">
      <c r="R7263" s="127">
        <f t="shared" si="301"/>
        <v>0</v>
      </c>
      <c r="T7263" s="128">
        <f t="shared" si="302"/>
        <v>0</v>
      </c>
      <c r="U7263" s="129" t="str">
        <f>IFERROR(IF(#REF!="S",VLOOKUP('Raw Data'!A7263,References!#REF!,2,FALSE),(VLOOKUP($S7263,References!$B$3:$C$7,2,FALSE))),"")</f>
        <v/>
      </c>
      <c r="W7263" s="74" t="str">
        <f>IFERROR(VLOOKUP($O7263,'Customer List'!$A$1:$J$488,10,FALSE),"")</f>
        <v/>
      </c>
    </row>
    <row r="7264" spans="18:23">
      <c r="R7264" s="127">
        <f t="shared" si="301"/>
        <v>0</v>
      </c>
      <c r="T7264" s="128">
        <f t="shared" si="302"/>
        <v>0</v>
      </c>
      <c r="U7264" s="129" t="str">
        <f>IFERROR(IF(#REF!="S",VLOOKUP('Raw Data'!A7264,References!#REF!,2,FALSE),(VLOOKUP($S7264,References!$B$3:$C$7,2,FALSE))),"")</f>
        <v/>
      </c>
      <c r="W7264" s="74" t="str">
        <f>IFERROR(VLOOKUP($O7264,'Customer List'!$A$1:$J$488,10,FALSE),"")</f>
        <v/>
      </c>
    </row>
    <row r="7265" spans="18:23">
      <c r="R7265" s="127">
        <f t="shared" si="301"/>
        <v>0</v>
      </c>
      <c r="T7265" s="128">
        <f t="shared" si="302"/>
        <v>0</v>
      </c>
      <c r="U7265" s="129" t="str">
        <f>IFERROR(IF(#REF!="S",VLOOKUP('Raw Data'!A7265,References!#REF!,2,FALSE),(VLOOKUP($S7265,References!$B$3:$C$7,2,FALSE))),"")</f>
        <v/>
      </c>
      <c r="W7265" s="74" t="str">
        <f>IFERROR(VLOOKUP($O7265,'Customer List'!$A$1:$J$488,10,FALSE),"")</f>
        <v/>
      </c>
    </row>
    <row r="7266" spans="18:23">
      <c r="R7266" s="127">
        <f t="shared" ref="R7266:R7329" si="303">L7266-K7266</f>
        <v>0</v>
      </c>
      <c r="T7266" s="128">
        <f t="shared" si="302"/>
        <v>0</v>
      </c>
      <c r="U7266" s="129" t="str">
        <f>IFERROR(IF(#REF!="S",VLOOKUP('Raw Data'!A7266,References!#REF!,2,FALSE),(VLOOKUP($S7266,References!$B$3:$C$7,2,FALSE))),"")</f>
        <v/>
      </c>
      <c r="W7266" s="74" t="str">
        <f>IFERROR(VLOOKUP($O7266,'Customer List'!$A$1:$J$488,10,FALSE),"")</f>
        <v/>
      </c>
    </row>
    <row r="7267" spans="18:23">
      <c r="R7267" s="127">
        <f t="shared" si="303"/>
        <v>0</v>
      </c>
      <c r="T7267" s="128">
        <f t="shared" si="302"/>
        <v>0</v>
      </c>
      <c r="U7267" s="129" t="str">
        <f>IFERROR(IF(#REF!="S",VLOOKUP('Raw Data'!A7267,References!#REF!,2,FALSE),(VLOOKUP($S7267,References!$B$3:$C$7,2,FALSE))),"")</f>
        <v/>
      </c>
      <c r="W7267" s="74" t="str">
        <f>IFERROR(VLOOKUP($O7267,'Customer List'!$A$1:$J$488,10,FALSE),"")</f>
        <v/>
      </c>
    </row>
    <row r="7268" spans="18:23">
      <c r="R7268" s="127">
        <f t="shared" si="303"/>
        <v>0</v>
      </c>
      <c r="T7268" s="128">
        <f t="shared" si="302"/>
        <v>0</v>
      </c>
      <c r="U7268" s="129" t="str">
        <f>IFERROR(IF(#REF!="S",VLOOKUP('Raw Data'!A7268,References!#REF!,2,FALSE),(VLOOKUP($S7268,References!$B$3:$C$7,2,FALSE))),"")</f>
        <v/>
      </c>
      <c r="W7268" s="74" t="str">
        <f>IFERROR(VLOOKUP($O7268,'Customer List'!$A$1:$J$488,10,FALSE),"")</f>
        <v/>
      </c>
    </row>
    <row r="7269" spans="18:23">
      <c r="R7269" s="127">
        <f t="shared" si="303"/>
        <v>0</v>
      </c>
      <c r="T7269" s="128">
        <f t="shared" si="302"/>
        <v>0</v>
      </c>
      <c r="U7269" s="129" t="str">
        <f>IFERROR(IF(#REF!="S",VLOOKUP('Raw Data'!A7269,References!#REF!,2,FALSE),(VLOOKUP($S7269,References!$B$3:$C$7,2,FALSE))),"")</f>
        <v/>
      </c>
      <c r="W7269" s="74" t="str">
        <f>IFERROR(VLOOKUP($O7269,'Customer List'!$A$1:$J$488,10,FALSE),"")</f>
        <v/>
      </c>
    </row>
    <row r="7270" spans="18:23">
      <c r="R7270" s="127">
        <f t="shared" si="303"/>
        <v>0</v>
      </c>
      <c r="T7270" s="128">
        <f t="shared" si="302"/>
        <v>0</v>
      </c>
      <c r="U7270" s="129" t="str">
        <f>IFERROR(IF(#REF!="S",VLOOKUP('Raw Data'!A7270,References!#REF!,2,FALSE),(VLOOKUP($S7270,References!$B$3:$C$7,2,FALSE))),"")</f>
        <v/>
      </c>
      <c r="W7270" s="74" t="str">
        <f>IFERROR(VLOOKUP($O7270,'Customer List'!$A$1:$J$488,10,FALSE),"")</f>
        <v/>
      </c>
    </row>
    <row r="7271" spans="18:23">
      <c r="R7271" s="127">
        <f t="shared" si="303"/>
        <v>0</v>
      </c>
      <c r="T7271" s="128">
        <f t="shared" si="302"/>
        <v>0</v>
      </c>
      <c r="U7271" s="129" t="str">
        <f>IFERROR(IF(#REF!="S",VLOOKUP('Raw Data'!A7271,References!#REF!,2,FALSE),(VLOOKUP($S7271,References!$B$3:$C$7,2,FALSE))),"")</f>
        <v/>
      </c>
      <c r="W7271" s="74" t="str">
        <f>IFERROR(VLOOKUP($O7271,'Customer List'!$A$1:$J$488,10,FALSE),"")</f>
        <v/>
      </c>
    </row>
    <row r="7272" spans="18:23">
      <c r="R7272" s="127">
        <f t="shared" si="303"/>
        <v>0</v>
      </c>
      <c r="T7272" s="128">
        <f t="shared" si="302"/>
        <v>0</v>
      </c>
      <c r="U7272" s="129" t="str">
        <f>IFERROR(IF(#REF!="S",VLOOKUP('Raw Data'!A7272,References!#REF!,2,FALSE),(VLOOKUP($S7272,References!$B$3:$C$7,2,FALSE))),"")</f>
        <v/>
      </c>
      <c r="W7272" s="74" t="str">
        <f>IFERROR(VLOOKUP($O7272,'Customer List'!$A$1:$J$488,10,FALSE),"")</f>
        <v/>
      </c>
    </row>
    <row r="7273" spans="18:23">
      <c r="R7273" s="127">
        <f t="shared" si="303"/>
        <v>0</v>
      </c>
      <c r="T7273" s="128">
        <f t="shared" si="302"/>
        <v>0</v>
      </c>
      <c r="U7273" s="129" t="str">
        <f>IFERROR(IF(#REF!="S",VLOOKUP('Raw Data'!A7273,References!#REF!,2,FALSE),(VLOOKUP($S7273,References!$B$3:$C$7,2,FALSE))),"")</f>
        <v/>
      </c>
      <c r="W7273" s="74" t="str">
        <f>IFERROR(VLOOKUP($O7273,'Customer List'!$A$1:$J$488,10,FALSE),"")</f>
        <v/>
      </c>
    </row>
    <row r="7274" spans="18:23">
      <c r="R7274" s="127">
        <f t="shared" si="303"/>
        <v>0</v>
      </c>
      <c r="T7274" s="128">
        <f t="shared" si="302"/>
        <v>0</v>
      </c>
      <c r="U7274" s="129" t="str">
        <f>IFERROR(IF(#REF!="S",VLOOKUP('Raw Data'!A7274,References!#REF!,2,FALSE),(VLOOKUP($S7274,References!$B$3:$C$7,2,FALSE))),"")</f>
        <v/>
      </c>
      <c r="W7274" s="74" t="str">
        <f>IFERROR(VLOOKUP($O7274,'Customer List'!$A$1:$J$488,10,FALSE),"")</f>
        <v/>
      </c>
    </row>
    <row r="7275" spans="18:23">
      <c r="R7275" s="127">
        <f t="shared" si="303"/>
        <v>0</v>
      </c>
      <c r="T7275" s="128">
        <f t="shared" si="302"/>
        <v>0</v>
      </c>
      <c r="U7275" s="129" t="str">
        <f>IFERROR(IF(#REF!="S",VLOOKUP('Raw Data'!A7275,References!#REF!,2,FALSE),(VLOOKUP($S7275,References!$B$3:$C$7,2,FALSE))),"")</f>
        <v/>
      </c>
      <c r="W7275" s="74" t="str">
        <f>IFERROR(VLOOKUP($O7275,'Customer List'!$A$1:$J$488,10,FALSE),"")</f>
        <v/>
      </c>
    </row>
    <row r="7276" spans="18:23">
      <c r="R7276" s="127">
        <f t="shared" si="303"/>
        <v>0</v>
      </c>
      <c r="T7276" s="128">
        <f t="shared" si="302"/>
        <v>0</v>
      </c>
      <c r="U7276" s="129" t="str">
        <f>IFERROR(IF(#REF!="S",VLOOKUP('Raw Data'!A7276,References!#REF!,2,FALSE),(VLOOKUP($S7276,References!$B$3:$C$7,2,FALSE))),"")</f>
        <v/>
      </c>
      <c r="W7276" s="74" t="str">
        <f>IFERROR(VLOOKUP($O7276,'Customer List'!$A$1:$J$488,10,FALSE),"")</f>
        <v/>
      </c>
    </row>
    <row r="7277" spans="18:23">
      <c r="R7277" s="127">
        <f t="shared" si="303"/>
        <v>0</v>
      </c>
      <c r="T7277" s="128">
        <f t="shared" si="302"/>
        <v>0</v>
      </c>
      <c r="U7277" s="129" t="str">
        <f>IFERROR(IF(#REF!="S",VLOOKUP('Raw Data'!A7277,References!#REF!,2,FALSE),(VLOOKUP($S7277,References!$B$3:$C$7,2,FALSE))),"")</f>
        <v/>
      </c>
      <c r="W7277" s="74" t="str">
        <f>IFERROR(VLOOKUP($O7277,'Customer List'!$A$1:$J$488,10,FALSE),"")</f>
        <v/>
      </c>
    </row>
    <row r="7278" spans="18:23">
      <c r="R7278" s="127">
        <f t="shared" si="303"/>
        <v>0</v>
      </c>
      <c r="T7278" s="128">
        <f t="shared" si="302"/>
        <v>0</v>
      </c>
      <c r="U7278" s="129" t="str">
        <f>IFERROR(IF(#REF!="S",VLOOKUP('Raw Data'!A7278,References!#REF!,2,FALSE),(VLOOKUP($S7278,References!$B$3:$C$7,2,FALSE))),"")</f>
        <v/>
      </c>
      <c r="W7278" s="74" t="str">
        <f>IFERROR(VLOOKUP($O7278,'Customer List'!$A$1:$J$488,10,FALSE),"")</f>
        <v/>
      </c>
    </row>
    <row r="7279" spans="18:23">
      <c r="R7279" s="127">
        <f t="shared" si="303"/>
        <v>0</v>
      </c>
      <c r="T7279" s="128">
        <f t="shared" si="302"/>
        <v>0</v>
      </c>
      <c r="U7279" s="129" t="str">
        <f>IFERROR(IF(#REF!="S",VLOOKUP('Raw Data'!A7279,References!#REF!,2,FALSE),(VLOOKUP($S7279,References!$B$3:$C$7,2,FALSE))),"")</f>
        <v/>
      </c>
      <c r="W7279" s="74" t="str">
        <f>IFERROR(VLOOKUP($O7279,'Customer List'!$A$1:$J$488,10,FALSE),"")</f>
        <v/>
      </c>
    </row>
    <row r="7280" spans="18:23">
      <c r="R7280" s="127">
        <f t="shared" si="303"/>
        <v>0</v>
      </c>
      <c r="T7280" s="128">
        <f t="shared" si="302"/>
        <v>0</v>
      </c>
      <c r="U7280" s="129" t="str">
        <f>IFERROR(IF(#REF!="S",VLOOKUP('Raw Data'!A7280,References!#REF!,2,FALSE),(VLOOKUP($S7280,References!$B$3:$C$7,2,FALSE))),"")</f>
        <v/>
      </c>
      <c r="W7280" s="74" t="str">
        <f>IFERROR(VLOOKUP($O7280,'Customer List'!$A$1:$J$488,10,FALSE),"")</f>
        <v/>
      </c>
    </row>
    <row r="7281" spans="18:23">
      <c r="R7281" s="127">
        <f t="shared" si="303"/>
        <v>0</v>
      </c>
      <c r="T7281" s="128">
        <f t="shared" si="302"/>
        <v>0</v>
      </c>
      <c r="U7281" s="129" t="str">
        <f>IFERROR(IF(#REF!="S",VLOOKUP('Raw Data'!A7281,References!#REF!,2,FALSE),(VLOOKUP($S7281,References!$B$3:$C$7,2,FALSE))),"")</f>
        <v/>
      </c>
      <c r="W7281" s="74" t="str">
        <f>IFERROR(VLOOKUP($O7281,'Customer List'!$A$1:$J$488,10,FALSE),"")</f>
        <v/>
      </c>
    </row>
    <row r="7282" spans="18:23">
      <c r="R7282" s="127">
        <f t="shared" si="303"/>
        <v>0</v>
      </c>
      <c r="T7282" s="128">
        <f t="shared" si="302"/>
        <v>0</v>
      </c>
      <c r="U7282" s="129" t="str">
        <f>IFERROR(IF(#REF!="S",VLOOKUP('Raw Data'!A7282,References!#REF!,2,FALSE),(VLOOKUP($S7282,References!$B$3:$C$7,2,FALSE))),"")</f>
        <v/>
      </c>
      <c r="W7282" s="74" t="str">
        <f>IFERROR(VLOOKUP($O7282,'Customer List'!$A$1:$J$488,10,FALSE),"")</f>
        <v/>
      </c>
    </row>
    <row r="7283" spans="18:23">
      <c r="R7283" s="127">
        <f t="shared" si="303"/>
        <v>0</v>
      </c>
      <c r="T7283" s="128">
        <f t="shared" si="302"/>
        <v>0</v>
      </c>
      <c r="U7283" s="129" t="str">
        <f>IFERROR(IF(#REF!="S",VLOOKUP('Raw Data'!A7283,References!#REF!,2,FALSE),(VLOOKUP($S7283,References!$B$3:$C$7,2,FALSE))),"")</f>
        <v/>
      </c>
      <c r="W7283" s="74" t="str">
        <f>IFERROR(VLOOKUP($O7283,'Customer List'!$A$1:$J$488,10,FALSE),"")</f>
        <v/>
      </c>
    </row>
    <row r="7284" spans="18:23">
      <c r="R7284" s="127">
        <f t="shared" si="303"/>
        <v>0</v>
      </c>
      <c r="T7284" s="128">
        <f t="shared" si="302"/>
        <v>0</v>
      </c>
      <c r="U7284" s="129" t="str">
        <f>IFERROR(IF(#REF!="S",VLOOKUP('Raw Data'!A7284,References!#REF!,2,FALSE),(VLOOKUP($S7284,References!$B$3:$C$7,2,FALSE))),"")</f>
        <v/>
      </c>
      <c r="W7284" s="74" t="str">
        <f>IFERROR(VLOOKUP($O7284,'Customer List'!$A$1:$J$488,10,FALSE),"")</f>
        <v/>
      </c>
    </row>
    <row r="7285" spans="18:23">
      <c r="R7285" s="127">
        <f t="shared" si="303"/>
        <v>0</v>
      </c>
      <c r="T7285" s="128">
        <f t="shared" si="302"/>
        <v>0</v>
      </c>
      <c r="U7285" s="129" t="str">
        <f>IFERROR(IF(#REF!="S",VLOOKUP('Raw Data'!A7285,References!#REF!,2,FALSE),(VLOOKUP($S7285,References!$B$3:$C$7,2,FALSE))),"")</f>
        <v/>
      </c>
      <c r="W7285" s="74" t="str">
        <f>IFERROR(VLOOKUP($O7285,'Customer List'!$A$1:$J$488,10,FALSE),"")</f>
        <v/>
      </c>
    </row>
    <row r="7286" spans="18:23">
      <c r="R7286" s="127">
        <f t="shared" si="303"/>
        <v>0</v>
      </c>
      <c r="T7286" s="128">
        <f t="shared" si="302"/>
        <v>0</v>
      </c>
      <c r="U7286" s="129" t="str">
        <f>IFERROR(IF(#REF!="S",VLOOKUP('Raw Data'!A7286,References!#REF!,2,FALSE),(VLOOKUP($S7286,References!$B$3:$C$7,2,FALSE))),"")</f>
        <v/>
      </c>
      <c r="W7286" s="74" t="str">
        <f>IFERROR(VLOOKUP($O7286,'Customer List'!$A$1:$J$488,10,FALSE),"")</f>
        <v/>
      </c>
    </row>
    <row r="7287" spans="18:23">
      <c r="R7287" s="127">
        <f t="shared" si="303"/>
        <v>0</v>
      </c>
      <c r="T7287" s="128">
        <f t="shared" si="302"/>
        <v>0</v>
      </c>
      <c r="U7287" s="129" t="str">
        <f>IFERROR(IF(#REF!="S",VLOOKUP('Raw Data'!A7287,References!#REF!,2,FALSE),(VLOOKUP($S7287,References!$B$3:$C$7,2,FALSE))),"")</f>
        <v/>
      </c>
      <c r="W7287" s="74" t="str">
        <f>IFERROR(VLOOKUP($O7287,'Customer List'!$A$1:$J$488,10,FALSE),"")</f>
        <v/>
      </c>
    </row>
    <row r="7288" spans="18:23">
      <c r="R7288" s="127">
        <f t="shared" si="303"/>
        <v>0</v>
      </c>
      <c r="T7288" s="128">
        <f t="shared" si="302"/>
        <v>0</v>
      </c>
      <c r="U7288" s="129" t="str">
        <f>IFERROR(IF(#REF!="S",VLOOKUP('Raw Data'!A7288,References!#REF!,2,FALSE),(VLOOKUP($S7288,References!$B$3:$C$7,2,FALSE))),"")</f>
        <v/>
      </c>
      <c r="W7288" s="74" t="str">
        <f>IFERROR(VLOOKUP($O7288,'Customer List'!$A$1:$J$488,10,FALSE),"")</f>
        <v/>
      </c>
    </row>
    <row r="7289" spans="18:23">
      <c r="R7289" s="127">
        <f t="shared" si="303"/>
        <v>0</v>
      </c>
      <c r="T7289" s="128">
        <f t="shared" si="302"/>
        <v>0</v>
      </c>
      <c r="U7289" s="129" t="str">
        <f>IFERROR(IF(#REF!="S",VLOOKUP('Raw Data'!A7289,References!#REF!,2,FALSE),(VLOOKUP($S7289,References!$B$3:$C$7,2,FALSE))),"")</f>
        <v/>
      </c>
      <c r="W7289" s="74" t="str">
        <f>IFERROR(VLOOKUP($O7289,'Customer List'!$A$1:$J$488,10,FALSE),"")</f>
        <v/>
      </c>
    </row>
    <row r="7290" spans="18:23">
      <c r="R7290" s="127">
        <f t="shared" si="303"/>
        <v>0</v>
      </c>
      <c r="T7290" s="128">
        <f t="shared" si="302"/>
        <v>0</v>
      </c>
      <c r="U7290" s="129" t="str">
        <f>IFERROR(IF(#REF!="S",VLOOKUP('Raw Data'!A7290,References!#REF!,2,FALSE),(VLOOKUP($S7290,References!$B$3:$C$7,2,FALSE))),"")</f>
        <v/>
      </c>
      <c r="W7290" s="74" t="str">
        <f>IFERROR(VLOOKUP($O7290,'Customer List'!$A$1:$J$488,10,FALSE),"")</f>
        <v/>
      </c>
    </row>
    <row r="7291" spans="18:23">
      <c r="R7291" s="127">
        <f t="shared" si="303"/>
        <v>0</v>
      </c>
      <c r="T7291" s="128">
        <f t="shared" si="302"/>
        <v>0</v>
      </c>
      <c r="U7291" s="129" t="str">
        <f>IFERROR(IF(#REF!="S",VLOOKUP('Raw Data'!A7291,References!#REF!,2,FALSE),(VLOOKUP($S7291,References!$B$3:$C$7,2,FALSE))),"")</f>
        <v/>
      </c>
      <c r="W7291" s="74" t="str">
        <f>IFERROR(VLOOKUP($O7291,'Customer List'!$A$1:$J$488,10,FALSE),"")</f>
        <v/>
      </c>
    </row>
    <row r="7292" spans="18:23">
      <c r="R7292" s="127">
        <f t="shared" si="303"/>
        <v>0</v>
      </c>
      <c r="T7292" s="128">
        <f t="shared" si="302"/>
        <v>0</v>
      </c>
      <c r="U7292" s="129" t="str">
        <f>IFERROR(IF(#REF!="S",VLOOKUP('Raw Data'!A7292,References!#REF!,2,FALSE),(VLOOKUP($S7292,References!$B$3:$C$7,2,FALSE))),"")</f>
        <v/>
      </c>
      <c r="W7292" s="74" t="str">
        <f>IFERROR(VLOOKUP($O7292,'Customer List'!$A$1:$J$488,10,FALSE),"")</f>
        <v/>
      </c>
    </row>
    <row r="7293" spans="18:23">
      <c r="R7293" s="127">
        <f t="shared" si="303"/>
        <v>0</v>
      </c>
      <c r="T7293" s="128">
        <f t="shared" si="302"/>
        <v>0</v>
      </c>
      <c r="U7293" s="129" t="str">
        <f>IFERROR(IF(#REF!="S",VLOOKUP('Raw Data'!A7293,References!#REF!,2,FALSE),(VLOOKUP($S7293,References!$B$3:$C$7,2,FALSE))),"")</f>
        <v/>
      </c>
      <c r="W7293" s="74" t="str">
        <f>IFERROR(VLOOKUP($O7293,'Customer List'!$A$1:$J$488,10,FALSE),"")</f>
        <v/>
      </c>
    </row>
    <row r="7294" spans="18:23">
      <c r="R7294" s="127">
        <f t="shared" si="303"/>
        <v>0</v>
      </c>
      <c r="T7294" s="128">
        <f t="shared" si="302"/>
        <v>0</v>
      </c>
      <c r="U7294" s="129" t="str">
        <f>IFERROR(IF(#REF!="S",VLOOKUP('Raw Data'!A7294,References!#REF!,2,FALSE),(VLOOKUP($S7294,References!$B$3:$C$7,2,FALSE))),"")</f>
        <v/>
      </c>
      <c r="W7294" s="74" t="str">
        <f>IFERROR(VLOOKUP($O7294,'Customer List'!$A$1:$J$488,10,FALSE),"")</f>
        <v/>
      </c>
    </row>
    <row r="7295" spans="18:23">
      <c r="R7295" s="127">
        <f t="shared" si="303"/>
        <v>0</v>
      </c>
      <c r="T7295" s="128">
        <f t="shared" si="302"/>
        <v>0</v>
      </c>
      <c r="U7295" s="129" t="str">
        <f>IFERROR(IF(#REF!="S",VLOOKUP('Raw Data'!A7295,References!#REF!,2,FALSE),(VLOOKUP($S7295,References!$B$3:$C$7,2,FALSE))),"")</f>
        <v/>
      </c>
      <c r="W7295" s="74" t="str">
        <f>IFERROR(VLOOKUP($O7295,'Customer List'!$A$1:$J$488,10,FALSE),"")</f>
        <v/>
      </c>
    </row>
    <row r="7296" spans="18:23">
      <c r="R7296" s="127">
        <f t="shared" si="303"/>
        <v>0</v>
      </c>
      <c r="T7296" s="128">
        <f t="shared" si="302"/>
        <v>0</v>
      </c>
      <c r="U7296" s="129" t="str">
        <f>IFERROR(IF(#REF!="S",VLOOKUP('Raw Data'!A7296,References!#REF!,2,FALSE),(VLOOKUP($S7296,References!$B$3:$C$7,2,FALSE))),"")</f>
        <v/>
      </c>
      <c r="W7296" s="74" t="str">
        <f>IFERROR(VLOOKUP($O7296,'Customer List'!$A$1:$J$488,10,FALSE),"")</f>
        <v/>
      </c>
    </row>
    <row r="7297" spans="18:23">
      <c r="R7297" s="127">
        <f t="shared" si="303"/>
        <v>0</v>
      </c>
      <c r="T7297" s="128">
        <f t="shared" si="302"/>
        <v>0</v>
      </c>
      <c r="U7297" s="129" t="str">
        <f>IFERROR(IF(#REF!="S",VLOOKUP('Raw Data'!A7297,References!#REF!,2,FALSE),(VLOOKUP($S7297,References!$B$3:$C$7,2,FALSE))),"")</f>
        <v/>
      </c>
      <c r="W7297" s="74" t="str">
        <f>IFERROR(VLOOKUP($O7297,'Customer List'!$A$1:$J$488,10,FALSE),"")</f>
        <v/>
      </c>
    </row>
    <row r="7298" spans="18:23">
      <c r="R7298" s="127">
        <f t="shared" si="303"/>
        <v>0</v>
      </c>
      <c r="T7298" s="128">
        <f t="shared" si="302"/>
        <v>0</v>
      </c>
      <c r="U7298" s="129" t="str">
        <f>IFERROR(IF(#REF!="S",VLOOKUP('Raw Data'!A7298,References!#REF!,2,FALSE),(VLOOKUP($S7298,References!$B$3:$C$7,2,FALSE))),"")</f>
        <v/>
      </c>
      <c r="W7298" s="74" t="str">
        <f>IFERROR(VLOOKUP($O7298,'Customer List'!$A$1:$J$488,10,FALSE),"")</f>
        <v/>
      </c>
    </row>
    <row r="7299" spans="18:23">
      <c r="R7299" s="127">
        <f t="shared" si="303"/>
        <v>0</v>
      </c>
      <c r="T7299" s="128">
        <f t="shared" si="302"/>
        <v>0</v>
      </c>
      <c r="U7299" s="129" t="str">
        <f>IFERROR(IF(#REF!="S",VLOOKUP('Raw Data'!A7299,References!#REF!,2,FALSE),(VLOOKUP($S7299,References!$B$3:$C$7,2,FALSE))),"")</f>
        <v/>
      </c>
      <c r="W7299" s="74" t="str">
        <f>IFERROR(VLOOKUP($O7299,'Customer List'!$A$1:$J$488,10,FALSE),"")</f>
        <v/>
      </c>
    </row>
    <row r="7300" spans="18:23">
      <c r="R7300" s="127">
        <f t="shared" si="303"/>
        <v>0</v>
      </c>
      <c r="T7300" s="128">
        <f t="shared" si="302"/>
        <v>0</v>
      </c>
      <c r="U7300" s="129" t="str">
        <f>IFERROR(IF(#REF!="S",VLOOKUP('Raw Data'!A7300,References!#REF!,2,FALSE),(VLOOKUP($S7300,References!$B$3:$C$7,2,FALSE))),"")</f>
        <v/>
      </c>
      <c r="W7300" s="74" t="str">
        <f>IFERROR(VLOOKUP($O7300,'Customer List'!$A$1:$J$488,10,FALSE),"")</f>
        <v/>
      </c>
    </row>
    <row r="7301" spans="18:23">
      <c r="R7301" s="127">
        <f t="shared" si="303"/>
        <v>0</v>
      </c>
      <c r="T7301" s="128">
        <f t="shared" si="302"/>
        <v>0</v>
      </c>
      <c r="U7301" s="129" t="str">
        <f>IFERROR(IF(#REF!="S",VLOOKUP('Raw Data'!A7301,References!#REF!,2,FALSE),(VLOOKUP($S7301,References!$B$3:$C$7,2,FALSE))),"")</f>
        <v/>
      </c>
      <c r="W7301" s="74" t="str">
        <f>IFERROR(VLOOKUP($O7301,'Customer List'!$A$1:$J$488,10,FALSE),"")</f>
        <v/>
      </c>
    </row>
    <row r="7302" spans="18:23">
      <c r="R7302" s="127">
        <f t="shared" si="303"/>
        <v>0</v>
      </c>
      <c r="T7302" s="128">
        <f t="shared" si="302"/>
        <v>0</v>
      </c>
      <c r="U7302" s="129" t="str">
        <f>IFERROR(IF(#REF!="S",VLOOKUP('Raw Data'!A7302,References!#REF!,2,FALSE),(VLOOKUP($S7302,References!$B$3:$C$7,2,FALSE))),"")</f>
        <v/>
      </c>
      <c r="W7302" s="74" t="str">
        <f>IFERROR(VLOOKUP($O7302,'Customer List'!$A$1:$J$488,10,FALSE),"")</f>
        <v/>
      </c>
    </row>
    <row r="7303" spans="18:23">
      <c r="R7303" s="127">
        <f t="shared" si="303"/>
        <v>0</v>
      </c>
      <c r="T7303" s="128">
        <f t="shared" si="302"/>
        <v>0</v>
      </c>
      <c r="U7303" s="129" t="str">
        <f>IFERROR(IF(#REF!="S",VLOOKUP('Raw Data'!A7303,References!#REF!,2,FALSE),(VLOOKUP($S7303,References!$B$3:$C$7,2,FALSE))),"")</f>
        <v/>
      </c>
      <c r="W7303" s="74" t="str">
        <f>IFERROR(VLOOKUP($O7303,'Customer List'!$A$1:$J$488,10,FALSE),"")</f>
        <v/>
      </c>
    </row>
    <row r="7304" spans="18:23">
      <c r="R7304" s="127">
        <f t="shared" si="303"/>
        <v>0</v>
      </c>
      <c r="T7304" s="128">
        <f t="shared" si="302"/>
        <v>0</v>
      </c>
      <c r="U7304" s="129" t="str">
        <f>IFERROR(IF(#REF!="S",VLOOKUP('Raw Data'!A7304,References!#REF!,2,FALSE),(VLOOKUP($S7304,References!$B$3:$C$7,2,FALSE))),"")</f>
        <v/>
      </c>
      <c r="W7304" s="74" t="str">
        <f>IFERROR(VLOOKUP($O7304,'Customer List'!$A$1:$J$488,10,FALSE),"")</f>
        <v/>
      </c>
    </row>
    <row r="7305" spans="18:23">
      <c r="R7305" s="127">
        <f t="shared" si="303"/>
        <v>0</v>
      </c>
      <c r="T7305" s="128">
        <f t="shared" si="302"/>
        <v>0</v>
      </c>
      <c r="U7305" s="129" t="str">
        <f>IFERROR(IF(#REF!="S",VLOOKUP('Raw Data'!A7305,References!#REF!,2,FALSE),(VLOOKUP($S7305,References!$B$3:$C$7,2,FALSE))),"")</f>
        <v/>
      </c>
      <c r="W7305" s="74" t="str">
        <f>IFERROR(VLOOKUP($O7305,'Customer List'!$A$1:$J$488,10,FALSE),"")</f>
        <v/>
      </c>
    </row>
    <row r="7306" spans="18:23">
      <c r="R7306" s="127">
        <f t="shared" si="303"/>
        <v>0</v>
      </c>
      <c r="T7306" s="128">
        <f t="shared" ref="T7306:T7369" si="304">IF(S7306="50 - Cleaning Fee",1,HOUR($R7306)+MINUTE(R7306)/60)</f>
        <v>0</v>
      </c>
      <c r="U7306" s="129" t="str">
        <f>IFERROR(IF(#REF!="S",VLOOKUP('Raw Data'!A7306,References!#REF!,2,FALSE),(VLOOKUP($S7306,References!$B$3:$C$7,2,FALSE))),"")</f>
        <v/>
      </c>
      <c r="W7306" s="74" t="str">
        <f>IFERROR(VLOOKUP($O7306,'Customer List'!$A$1:$J$488,10,FALSE),"")</f>
        <v/>
      </c>
    </row>
    <row r="7307" spans="18:23">
      <c r="R7307" s="127">
        <f t="shared" si="303"/>
        <v>0</v>
      </c>
      <c r="T7307" s="128">
        <f t="shared" si="304"/>
        <v>0</v>
      </c>
      <c r="U7307" s="129" t="str">
        <f>IFERROR(IF(#REF!="S",VLOOKUP('Raw Data'!A7307,References!#REF!,2,FALSE),(VLOOKUP($S7307,References!$B$3:$C$7,2,FALSE))),"")</f>
        <v/>
      </c>
      <c r="W7307" s="74" t="str">
        <f>IFERROR(VLOOKUP($O7307,'Customer List'!$A$1:$J$488,10,FALSE),"")</f>
        <v/>
      </c>
    </row>
    <row r="7308" spans="18:23">
      <c r="R7308" s="127">
        <f t="shared" si="303"/>
        <v>0</v>
      </c>
      <c r="T7308" s="128">
        <f t="shared" si="304"/>
        <v>0</v>
      </c>
      <c r="U7308" s="129" t="str">
        <f>IFERROR(IF(#REF!="S",VLOOKUP('Raw Data'!A7308,References!#REF!,2,FALSE),(VLOOKUP($S7308,References!$B$3:$C$7,2,FALSE))),"")</f>
        <v/>
      </c>
      <c r="W7308" s="74" t="str">
        <f>IFERROR(VLOOKUP($O7308,'Customer List'!$A$1:$J$488,10,FALSE),"")</f>
        <v/>
      </c>
    </row>
    <row r="7309" spans="18:23">
      <c r="R7309" s="127">
        <f t="shared" si="303"/>
        <v>0</v>
      </c>
      <c r="T7309" s="128">
        <f t="shared" si="304"/>
        <v>0</v>
      </c>
      <c r="U7309" s="129" t="str">
        <f>IFERROR(IF(#REF!="S",VLOOKUP('Raw Data'!A7309,References!#REF!,2,FALSE),(VLOOKUP($S7309,References!$B$3:$C$7,2,FALSE))),"")</f>
        <v/>
      </c>
      <c r="W7309" s="74" t="str">
        <f>IFERROR(VLOOKUP($O7309,'Customer List'!$A$1:$J$488,10,FALSE),"")</f>
        <v/>
      </c>
    </row>
    <row r="7310" spans="18:23">
      <c r="R7310" s="127">
        <f t="shared" si="303"/>
        <v>0</v>
      </c>
      <c r="T7310" s="128">
        <f t="shared" si="304"/>
        <v>0</v>
      </c>
      <c r="U7310" s="129" t="str">
        <f>IFERROR(IF(#REF!="S",VLOOKUP('Raw Data'!A7310,References!#REF!,2,FALSE),(VLOOKUP($S7310,References!$B$3:$C$7,2,FALSE))),"")</f>
        <v/>
      </c>
      <c r="W7310" s="74" t="str">
        <f>IFERROR(VLOOKUP($O7310,'Customer List'!$A$1:$J$488,10,FALSE),"")</f>
        <v/>
      </c>
    </row>
    <row r="7311" spans="18:23">
      <c r="R7311" s="127">
        <f t="shared" si="303"/>
        <v>0</v>
      </c>
      <c r="T7311" s="128">
        <f t="shared" si="304"/>
        <v>0</v>
      </c>
      <c r="U7311" s="129" t="str">
        <f>IFERROR(IF(#REF!="S",VLOOKUP('Raw Data'!A7311,References!#REF!,2,FALSE),(VLOOKUP($S7311,References!$B$3:$C$7,2,FALSE))),"")</f>
        <v/>
      </c>
      <c r="W7311" s="74" t="str">
        <f>IFERROR(VLOOKUP($O7311,'Customer List'!$A$1:$J$488,10,FALSE),"")</f>
        <v/>
      </c>
    </row>
    <row r="7312" spans="18:23">
      <c r="R7312" s="127">
        <f t="shared" si="303"/>
        <v>0</v>
      </c>
      <c r="T7312" s="128">
        <f t="shared" si="304"/>
        <v>0</v>
      </c>
      <c r="U7312" s="129" t="str">
        <f>IFERROR(IF(#REF!="S",VLOOKUP('Raw Data'!A7312,References!#REF!,2,FALSE),(VLOOKUP($S7312,References!$B$3:$C$7,2,FALSE))),"")</f>
        <v/>
      </c>
      <c r="W7312" s="74" t="str">
        <f>IFERROR(VLOOKUP($O7312,'Customer List'!$A$1:$J$488,10,FALSE),"")</f>
        <v/>
      </c>
    </row>
    <row r="7313" spans="18:23">
      <c r="R7313" s="127">
        <f t="shared" si="303"/>
        <v>0</v>
      </c>
      <c r="T7313" s="128">
        <f t="shared" si="304"/>
        <v>0</v>
      </c>
      <c r="U7313" s="129" t="str">
        <f>IFERROR(IF(#REF!="S",VLOOKUP('Raw Data'!A7313,References!#REF!,2,FALSE),(VLOOKUP($S7313,References!$B$3:$C$7,2,FALSE))),"")</f>
        <v/>
      </c>
      <c r="W7313" s="74" t="str">
        <f>IFERROR(VLOOKUP($O7313,'Customer List'!$A$1:$J$488,10,FALSE),"")</f>
        <v/>
      </c>
    </row>
    <row r="7314" spans="18:23">
      <c r="R7314" s="127">
        <f t="shared" si="303"/>
        <v>0</v>
      </c>
      <c r="T7314" s="128">
        <f t="shared" si="304"/>
        <v>0</v>
      </c>
      <c r="U7314" s="129" t="str">
        <f>IFERROR(IF(#REF!="S",VLOOKUP('Raw Data'!A7314,References!#REF!,2,FALSE),(VLOOKUP($S7314,References!$B$3:$C$7,2,FALSE))),"")</f>
        <v/>
      </c>
      <c r="W7314" s="74" t="str">
        <f>IFERROR(VLOOKUP($O7314,'Customer List'!$A$1:$J$488,10,FALSE),"")</f>
        <v/>
      </c>
    </row>
    <row r="7315" spans="18:23">
      <c r="R7315" s="127">
        <f t="shared" si="303"/>
        <v>0</v>
      </c>
      <c r="T7315" s="128">
        <f t="shared" si="304"/>
        <v>0</v>
      </c>
      <c r="U7315" s="129" t="str">
        <f>IFERROR(IF(#REF!="S",VLOOKUP('Raw Data'!A7315,References!#REF!,2,FALSE),(VLOOKUP($S7315,References!$B$3:$C$7,2,FALSE))),"")</f>
        <v/>
      </c>
      <c r="W7315" s="74" t="str">
        <f>IFERROR(VLOOKUP($O7315,'Customer List'!$A$1:$J$488,10,FALSE),"")</f>
        <v/>
      </c>
    </row>
    <row r="7316" spans="18:23">
      <c r="R7316" s="127">
        <f t="shared" si="303"/>
        <v>0</v>
      </c>
      <c r="T7316" s="128">
        <f t="shared" si="304"/>
        <v>0</v>
      </c>
      <c r="U7316" s="129" t="str">
        <f>IFERROR(IF(#REF!="S",VLOOKUP('Raw Data'!A7316,References!#REF!,2,FALSE),(VLOOKUP($S7316,References!$B$3:$C$7,2,FALSE))),"")</f>
        <v/>
      </c>
      <c r="W7316" s="74" t="str">
        <f>IFERROR(VLOOKUP($O7316,'Customer List'!$A$1:$J$488,10,FALSE),"")</f>
        <v/>
      </c>
    </row>
    <row r="7317" spans="18:23">
      <c r="R7317" s="127">
        <f t="shared" si="303"/>
        <v>0</v>
      </c>
      <c r="T7317" s="128">
        <f t="shared" si="304"/>
        <v>0</v>
      </c>
      <c r="U7317" s="129" t="str">
        <f>IFERROR(IF(#REF!="S",VLOOKUP('Raw Data'!A7317,References!#REF!,2,FALSE),(VLOOKUP($S7317,References!$B$3:$C$7,2,FALSE))),"")</f>
        <v/>
      </c>
      <c r="W7317" s="74" t="str">
        <f>IFERROR(VLOOKUP($O7317,'Customer List'!$A$1:$J$488,10,FALSE),"")</f>
        <v/>
      </c>
    </row>
    <row r="7318" spans="18:23">
      <c r="R7318" s="127">
        <f t="shared" si="303"/>
        <v>0</v>
      </c>
      <c r="T7318" s="128">
        <f t="shared" si="304"/>
        <v>0</v>
      </c>
      <c r="U7318" s="129" t="str">
        <f>IFERROR(IF(#REF!="S",VLOOKUP('Raw Data'!A7318,References!#REF!,2,FALSE),(VLOOKUP($S7318,References!$B$3:$C$7,2,FALSE))),"")</f>
        <v/>
      </c>
      <c r="W7318" s="74" t="str">
        <f>IFERROR(VLOOKUP($O7318,'Customer List'!$A$1:$J$488,10,FALSE),"")</f>
        <v/>
      </c>
    </row>
    <row r="7319" spans="18:23">
      <c r="R7319" s="127">
        <f t="shared" si="303"/>
        <v>0</v>
      </c>
      <c r="T7319" s="128">
        <f t="shared" si="304"/>
        <v>0</v>
      </c>
      <c r="U7319" s="129" t="str">
        <f>IFERROR(IF(#REF!="S",VLOOKUP('Raw Data'!A7319,References!#REF!,2,FALSE),(VLOOKUP($S7319,References!$B$3:$C$7,2,FALSE))),"")</f>
        <v/>
      </c>
      <c r="W7319" s="74" t="str">
        <f>IFERROR(VLOOKUP($O7319,'Customer List'!$A$1:$J$488,10,FALSE),"")</f>
        <v/>
      </c>
    </row>
    <row r="7320" spans="18:23">
      <c r="R7320" s="127">
        <f t="shared" si="303"/>
        <v>0</v>
      </c>
      <c r="T7320" s="128">
        <f t="shared" si="304"/>
        <v>0</v>
      </c>
      <c r="U7320" s="129" t="str">
        <f>IFERROR(IF(#REF!="S",VLOOKUP('Raw Data'!A7320,References!#REF!,2,FALSE),(VLOOKUP($S7320,References!$B$3:$C$7,2,FALSE))),"")</f>
        <v/>
      </c>
      <c r="W7320" s="74" t="str">
        <f>IFERROR(VLOOKUP($O7320,'Customer List'!$A$1:$J$488,10,FALSE),"")</f>
        <v/>
      </c>
    </row>
    <row r="7321" spans="18:23">
      <c r="R7321" s="127">
        <f t="shared" si="303"/>
        <v>0</v>
      </c>
      <c r="T7321" s="128">
        <f t="shared" si="304"/>
        <v>0</v>
      </c>
      <c r="U7321" s="129" t="str">
        <f>IFERROR(IF(#REF!="S",VLOOKUP('Raw Data'!A7321,References!#REF!,2,FALSE),(VLOOKUP($S7321,References!$B$3:$C$7,2,FALSE))),"")</f>
        <v/>
      </c>
      <c r="W7321" s="74" t="str">
        <f>IFERROR(VLOOKUP($O7321,'Customer List'!$A$1:$J$488,10,FALSE),"")</f>
        <v/>
      </c>
    </row>
    <row r="7322" spans="18:23">
      <c r="R7322" s="127">
        <f t="shared" si="303"/>
        <v>0</v>
      </c>
      <c r="T7322" s="128">
        <f t="shared" si="304"/>
        <v>0</v>
      </c>
      <c r="U7322" s="129" t="str">
        <f>IFERROR(IF(#REF!="S",VLOOKUP('Raw Data'!A7322,References!#REF!,2,FALSE),(VLOOKUP($S7322,References!$B$3:$C$7,2,FALSE))),"")</f>
        <v/>
      </c>
      <c r="W7322" s="74" t="str">
        <f>IFERROR(VLOOKUP($O7322,'Customer List'!$A$1:$J$488,10,FALSE),"")</f>
        <v/>
      </c>
    </row>
    <row r="7323" spans="18:23">
      <c r="R7323" s="127">
        <f t="shared" si="303"/>
        <v>0</v>
      </c>
      <c r="T7323" s="128">
        <f t="shared" si="304"/>
        <v>0</v>
      </c>
      <c r="U7323" s="129" t="str">
        <f>IFERROR(IF(#REF!="S",VLOOKUP('Raw Data'!A7323,References!#REF!,2,FALSE),(VLOOKUP($S7323,References!$B$3:$C$7,2,FALSE))),"")</f>
        <v/>
      </c>
      <c r="W7323" s="74" t="str">
        <f>IFERROR(VLOOKUP($O7323,'Customer List'!$A$1:$J$488,10,FALSE),"")</f>
        <v/>
      </c>
    </row>
    <row r="7324" spans="18:23">
      <c r="R7324" s="127">
        <f t="shared" si="303"/>
        <v>0</v>
      </c>
      <c r="T7324" s="128">
        <f t="shared" si="304"/>
        <v>0</v>
      </c>
      <c r="U7324" s="129" t="str">
        <f>IFERROR(IF(#REF!="S",VLOOKUP('Raw Data'!A7324,References!#REF!,2,FALSE),(VLOOKUP($S7324,References!$B$3:$C$7,2,FALSE))),"")</f>
        <v/>
      </c>
      <c r="W7324" s="74" t="str">
        <f>IFERROR(VLOOKUP($O7324,'Customer List'!$A$1:$J$488,10,FALSE),"")</f>
        <v/>
      </c>
    </row>
    <row r="7325" spans="18:23">
      <c r="R7325" s="127">
        <f t="shared" si="303"/>
        <v>0</v>
      </c>
      <c r="T7325" s="128">
        <f t="shared" si="304"/>
        <v>0</v>
      </c>
      <c r="U7325" s="129" t="str">
        <f>IFERROR(IF(#REF!="S",VLOOKUP('Raw Data'!A7325,References!#REF!,2,FALSE),(VLOOKUP($S7325,References!$B$3:$C$7,2,FALSE))),"")</f>
        <v/>
      </c>
      <c r="W7325" s="74" t="str">
        <f>IFERROR(VLOOKUP($O7325,'Customer List'!$A$1:$J$488,10,FALSE),"")</f>
        <v/>
      </c>
    </row>
    <row r="7326" spans="18:23">
      <c r="R7326" s="127">
        <f t="shared" si="303"/>
        <v>0</v>
      </c>
      <c r="T7326" s="128">
        <f t="shared" si="304"/>
        <v>0</v>
      </c>
      <c r="U7326" s="129" t="str">
        <f>IFERROR(IF(#REF!="S",VLOOKUP('Raw Data'!A7326,References!#REF!,2,FALSE),(VLOOKUP($S7326,References!$B$3:$C$7,2,FALSE))),"")</f>
        <v/>
      </c>
      <c r="W7326" s="74" t="str">
        <f>IFERROR(VLOOKUP($O7326,'Customer List'!$A$1:$J$488,10,FALSE),"")</f>
        <v/>
      </c>
    </row>
    <row r="7327" spans="18:23">
      <c r="R7327" s="127">
        <f t="shared" si="303"/>
        <v>0</v>
      </c>
      <c r="T7327" s="128">
        <f t="shared" si="304"/>
        <v>0</v>
      </c>
      <c r="U7327" s="129" t="str">
        <f>IFERROR(IF(#REF!="S",VLOOKUP('Raw Data'!A7327,References!#REF!,2,FALSE),(VLOOKUP($S7327,References!$B$3:$C$7,2,FALSE))),"")</f>
        <v/>
      </c>
      <c r="W7327" s="74" t="str">
        <f>IFERROR(VLOOKUP($O7327,'Customer List'!$A$1:$J$488,10,FALSE),"")</f>
        <v/>
      </c>
    </row>
    <row r="7328" spans="18:23">
      <c r="R7328" s="127">
        <f t="shared" si="303"/>
        <v>0</v>
      </c>
      <c r="T7328" s="128">
        <f t="shared" si="304"/>
        <v>0</v>
      </c>
      <c r="U7328" s="129" t="str">
        <f>IFERROR(IF(#REF!="S",VLOOKUP('Raw Data'!A7328,References!#REF!,2,FALSE),(VLOOKUP($S7328,References!$B$3:$C$7,2,FALSE))),"")</f>
        <v/>
      </c>
      <c r="W7328" s="74" t="str">
        <f>IFERROR(VLOOKUP($O7328,'Customer List'!$A$1:$J$488,10,FALSE),"")</f>
        <v/>
      </c>
    </row>
    <row r="7329" spans="18:23">
      <c r="R7329" s="127">
        <f t="shared" si="303"/>
        <v>0</v>
      </c>
      <c r="T7329" s="128">
        <f t="shared" si="304"/>
        <v>0</v>
      </c>
      <c r="U7329" s="129" t="str">
        <f>IFERROR(IF(#REF!="S",VLOOKUP('Raw Data'!A7329,References!#REF!,2,FALSE),(VLOOKUP($S7329,References!$B$3:$C$7,2,FALSE))),"")</f>
        <v/>
      </c>
      <c r="W7329" s="74" t="str">
        <f>IFERROR(VLOOKUP($O7329,'Customer List'!$A$1:$J$488,10,FALSE),"")</f>
        <v/>
      </c>
    </row>
    <row r="7330" spans="18:23">
      <c r="R7330" s="127">
        <f t="shared" ref="R7330:R7393" si="305">L7330-K7330</f>
        <v>0</v>
      </c>
      <c r="T7330" s="128">
        <f t="shared" si="304"/>
        <v>0</v>
      </c>
      <c r="U7330" s="129" t="str">
        <f>IFERROR(IF(#REF!="S",VLOOKUP('Raw Data'!A7330,References!#REF!,2,FALSE),(VLOOKUP($S7330,References!$B$3:$C$7,2,FALSE))),"")</f>
        <v/>
      </c>
      <c r="W7330" s="74" t="str">
        <f>IFERROR(VLOOKUP($O7330,'Customer List'!$A$1:$J$488,10,FALSE),"")</f>
        <v/>
      </c>
    </row>
    <row r="7331" spans="18:23">
      <c r="R7331" s="127">
        <f t="shared" si="305"/>
        <v>0</v>
      </c>
      <c r="T7331" s="128">
        <f t="shared" si="304"/>
        <v>0</v>
      </c>
      <c r="U7331" s="129" t="str">
        <f>IFERROR(IF(#REF!="S",VLOOKUP('Raw Data'!A7331,References!#REF!,2,FALSE),(VLOOKUP($S7331,References!$B$3:$C$7,2,FALSE))),"")</f>
        <v/>
      </c>
      <c r="W7331" s="74" t="str">
        <f>IFERROR(VLOOKUP($O7331,'Customer List'!$A$1:$J$488,10,FALSE),"")</f>
        <v/>
      </c>
    </row>
    <row r="7332" spans="18:23">
      <c r="R7332" s="127">
        <f t="shared" si="305"/>
        <v>0</v>
      </c>
      <c r="T7332" s="128">
        <f t="shared" si="304"/>
        <v>0</v>
      </c>
      <c r="U7332" s="129" t="str">
        <f>IFERROR(IF(#REF!="S",VLOOKUP('Raw Data'!A7332,References!#REF!,2,FALSE),(VLOOKUP($S7332,References!$B$3:$C$7,2,FALSE))),"")</f>
        <v/>
      </c>
      <c r="W7332" s="74" t="str">
        <f>IFERROR(VLOOKUP($O7332,'Customer List'!$A$1:$J$488,10,FALSE),"")</f>
        <v/>
      </c>
    </row>
    <row r="7333" spans="18:23">
      <c r="R7333" s="127">
        <f t="shared" si="305"/>
        <v>0</v>
      </c>
      <c r="T7333" s="128">
        <f t="shared" si="304"/>
        <v>0</v>
      </c>
      <c r="U7333" s="129" t="str">
        <f>IFERROR(IF(#REF!="S",VLOOKUP('Raw Data'!A7333,References!#REF!,2,FALSE),(VLOOKUP($S7333,References!$B$3:$C$7,2,FALSE))),"")</f>
        <v/>
      </c>
      <c r="W7333" s="74" t="str">
        <f>IFERROR(VLOOKUP($O7333,'Customer List'!$A$1:$J$488,10,FALSE),"")</f>
        <v/>
      </c>
    </row>
    <row r="7334" spans="18:23">
      <c r="R7334" s="127">
        <f t="shared" si="305"/>
        <v>0</v>
      </c>
      <c r="T7334" s="128">
        <f t="shared" si="304"/>
        <v>0</v>
      </c>
      <c r="U7334" s="129" t="str">
        <f>IFERROR(IF(#REF!="S",VLOOKUP('Raw Data'!A7334,References!#REF!,2,FALSE),(VLOOKUP($S7334,References!$B$3:$C$7,2,FALSE))),"")</f>
        <v/>
      </c>
      <c r="W7334" s="74" t="str">
        <f>IFERROR(VLOOKUP($O7334,'Customer List'!$A$1:$J$488,10,FALSE),"")</f>
        <v/>
      </c>
    </row>
    <row r="7335" spans="18:23">
      <c r="R7335" s="127">
        <f t="shared" si="305"/>
        <v>0</v>
      </c>
      <c r="T7335" s="128">
        <f t="shared" si="304"/>
        <v>0</v>
      </c>
      <c r="U7335" s="129" t="str">
        <f>IFERROR(IF(#REF!="S",VLOOKUP('Raw Data'!A7335,References!#REF!,2,FALSE),(VLOOKUP($S7335,References!$B$3:$C$7,2,FALSE))),"")</f>
        <v/>
      </c>
      <c r="W7335" s="74" t="str">
        <f>IFERROR(VLOOKUP($O7335,'Customer List'!$A$1:$J$488,10,FALSE),"")</f>
        <v/>
      </c>
    </row>
    <row r="7336" spans="18:23">
      <c r="R7336" s="127">
        <f t="shared" si="305"/>
        <v>0</v>
      </c>
      <c r="T7336" s="128">
        <f t="shared" si="304"/>
        <v>0</v>
      </c>
      <c r="U7336" s="129" t="str">
        <f>IFERROR(IF(#REF!="S",VLOOKUP('Raw Data'!A7336,References!#REF!,2,FALSE),(VLOOKUP($S7336,References!$B$3:$C$7,2,FALSE))),"")</f>
        <v/>
      </c>
      <c r="W7336" s="74" t="str">
        <f>IFERROR(VLOOKUP($O7336,'Customer List'!$A$1:$J$488,10,FALSE),"")</f>
        <v/>
      </c>
    </row>
    <row r="7337" spans="18:23">
      <c r="R7337" s="127">
        <f t="shared" si="305"/>
        <v>0</v>
      </c>
      <c r="T7337" s="128">
        <f t="shared" si="304"/>
        <v>0</v>
      </c>
      <c r="U7337" s="129" t="str">
        <f>IFERROR(IF(#REF!="S",VLOOKUP('Raw Data'!A7337,References!#REF!,2,FALSE),(VLOOKUP($S7337,References!$B$3:$C$7,2,FALSE))),"")</f>
        <v/>
      </c>
      <c r="W7337" s="74" t="str">
        <f>IFERROR(VLOOKUP($O7337,'Customer List'!$A$1:$J$488,10,FALSE),"")</f>
        <v/>
      </c>
    </row>
    <row r="7338" spans="18:23">
      <c r="R7338" s="127">
        <f t="shared" si="305"/>
        <v>0</v>
      </c>
      <c r="T7338" s="128">
        <f t="shared" si="304"/>
        <v>0</v>
      </c>
      <c r="U7338" s="129" t="str">
        <f>IFERROR(IF(#REF!="S",VLOOKUP('Raw Data'!A7338,References!#REF!,2,FALSE),(VLOOKUP($S7338,References!$B$3:$C$7,2,FALSE))),"")</f>
        <v/>
      </c>
      <c r="W7338" s="74" t="str">
        <f>IFERROR(VLOOKUP($O7338,'Customer List'!$A$1:$J$488,10,FALSE),"")</f>
        <v/>
      </c>
    </row>
    <row r="7339" spans="18:23">
      <c r="R7339" s="127">
        <f t="shared" si="305"/>
        <v>0</v>
      </c>
      <c r="T7339" s="128">
        <f t="shared" si="304"/>
        <v>0</v>
      </c>
      <c r="U7339" s="129" t="str">
        <f>IFERROR(IF(#REF!="S",VLOOKUP('Raw Data'!A7339,References!#REF!,2,FALSE),(VLOOKUP($S7339,References!$B$3:$C$7,2,FALSE))),"")</f>
        <v/>
      </c>
      <c r="W7339" s="74" t="str">
        <f>IFERROR(VLOOKUP($O7339,'Customer List'!$A$1:$J$488,10,FALSE),"")</f>
        <v/>
      </c>
    </row>
    <row r="7340" spans="18:23">
      <c r="R7340" s="127">
        <f t="shared" si="305"/>
        <v>0</v>
      </c>
      <c r="T7340" s="128">
        <f t="shared" si="304"/>
        <v>0</v>
      </c>
      <c r="U7340" s="129" t="str">
        <f>IFERROR(IF(#REF!="S",VLOOKUP('Raw Data'!A7340,References!#REF!,2,FALSE),(VLOOKUP($S7340,References!$B$3:$C$7,2,FALSE))),"")</f>
        <v/>
      </c>
      <c r="W7340" s="74" t="str">
        <f>IFERROR(VLOOKUP($O7340,'Customer List'!$A$1:$J$488,10,FALSE),"")</f>
        <v/>
      </c>
    </row>
    <row r="7341" spans="18:23">
      <c r="R7341" s="127">
        <f t="shared" si="305"/>
        <v>0</v>
      </c>
      <c r="T7341" s="128">
        <f t="shared" si="304"/>
        <v>0</v>
      </c>
      <c r="U7341" s="129" t="str">
        <f>IFERROR(IF(#REF!="S",VLOOKUP('Raw Data'!A7341,References!#REF!,2,FALSE),(VLOOKUP($S7341,References!$B$3:$C$7,2,FALSE))),"")</f>
        <v/>
      </c>
      <c r="W7341" s="74" t="str">
        <f>IFERROR(VLOOKUP($O7341,'Customer List'!$A$1:$J$488,10,FALSE),"")</f>
        <v/>
      </c>
    </row>
    <row r="7342" spans="18:23">
      <c r="R7342" s="127">
        <f t="shared" si="305"/>
        <v>0</v>
      </c>
      <c r="T7342" s="128">
        <f t="shared" si="304"/>
        <v>0</v>
      </c>
      <c r="U7342" s="129" t="str">
        <f>IFERROR(IF(#REF!="S",VLOOKUP('Raw Data'!A7342,References!#REF!,2,FALSE),(VLOOKUP($S7342,References!$B$3:$C$7,2,FALSE))),"")</f>
        <v/>
      </c>
      <c r="W7342" s="74" t="str">
        <f>IFERROR(VLOOKUP($O7342,'Customer List'!$A$1:$J$488,10,FALSE),"")</f>
        <v/>
      </c>
    </row>
    <row r="7343" spans="18:23">
      <c r="R7343" s="127">
        <f t="shared" si="305"/>
        <v>0</v>
      </c>
      <c r="T7343" s="128">
        <f t="shared" si="304"/>
        <v>0</v>
      </c>
      <c r="U7343" s="129" t="str">
        <f>IFERROR(IF(#REF!="S",VLOOKUP('Raw Data'!A7343,References!#REF!,2,FALSE),(VLOOKUP($S7343,References!$B$3:$C$7,2,FALSE))),"")</f>
        <v/>
      </c>
      <c r="W7343" s="74" t="str">
        <f>IFERROR(VLOOKUP($O7343,'Customer List'!$A$1:$J$488,10,FALSE),"")</f>
        <v/>
      </c>
    </row>
    <row r="7344" spans="18:23">
      <c r="R7344" s="127">
        <f t="shared" si="305"/>
        <v>0</v>
      </c>
      <c r="T7344" s="128">
        <f t="shared" si="304"/>
        <v>0</v>
      </c>
      <c r="U7344" s="129" t="str">
        <f>IFERROR(IF(#REF!="S",VLOOKUP('Raw Data'!A7344,References!#REF!,2,FALSE),(VLOOKUP($S7344,References!$B$3:$C$7,2,FALSE))),"")</f>
        <v/>
      </c>
      <c r="W7344" s="74" t="str">
        <f>IFERROR(VLOOKUP($O7344,'Customer List'!$A$1:$J$488,10,FALSE),"")</f>
        <v/>
      </c>
    </row>
    <row r="7345" spans="18:23">
      <c r="R7345" s="127">
        <f t="shared" si="305"/>
        <v>0</v>
      </c>
      <c r="T7345" s="128">
        <f t="shared" si="304"/>
        <v>0</v>
      </c>
      <c r="U7345" s="129" t="str">
        <f>IFERROR(IF(#REF!="S",VLOOKUP('Raw Data'!A7345,References!#REF!,2,FALSE),(VLOOKUP($S7345,References!$B$3:$C$7,2,FALSE))),"")</f>
        <v/>
      </c>
      <c r="W7345" s="74" t="str">
        <f>IFERROR(VLOOKUP($O7345,'Customer List'!$A$1:$J$488,10,FALSE),"")</f>
        <v/>
      </c>
    </row>
    <row r="7346" spans="18:23">
      <c r="R7346" s="127">
        <f t="shared" si="305"/>
        <v>0</v>
      </c>
      <c r="T7346" s="128">
        <f t="shared" si="304"/>
        <v>0</v>
      </c>
      <c r="U7346" s="129" t="str">
        <f>IFERROR(IF(#REF!="S",VLOOKUP('Raw Data'!A7346,References!#REF!,2,FALSE),(VLOOKUP($S7346,References!$B$3:$C$7,2,FALSE))),"")</f>
        <v/>
      </c>
      <c r="W7346" s="74" t="str">
        <f>IFERROR(VLOOKUP($O7346,'Customer List'!$A$1:$J$488,10,FALSE),"")</f>
        <v/>
      </c>
    </row>
    <row r="7347" spans="18:23">
      <c r="R7347" s="127">
        <f t="shared" si="305"/>
        <v>0</v>
      </c>
      <c r="T7347" s="128">
        <f t="shared" si="304"/>
        <v>0</v>
      </c>
      <c r="U7347" s="129" t="str">
        <f>IFERROR(IF(#REF!="S",VLOOKUP('Raw Data'!A7347,References!#REF!,2,FALSE),(VLOOKUP($S7347,References!$B$3:$C$7,2,FALSE))),"")</f>
        <v/>
      </c>
      <c r="W7347" s="74" t="str">
        <f>IFERROR(VLOOKUP($O7347,'Customer List'!$A$1:$J$488,10,FALSE),"")</f>
        <v/>
      </c>
    </row>
    <row r="7348" spans="18:23">
      <c r="R7348" s="127">
        <f t="shared" si="305"/>
        <v>0</v>
      </c>
      <c r="T7348" s="128">
        <f t="shared" si="304"/>
        <v>0</v>
      </c>
      <c r="U7348" s="129" t="str">
        <f>IFERROR(IF(#REF!="S",VLOOKUP('Raw Data'!A7348,References!#REF!,2,FALSE),(VLOOKUP($S7348,References!$B$3:$C$7,2,FALSE))),"")</f>
        <v/>
      </c>
      <c r="W7348" s="74" t="str">
        <f>IFERROR(VLOOKUP($O7348,'Customer List'!$A$1:$J$488,10,FALSE),"")</f>
        <v/>
      </c>
    </row>
    <row r="7349" spans="18:23">
      <c r="R7349" s="127">
        <f t="shared" si="305"/>
        <v>0</v>
      </c>
      <c r="T7349" s="128">
        <f t="shared" si="304"/>
        <v>0</v>
      </c>
      <c r="U7349" s="129" t="str">
        <f>IFERROR(IF(#REF!="S",VLOOKUP('Raw Data'!A7349,References!#REF!,2,FALSE),(VLOOKUP($S7349,References!$B$3:$C$7,2,FALSE))),"")</f>
        <v/>
      </c>
      <c r="W7349" s="74" t="str">
        <f>IFERROR(VLOOKUP($O7349,'Customer List'!$A$1:$J$488,10,FALSE),"")</f>
        <v/>
      </c>
    </row>
    <row r="7350" spans="18:23">
      <c r="R7350" s="127">
        <f t="shared" si="305"/>
        <v>0</v>
      </c>
      <c r="T7350" s="128">
        <f t="shared" si="304"/>
        <v>0</v>
      </c>
      <c r="U7350" s="129" t="str">
        <f>IFERROR(IF(#REF!="S",VLOOKUP('Raw Data'!A7350,References!#REF!,2,FALSE),(VLOOKUP($S7350,References!$B$3:$C$7,2,FALSE))),"")</f>
        <v/>
      </c>
      <c r="W7350" s="74" t="str">
        <f>IFERROR(VLOOKUP($O7350,'Customer List'!$A$1:$J$488,10,FALSE),"")</f>
        <v/>
      </c>
    </row>
    <row r="7351" spans="18:23">
      <c r="R7351" s="127">
        <f t="shared" si="305"/>
        <v>0</v>
      </c>
      <c r="T7351" s="128">
        <f t="shared" si="304"/>
        <v>0</v>
      </c>
      <c r="U7351" s="129" t="str">
        <f>IFERROR(IF(#REF!="S",VLOOKUP('Raw Data'!A7351,References!#REF!,2,FALSE),(VLOOKUP($S7351,References!$B$3:$C$7,2,FALSE))),"")</f>
        <v/>
      </c>
      <c r="W7351" s="74" t="str">
        <f>IFERROR(VLOOKUP($O7351,'Customer List'!$A$1:$J$488,10,FALSE),"")</f>
        <v/>
      </c>
    </row>
    <row r="7352" spans="18:23">
      <c r="R7352" s="127">
        <f t="shared" si="305"/>
        <v>0</v>
      </c>
      <c r="T7352" s="128">
        <f t="shared" si="304"/>
        <v>0</v>
      </c>
      <c r="U7352" s="129" t="str">
        <f>IFERROR(IF(#REF!="S",VLOOKUP('Raw Data'!A7352,References!#REF!,2,FALSE),(VLOOKUP($S7352,References!$B$3:$C$7,2,FALSE))),"")</f>
        <v/>
      </c>
      <c r="W7352" s="74" t="str">
        <f>IFERROR(VLOOKUP($O7352,'Customer List'!$A$1:$J$488,10,FALSE),"")</f>
        <v/>
      </c>
    </row>
    <row r="7353" spans="18:23">
      <c r="R7353" s="127">
        <f t="shared" si="305"/>
        <v>0</v>
      </c>
      <c r="T7353" s="128">
        <f t="shared" si="304"/>
        <v>0</v>
      </c>
      <c r="U7353" s="129" t="str">
        <f>IFERROR(IF(#REF!="S",VLOOKUP('Raw Data'!A7353,References!#REF!,2,FALSE),(VLOOKUP($S7353,References!$B$3:$C$7,2,FALSE))),"")</f>
        <v/>
      </c>
      <c r="W7353" s="74" t="str">
        <f>IFERROR(VLOOKUP($O7353,'Customer List'!$A$1:$J$488,10,FALSE),"")</f>
        <v/>
      </c>
    </row>
    <row r="7354" spans="18:23">
      <c r="R7354" s="127">
        <f t="shared" si="305"/>
        <v>0</v>
      </c>
      <c r="T7354" s="128">
        <f t="shared" si="304"/>
        <v>0</v>
      </c>
      <c r="U7354" s="129" t="str">
        <f>IFERROR(IF(#REF!="S",VLOOKUP('Raw Data'!A7354,References!#REF!,2,FALSE),(VLOOKUP($S7354,References!$B$3:$C$7,2,FALSE))),"")</f>
        <v/>
      </c>
      <c r="W7354" s="74" t="str">
        <f>IFERROR(VLOOKUP($O7354,'Customer List'!$A$1:$J$488,10,FALSE),"")</f>
        <v/>
      </c>
    </row>
    <row r="7355" spans="18:23">
      <c r="R7355" s="127">
        <f t="shared" si="305"/>
        <v>0</v>
      </c>
      <c r="T7355" s="128">
        <f t="shared" si="304"/>
        <v>0</v>
      </c>
      <c r="U7355" s="129" t="str">
        <f>IFERROR(IF(#REF!="S",VLOOKUP('Raw Data'!A7355,References!#REF!,2,FALSE),(VLOOKUP($S7355,References!$B$3:$C$7,2,FALSE))),"")</f>
        <v/>
      </c>
      <c r="W7355" s="74" t="str">
        <f>IFERROR(VLOOKUP($O7355,'Customer List'!$A$1:$J$488,10,FALSE),"")</f>
        <v/>
      </c>
    </row>
    <row r="7356" spans="18:23">
      <c r="R7356" s="127">
        <f t="shared" si="305"/>
        <v>0</v>
      </c>
      <c r="T7356" s="128">
        <f t="shared" si="304"/>
        <v>0</v>
      </c>
      <c r="U7356" s="129" t="str">
        <f>IFERROR(IF(#REF!="S",VLOOKUP('Raw Data'!A7356,References!#REF!,2,FALSE),(VLOOKUP($S7356,References!$B$3:$C$7,2,FALSE))),"")</f>
        <v/>
      </c>
      <c r="W7356" s="74" t="str">
        <f>IFERROR(VLOOKUP($O7356,'Customer List'!$A$1:$J$488,10,FALSE),"")</f>
        <v/>
      </c>
    </row>
    <row r="7357" spans="18:23">
      <c r="R7357" s="127">
        <f t="shared" si="305"/>
        <v>0</v>
      </c>
      <c r="T7357" s="128">
        <f t="shared" si="304"/>
        <v>0</v>
      </c>
      <c r="U7357" s="129" t="str">
        <f>IFERROR(IF(#REF!="S",VLOOKUP('Raw Data'!A7357,References!#REF!,2,FALSE),(VLOOKUP($S7357,References!$B$3:$C$7,2,FALSE))),"")</f>
        <v/>
      </c>
      <c r="W7357" s="74" t="str">
        <f>IFERROR(VLOOKUP($O7357,'Customer List'!$A$1:$J$488,10,FALSE),"")</f>
        <v/>
      </c>
    </row>
    <row r="7358" spans="18:23">
      <c r="R7358" s="127">
        <f t="shared" si="305"/>
        <v>0</v>
      </c>
      <c r="T7358" s="128">
        <f t="shared" si="304"/>
        <v>0</v>
      </c>
      <c r="U7358" s="129" t="str">
        <f>IFERROR(IF(#REF!="S",VLOOKUP('Raw Data'!A7358,References!#REF!,2,FALSE),(VLOOKUP($S7358,References!$B$3:$C$7,2,FALSE))),"")</f>
        <v/>
      </c>
      <c r="W7358" s="74" t="str">
        <f>IFERROR(VLOOKUP($O7358,'Customer List'!$A$1:$J$488,10,FALSE),"")</f>
        <v/>
      </c>
    </row>
    <row r="7359" spans="18:23">
      <c r="R7359" s="127">
        <f t="shared" si="305"/>
        <v>0</v>
      </c>
      <c r="T7359" s="128">
        <f t="shared" si="304"/>
        <v>0</v>
      </c>
      <c r="U7359" s="129" t="str">
        <f>IFERROR(IF(#REF!="S",VLOOKUP('Raw Data'!A7359,References!#REF!,2,FALSE),(VLOOKUP($S7359,References!$B$3:$C$7,2,FALSE))),"")</f>
        <v/>
      </c>
      <c r="W7359" s="74" t="str">
        <f>IFERROR(VLOOKUP($O7359,'Customer List'!$A$1:$J$488,10,FALSE),"")</f>
        <v/>
      </c>
    </row>
    <row r="7360" spans="18:23">
      <c r="R7360" s="127">
        <f t="shared" si="305"/>
        <v>0</v>
      </c>
      <c r="T7360" s="128">
        <f t="shared" si="304"/>
        <v>0</v>
      </c>
      <c r="U7360" s="129" t="str">
        <f>IFERROR(IF(#REF!="S",VLOOKUP('Raw Data'!A7360,References!#REF!,2,FALSE),(VLOOKUP($S7360,References!$B$3:$C$7,2,FALSE))),"")</f>
        <v/>
      </c>
      <c r="W7360" s="74" t="str">
        <f>IFERROR(VLOOKUP($O7360,'Customer List'!$A$1:$J$488,10,FALSE),"")</f>
        <v/>
      </c>
    </row>
    <row r="7361" spans="18:23">
      <c r="R7361" s="127">
        <f t="shared" si="305"/>
        <v>0</v>
      </c>
      <c r="T7361" s="128">
        <f t="shared" si="304"/>
        <v>0</v>
      </c>
      <c r="U7361" s="129" t="str">
        <f>IFERROR(IF(#REF!="S",VLOOKUP('Raw Data'!A7361,References!#REF!,2,FALSE),(VLOOKUP($S7361,References!$B$3:$C$7,2,FALSE))),"")</f>
        <v/>
      </c>
      <c r="W7361" s="74" t="str">
        <f>IFERROR(VLOOKUP($O7361,'Customer List'!$A$1:$J$488,10,FALSE),"")</f>
        <v/>
      </c>
    </row>
    <row r="7362" spans="18:23">
      <c r="R7362" s="127">
        <f t="shared" si="305"/>
        <v>0</v>
      </c>
      <c r="T7362" s="128">
        <f t="shared" si="304"/>
        <v>0</v>
      </c>
      <c r="U7362" s="129" t="str">
        <f>IFERROR(IF(#REF!="S",VLOOKUP('Raw Data'!A7362,References!#REF!,2,FALSE),(VLOOKUP($S7362,References!$B$3:$C$7,2,FALSE))),"")</f>
        <v/>
      </c>
      <c r="W7362" s="74" t="str">
        <f>IFERROR(VLOOKUP($O7362,'Customer List'!$A$1:$J$488,10,FALSE),"")</f>
        <v/>
      </c>
    </row>
    <row r="7363" spans="18:23">
      <c r="R7363" s="127">
        <f t="shared" si="305"/>
        <v>0</v>
      </c>
      <c r="T7363" s="128">
        <f t="shared" si="304"/>
        <v>0</v>
      </c>
      <c r="U7363" s="129" t="str">
        <f>IFERROR(IF(#REF!="S",VLOOKUP('Raw Data'!A7363,References!#REF!,2,FALSE),(VLOOKUP($S7363,References!$B$3:$C$7,2,FALSE))),"")</f>
        <v/>
      </c>
      <c r="W7363" s="74" t="str">
        <f>IFERROR(VLOOKUP($O7363,'Customer List'!$A$1:$J$488,10,FALSE),"")</f>
        <v/>
      </c>
    </row>
    <row r="7364" spans="18:23">
      <c r="R7364" s="127">
        <f t="shared" si="305"/>
        <v>0</v>
      </c>
      <c r="T7364" s="128">
        <f t="shared" si="304"/>
        <v>0</v>
      </c>
      <c r="U7364" s="129" t="str">
        <f>IFERROR(IF(#REF!="S",VLOOKUP('Raw Data'!A7364,References!#REF!,2,FALSE),(VLOOKUP($S7364,References!$B$3:$C$7,2,FALSE))),"")</f>
        <v/>
      </c>
      <c r="W7364" s="74" t="str">
        <f>IFERROR(VLOOKUP($O7364,'Customer List'!$A$1:$J$488,10,FALSE),"")</f>
        <v/>
      </c>
    </row>
    <row r="7365" spans="18:23">
      <c r="R7365" s="127">
        <f t="shared" si="305"/>
        <v>0</v>
      </c>
      <c r="T7365" s="128">
        <f t="shared" si="304"/>
        <v>0</v>
      </c>
      <c r="U7365" s="129" t="str">
        <f>IFERROR(IF(#REF!="S",VLOOKUP('Raw Data'!A7365,References!#REF!,2,FALSE),(VLOOKUP($S7365,References!$B$3:$C$7,2,FALSE))),"")</f>
        <v/>
      </c>
      <c r="W7365" s="74" t="str">
        <f>IFERROR(VLOOKUP($O7365,'Customer List'!$A$1:$J$488,10,FALSE),"")</f>
        <v/>
      </c>
    </row>
    <row r="7366" spans="18:23">
      <c r="R7366" s="127">
        <f t="shared" si="305"/>
        <v>0</v>
      </c>
      <c r="T7366" s="128">
        <f t="shared" si="304"/>
        <v>0</v>
      </c>
      <c r="U7366" s="129" t="str">
        <f>IFERROR(IF(#REF!="S",VLOOKUP('Raw Data'!A7366,References!#REF!,2,FALSE),(VLOOKUP($S7366,References!$B$3:$C$7,2,FALSE))),"")</f>
        <v/>
      </c>
      <c r="W7366" s="74" t="str">
        <f>IFERROR(VLOOKUP($O7366,'Customer List'!$A$1:$J$488,10,FALSE),"")</f>
        <v/>
      </c>
    </row>
    <row r="7367" spans="18:23">
      <c r="R7367" s="127">
        <f t="shared" si="305"/>
        <v>0</v>
      </c>
      <c r="T7367" s="128">
        <f t="shared" si="304"/>
        <v>0</v>
      </c>
      <c r="U7367" s="129" t="str">
        <f>IFERROR(IF(#REF!="S",VLOOKUP('Raw Data'!A7367,References!#REF!,2,FALSE),(VLOOKUP($S7367,References!$B$3:$C$7,2,FALSE))),"")</f>
        <v/>
      </c>
      <c r="W7367" s="74" t="str">
        <f>IFERROR(VLOOKUP($O7367,'Customer List'!$A$1:$J$488,10,FALSE),"")</f>
        <v/>
      </c>
    </row>
    <row r="7368" spans="18:23">
      <c r="R7368" s="127">
        <f t="shared" si="305"/>
        <v>0</v>
      </c>
      <c r="T7368" s="128">
        <f t="shared" si="304"/>
        <v>0</v>
      </c>
      <c r="U7368" s="129" t="str">
        <f>IFERROR(IF(#REF!="S",VLOOKUP('Raw Data'!A7368,References!#REF!,2,FALSE),(VLOOKUP($S7368,References!$B$3:$C$7,2,FALSE))),"")</f>
        <v/>
      </c>
      <c r="W7368" s="74" t="str">
        <f>IFERROR(VLOOKUP($O7368,'Customer List'!$A$1:$J$488,10,FALSE),"")</f>
        <v/>
      </c>
    </row>
    <row r="7369" spans="18:23">
      <c r="R7369" s="127">
        <f t="shared" si="305"/>
        <v>0</v>
      </c>
      <c r="T7369" s="128">
        <f t="shared" si="304"/>
        <v>0</v>
      </c>
      <c r="U7369" s="129" t="str">
        <f>IFERROR(IF(#REF!="S",VLOOKUP('Raw Data'!A7369,References!#REF!,2,FALSE),(VLOOKUP($S7369,References!$B$3:$C$7,2,FALSE))),"")</f>
        <v/>
      </c>
      <c r="W7369" s="74" t="str">
        <f>IFERROR(VLOOKUP($O7369,'Customer List'!$A$1:$J$488,10,FALSE),"")</f>
        <v/>
      </c>
    </row>
    <row r="7370" spans="18:23">
      <c r="R7370" s="127">
        <f t="shared" si="305"/>
        <v>0</v>
      </c>
      <c r="T7370" s="128">
        <f t="shared" ref="T7370:T7433" si="306">IF(S7370="50 - Cleaning Fee",1,HOUR($R7370)+MINUTE(R7370)/60)</f>
        <v>0</v>
      </c>
      <c r="U7370" s="129" t="str">
        <f>IFERROR(IF(#REF!="S",VLOOKUP('Raw Data'!A7370,References!#REF!,2,FALSE),(VLOOKUP($S7370,References!$B$3:$C$7,2,FALSE))),"")</f>
        <v/>
      </c>
      <c r="W7370" s="74" t="str">
        <f>IFERROR(VLOOKUP($O7370,'Customer List'!$A$1:$J$488,10,FALSE),"")</f>
        <v/>
      </c>
    </row>
    <row r="7371" spans="18:23">
      <c r="R7371" s="127">
        <f t="shared" si="305"/>
        <v>0</v>
      </c>
      <c r="T7371" s="128">
        <f t="shared" si="306"/>
        <v>0</v>
      </c>
      <c r="U7371" s="129" t="str">
        <f>IFERROR(IF(#REF!="S",VLOOKUP('Raw Data'!A7371,References!#REF!,2,FALSE),(VLOOKUP($S7371,References!$B$3:$C$7,2,FALSE))),"")</f>
        <v/>
      </c>
      <c r="W7371" s="74" t="str">
        <f>IFERROR(VLOOKUP($O7371,'Customer List'!$A$1:$J$488,10,FALSE),"")</f>
        <v/>
      </c>
    </row>
    <row r="7372" spans="18:23">
      <c r="R7372" s="127">
        <f t="shared" si="305"/>
        <v>0</v>
      </c>
      <c r="T7372" s="128">
        <f t="shared" si="306"/>
        <v>0</v>
      </c>
      <c r="U7372" s="129" t="str">
        <f>IFERROR(IF(#REF!="S",VLOOKUP('Raw Data'!A7372,References!#REF!,2,FALSE),(VLOOKUP($S7372,References!$B$3:$C$7,2,FALSE))),"")</f>
        <v/>
      </c>
      <c r="W7372" s="74" t="str">
        <f>IFERROR(VLOOKUP($O7372,'Customer List'!$A$1:$J$488,10,FALSE),"")</f>
        <v/>
      </c>
    </row>
    <row r="7373" spans="18:23">
      <c r="R7373" s="127">
        <f t="shared" si="305"/>
        <v>0</v>
      </c>
      <c r="T7373" s="128">
        <f t="shared" si="306"/>
        <v>0</v>
      </c>
      <c r="U7373" s="129" t="str">
        <f>IFERROR(IF(#REF!="S",VLOOKUP('Raw Data'!A7373,References!#REF!,2,FALSE),(VLOOKUP($S7373,References!$B$3:$C$7,2,FALSE))),"")</f>
        <v/>
      </c>
      <c r="W7373" s="74" t="str">
        <f>IFERROR(VLOOKUP($O7373,'Customer List'!$A$1:$J$488,10,FALSE),"")</f>
        <v/>
      </c>
    </row>
    <row r="7374" spans="18:23">
      <c r="R7374" s="127">
        <f t="shared" si="305"/>
        <v>0</v>
      </c>
      <c r="T7374" s="128">
        <f t="shared" si="306"/>
        <v>0</v>
      </c>
      <c r="U7374" s="129" t="str">
        <f>IFERROR(IF(#REF!="S",VLOOKUP('Raw Data'!A7374,References!#REF!,2,FALSE),(VLOOKUP($S7374,References!$B$3:$C$7,2,FALSE))),"")</f>
        <v/>
      </c>
      <c r="W7374" s="74" t="str">
        <f>IFERROR(VLOOKUP($O7374,'Customer List'!$A$1:$J$488,10,FALSE),"")</f>
        <v/>
      </c>
    </row>
    <row r="7375" spans="18:23">
      <c r="R7375" s="127">
        <f t="shared" si="305"/>
        <v>0</v>
      </c>
      <c r="T7375" s="128">
        <f t="shared" si="306"/>
        <v>0</v>
      </c>
      <c r="U7375" s="129" t="str">
        <f>IFERROR(IF(#REF!="S",VLOOKUP('Raw Data'!A7375,References!#REF!,2,FALSE),(VLOOKUP($S7375,References!$B$3:$C$7,2,FALSE))),"")</f>
        <v/>
      </c>
      <c r="W7375" s="74" t="str">
        <f>IFERROR(VLOOKUP($O7375,'Customer List'!$A$1:$J$488,10,FALSE),"")</f>
        <v/>
      </c>
    </row>
    <row r="7376" spans="18:23">
      <c r="R7376" s="127">
        <f t="shared" si="305"/>
        <v>0</v>
      </c>
      <c r="T7376" s="128">
        <f t="shared" si="306"/>
        <v>0</v>
      </c>
      <c r="U7376" s="129" t="str">
        <f>IFERROR(IF(#REF!="S",VLOOKUP('Raw Data'!A7376,References!#REF!,2,FALSE),(VLOOKUP($S7376,References!$B$3:$C$7,2,FALSE))),"")</f>
        <v/>
      </c>
      <c r="W7376" s="74" t="str">
        <f>IFERROR(VLOOKUP($O7376,'Customer List'!$A$1:$J$488,10,FALSE),"")</f>
        <v/>
      </c>
    </row>
    <row r="7377" spans="18:23">
      <c r="R7377" s="127">
        <f t="shared" si="305"/>
        <v>0</v>
      </c>
      <c r="T7377" s="128">
        <f t="shared" si="306"/>
        <v>0</v>
      </c>
      <c r="U7377" s="129" t="str">
        <f>IFERROR(IF(#REF!="S",VLOOKUP('Raw Data'!A7377,References!#REF!,2,FALSE),(VLOOKUP($S7377,References!$B$3:$C$7,2,FALSE))),"")</f>
        <v/>
      </c>
      <c r="W7377" s="74" t="str">
        <f>IFERROR(VLOOKUP($O7377,'Customer List'!$A$1:$J$488,10,FALSE),"")</f>
        <v/>
      </c>
    </row>
    <row r="7378" spans="18:23">
      <c r="R7378" s="127">
        <f t="shared" si="305"/>
        <v>0</v>
      </c>
      <c r="T7378" s="128">
        <f t="shared" si="306"/>
        <v>0</v>
      </c>
      <c r="U7378" s="129" t="str">
        <f>IFERROR(IF(#REF!="S",VLOOKUP('Raw Data'!A7378,References!#REF!,2,FALSE),(VLOOKUP($S7378,References!$B$3:$C$7,2,FALSE))),"")</f>
        <v/>
      </c>
      <c r="W7378" s="74" t="str">
        <f>IFERROR(VLOOKUP($O7378,'Customer List'!$A$1:$J$488,10,FALSE),"")</f>
        <v/>
      </c>
    </row>
    <row r="7379" spans="18:23">
      <c r="R7379" s="127">
        <f t="shared" si="305"/>
        <v>0</v>
      </c>
      <c r="T7379" s="128">
        <f t="shared" si="306"/>
        <v>0</v>
      </c>
      <c r="U7379" s="129" t="str">
        <f>IFERROR(IF(#REF!="S",VLOOKUP('Raw Data'!A7379,References!#REF!,2,FALSE),(VLOOKUP($S7379,References!$B$3:$C$7,2,FALSE))),"")</f>
        <v/>
      </c>
      <c r="W7379" s="74" t="str">
        <f>IFERROR(VLOOKUP($O7379,'Customer List'!$A$1:$J$488,10,FALSE),"")</f>
        <v/>
      </c>
    </row>
    <row r="7380" spans="18:23">
      <c r="R7380" s="127">
        <f t="shared" si="305"/>
        <v>0</v>
      </c>
      <c r="T7380" s="128">
        <f t="shared" si="306"/>
        <v>0</v>
      </c>
      <c r="U7380" s="129" t="str">
        <f>IFERROR(IF(#REF!="S",VLOOKUP('Raw Data'!A7380,References!#REF!,2,FALSE),(VLOOKUP($S7380,References!$B$3:$C$7,2,FALSE))),"")</f>
        <v/>
      </c>
      <c r="W7380" s="74" t="str">
        <f>IFERROR(VLOOKUP($O7380,'Customer List'!$A$1:$J$488,10,FALSE),"")</f>
        <v/>
      </c>
    </row>
    <row r="7381" spans="18:23">
      <c r="R7381" s="127">
        <f t="shared" si="305"/>
        <v>0</v>
      </c>
      <c r="T7381" s="128">
        <f t="shared" si="306"/>
        <v>0</v>
      </c>
      <c r="U7381" s="129" t="str">
        <f>IFERROR(IF(#REF!="S",VLOOKUP('Raw Data'!A7381,References!#REF!,2,FALSE),(VLOOKUP($S7381,References!$B$3:$C$7,2,FALSE))),"")</f>
        <v/>
      </c>
      <c r="W7381" s="74" t="str">
        <f>IFERROR(VLOOKUP($O7381,'Customer List'!$A$1:$J$488,10,FALSE),"")</f>
        <v/>
      </c>
    </row>
    <row r="7382" spans="18:23">
      <c r="R7382" s="127">
        <f t="shared" si="305"/>
        <v>0</v>
      </c>
      <c r="T7382" s="128">
        <f t="shared" si="306"/>
        <v>0</v>
      </c>
      <c r="U7382" s="129" t="str">
        <f>IFERROR(IF(#REF!="S",VLOOKUP('Raw Data'!A7382,References!#REF!,2,FALSE),(VLOOKUP($S7382,References!$B$3:$C$7,2,FALSE))),"")</f>
        <v/>
      </c>
      <c r="W7382" s="74" t="str">
        <f>IFERROR(VLOOKUP($O7382,'Customer List'!$A$1:$J$488,10,FALSE),"")</f>
        <v/>
      </c>
    </row>
    <row r="7383" spans="18:23">
      <c r="R7383" s="127">
        <f t="shared" si="305"/>
        <v>0</v>
      </c>
      <c r="T7383" s="128">
        <f t="shared" si="306"/>
        <v>0</v>
      </c>
      <c r="U7383" s="129" t="str">
        <f>IFERROR(IF(#REF!="S",VLOOKUP('Raw Data'!A7383,References!#REF!,2,FALSE),(VLOOKUP($S7383,References!$B$3:$C$7,2,FALSE))),"")</f>
        <v/>
      </c>
      <c r="W7383" s="74" t="str">
        <f>IFERROR(VLOOKUP($O7383,'Customer List'!$A$1:$J$488,10,FALSE),"")</f>
        <v/>
      </c>
    </row>
    <row r="7384" spans="18:23">
      <c r="R7384" s="127">
        <f t="shared" si="305"/>
        <v>0</v>
      </c>
      <c r="T7384" s="128">
        <f t="shared" si="306"/>
        <v>0</v>
      </c>
      <c r="U7384" s="129" t="str">
        <f>IFERROR(IF(#REF!="S",VLOOKUP('Raw Data'!A7384,References!#REF!,2,FALSE),(VLOOKUP($S7384,References!$B$3:$C$7,2,FALSE))),"")</f>
        <v/>
      </c>
      <c r="W7384" s="74" t="str">
        <f>IFERROR(VLOOKUP($O7384,'Customer List'!$A$1:$J$488,10,FALSE),"")</f>
        <v/>
      </c>
    </row>
    <row r="7385" spans="18:23">
      <c r="R7385" s="127">
        <f t="shared" si="305"/>
        <v>0</v>
      </c>
      <c r="T7385" s="128">
        <f t="shared" si="306"/>
        <v>0</v>
      </c>
      <c r="U7385" s="129" t="str">
        <f>IFERROR(IF(#REF!="S",VLOOKUP('Raw Data'!A7385,References!#REF!,2,FALSE),(VLOOKUP($S7385,References!$B$3:$C$7,2,FALSE))),"")</f>
        <v/>
      </c>
      <c r="W7385" s="74" t="str">
        <f>IFERROR(VLOOKUP($O7385,'Customer List'!$A$1:$J$488,10,FALSE),"")</f>
        <v/>
      </c>
    </row>
    <row r="7386" spans="18:23">
      <c r="R7386" s="127">
        <f t="shared" si="305"/>
        <v>0</v>
      </c>
      <c r="T7386" s="128">
        <f t="shared" si="306"/>
        <v>0</v>
      </c>
      <c r="U7386" s="129" t="str">
        <f>IFERROR(IF(#REF!="S",VLOOKUP('Raw Data'!A7386,References!#REF!,2,FALSE),(VLOOKUP($S7386,References!$B$3:$C$7,2,FALSE))),"")</f>
        <v/>
      </c>
      <c r="W7386" s="74" t="str">
        <f>IFERROR(VLOOKUP($O7386,'Customer List'!$A$1:$J$488,10,FALSE),"")</f>
        <v/>
      </c>
    </row>
    <row r="7387" spans="18:23">
      <c r="R7387" s="127">
        <f t="shared" si="305"/>
        <v>0</v>
      </c>
      <c r="T7387" s="128">
        <f t="shared" si="306"/>
        <v>0</v>
      </c>
      <c r="U7387" s="129" t="str">
        <f>IFERROR(IF(#REF!="S",VLOOKUP('Raw Data'!A7387,References!#REF!,2,FALSE),(VLOOKUP($S7387,References!$B$3:$C$7,2,FALSE))),"")</f>
        <v/>
      </c>
      <c r="W7387" s="74" t="str">
        <f>IFERROR(VLOOKUP($O7387,'Customer List'!$A$1:$J$488,10,FALSE),"")</f>
        <v/>
      </c>
    </row>
    <row r="7388" spans="18:23">
      <c r="R7388" s="127">
        <f t="shared" si="305"/>
        <v>0</v>
      </c>
      <c r="T7388" s="128">
        <f t="shared" si="306"/>
        <v>0</v>
      </c>
      <c r="U7388" s="129" t="str">
        <f>IFERROR(IF(#REF!="S",VLOOKUP('Raw Data'!A7388,References!#REF!,2,FALSE),(VLOOKUP($S7388,References!$B$3:$C$7,2,FALSE))),"")</f>
        <v/>
      </c>
      <c r="W7388" s="74" t="str">
        <f>IFERROR(VLOOKUP($O7388,'Customer List'!$A$1:$J$488,10,FALSE),"")</f>
        <v/>
      </c>
    </row>
    <row r="7389" spans="18:23">
      <c r="R7389" s="127">
        <f t="shared" si="305"/>
        <v>0</v>
      </c>
      <c r="T7389" s="128">
        <f t="shared" si="306"/>
        <v>0</v>
      </c>
      <c r="U7389" s="129" t="str">
        <f>IFERROR(IF(#REF!="S",VLOOKUP('Raw Data'!A7389,References!#REF!,2,FALSE),(VLOOKUP($S7389,References!$B$3:$C$7,2,FALSE))),"")</f>
        <v/>
      </c>
      <c r="W7389" s="74" t="str">
        <f>IFERROR(VLOOKUP($O7389,'Customer List'!$A$1:$J$488,10,FALSE),"")</f>
        <v/>
      </c>
    </row>
    <row r="7390" spans="18:23">
      <c r="R7390" s="127">
        <f t="shared" si="305"/>
        <v>0</v>
      </c>
      <c r="T7390" s="128">
        <f t="shared" si="306"/>
        <v>0</v>
      </c>
      <c r="U7390" s="129" t="str">
        <f>IFERROR(IF(#REF!="S",VLOOKUP('Raw Data'!A7390,References!#REF!,2,FALSE),(VLOOKUP($S7390,References!$B$3:$C$7,2,FALSE))),"")</f>
        <v/>
      </c>
      <c r="W7390" s="74" t="str">
        <f>IFERROR(VLOOKUP($O7390,'Customer List'!$A$1:$J$488,10,FALSE),"")</f>
        <v/>
      </c>
    </row>
    <row r="7391" spans="18:23">
      <c r="R7391" s="127">
        <f t="shared" si="305"/>
        <v>0</v>
      </c>
      <c r="T7391" s="128">
        <f t="shared" si="306"/>
        <v>0</v>
      </c>
      <c r="U7391" s="129" t="str">
        <f>IFERROR(IF(#REF!="S",VLOOKUP('Raw Data'!A7391,References!#REF!,2,FALSE),(VLOOKUP($S7391,References!$B$3:$C$7,2,FALSE))),"")</f>
        <v/>
      </c>
      <c r="W7391" s="74" t="str">
        <f>IFERROR(VLOOKUP($O7391,'Customer List'!$A$1:$J$488,10,FALSE),"")</f>
        <v/>
      </c>
    </row>
    <row r="7392" spans="18:23">
      <c r="R7392" s="127">
        <f t="shared" si="305"/>
        <v>0</v>
      </c>
      <c r="T7392" s="128">
        <f t="shared" si="306"/>
        <v>0</v>
      </c>
      <c r="U7392" s="129" t="str">
        <f>IFERROR(IF(#REF!="S",VLOOKUP('Raw Data'!A7392,References!#REF!,2,FALSE),(VLOOKUP($S7392,References!$B$3:$C$7,2,FALSE))),"")</f>
        <v/>
      </c>
      <c r="W7392" s="74" t="str">
        <f>IFERROR(VLOOKUP($O7392,'Customer List'!$A$1:$J$488,10,FALSE),"")</f>
        <v/>
      </c>
    </row>
    <row r="7393" spans="18:23">
      <c r="R7393" s="127">
        <f t="shared" si="305"/>
        <v>0</v>
      </c>
      <c r="T7393" s="128">
        <f t="shared" si="306"/>
        <v>0</v>
      </c>
      <c r="U7393" s="129" t="str">
        <f>IFERROR(IF(#REF!="S",VLOOKUP('Raw Data'!A7393,References!#REF!,2,FALSE),(VLOOKUP($S7393,References!$B$3:$C$7,2,FALSE))),"")</f>
        <v/>
      </c>
      <c r="W7393" s="74" t="str">
        <f>IFERROR(VLOOKUP($O7393,'Customer List'!$A$1:$J$488,10,FALSE),"")</f>
        <v/>
      </c>
    </row>
    <row r="7394" spans="18:23">
      <c r="R7394" s="127">
        <f t="shared" ref="R7394:R7457" si="307">L7394-K7394</f>
        <v>0</v>
      </c>
      <c r="T7394" s="128">
        <f t="shared" si="306"/>
        <v>0</v>
      </c>
      <c r="U7394" s="129" t="str">
        <f>IFERROR(IF(#REF!="S",VLOOKUP('Raw Data'!A7394,References!#REF!,2,FALSE),(VLOOKUP($S7394,References!$B$3:$C$7,2,FALSE))),"")</f>
        <v/>
      </c>
      <c r="W7394" s="74" t="str">
        <f>IFERROR(VLOOKUP($O7394,'Customer List'!$A$1:$J$488,10,FALSE),"")</f>
        <v/>
      </c>
    </row>
    <row r="7395" spans="18:23">
      <c r="R7395" s="127">
        <f t="shared" si="307"/>
        <v>0</v>
      </c>
      <c r="T7395" s="128">
        <f t="shared" si="306"/>
        <v>0</v>
      </c>
      <c r="U7395" s="129" t="str">
        <f>IFERROR(IF(#REF!="S",VLOOKUP('Raw Data'!A7395,References!#REF!,2,FALSE),(VLOOKUP($S7395,References!$B$3:$C$7,2,FALSE))),"")</f>
        <v/>
      </c>
      <c r="W7395" s="74" t="str">
        <f>IFERROR(VLOOKUP($O7395,'Customer List'!$A$1:$J$488,10,FALSE),"")</f>
        <v/>
      </c>
    </row>
    <row r="7396" spans="18:23">
      <c r="R7396" s="127">
        <f t="shared" si="307"/>
        <v>0</v>
      </c>
      <c r="T7396" s="128">
        <f t="shared" si="306"/>
        <v>0</v>
      </c>
      <c r="U7396" s="129" t="str">
        <f>IFERROR(IF(#REF!="S",VLOOKUP('Raw Data'!A7396,References!#REF!,2,FALSE),(VLOOKUP($S7396,References!$B$3:$C$7,2,FALSE))),"")</f>
        <v/>
      </c>
      <c r="W7396" s="74" t="str">
        <f>IFERROR(VLOOKUP($O7396,'Customer List'!$A$1:$J$488,10,FALSE),"")</f>
        <v/>
      </c>
    </row>
    <row r="7397" spans="18:23">
      <c r="R7397" s="127">
        <f t="shared" si="307"/>
        <v>0</v>
      </c>
      <c r="T7397" s="128">
        <f t="shared" si="306"/>
        <v>0</v>
      </c>
      <c r="U7397" s="129" t="str">
        <f>IFERROR(IF(#REF!="S",VLOOKUP('Raw Data'!A7397,References!#REF!,2,FALSE),(VLOOKUP($S7397,References!$B$3:$C$7,2,FALSE))),"")</f>
        <v/>
      </c>
      <c r="W7397" s="74" t="str">
        <f>IFERROR(VLOOKUP($O7397,'Customer List'!$A$1:$J$488,10,FALSE),"")</f>
        <v/>
      </c>
    </row>
    <row r="7398" spans="18:23">
      <c r="R7398" s="127">
        <f t="shared" si="307"/>
        <v>0</v>
      </c>
      <c r="T7398" s="128">
        <f t="shared" si="306"/>
        <v>0</v>
      </c>
      <c r="U7398" s="129" t="str">
        <f>IFERROR(IF(#REF!="S",VLOOKUP('Raw Data'!A7398,References!#REF!,2,FALSE),(VLOOKUP($S7398,References!$B$3:$C$7,2,FALSE))),"")</f>
        <v/>
      </c>
      <c r="W7398" s="74" t="str">
        <f>IFERROR(VLOOKUP($O7398,'Customer List'!$A$1:$J$488,10,FALSE),"")</f>
        <v/>
      </c>
    </row>
    <row r="7399" spans="18:23">
      <c r="R7399" s="127">
        <f t="shared" si="307"/>
        <v>0</v>
      </c>
      <c r="T7399" s="128">
        <f t="shared" si="306"/>
        <v>0</v>
      </c>
      <c r="U7399" s="129" t="str">
        <f>IFERROR(IF(#REF!="S",VLOOKUP('Raw Data'!A7399,References!#REF!,2,FALSE),(VLOOKUP($S7399,References!$B$3:$C$7,2,FALSE))),"")</f>
        <v/>
      </c>
      <c r="W7399" s="74" t="str">
        <f>IFERROR(VLOOKUP($O7399,'Customer List'!$A$1:$J$488,10,FALSE),"")</f>
        <v/>
      </c>
    </row>
    <row r="7400" spans="18:23">
      <c r="R7400" s="127">
        <f t="shared" si="307"/>
        <v>0</v>
      </c>
      <c r="T7400" s="128">
        <f t="shared" si="306"/>
        <v>0</v>
      </c>
      <c r="U7400" s="129" t="str">
        <f>IFERROR(IF(#REF!="S",VLOOKUP('Raw Data'!A7400,References!#REF!,2,FALSE),(VLOOKUP($S7400,References!$B$3:$C$7,2,FALSE))),"")</f>
        <v/>
      </c>
      <c r="W7400" s="74" t="str">
        <f>IFERROR(VLOOKUP($O7400,'Customer List'!$A$1:$J$488,10,FALSE),"")</f>
        <v/>
      </c>
    </row>
    <row r="7401" spans="18:23">
      <c r="R7401" s="127">
        <f t="shared" si="307"/>
        <v>0</v>
      </c>
      <c r="T7401" s="128">
        <f t="shared" si="306"/>
        <v>0</v>
      </c>
      <c r="U7401" s="129" t="str">
        <f>IFERROR(IF(#REF!="S",VLOOKUP('Raw Data'!A7401,References!#REF!,2,FALSE),(VLOOKUP($S7401,References!$B$3:$C$7,2,FALSE))),"")</f>
        <v/>
      </c>
      <c r="W7401" s="74" t="str">
        <f>IFERROR(VLOOKUP($O7401,'Customer List'!$A$1:$J$488,10,FALSE),"")</f>
        <v/>
      </c>
    </row>
    <row r="7402" spans="18:23">
      <c r="R7402" s="127">
        <f t="shared" si="307"/>
        <v>0</v>
      </c>
      <c r="T7402" s="128">
        <f t="shared" si="306"/>
        <v>0</v>
      </c>
      <c r="U7402" s="129" t="str">
        <f>IFERROR(IF(#REF!="S",VLOOKUP('Raw Data'!A7402,References!#REF!,2,FALSE),(VLOOKUP($S7402,References!$B$3:$C$7,2,FALSE))),"")</f>
        <v/>
      </c>
      <c r="W7402" s="74" t="str">
        <f>IFERROR(VLOOKUP($O7402,'Customer List'!$A$1:$J$488,10,FALSE),"")</f>
        <v/>
      </c>
    </row>
    <row r="7403" spans="18:23">
      <c r="R7403" s="127">
        <f t="shared" si="307"/>
        <v>0</v>
      </c>
      <c r="T7403" s="128">
        <f t="shared" si="306"/>
        <v>0</v>
      </c>
      <c r="U7403" s="129" t="str">
        <f>IFERROR(IF(#REF!="S",VLOOKUP('Raw Data'!A7403,References!#REF!,2,FALSE),(VLOOKUP($S7403,References!$B$3:$C$7,2,FALSE))),"")</f>
        <v/>
      </c>
      <c r="W7403" s="74" t="str">
        <f>IFERROR(VLOOKUP($O7403,'Customer List'!$A$1:$J$488,10,FALSE),"")</f>
        <v/>
      </c>
    </row>
    <row r="7404" spans="18:23">
      <c r="R7404" s="127">
        <f t="shared" si="307"/>
        <v>0</v>
      </c>
      <c r="T7404" s="128">
        <f t="shared" si="306"/>
        <v>0</v>
      </c>
      <c r="U7404" s="129" t="str">
        <f>IFERROR(IF(#REF!="S",VLOOKUP('Raw Data'!A7404,References!#REF!,2,FALSE),(VLOOKUP($S7404,References!$B$3:$C$7,2,FALSE))),"")</f>
        <v/>
      </c>
      <c r="W7404" s="74" t="str">
        <f>IFERROR(VLOOKUP($O7404,'Customer List'!$A$1:$J$488,10,FALSE),"")</f>
        <v/>
      </c>
    </row>
    <row r="7405" spans="18:23">
      <c r="R7405" s="127">
        <f t="shared" si="307"/>
        <v>0</v>
      </c>
      <c r="T7405" s="128">
        <f t="shared" si="306"/>
        <v>0</v>
      </c>
      <c r="U7405" s="129" t="str">
        <f>IFERROR(IF(#REF!="S",VLOOKUP('Raw Data'!A7405,References!#REF!,2,FALSE),(VLOOKUP($S7405,References!$B$3:$C$7,2,FALSE))),"")</f>
        <v/>
      </c>
      <c r="W7405" s="74" t="str">
        <f>IFERROR(VLOOKUP($O7405,'Customer List'!$A$1:$J$488,10,FALSE),"")</f>
        <v/>
      </c>
    </row>
    <row r="7406" spans="18:23">
      <c r="R7406" s="127">
        <f t="shared" si="307"/>
        <v>0</v>
      </c>
      <c r="T7406" s="128">
        <f t="shared" si="306"/>
        <v>0</v>
      </c>
      <c r="U7406" s="129" t="str">
        <f>IFERROR(IF(#REF!="S",VLOOKUP('Raw Data'!A7406,References!#REF!,2,FALSE),(VLOOKUP($S7406,References!$B$3:$C$7,2,FALSE))),"")</f>
        <v/>
      </c>
      <c r="W7406" s="74" t="str">
        <f>IFERROR(VLOOKUP($O7406,'Customer List'!$A$1:$J$488,10,FALSE),"")</f>
        <v/>
      </c>
    </row>
    <row r="7407" spans="18:23">
      <c r="R7407" s="127">
        <f t="shared" si="307"/>
        <v>0</v>
      </c>
      <c r="T7407" s="128">
        <f t="shared" si="306"/>
        <v>0</v>
      </c>
      <c r="U7407" s="129" t="str">
        <f>IFERROR(IF(#REF!="S",VLOOKUP('Raw Data'!A7407,References!#REF!,2,FALSE),(VLOOKUP($S7407,References!$B$3:$C$7,2,FALSE))),"")</f>
        <v/>
      </c>
      <c r="W7407" s="74" t="str">
        <f>IFERROR(VLOOKUP($O7407,'Customer List'!$A$1:$J$488,10,FALSE),"")</f>
        <v/>
      </c>
    </row>
    <row r="7408" spans="18:23">
      <c r="R7408" s="127">
        <f t="shared" si="307"/>
        <v>0</v>
      </c>
      <c r="T7408" s="128">
        <f t="shared" si="306"/>
        <v>0</v>
      </c>
      <c r="U7408" s="129" t="str">
        <f>IFERROR(IF(#REF!="S",VLOOKUP('Raw Data'!A7408,References!#REF!,2,FALSE),(VLOOKUP($S7408,References!$B$3:$C$7,2,FALSE))),"")</f>
        <v/>
      </c>
      <c r="W7408" s="74" t="str">
        <f>IFERROR(VLOOKUP($O7408,'Customer List'!$A$1:$J$488,10,FALSE),"")</f>
        <v/>
      </c>
    </row>
    <row r="7409" spans="18:23">
      <c r="R7409" s="127">
        <f t="shared" si="307"/>
        <v>0</v>
      </c>
      <c r="T7409" s="128">
        <f t="shared" si="306"/>
        <v>0</v>
      </c>
      <c r="U7409" s="129" t="str">
        <f>IFERROR(IF(#REF!="S",VLOOKUP('Raw Data'!A7409,References!#REF!,2,FALSE),(VLOOKUP($S7409,References!$B$3:$C$7,2,FALSE))),"")</f>
        <v/>
      </c>
      <c r="W7409" s="74" t="str">
        <f>IFERROR(VLOOKUP($O7409,'Customer List'!$A$1:$J$488,10,FALSE),"")</f>
        <v/>
      </c>
    </row>
    <row r="7410" spans="18:23">
      <c r="R7410" s="127">
        <f t="shared" si="307"/>
        <v>0</v>
      </c>
      <c r="T7410" s="128">
        <f t="shared" si="306"/>
        <v>0</v>
      </c>
      <c r="U7410" s="129" t="str">
        <f>IFERROR(IF(#REF!="S",VLOOKUP('Raw Data'!A7410,References!#REF!,2,FALSE),(VLOOKUP($S7410,References!$B$3:$C$7,2,FALSE))),"")</f>
        <v/>
      </c>
      <c r="W7410" s="74" t="str">
        <f>IFERROR(VLOOKUP($O7410,'Customer List'!$A$1:$J$488,10,FALSE),"")</f>
        <v/>
      </c>
    </row>
    <row r="7411" spans="18:23">
      <c r="R7411" s="127">
        <f t="shared" si="307"/>
        <v>0</v>
      </c>
      <c r="T7411" s="128">
        <f t="shared" si="306"/>
        <v>0</v>
      </c>
      <c r="U7411" s="129" t="str">
        <f>IFERROR(IF(#REF!="S",VLOOKUP('Raw Data'!A7411,References!#REF!,2,FALSE),(VLOOKUP($S7411,References!$B$3:$C$7,2,FALSE))),"")</f>
        <v/>
      </c>
      <c r="W7411" s="74" t="str">
        <f>IFERROR(VLOOKUP($O7411,'Customer List'!$A$1:$J$488,10,FALSE),"")</f>
        <v/>
      </c>
    </row>
    <row r="7412" spans="18:23">
      <c r="R7412" s="127">
        <f t="shared" si="307"/>
        <v>0</v>
      </c>
      <c r="T7412" s="128">
        <f t="shared" si="306"/>
        <v>0</v>
      </c>
      <c r="U7412" s="129" t="str">
        <f>IFERROR(IF(#REF!="S",VLOOKUP('Raw Data'!A7412,References!#REF!,2,FALSE),(VLOOKUP($S7412,References!$B$3:$C$7,2,FALSE))),"")</f>
        <v/>
      </c>
      <c r="W7412" s="74" t="str">
        <f>IFERROR(VLOOKUP($O7412,'Customer List'!$A$1:$J$488,10,FALSE),"")</f>
        <v/>
      </c>
    </row>
    <row r="7413" spans="18:23">
      <c r="R7413" s="127">
        <f t="shared" si="307"/>
        <v>0</v>
      </c>
      <c r="T7413" s="128">
        <f t="shared" si="306"/>
        <v>0</v>
      </c>
      <c r="U7413" s="129" t="str">
        <f>IFERROR(IF(#REF!="S",VLOOKUP('Raw Data'!A7413,References!#REF!,2,FALSE),(VLOOKUP($S7413,References!$B$3:$C$7,2,FALSE))),"")</f>
        <v/>
      </c>
      <c r="W7413" s="74" t="str">
        <f>IFERROR(VLOOKUP($O7413,'Customer List'!$A$1:$J$488,10,FALSE),"")</f>
        <v/>
      </c>
    </row>
    <row r="7414" spans="18:23">
      <c r="R7414" s="127">
        <f t="shared" si="307"/>
        <v>0</v>
      </c>
      <c r="T7414" s="128">
        <f t="shared" si="306"/>
        <v>0</v>
      </c>
      <c r="U7414" s="129" t="str">
        <f>IFERROR(IF(#REF!="S",VLOOKUP('Raw Data'!A7414,References!#REF!,2,FALSE),(VLOOKUP($S7414,References!$B$3:$C$7,2,FALSE))),"")</f>
        <v/>
      </c>
      <c r="W7414" s="74" t="str">
        <f>IFERROR(VLOOKUP($O7414,'Customer List'!$A$1:$J$488,10,FALSE),"")</f>
        <v/>
      </c>
    </row>
    <row r="7415" spans="18:23">
      <c r="R7415" s="127">
        <f t="shared" si="307"/>
        <v>0</v>
      </c>
      <c r="T7415" s="128">
        <f t="shared" si="306"/>
        <v>0</v>
      </c>
      <c r="U7415" s="129" t="str">
        <f>IFERROR(IF(#REF!="S",VLOOKUP('Raw Data'!A7415,References!#REF!,2,FALSE),(VLOOKUP($S7415,References!$B$3:$C$7,2,FALSE))),"")</f>
        <v/>
      </c>
      <c r="W7415" s="74" t="str">
        <f>IFERROR(VLOOKUP($O7415,'Customer List'!$A$1:$J$488,10,FALSE),"")</f>
        <v/>
      </c>
    </row>
    <row r="7416" spans="18:23">
      <c r="R7416" s="127">
        <f t="shared" si="307"/>
        <v>0</v>
      </c>
      <c r="T7416" s="128">
        <f t="shared" si="306"/>
        <v>0</v>
      </c>
      <c r="U7416" s="129" t="str">
        <f>IFERROR(IF(#REF!="S",VLOOKUP('Raw Data'!A7416,References!#REF!,2,FALSE),(VLOOKUP($S7416,References!$B$3:$C$7,2,FALSE))),"")</f>
        <v/>
      </c>
      <c r="W7416" s="74" t="str">
        <f>IFERROR(VLOOKUP($O7416,'Customer List'!$A$1:$J$488,10,FALSE),"")</f>
        <v/>
      </c>
    </row>
    <row r="7417" spans="18:23">
      <c r="R7417" s="127">
        <f t="shared" si="307"/>
        <v>0</v>
      </c>
      <c r="T7417" s="128">
        <f t="shared" si="306"/>
        <v>0</v>
      </c>
      <c r="U7417" s="129" t="str">
        <f>IFERROR(IF(#REF!="S",VLOOKUP('Raw Data'!A7417,References!#REF!,2,FALSE),(VLOOKUP($S7417,References!$B$3:$C$7,2,FALSE))),"")</f>
        <v/>
      </c>
      <c r="W7417" s="74" t="str">
        <f>IFERROR(VLOOKUP($O7417,'Customer List'!$A$1:$J$488,10,FALSE),"")</f>
        <v/>
      </c>
    </row>
    <row r="7418" spans="18:23">
      <c r="R7418" s="127">
        <f t="shared" si="307"/>
        <v>0</v>
      </c>
      <c r="T7418" s="128">
        <f t="shared" si="306"/>
        <v>0</v>
      </c>
      <c r="U7418" s="129" t="str">
        <f>IFERROR(IF(#REF!="S",VLOOKUP('Raw Data'!A7418,References!#REF!,2,FALSE),(VLOOKUP($S7418,References!$B$3:$C$7,2,FALSE))),"")</f>
        <v/>
      </c>
      <c r="W7418" s="74" t="str">
        <f>IFERROR(VLOOKUP($O7418,'Customer List'!$A$1:$J$488,10,FALSE),"")</f>
        <v/>
      </c>
    </row>
    <row r="7419" spans="18:23">
      <c r="R7419" s="127">
        <f t="shared" si="307"/>
        <v>0</v>
      </c>
      <c r="T7419" s="128">
        <f t="shared" si="306"/>
        <v>0</v>
      </c>
      <c r="U7419" s="129" t="str">
        <f>IFERROR(IF(#REF!="S",VLOOKUP('Raw Data'!A7419,References!#REF!,2,FALSE),(VLOOKUP($S7419,References!$B$3:$C$7,2,FALSE))),"")</f>
        <v/>
      </c>
      <c r="W7419" s="74" t="str">
        <f>IFERROR(VLOOKUP($O7419,'Customer List'!$A$1:$J$488,10,FALSE),"")</f>
        <v/>
      </c>
    </row>
    <row r="7420" spans="18:23">
      <c r="R7420" s="127">
        <f t="shared" si="307"/>
        <v>0</v>
      </c>
      <c r="T7420" s="128">
        <f t="shared" si="306"/>
        <v>0</v>
      </c>
      <c r="U7420" s="129" t="str">
        <f>IFERROR(IF(#REF!="S",VLOOKUP('Raw Data'!A7420,References!#REF!,2,FALSE),(VLOOKUP($S7420,References!$B$3:$C$7,2,FALSE))),"")</f>
        <v/>
      </c>
      <c r="W7420" s="74" t="str">
        <f>IFERROR(VLOOKUP($O7420,'Customer List'!$A$1:$J$488,10,FALSE),"")</f>
        <v/>
      </c>
    </row>
    <row r="7421" spans="18:23">
      <c r="R7421" s="127">
        <f t="shared" si="307"/>
        <v>0</v>
      </c>
      <c r="T7421" s="128">
        <f t="shared" si="306"/>
        <v>0</v>
      </c>
      <c r="U7421" s="129" t="str">
        <f>IFERROR(IF(#REF!="S",VLOOKUP('Raw Data'!A7421,References!#REF!,2,FALSE),(VLOOKUP($S7421,References!$B$3:$C$7,2,FALSE))),"")</f>
        <v/>
      </c>
      <c r="W7421" s="74" t="str">
        <f>IFERROR(VLOOKUP($O7421,'Customer List'!$A$1:$J$488,10,FALSE),"")</f>
        <v/>
      </c>
    </row>
    <row r="7422" spans="18:23">
      <c r="R7422" s="127">
        <f t="shared" si="307"/>
        <v>0</v>
      </c>
      <c r="T7422" s="128">
        <f t="shared" si="306"/>
        <v>0</v>
      </c>
      <c r="U7422" s="129" t="str">
        <f>IFERROR(IF(#REF!="S",VLOOKUP('Raw Data'!A7422,References!#REF!,2,FALSE),(VLOOKUP($S7422,References!$B$3:$C$7,2,FALSE))),"")</f>
        <v/>
      </c>
      <c r="W7422" s="74" t="str">
        <f>IFERROR(VLOOKUP($O7422,'Customer List'!$A$1:$J$488,10,FALSE),"")</f>
        <v/>
      </c>
    </row>
    <row r="7423" spans="18:23">
      <c r="R7423" s="127">
        <f t="shared" si="307"/>
        <v>0</v>
      </c>
      <c r="T7423" s="128">
        <f t="shared" si="306"/>
        <v>0</v>
      </c>
      <c r="U7423" s="129" t="str">
        <f>IFERROR(IF(#REF!="S",VLOOKUP('Raw Data'!A7423,References!#REF!,2,FALSE),(VLOOKUP($S7423,References!$B$3:$C$7,2,FALSE))),"")</f>
        <v/>
      </c>
      <c r="W7423" s="74" t="str">
        <f>IFERROR(VLOOKUP($O7423,'Customer List'!$A$1:$J$488,10,FALSE),"")</f>
        <v/>
      </c>
    </row>
    <row r="7424" spans="18:23">
      <c r="R7424" s="127">
        <f t="shared" si="307"/>
        <v>0</v>
      </c>
      <c r="T7424" s="128">
        <f t="shared" si="306"/>
        <v>0</v>
      </c>
      <c r="U7424" s="129" t="str">
        <f>IFERROR(IF(#REF!="S",VLOOKUP('Raw Data'!A7424,References!#REF!,2,FALSE),(VLOOKUP($S7424,References!$B$3:$C$7,2,FALSE))),"")</f>
        <v/>
      </c>
      <c r="W7424" s="74" t="str">
        <f>IFERROR(VLOOKUP($O7424,'Customer List'!$A$1:$J$488,10,FALSE),"")</f>
        <v/>
      </c>
    </row>
    <row r="7425" spans="18:23">
      <c r="R7425" s="127">
        <f t="shared" si="307"/>
        <v>0</v>
      </c>
      <c r="T7425" s="128">
        <f t="shared" si="306"/>
        <v>0</v>
      </c>
      <c r="U7425" s="129" t="str">
        <f>IFERROR(IF(#REF!="S",VLOOKUP('Raw Data'!A7425,References!#REF!,2,FALSE),(VLOOKUP($S7425,References!$B$3:$C$7,2,FALSE))),"")</f>
        <v/>
      </c>
      <c r="W7425" s="74" t="str">
        <f>IFERROR(VLOOKUP($O7425,'Customer List'!$A$1:$J$488,10,FALSE),"")</f>
        <v/>
      </c>
    </row>
    <row r="7426" spans="18:23">
      <c r="R7426" s="127">
        <f t="shared" si="307"/>
        <v>0</v>
      </c>
      <c r="T7426" s="128">
        <f t="shared" si="306"/>
        <v>0</v>
      </c>
      <c r="U7426" s="129" t="str">
        <f>IFERROR(IF(#REF!="S",VLOOKUP('Raw Data'!A7426,References!#REF!,2,FALSE),(VLOOKUP($S7426,References!$B$3:$C$7,2,FALSE))),"")</f>
        <v/>
      </c>
      <c r="W7426" s="74" t="str">
        <f>IFERROR(VLOOKUP($O7426,'Customer List'!$A$1:$J$488,10,FALSE),"")</f>
        <v/>
      </c>
    </row>
    <row r="7427" spans="18:23">
      <c r="R7427" s="127">
        <f t="shared" si="307"/>
        <v>0</v>
      </c>
      <c r="T7427" s="128">
        <f t="shared" si="306"/>
        <v>0</v>
      </c>
      <c r="U7427" s="129" t="str">
        <f>IFERROR(IF(#REF!="S",VLOOKUP('Raw Data'!A7427,References!#REF!,2,FALSE),(VLOOKUP($S7427,References!$B$3:$C$7,2,FALSE))),"")</f>
        <v/>
      </c>
      <c r="W7427" s="74" t="str">
        <f>IFERROR(VLOOKUP($O7427,'Customer List'!$A$1:$J$488,10,FALSE),"")</f>
        <v/>
      </c>
    </row>
    <row r="7428" spans="18:23">
      <c r="R7428" s="127">
        <f t="shared" si="307"/>
        <v>0</v>
      </c>
      <c r="T7428" s="128">
        <f t="shared" si="306"/>
        <v>0</v>
      </c>
      <c r="U7428" s="129" t="str">
        <f>IFERROR(IF(#REF!="S",VLOOKUP('Raw Data'!A7428,References!#REF!,2,FALSE),(VLOOKUP($S7428,References!$B$3:$C$7,2,FALSE))),"")</f>
        <v/>
      </c>
      <c r="W7428" s="74" t="str">
        <f>IFERROR(VLOOKUP($O7428,'Customer List'!$A$1:$J$488,10,FALSE),"")</f>
        <v/>
      </c>
    </row>
    <row r="7429" spans="18:23">
      <c r="R7429" s="127">
        <f t="shared" si="307"/>
        <v>0</v>
      </c>
      <c r="T7429" s="128">
        <f t="shared" si="306"/>
        <v>0</v>
      </c>
      <c r="U7429" s="129" t="str">
        <f>IFERROR(IF(#REF!="S",VLOOKUP('Raw Data'!A7429,References!#REF!,2,FALSE),(VLOOKUP($S7429,References!$B$3:$C$7,2,FALSE))),"")</f>
        <v/>
      </c>
      <c r="W7429" s="74" t="str">
        <f>IFERROR(VLOOKUP($O7429,'Customer List'!$A$1:$J$488,10,FALSE),"")</f>
        <v/>
      </c>
    </row>
    <row r="7430" spans="18:23">
      <c r="R7430" s="127">
        <f t="shared" si="307"/>
        <v>0</v>
      </c>
      <c r="T7430" s="128">
        <f t="shared" si="306"/>
        <v>0</v>
      </c>
      <c r="U7430" s="129" t="str">
        <f>IFERROR(IF(#REF!="S",VLOOKUP('Raw Data'!A7430,References!#REF!,2,FALSE),(VLOOKUP($S7430,References!$B$3:$C$7,2,FALSE))),"")</f>
        <v/>
      </c>
      <c r="W7430" s="74" t="str">
        <f>IFERROR(VLOOKUP($O7430,'Customer List'!$A$1:$J$488,10,FALSE),"")</f>
        <v/>
      </c>
    </row>
    <row r="7431" spans="18:23">
      <c r="R7431" s="127">
        <f t="shared" si="307"/>
        <v>0</v>
      </c>
      <c r="T7431" s="128">
        <f t="shared" si="306"/>
        <v>0</v>
      </c>
      <c r="U7431" s="129" t="str">
        <f>IFERROR(IF(#REF!="S",VLOOKUP('Raw Data'!A7431,References!#REF!,2,FALSE),(VLOOKUP($S7431,References!$B$3:$C$7,2,FALSE))),"")</f>
        <v/>
      </c>
      <c r="W7431" s="74" t="str">
        <f>IFERROR(VLOOKUP($O7431,'Customer List'!$A$1:$J$488,10,FALSE),"")</f>
        <v/>
      </c>
    </row>
    <row r="7432" spans="18:23">
      <c r="R7432" s="127">
        <f t="shared" si="307"/>
        <v>0</v>
      </c>
      <c r="T7432" s="128">
        <f t="shared" si="306"/>
        <v>0</v>
      </c>
      <c r="U7432" s="129" t="str">
        <f>IFERROR(IF(#REF!="S",VLOOKUP('Raw Data'!A7432,References!#REF!,2,FALSE),(VLOOKUP($S7432,References!$B$3:$C$7,2,FALSE))),"")</f>
        <v/>
      </c>
      <c r="W7432" s="74" t="str">
        <f>IFERROR(VLOOKUP($O7432,'Customer List'!$A$1:$J$488,10,FALSE),"")</f>
        <v/>
      </c>
    </row>
    <row r="7433" spans="18:23">
      <c r="R7433" s="127">
        <f t="shared" si="307"/>
        <v>0</v>
      </c>
      <c r="T7433" s="128">
        <f t="shared" si="306"/>
        <v>0</v>
      </c>
      <c r="U7433" s="129" t="str">
        <f>IFERROR(IF(#REF!="S",VLOOKUP('Raw Data'!A7433,References!#REF!,2,FALSE),(VLOOKUP($S7433,References!$B$3:$C$7,2,FALSE))),"")</f>
        <v/>
      </c>
      <c r="W7433" s="74" t="str">
        <f>IFERROR(VLOOKUP($O7433,'Customer List'!$A$1:$J$488,10,FALSE),"")</f>
        <v/>
      </c>
    </row>
    <row r="7434" spans="18:23">
      <c r="R7434" s="127">
        <f t="shared" si="307"/>
        <v>0</v>
      </c>
      <c r="T7434" s="128">
        <f t="shared" ref="T7434:T7497" si="308">IF(S7434="50 - Cleaning Fee",1,HOUR($R7434)+MINUTE(R7434)/60)</f>
        <v>0</v>
      </c>
      <c r="U7434" s="129" t="str">
        <f>IFERROR(IF(#REF!="S",VLOOKUP('Raw Data'!A7434,References!#REF!,2,FALSE),(VLOOKUP($S7434,References!$B$3:$C$7,2,FALSE))),"")</f>
        <v/>
      </c>
      <c r="W7434" s="74" t="str">
        <f>IFERROR(VLOOKUP($O7434,'Customer List'!$A$1:$J$488,10,FALSE),"")</f>
        <v/>
      </c>
    </row>
    <row r="7435" spans="18:23">
      <c r="R7435" s="127">
        <f t="shared" si="307"/>
        <v>0</v>
      </c>
      <c r="T7435" s="128">
        <f t="shared" si="308"/>
        <v>0</v>
      </c>
      <c r="U7435" s="129" t="str">
        <f>IFERROR(IF(#REF!="S",VLOOKUP('Raw Data'!A7435,References!#REF!,2,FALSE),(VLOOKUP($S7435,References!$B$3:$C$7,2,FALSE))),"")</f>
        <v/>
      </c>
      <c r="W7435" s="74" t="str">
        <f>IFERROR(VLOOKUP($O7435,'Customer List'!$A$1:$J$488,10,FALSE),"")</f>
        <v/>
      </c>
    </row>
    <row r="7436" spans="18:23">
      <c r="R7436" s="127">
        <f t="shared" si="307"/>
        <v>0</v>
      </c>
      <c r="T7436" s="128">
        <f t="shared" si="308"/>
        <v>0</v>
      </c>
      <c r="U7436" s="129" t="str">
        <f>IFERROR(IF(#REF!="S",VLOOKUP('Raw Data'!A7436,References!#REF!,2,FALSE),(VLOOKUP($S7436,References!$B$3:$C$7,2,FALSE))),"")</f>
        <v/>
      </c>
      <c r="W7436" s="74" t="str">
        <f>IFERROR(VLOOKUP($O7436,'Customer List'!$A$1:$J$488,10,FALSE),"")</f>
        <v/>
      </c>
    </row>
    <row r="7437" spans="18:23">
      <c r="R7437" s="127">
        <f t="shared" si="307"/>
        <v>0</v>
      </c>
      <c r="T7437" s="128">
        <f t="shared" si="308"/>
        <v>0</v>
      </c>
      <c r="U7437" s="129" t="str">
        <f>IFERROR(IF(#REF!="S",VLOOKUP('Raw Data'!A7437,References!#REF!,2,FALSE),(VLOOKUP($S7437,References!$B$3:$C$7,2,FALSE))),"")</f>
        <v/>
      </c>
      <c r="W7437" s="74" t="str">
        <f>IFERROR(VLOOKUP($O7437,'Customer List'!$A$1:$J$488,10,FALSE),"")</f>
        <v/>
      </c>
    </row>
    <row r="7438" spans="18:23">
      <c r="R7438" s="127">
        <f t="shared" si="307"/>
        <v>0</v>
      </c>
      <c r="T7438" s="128">
        <f t="shared" si="308"/>
        <v>0</v>
      </c>
      <c r="U7438" s="129" t="str">
        <f>IFERROR(IF(#REF!="S",VLOOKUP('Raw Data'!A7438,References!#REF!,2,FALSE),(VLOOKUP($S7438,References!$B$3:$C$7,2,FALSE))),"")</f>
        <v/>
      </c>
      <c r="W7438" s="74" t="str">
        <f>IFERROR(VLOOKUP($O7438,'Customer List'!$A$1:$J$488,10,FALSE),"")</f>
        <v/>
      </c>
    </row>
    <row r="7439" spans="18:23">
      <c r="R7439" s="127">
        <f t="shared" si="307"/>
        <v>0</v>
      </c>
      <c r="T7439" s="128">
        <f t="shared" si="308"/>
        <v>0</v>
      </c>
      <c r="U7439" s="129" t="str">
        <f>IFERROR(IF(#REF!="S",VLOOKUP('Raw Data'!A7439,References!#REF!,2,FALSE),(VLOOKUP($S7439,References!$B$3:$C$7,2,FALSE))),"")</f>
        <v/>
      </c>
      <c r="W7439" s="74" t="str">
        <f>IFERROR(VLOOKUP($O7439,'Customer List'!$A$1:$J$488,10,FALSE),"")</f>
        <v/>
      </c>
    </row>
    <row r="7440" spans="18:23">
      <c r="R7440" s="127">
        <f t="shared" si="307"/>
        <v>0</v>
      </c>
      <c r="T7440" s="128">
        <f t="shared" si="308"/>
        <v>0</v>
      </c>
      <c r="U7440" s="129" t="str">
        <f>IFERROR(IF(#REF!="S",VLOOKUP('Raw Data'!A7440,References!#REF!,2,FALSE),(VLOOKUP($S7440,References!$B$3:$C$7,2,FALSE))),"")</f>
        <v/>
      </c>
      <c r="W7440" s="74" t="str">
        <f>IFERROR(VLOOKUP($O7440,'Customer List'!$A$1:$J$488,10,FALSE),"")</f>
        <v/>
      </c>
    </row>
    <row r="7441" spans="18:23">
      <c r="R7441" s="127">
        <f t="shared" si="307"/>
        <v>0</v>
      </c>
      <c r="T7441" s="128">
        <f t="shared" si="308"/>
        <v>0</v>
      </c>
      <c r="U7441" s="129" t="str">
        <f>IFERROR(IF(#REF!="S",VLOOKUP('Raw Data'!A7441,References!#REF!,2,FALSE),(VLOOKUP($S7441,References!$B$3:$C$7,2,FALSE))),"")</f>
        <v/>
      </c>
      <c r="W7441" s="74" t="str">
        <f>IFERROR(VLOOKUP($O7441,'Customer List'!$A$1:$J$488,10,FALSE),"")</f>
        <v/>
      </c>
    </row>
    <row r="7442" spans="18:23">
      <c r="R7442" s="127">
        <f t="shared" si="307"/>
        <v>0</v>
      </c>
      <c r="T7442" s="128">
        <f t="shared" si="308"/>
        <v>0</v>
      </c>
      <c r="U7442" s="129" t="str">
        <f>IFERROR(IF(#REF!="S",VLOOKUP('Raw Data'!A7442,References!#REF!,2,FALSE),(VLOOKUP($S7442,References!$B$3:$C$7,2,FALSE))),"")</f>
        <v/>
      </c>
      <c r="W7442" s="74" t="str">
        <f>IFERROR(VLOOKUP($O7442,'Customer List'!$A$1:$J$488,10,FALSE),"")</f>
        <v/>
      </c>
    </row>
    <row r="7443" spans="18:23">
      <c r="R7443" s="127">
        <f t="shared" si="307"/>
        <v>0</v>
      </c>
      <c r="T7443" s="128">
        <f t="shared" si="308"/>
        <v>0</v>
      </c>
      <c r="U7443" s="129" t="str">
        <f>IFERROR(IF(#REF!="S",VLOOKUP('Raw Data'!A7443,References!#REF!,2,FALSE),(VLOOKUP($S7443,References!$B$3:$C$7,2,FALSE))),"")</f>
        <v/>
      </c>
      <c r="W7443" s="74" t="str">
        <f>IFERROR(VLOOKUP($O7443,'Customer List'!$A$1:$J$488,10,FALSE),"")</f>
        <v/>
      </c>
    </row>
    <row r="7444" spans="18:23">
      <c r="R7444" s="127">
        <f t="shared" si="307"/>
        <v>0</v>
      </c>
      <c r="T7444" s="128">
        <f t="shared" si="308"/>
        <v>0</v>
      </c>
      <c r="U7444" s="129" t="str">
        <f>IFERROR(IF(#REF!="S",VLOOKUP('Raw Data'!A7444,References!#REF!,2,FALSE),(VLOOKUP($S7444,References!$B$3:$C$7,2,FALSE))),"")</f>
        <v/>
      </c>
      <c r="W7444" s="74" t="str">
        <f>IFERROR(VLOOKUP($O7444,'Customer List'!$A$1:$J$488,10,FALSE),"")</f>
        <v/>
      </c>
    </row>
    <row r="7445" spans="18:23">
      <c r="R7445" s="127">
        <f t="shared" si="307"/>
        <v>0</v>
      </c>
      <c r="T7445" s="128">
        <f t="shared" si="308"/>
        <v>0</v>
      </c>
      <c r="U7445" s="129" t="str">
        <f>IFERROR(IF(#REF!="S",VLOOKUP('Raw Data'!A7445,References!#REF!,2,FALSE),(VLOOKUP($S7445,References!$B$3:$C$7,2,FALSE))),"")</f>
        <v/>
      </c>
      <c r="W7445" s="74" t="str">
        <f>IFERROR(VLOOKUP($O7445,'Customer List'!$A$1:$J$488,10,FALSE),"")</f>
        <v/>
      </c>
    </row>
    <row r="7446" spans="18:23">
      <c r="R7446" s="127">
        <f t="shared" si="307"/>
        <v>0</v>
      </c>
      <c r="T7446" s="128">
        <f t="shared" si="308"/>
        <v>0</v>
      </c>
      <c r="U7446" s="129" t="str">
        <f>IFERROR(IF(#REF!="S",VLOOKUP('Raw Data'!A7446,References!#REF!,2,FALSE),(VLOOKUP($S7446,References!$B$3:$C$7,2,FALSE))),"")</f>
        <v/>
      </c>
      <c r="W7446" s="74" t="str">
        <f>IFERROR(VLOOKUP($O7446,'Customer List'!$A$1:$J$488,10,FALSE),"")</f>
        <v/>
      </c>
    </row>
    <row r="7447" spans="18:23">
      <c r="R7447" s="127">
        <f t="shared" si="307"/>
        <v>0</v>
      </c>
      <c r="T7447" s="128">
        <f t="shared" si="308"/>
        <v>0</v>
      </c>
      <c r="U7447" s="129" t="str">
        <f>IFERROR(IF(#REF!="S",VLOOKUP('Raw Data'!A7447,References!#REF!,2,FALSE),(VLOOKUP($S7447,References!$B$3:$C$7,2,FALSE))),"")</f>
        <v/>
      </c>
      <c r="W7447" s="74" t="str">
        <f>IFERROR(VLOOKUP($O7447,'Customer List'!$A$1:$J$488,10,FALSE),"")</f>
        <v/>
      </c>
    </row>
    <row r="7448" spans="18:23">
      <c r="R7448" s="127">
        <f t="shared" si="307"/>
        <v>0</v>
      </c>
      <c r="T7448" s="128">
        <f t="shared" si="308"/>
        <v>0</v>
      </c>
      <c r="U7448" s="129" t="str">
        <f>IFERROR(IF(#REF!="S",VLOOKUP('Raw Data'!A7448,References!#REF!,2,FALSE),(VLOOKUP($S7448,References!$B$3:$C$7,2,FALSE))),"")</f>
        <v/>
      </c>
      <c r="W7448" s="74" t="str">
        <f>IFERROR(VLOOKUP($O7448,'Customer List'!$A$1:$J$488,10,FALSE),"")</f>
        <v/>
      </c>
    </row>
    <row r="7449" spans="18:23">
      <c r="R7449" s="127">
        <f t="shared" si="307"/>
        <v>0</v>
      </c>
      <c r="T7449" s="128">
        <f t="shared" si="308"/>
        <v>0</v>
      </c>
      <c r="U7449" s="129" t="str">
        <f>IFERROR(IF(#REF!="S",VLOOKUP('Raw Data'!A7449,References!#REF!,2,FALSE),(VLOOKUP($S7449,References!$B$3:$C$7,2,FALSE))),"")</f>
        <v/>
      </c>
      <c r="W7449" s="74" t="str">
        <f>IFERROR(VLOOKUP($O7449,'Customer List'!$A$1:$J$488,10,FALSE),"")</f>
        <v/>
      </c>
    </row>
    <row r="7450" spans="18:23">
      <c r="R7450" s="127">
        <f t="shared" si="307"/>
        <v>0</v>
      </c>
      <c r="T7450" s="128">
        <f t="shared" si="308"/>
        <v>0</v>
      </c>
      <c r="U7450" s="129" t="str">
        <f>IFERROR(IF(#REF!="S",VLOOKUP('Raw Data'!A7450,References!#REF!,2,FALSE),(VLOOKUP($S7450,References!$B$3:$C$7,2,FALSE))),"")</f>
        <v/>
      </c>
      <c r="W7450" s="74" t="str">
        <f>IFERROR(VLOOKUP($O7450,'Customer List'!$A$1:$J$488,10,FALSE),"")</f>
        <v/>
      </c>
    </row>
    <row r="7451" spans="18:23">
      <c r="R7451" s="127">
        <f t="shared" si="307"/>
        <v>0</v>
      </c>
      <c r="T7451" s="128">
        <f t="shared" si="308"/>
        <v>0</v>
      </c>
      <c r="U7451" s="129" t="str">
        <f>IFERROR(IF(#REF!="S",VLOOKUP('Raw Data'!A7451,References!#REF!,2,FALSE),(VLOOKUP($S7451,References!$B$3:$C$7,2,FALSE))),"")</f>
        <v/>
      </c>
      <c r="W7451" s="74" t="str">
        <f>IFERROR(VLOOKUP($O7451,'Customer List'!$A$1:$J$488,10,FALSE),"")</f>
        <v/>
      </c>
    </row>
    <row r="7452" spans="18:23">
      <c r="R7452" s="127">
        <f t="shared" si="307"/>
        <v>0</v>
      </c>
      <c r="T7452" s="128">
        <f t="shared" si="308"/>
        <v>0</v>
      </c>
      <c r="U7452" s="129" t="str">
        <f>IFERROR(IF(#REF!="S",VLOOKUP('Raw Data'!A7452,References!#REF!,2,FALSE),(VLOOKUP($S7452,References!$B$3:$C$7,2,FALSE))),"")</f>
        <v/>
      </c>
      <c r="W7452" s="74" t="str">
        <f>IFERROR(VLOOKUP($O7452,'Customer List'!$A$1:$J$488,10,FALSE),"")</f>
        <v/>
      </c>
    </row>
    <row r="7453" spans="18:23">
      <c r="R7453" s="127">
        <f t="shared" si="307"/>
        <v>0</v>
      </c>
      <c r="T7453" s="128">
        <f t="shared" si="308"/>
        <v>0</v>
      </c>
      <c r="U7453" s="129" t="str">
        <f>IFERROR(IF(#REF!="S",VLOOKUP('Raw Data'!A7453,References!#REF!,2,FALSE),(VLOOKUP($S7453,References!$B$3:$C$7,2,FALSE))),"")</f>
        <v/>
      </c>
      <c r="W7453" s="74" t="str">
        <f>IFERROR(VLOOKUP($O7453,'Customer List'!$A$1:$J$488,10,FALSE),"")</f>
        <v/>
      </c>
    </row>
    <row r="7454" spans="18:23">
      <c r="R7454" s="127">
        <f t="shared" si="307"/>
        <v>0</v>
      </c>
      <c r="T7454" s="128">
        <f t="shared" si="308"/>
        <v>0</v>
      </c>
      <c r="U7454" s="129" t="str">
        <f>IFERROR(IF(#REF!="S",VLOOKUP('Raw Data'!A7454,References!#REF!,2,FALSE),(VLOOKUP($S7454,References!$B$3:$C$7,2,FALSE))),"")</f>
        <v/>
      </c>
      <c r="W7454" s="74" t="str">
        <f>IFERROR(VLOOKUP($O7454,'Customer List'!$A$1:$J$488,10,FALSE),"")</f>
        <v/>
      </c>
    </row>
    <row r="7455" spans="18:23">
      <c r="R7455" s="127">
        <f t="shared" si="307"/>
        <v>0</v>
      </c>
      <c r="T7455" s="128">
        <f t="shared" si="308"/>
        <v>0</v>
      </c>
      <c r="U7455" s="129" t="str">
        <f>IFERROR(IF(#REF!="S",VLOOKUP('Raw Data'!A7455,References!#REF!,2,FALSE),(VLOOKUP($S7455,References!$B$3:$C$7,2,FALSE))),"")</f>
        <v/>
      </c>
      <c r="W7455" s="74" t="str">
        <f>IFERROR(VLOOKUP($O7455,'Customer List'!$A$1:$J$488,10,FALSE),"")</f>
        <v/>
      </c>
    </row>
    <row r="7456" spans="18:23">
      <c r="R7456" s="127">
        <f t="shared" si="307"/>
        <v>0</v>
      </c>
      <c r="T7456" s="128">
        <f t="shared" si="308"/>
        <v>0</v>
      </c>
      <c r="U7456" s="129" t="str">
        <f>IFERROR(IF(#REF!="S",VLOOKUP('Raw Data'!A7456,References!#REF!,2,FALSE),(VLOOKUP($S7456,References!$B$3:$C$7,2,FALSE))),"")</f>
        <v/>
      </c>
      <c r="W7456" s="74" t="str">
        <f>IFERROR(VLOOKUP($O7456,'Customer List'!$A$1:$J$488,10,FALSE),"")</f>
        <v/>
      </c>
    </row>
    <row r="7457" spans="18:23">
      <c r="R7457" s="127">
        <f t="shared" si="307"/>
        <v>0</v>
      </c>
      <c r="T7457" s="128">
        <f t="shared" si="308"/>
        <v>0</v>
      </c>
      <c r="U7457" s="129" t="str">
        <f>IFERROR(IF(#REF!="S",VLOOKUP('Raw Data'!A7457,References!#REF!,2,FALSE),(VLOOKUP($S7457,References!$B$3:$C$7,2,FALSE))),"")</f>
        <v/>
      </c>
      <c r="W7457" s="74" t="str">
        <f>IFERROR(VLOOKUP($O7457,'Customer List'!$A$1:$J$488,10,FALSE),"")</f>
        <v/>
      </c>
    </row>
    <row r="7458" spans="18:23">
      <c r="R7458" s="127">
        <f t="shared" ref="R7458:R7521" si="309">L7458-K7458</f>
        <v>0</v>
      </c>
      <c r="T7458" s="128">
        <f t="shared" si="308"/>
        <v>0</v>
      </c>
      <c r="U7458" s="129" t="str">
        <f>IFERROR(IF(#REF!="S",VLOOKUP('Raw Data'!A7458,References!#REF!,2,FALSE),(VLOOKUP($S7458,References!$B$3:$C$7,2,FALSE))),"")</f>
        <v/>
      </c>
      <c r="W7458" s="74" t="str">
        <f>IFERROR(VLOOKUP($O7458,'Customer List'!$A$1:$J$488,10,FALSE),"")</f>
        <v/>
      </c>
    </row>
    <row r="7459" spans="18:23">
      <c r="R7459" s="127">
        <f t="shared" si="309"/>
        <v>0</v>
      </c>
      <c r="T7459" s="128">
        <f t="shared" si="308"/>
        <v>0</v>
      </c>
      <c r="U7459" s="129" t="str">
        <f>IFERROR(IF(#REF!="S",VLOOKUP('Raw Data'!A7459,References!#REF!,2,FALSE),(VLOOKUP($S7459,References!$B$3:$C$7,2,FALSE))),"")</f>
        <v/>
      </c>
      <c r="W7459" s="74" t="str">
        <f>IFERROR(VLOOKUP($O7459,'Customer List'!$A$1:$J$488,10,FALSE),"")</f>
        <v/>
      </c>
    </row>
    <row r="7460" spans="18:23">
      <c r="R7460" s="127">
        <f t="shared" si="309"/>
        <v>0</v>
      </c>
      <c r="T7460" s="128">
        <f t="shared" si="308"/>
        <v>0</v>
      </c>
      <c r="U7460" s="129" t="str">
        <f>IFERROR(IF(#REF!="S",VLOOKUP('Raw Data'!A7460,References!#REF!,2,FALSE),(VLOOKUP($S7460,References!$B$3:$C$7,2,FALSE))),"")</f>
        <v/>
      </c>
      <c r="W7460" s="74" t="str">
        <f>IFERROR(VLOOKUP($O7460,'Customer List'!$A$1:$J$488,10,FALSE),"")</f>
        <v/>
      </c>
    </row>
    <row r="7461" spans="18:23">
      <c r="R7461" s="127">
        <f t="shared" si="309"/>
        <v>0</v>
      </c>
      <c r="T7461" s="128">
        <f t="shared" si="308"/>
        <v>0</v>
      </c>
      <c r="U7461" s="129" t="str">
        <f>IFERROR(IF(#REF!="S",VLOOKUP('Raw Data'!A7461,References!#REF!,2,FALSE),(VLOOKUP($S7461,References!$B$3:$C$7,2,FALSE))),"")</f>
        <v/>
      </c>
      <c r="W7461" s="74" t="str">
        <f>IFERROR(VLOOKUP($O7461,'Customer List'!$A$1:$J$488,10,FALSE),"")</f>
        <v/>
      </c>
    </row>
    <row r="7462" spans="18:23">
      <c r="R7462" s="127">
        <f t="shared" si="309"/>
        <v>0</v>
      </c>
      <c r="T7462" s="128">
        <f t="shared" si="308"/>
        <v>0</v>
      </c>
      <c r="U7462" s="129" t="str">
        <f>IFERROR(IF(#REF!="S",VLOOKUP('Raw Data'!A7462,References!#REF!,2,FALSE),(VLOOKUP($S7462,References!$B$3:$C$7,2,FALSE))),"")</f>
        <v/>
      </c>
      <c r="W7462" s="74" t="str">
        <f>IFERROR(VLOOKUP($O7462,'Customer List'!$A$1:$J$488,10,FALSE),"")</f>
        <v/>
      </c>
    </row>
    <row r="7463" spans="18:23">
      <c r="R7463" s="127">
        <f t="shared" si="309"/>
        <v>0</v>
      </c>
      <c r="T7463" s="128">
        <f t="shared" si="308"/>
        <v>0</v>
      </c>
      <c r="U7463" s="129" t="str">
        <f>IFERROR(IF(#REF!="S",VLOOKUP('Raw Data'!A7463,References!#REF!,2,FALSE),(VLOOKUP($S7463,References!$B$3:$C$7,2,FALSE))),"")</f>
        <v/>
      </c>
      <c r="W7463" s="74" t="str">
        <f>IFERROR(VLOOKUP($O7463,'Customer List'!$A$1:$J$488,10,FALSE),"")</f>
        <v/>
      </c>
    </row>
    <row r="7464" spans="18:23">
      <c r="R7464" s="127">
        <f t="shared" si="309"/>
        <v>0</v>
      </c>
      <c r="T7464" s="128">
        <f t="shared" si="308"/>
        <v>0</v>
      </c>
      <c r="U7464" s="129" t="str">
        <f>IFERROR(IF(#REF!="S",VLOOKUP('Raw Data'!A7464,References!#REF!,2,FALSE),(VLOOKUP($S7464,References!$B$3:$C$7,2,FALSE))),"")</f>
        <v/>
      </c>
      <c r="W7464" s="74" t="str">
        <f>IFERROR(VLOOKUP($O7464,'Customer List'!$A$1:$J$488,10,FALSE),"")</f>
        <v/>
      </c>
    </row>
    <row r="7465" spans="18:23">
      <c r="R7465" s="127">
        <f t="shared" si="309"/>
        <v>0</v>
      </c>
      <c r="T7465" s="128">
        <f t="shared" si="308"/>
        <v>0</v>
      </c>
      <c r="U7465" s="129" t="str">
        <f>IFERROR(IF(#REF!="S",VLOOKUP('Raw Data'!A7465,References!#REF!,2,FALSE),(VLOOKUP($S7465,References!$B$3:$C$7,2,FALSE))),"")</f>
        <v/>
      </c>
      <c r="W7465" s="74" t="str">
        <f>IFERROR(VLOOKUP($O7465,'Customer List'!$A$1:$J$488,10,FALSE),"")</f>
        <v/>
      </c>
    </row>
    <row r="7466" spans="18:23">
      <c r="R7466" s="127">
        <f t="shared" si="309"/>
        <v>0</v>
      </c>
      <c r="T7466" s="128">
        <f t="shared" si="308"/>
        <v>0</v>
      </c>
      <c r="U7466" s="129" t="str">
        <f>IFERROR(IF(#REF!="S",VLOOKUP('Raw Data'!A7466,References!#REF!,2,FALSE),(VLOOKUP($S7466,References!$B$3:$C$7,2,FALSE))),"")</f>
        <v/>
      </c>
      <c r="W7466" s="74" t="str">
        <f>IFERROR(VLOOKUP($O7466,'Customer List'!$A$1:$J$488,10,FALSE),"")</f>
        <v/>
      </c>
    </row>
    <row r="7467" spans="18:23">
      <c r="R7467" s="127">
        <f t="shared" si="309"/>
        <v>0</v>
      </c>
      <c r="T7467" s="128">
        <f t="shared" si="308"/>
        <v>0</v>
      </c>
      <c r="U7467" s="129" t="str">
        <f>IFERROR(IF(#REF!="S",VLOOKUP('Raw Data'!A7467,References!#REF!,2,FALSE),(VLOOKUP($S7467,References!$B$3:$C$7,2,FALSE))),"")</f>
        <v/>
      </c>
      <c r="W7467" s="74" t="str">
        <f>IFERROR(VLOOKUP($O7467,'Customer List'!$A$1:$J$488,10,FALSE),"")</f>
        <v/>
      </c>
    </row>
    <row r="7468" spans="18:23">
      <c r="R7468" s="127">
        <f t="shared" si="309"/>
        <v>0</v>
      </c>
      <c r="T7468" s="128">
        <f t="shared" si="308"/>
        <v>0</v>
      </c>
      <c r="U7468" s="129" t="str">
        <f>IFERROR(IF(#REF!="S",VLOOKUP('Raw Data'!A7468,References!#REF!,2,FALSE),(VLOOKUP($S7468,References!$B$3:$C$7,2,FALSE))),"")</f>
        <v/>
      </c>
      <c r="W7468" s="74" t="str">
        <f>IFERROR(VLOOKUP($O7468,'Customer List'!$A$1:$J$488,10,FALSE),"")</f>
        <v/>
      </c>
    </row>
    <row r="7469" spans="18:23">
      <c r="R7469" s="127">
        <f t="shared" si="309"/>
        <v>0</v>
      </c>
      <c r="T7469" s="128">
        <f t="shared" si="308"/>
        <v>0</v>
      </c>
      <c r="U7469" s="129" t="str">
        <f>IFERROR(IF(#REF!="S",VLOOKUP('Raw Data'!A7469,References!#REF!,2,FALSE),(VLOOKUP($S7469,References!$B$3:$C$7,2,FALSE))),"")</f>
        <v/>
      </c>
      <c r="W7469" s="74" t="str">
        <f>IFERROR(VLOOKUP($O7469,'Customer List'!$A$1:$J$488,10,FALSE),"")</f>
        <v/>
      </c>
    </row>
    <row r="7470" spans="18:23">
      <c r="R7470" s="127">
        <f t="shared" si="309"/>
        <v>0</v>
      </c>
      <c r="T7470" s="128">
        <f t="shared" si="308"/>
        <v>0</v>
      </c>
      <c r="U7470" s="129" t="str">
        <f>IFERROR(IF(#REF!="S",VLOOKUP('Raw Data'!A7470,References!#REF!,2,FALSE),(VLOOKUP($S7470,References!$B$3:$C$7,2,FALSE))),"")</f>
        <v/>
      </c>
      <c r="W7470" s="74" t="str">
        <f>IFERROR(VLOOKUP($O7470,'Customer List'!$A$1:$J$488,10,FALSE),"")</f>
        <v/>
      </c>
    </row>
    <row r="7471" spans="18:23">
      <c r="R7471" s="127">
        <f t="shared" si="309"/>
        <v>0</v>
      </c>
      <c r="T7471" s="128">
        <f t="shared" si="308"/>
        <v>0</v>
      </c>
      <c r="U7471" s="129" t="str">
        <f>IFERROR(IF(#REF!="S",VLOOKUP('Raw Data'!A7471,References!#REF!,2,FALSE),(VLOOKUP($S7471,References!$B$3:$C$7,2,FALSE))),"")</f>
        <v/>
      </c>
      <c r="W7471" s="74" t="str">
        <f>IFERROR(VLOOKUP($O7471,'Customer List'!$A$1:$J$488,10,FALSE),"")</f>
        <v/>
      </c>
    </row>
    <row r="7472" spans="18:23">
      <c r="R7472" s="127">
        <f t="shared" si="309"/>
        <v>0</v>
      </c>
      <c r="T7472" s="128">
        <f t="shared" si="308"/>
        <v>0</v>
      </c>
      <c r="U7472" s="129" t="str">
        <f>IFERROR(IF(#REF!="S",VLOOKUP('Raw Data'!A7472,References!#REF!,2,FALSE),(VLOOKUP($S7472,References!$B$3:$C$7,2,FALSE))),"")</f>
        <v/>
      </c>
      <c r="W7472" s="74" t="str">
        <f>IFERROR(VLOOKUP($O7472,'Customer List'!$A$1:$J$488,10,FALSE),"")</f>
        <v/>
      </c>
    </row>
    <row r="7473" spans="18:23">
      <c r="R7473" s="127">
        <f t="shared" si="309"/>
        <v>0</v>
      </c>
      <c r="T7473" s="128">
        <f t="shared" si="308"/>
        <v>0</v>
      </c>
      <c r="U7473" s="129" t="str">
        <f>IFERROR(IF(#REF!="S",VLOOKUP('Raw Data'!A7473,References!#REF!,2,FALSE),(VLOOKUP($S7473,References!$B$3:$C$7,2,FALSE))),"")</f>
        <v/>
      </c>
      <c r="W7473" s="74" t="str">
        <f>IFERROR(VLOOKUP($O7473,'Customer List'!$A$1:$J$488,10,FALSE),"")</f>
        <v/>
      </c>
    </row>
    <row r="7474" spans="18:23">
      <c r="R7474" s="127">
        <f t="shared" si="309"/>
        <v>0</v>
      </c>
      <c r="T7474" s="128">
        <f t="shared" si="308"/>
        <v>0</v>
      </c>
      <c r="U7474" s="129" t="str">
        <f>IFERROR(IF(#REF!="S",VLOOKUP('Raw Data'!A7474,References!#REF!,2,FALSE),(VLOOKUP($S7474,References!$B$3:$C$7,2,FALSE))),"")</f>
        <v/>
      </c>
      <c r="W7474" s="74" t="str">
        <f>IFERROR(VLOOKUP($O7474,'Customer List'!$A$1:$J$488,10,FALSE),"")</f>
        <v/>
      </c>
    </row>
    <row r="7475" spans="18:23">
      <c r="R7475" s="127">
        <f t="shared" si="309"/>
        <v>0</v>
      </c>
      <c r="T7475" s="128">
        <f t="shared" si="308"/>
        <v>0</v>
      </c>
      <c r="U7475" s="129" t="str">
        <f>IFERROR(IF(#REF!="S",VLOOKUP('Raw Data'!A7475,References!#REF!,2,FALSE),(VLOOKUP($S7475,References!$B$3:$C$7,2,FALSE))),"")</f>
        <v/>
      </c>
      <c r="W7475" s="74" t="str">
        <f>IFERROR(VLOOKUP($O7475,'Customer List'!$A$1:$J$488,10,FALSE),"")</f>
        <v/>
      </c>
    </row>
    <row r="7476" spans="18:23">
      <c r="R7476" s="127">
        <f t="shared" si="309"/>
        <v>0</v>
      </c>
      <c r="T7476" s="128">
        <f t="shared" si="308"/>
        <v>0</v>
      </c>
      <c r="U7476" s="129" t="str">
        <f>IFERROR(IF(#REF!="S",VLOOKUP('Raw Data'!A7476,References!#REF!,2,FALSE),(VLOOKUP($S7476,References!$B$3:$C$7,2,FALSE))),"")</f>
        <v/>
      </c>
      <c r="W7476" s="74" t="str">
        <f>IFERROR(VLOOKUP($O7476,'Customer List'!$A$1:$J$488,10,FALSE),"")</f>
        <v/>
      </c>
    </row>
    <row r="7477" spans="18:23">
      <c r="R7477" s="127">
        <f t="shared" si="309"/>
        <v>0</v>
      </c>
      <c r="T7477" s="128">
        <f t="shared" si="308"/>
        <v>0</v>
      </c>
      <c r="U7477" s="129" t="str">
        <f>IFERROR(IF(#REF!="S",VLOOKUP('Raw Data'!A7477,References!#REF!,2,FALSE),(VLOOKUP($S7477,References!$B$3:$C$7,2,FALSE))),"")</f>
        <v/>
      </c>
      <c r="W7477" s="74" t="str">
        <f>IFERROR(VLOOKUP($O7477,'Customer List'!$A$1:$J$488,10,FALSE),"")</f>
        <v/>
      </c>
    </row>
    <row r="7478" spans="18:23">
      <c r="R7478" s="127">
        <f t="shared" si="309"/>
        <v>0</v>
      </c>
      <c r="T7478" s="128">
        <f t="shared" si="308"/>
        <v>0</v>
      </c>
      <c r="U7478" s="129" t="str">
        <f>IFERROR(IF(#REF!="S",VLOOKUP('Raw Data'!A7478,References!#REF!,2,FALSE),(VLOOKUP($S7478,References!$B$3:$C$7,2,FALSE))),"")</f>
        <v/>
      </c>
      <c r="W7478" s="74" t="str">
        <f>IFERROR(VLOOKUP($O7478,'Customer List'!$A$1:$J$488,10,FALSE),"")</f>
        <v/>
      </c>
    </row>
    <row r="7479" spans="18:23">
      <c r="R7479" s="127">
        <f t="shared" si="309"/>
        <v>0</v>
      </c>
      <c r="T7479" s="128">
        <f t="shared" si="308"/>
        <v>0</v>
      </c>
      <c r="U7479" s="129" t="str">
        <f>IFERROR(IF(#REF!="S",VLOOKUP('Raw Data'!A7479,References!#REF!,2,FALSE),(VLOOKUP($S7479,References!$B$3:$C$7,2,FALSE))),"")</f>
        <v/>
      </c>
      <c r="W7479" s="74" t="str">
        <f>IFERROR(VLOOKUP($O7479,'Customer List'!$A$1:$J$488,10,FALSE),"")</f>
        <v/>
      </c>
    </row>
    <row r="7480" spans="18:23">
      <c r="R7480" s="127">
        <f t="shared" si="309"/>
        <v>0</v>
      </c>
      <c r="T7480" s="128">
        <f t="shared" si="308"/>
        <v>0</v>
      </c>
      <c r="U7480" s="129" t="str">
        <f>IFERROR(IF(#REF!="S",VLOOKUP('Raw Data'!A7480,References!#REF!,2,FALSE),(VLOOKUP($S7480,References!$B$3:$C$7,2,FALSE))),"")</f>
        <v/>
      </c>
      <c r="W7480" s="74" t="str">
        <f>IFERROR(VLOOKUP($O7480,'Customer List'!$A$1:$J$488,10,FALSE),"")</f>
        <v/>
      </c>
    </row>
    <row r="7481" spans="18:23">
      <c r="R7481" s="127">
        <f t="shared" si="309"/>
        <v>0</v>
      </c>
      <c r="T7481" s="128">
        <f t="shared" si="308"/>
        <v>0</v>
      </c>
      <c r="U7481" s="129" t="str">
        <f>IFERROR(IF(#REF!="S",VLOOKUP('Raw Data'!A7481,References!#REF!,2,FALSE),(VLOOKUP($S7481,References!$B$3:$C$7,2,FALSE))),"")</f>
        <v/>
      </c>
      <c r="W7481" s="74" t="str">
        <f>IFERROR(VLOOKUP($O7481,'Customer List'!$A$1:$J$488,10,FALSE),"")</f>
        <v/>
      </c>
    </row>
    <row r="7482" spans="18:23">
      <c r="R7482" s="127">
        <f t="shared" si="309"/>
        <v>0</v>
      </c>
      <c r="T7482" s="128">
        <f t="shared" si="308"/>
        <v>0</v>
      </c>
      <c r="U7482" s="129" t="str">
        <f>IFERROR(IF(#REF!="S",VLOOKUP('Raw Data'!A7482,References!#REF!,2,FALSE),(VLOOKUP($S7482,References!$B$3:$C$7,2,FALSE))),"")</f>
        <v/>
      </c>
      <c r="W7482" s="74" t="str">
        <f>IFERROR(VLOOKUP($O7482,'Customer List'!$A$1:$J$488,10,FALSE),"")</f>
        <v/>
      </c>
    </row>
    <row r="7483" spans="18:23">
      <c r="R7483" s="127">
        <f t="shared" si="309"/>
        <v>0</v>
      </c>
      <c r="T7483" s="128">
        <f t="shared" si="308"/>
        <v>0</v>
      </c>
      <c r="U7483" s="129" t="str">
        <f>IFERROR(IF(#REF!="S",VLOOKUP('Raw Data'!A7483,References!#REF!,2,FALSE),(VLOOKUP($S7483,References!$B$3:$C$7,2,FALSE))),"")</f>
        <v/>
      </c>
      <c r="W7483" s="74" t="str">
        <f>IFERROR(VLOOKUP($O7483,'Customer List'!$A$1:$J$488,10,FALSE),"")</f>
        <v/>
      </c>
    </row>
    <row r="7484" spans="18:23">
      <c r="R7484" s="127">
        <f t="shared" si="309"/>
        <v>0</v>
      </c>
      <c r="T7484" s="128">
        <f t="shared" si="308"/>
        <v>0</v>
      </c>
      <c r="U7484" s="129" t="str">
        <f>IFERROR(IF(#REF!="S",VLOOKUP('Raw Data'!A7484,References!#REF!,2,FALSE),(VLOOKUP($S7484,References!$B$3:$C$7,2,FALSE))),"")</f>
        <v/>
      </c>
      <c r="W7484" s="74" t="str">
        <f>IFERROR(VLOOKUP($O7484,'Customer List'!$A$1:$J$488,10,FALSE),"")</f>
        <v/>
      </c>
    </row>
    <row r="7485" spans="18:23">
      <c r="R7485" s="127">
        <f t="shared" si="309"/>
        <v>0</v>
      </c>
      <c r="T7485" s="128">
        <f t="shared" si="308"/>
        <v>0</v>
      </c>
      <c r="U7485" s="129" t="str">
        <f>IFERROR(IF(#REF!="S",VLOOKUP('Raw Data'!A7485,References!#REF!,2,FALSE),(VLOOKUP($S7485,References!$B$3:$C$7,2,FALSE))),"")</f>
        <v/>
      </c>
      <c r="W7485" s="74" t="str">
        <f>IFERROR(VLOOKUP($O7485,'Customer List'!$A$1:$J$488,10,FALSE),"")</f>
        <v/>
      </c>
    </row>
    <row r="7486" spans="18:23">
      <c r="R7486" s="127">
        <f t="shared" si="309"/>
        <v>0</v>
      </c>
      <c r="T7486" s="128">
        <f t="shared" si="308"/>
        <v>0</v>
      </c>
      <c r="U7486" s="129" t="str">
        <f>IFERROR(IF(#REF!="S",VLOOKUP('Raw Data'!A7486,References!#REF!,2,FALSE),(VLOOKUP($S7486,References!$B$3:$C$7,2,FALSE))),"")</f>
        <v/>
      </c>
      <c r="W7486" s="74" t="str">
        <f>IFERROR(VLOOKUP($O7486,'Customer List'!$A$1:$J$488,10,FALSE),"")</f>
        <v/>
      </c>
    </row>
    <row r="7487" spans="18:23">
      <c r="R7487" s="127">
        <f t="shared" si="309"/>
        <v>0</v>
      </c>
      <c r="T7487" s="128">
        <f t="shared" si="308"/>
        <v>0</v>
      </c>
      <c r="U7487" s="129" t="str">
        <f>IFERROR(IF(#REF!="S",VLOOKUP('Raw Data'!A7487,References!#REF!,2,FALSE),(VLOOKUP($S7487,References!$B$3:$C$7,2,FALSE))),"")</f>
        <v/>
      </c>
      <c r="W7487" s="74" t="str">
        <f>IFERROR(VLOOKUP($O7487,'Customer List'!$A$1:$J$488,10,FALSE),"")</f>
        <v/>
      </c>
    </row>
    <row r="7488" spans="18:23">
      <c r="R7488" s="127">
        <f t="shared" si="309"/>
        <v>0</v>
      </c>
      <c r="T7488" s="128">
        <f t="shared" si="308"/>
        <v>0</v>
      </c>
      <c r="U7488" s="129" t="str">
        <f>IFERROR(IF(#REF!="S",VLOOKUP('Raw Data'!A7488,References!#REF!,2,FALSE),(VLOOKUP($S7488,References!$B$3:$C$7,2,FALSE))),"")</f>
        <v/>
      </c>
      <c r="W7488" s="74" t="str">
        <f>IFERROR(VLOOKUP($O7488,'Customer List'!$A$1:$J$488,10,FALSE),"")</f>
        <v/>
      </c>
    </row>
    <row r="7489" spans="18:23">
      <c r="R7489" s="127">
        <f t="shared" si="309"/>
        <v>0</v>
      </c>
      <c r="T7489" s="128">
        <f t="shared" si="308"/>
        <v>0</v>
      </c>
      <c r="U7489" s="129" t="str">
        <f>IFERROR(IF(#REF!="S",VLOOKUP('Raw Data'!A7489,References!#REF!,2,FALSE),(VLOOKUP($S7489,References!$B$3:$C$7,2,FALSE))),"")</f>
        <v/>
      </c>
      <c r="W7489" s="74" t="str">
        <f>IFERROR(VLOOKUP($O7489,'Customer List'!$A$1:$J$488,10,FALSE),"")</f>
        <v/>
      </c>
    </row>
    <row r="7490" spans="18:23">
      <c r="R7490" s="127">
        <f t="shared" si="309"/>
        <v>0</v>
      </c>
      <c r="T7490" s="128">
        <f t="shared" si="308"/>
        <v>0</v>
      </c>
      <c r="U7490" s="129" t="str">
        <f>IFERROR(IF(#REF!="S",VLOOKUP('Raw Data'!A7490,References!#REF!,2,FALSE),(VLOOKUP($S7490,References!$B$3:$C$7,2,FALSE))),"")</f>
        <v/>
      </c>
      <c r="W7490" s="74" t="str">
        <f>IFERROR(VLOOKUP($O7490,'Customer List'!$A$1:$J$488,10,FALSE),"")</f>
        <v/>
      </c>
    </row>
    <row r="7491" spans="18:23">
      <c r="R7491" s="127">
        <f t="shared" si="309"/>
        <v>0</v>
      </c>
      <c r="T7491" s="128">
        <f t="shared" si="308"/>
        <v>0</v>
      </c>
      <c r="U7491" s="129" t="str">
        <f>IFERROR(IF(#REF!="S",VLOOKUP('Raw Data'!A7491,References!#REF!,2,FALSE),(VLOOKUP($S7491,References!$B$3:$C$7,2,FALSE))),"")</f>
        <v/>
      </c>
      <c r="W7491" s="74" t="str">
        <f>IFERROR(VLOOKUP($O7491,'Customer List'!$A$1:$J$488,10,FALSE),"")</f>
        <v/>
      </c>
    </row>
    <row r="7492" spans="18:23">
      <c r="R7492" s="127">
        <f t="shared" si="309"/>
        <v>0</v>
      </c>
      <c r="T7492" s="128">
        <f t="shared" si="308"/>
        <v>0</v>
      </c>
      <c r="U7492" s="129" t="str">
        <f>IFERROR(IF(#REF!="S",VLOOKUP('Raw Data'!A7492,References!#REF!,2,FALSE),(VLOOKUP($S7492,References!$B$3:$C$7,2,FALSE))),"")</f>
        <v/>
      </c>
      <c r="W7492" s="74" t="str">
        <f>IFERROR(VLOOKUP($O7492,'Customer List'!$A$1:$J$488,10,FALSE),"")</f>
        <v/>
      </c>
    </row>
    <row r="7493" spans="18:23">
      <c r="R7493" s="127">
        <f t="shared" si="309"/>
        <v>0</v>
      </c>
      <c r="T7493" s="128">
        <f t="shared" si="308"/>
        <v>0</v>
      </c>
      <c r="U7493" s="129" t="str">
        <f>IFERROR(IF(#REF!="S",VLOOKUP('Raw Data'!A7493,References!#REF!,2,FALSE),(VLOOKUP($S7493,References!$B$3:$C$7,2,FALSE))),"")</f>
        <v/>
      </c>
      <c r="W7493" s="74" t="str">
        <f>IFERROR(VLOOKUP($O7493,'Customer List'!$A$1:$J$488,10,FALSE),"")</f>
        <v/>
      </c>
    </row>
    <row r="7494" spans="18:23">
      <c r="R7494" s="127">
        <f t="shared" si="309"/>
        <v>0</v>
      </c>
      <c r="T7494" s="128">
        <f t="shared" si="308"/>
        <v>0</v>
      </c>
      <c r="U7494" s="129" t="str">
        <f>IFERROR(IF(#REF!="S",VLOOKUP('Raw Data'!A7494,References!#REF!,2,FALSE),(VLOOKUP($S7494,References!$B$3:$C$7,2,FALSE))),"")</f>
        <v/>
      </c>
      <c r="W7494" s="74" t="str">
        <f>IFERROR(VLOOKUP($O7494,'Customer List'!$A$1:$J$488,10,FALSE),"")</f>
        <v/>
      </c>
    </row>
    <row r="7495" spans="18:23">
      <c r="R7495" s="127">
        <f t="shared" si="309"/>
        <v>0</v>
      </c>
      <c r="T7495" s="128">
        <f t="shared" si="308"/>
        <v>0</v>
      </c>
      <c r="U7495" s="129" t="str">
        <f>IFERROR(IF(#REF!="S",VLOOKUP('Raw Data'!A7495,References!#REF!,2,FALSE),(VLOOKUP($S7495,References!$B$3:$C$7,2,FALSE))),"")</f>
        <v/>
      </c>
      <c r="W7495" s="74" t="str">
        <f>IFERROR(VLOOKUP($O7495,'Customer List'!$A$1:$J$488,10,FALSE),"")</f>
        <v/>
      </c>
    </row>
    <row r="7496" spans="18:23">
      <c r="R7496" s="127">
        <f t="shared" si="309"/>
        <v>0</v>
      </c>
      <c r="T7496" s="128">
        <f t="shared" si="308"/>
        <v>0</v>
      </c>
      <c r="U7496" s="129" t="str">
        <f>IFERROR(IF(#REF!="S",VLOOKUP('Raw Data'!A7496,References!#REF!,2,FALSE),(VLOOKUP($S7496,References!$B$3:$C$7,2,FALSE))),"")</f>
        <v/>
      </c>
      <c r="W7496" s="74" t="str">
        <f>IFERROR(VLOOKUP($O7496,'Customer List'!$A$1:$J$488,10,FALSE),"")</f>
        <v/>
      </c>
    </row>
    <row r="7497" spans="18:23">
      <c r="R7497" s="127">
        <f t="shared" si="309"/>
        <v>0</v>
      </c>
      <c r="T7497" s="128">
        <f t="shared" si="308"/>
        <v>0</v>
      </c>
      <c r="U7497" s="129" t="str">
        <f>IFERROR(IF(#REF!="S",VLOOKUP('Raw Data'!A7497,References!#REF!,2,FALSE),(VLOOKUP($S7497,References!$B$3:$C$7,2,FALSE))),"")</f>
        <v/>
      </c>
      <c r="W7497" s="74" t="str">
        <f>IFERROR(VLOOKUP($O7497,'Customer List'!$A$1:$J$488,10,FALSE),"")</f>
        <v/>
      </c>
    </row>
    <row r="7498" spans="18:23">
      <c r="R7498" s="127">
        <f t="shared" si="309"/>
        <v>0</v>
      </c>
      <c r="T7498" s="128">
        <f t="shared" ref="T7498:T7561" si="310">IF(S7498="50 - Cleaning Fee",1,HOUR($R7498)+MINUTE(R7498)/60)</f>
        <v>0</v>
      </c>
      <c r="U7498" s="129" t="str">
        <f>IFERROR(IF(#REF!="S",VLOOKUP('Raw Data'!A7498,References!#REF!,2,FALSE),(VLOOKUP($S7498,References!$B$3:$C$7,2,FALSE))),"")</f>
        <v/>
      </c>
      <c r="W7498" s="74" t="str">
        <f>IFERROR(VLOOKUP($O7498,'Customer List'!$A$1:$J$488,10,FALSE),"")</f>
        <v/>
      </c>
    </row>
    <row r="7499" spans="18:23">
      <c r="R7499" s="127">
        <f t="shared" si="309"/>
        <v>0</v>
      </c>
      <c r="T7499" s="128">
        <f t="shared" si="310"/>
        <v>0</v>
      </c>
      <c r="U7499" s="129" t="str">
        <f>IFERROR(IF(#REF!="S",VLOOKUP('Raw Data'!A7499,References!#REF!,2,FALSE),(VLOOKUP($S7499,References!$B$3:$C$7,2,FALSE))),"")</f>
        <v/>
      </c>
      <c r="W7499" s="74" t="str">
        <f>IFERROR(VLOOKUP($O7499,'Customer List'!$A$1:$J$488,10,FALSE),"")</f>
        <v/>
      </c>
    </row>
    <row r="7500" spans="18:23">
      <c r="R7500" s="127">
        <f t="shared" si="309"/>
        <v>0</v>
      </c>
      <c r="T7500" s="128">
        <f t="shared" si="310"/>
        <v>0</v>
      </c>
      <c r="U7500" s="129" t="str">
        <f>IFERROR(IF(#REF!="S",VLOOKUP('Raw Data'!A7500,References!#REF!,2,FALSE),(VLOOKUP($S7500,References!$B$3:$C$7,2,FALSE))),"")</f>
        <v/>
      </c>
      <c r="W7500" s="74" t="str">
        <f>IFERROR(VLOOKUP($O7500,'Customer List'!$A$1:$J$488,10,FALSE),"")</f>
        <v/>
      </c>
    </row>
    <row r="7501" spans="18:23">
      <c r="R7501" s="127">
        <f t="shared" si="309"/>
        <v>0</v>
      </c>
      <c r="T7501" s="128">
        <f t="shared" si="310"/>
        <v>0</v>
      </c>
      <c r="U7501" s="129" t="str">
        <f>IFERROR(IF(#REF!="S",VLOOKUP('Raw Data'!A7501,References!#REF!,2,FALSE),(VLOOKUP($S7501,References!$B$3:$C$7,2,FALSE))),"")</f>
        <v/>
      </c>
      <c r="W7501" s="74" t="str">
        <f>IFERROR(VLOOKUP($O7501,'Customer List'!$A$1:$J$488,10,FALSE),"")</f>
        <v/>
      </c>
    </row>
    <row r="7502" spans="18:23">
      <c r="R7502" s="127">
        <f t="shared" si="309"/>
        <v>0</v>
      </c>
      <c r="T7502" s="128">
        <f t="shared" si="310"/>
        <v>0</v>
      </c>
      <c r="U7502" s="129" t="str">
        <f>IFERROR(IF(#REF!="S",VLOOKUP('Raw Data'!A7502,References!#REF!,2,FALSE),(VLOOKUP($S7502,References!$B$3:$C$7,2,FALSE))),"")</f>
        <v/>
      </c>
      <c r="W7502" s="74" t="str">
        <f>IFERROR(VLOOKUP($O7502,'Customer List'!$A$1:$J$488,10,FALSE),"")</f>
        <v/>
      </c>
    </row>
    <row r="7503" spans="18:23">
      <c r="R7503" s="127">
        <f t="shared" si="309"/>
        <v>0</v>
      </c>
      <c r="T7503" s="128">
        <f t="shared" si="310"/>
        <v>0</v>
      </c>
      <c r="U7503" s="129" t="str">
        <f>IFERROR(IF(#REF!="S",VLOOKUP('Raw Data'!A7503,References!#REF!,2,FALSE),(VLOOKUP($S7503,References!$B$3:$C$7,2,FALSE))),"")</f>
        <v/>
      </c>
      <c r="W7503" s="74" t="str">
        <f>IFERROR(VLOOKUP($O7503,'Customer List'!$A$1:$J$488,10,FALSE),"")</f>
        <v/>
      </c>
    </row>
    <row r="7504" spans="18:23">
      <c r="R7504" s="127">
        <f t="shared" si="309"/>
        <v>0</v>
      </c>
      <c r="T7504" s="128">
        <f t="shared" si="310"/>
        <v>0</v>
      </c>
      <c r="U7504" s="129" t="str">
        <f>IFERROR(IF(#REF!="S",VLOOKUP('Raw Data'!A7504,References!#REF!,2,FALSE),(VLOOKUP($S7504,References!$B$3:$C$7,2,FALSE))),"")</f>
        <v/>
      </c>
      <c r="W7504" s="74" t="str">
        <f>IFERROR(VLOOKUP($O7504,'Customer List'!$A$1:$J$488,10,FALSE),"")</f>
        <v/>
      </c>
    </row>
    <row r="7505" spans="18:23">
      <c r="R7505" s="127">
        <f t="shared" si="309"/>
        <v>0</v>
      </c>
      <c r="T7505" s="128">
        <f t="shared" si="310"/>
        <v>0</v>
      </c>
      <c r="U7505" s="129" t="str">
        <f>IFERROR(IF(#REF!="S",VLOOKUP('Raw Data'!A7505,References!#REF!,2,FALSE),(VLOOKUP($S7505,References!$B$3:$C$7,2,FALSE))),"")</f>
        <v/>
      </c>
      <c r="W7505" s="74" t="str">
        <f>IFERROR(VLOOKUP($O7505,'Customer List'!$A$1:$J$488,10,FALSE),"")</f>
        <v/>
      </c>
    </row>
    <row r="7506" spans="18:23">
      <c r="R7506" s="127">
        <f t="shared" si="309"/>
        <v>0</v>
      </c>
      <c r="T7506" s="128">
        <f t="shared" si="310"/>
        <v>0</v>
      </c>
      <c r="U7506" s="129" t="str">
        <f>IFERROR(IF(#REF!="S",VLOOKUP('Raw Data'!A7506,References!#REF!,2,FALSE),(VLOOKUP($S7506,References!$B$3:$C$7,2,FALSE))),"")</f>
        <v/>
      </c>
      <c r="W7506" s="74" t="str">
        <f>IFERROR(VLOOKUP($O7506,'Customer List'!$A$1:$J$488,10,FALSE),"")</f>
        <v/>
      </c>
    </row>
    <row r="7507" spans="18:23">
      <c r="R7507" s="127">
        <f t="shared" si="309"/>
        <v>0</v>
      </c>
      <c r="T7507" s="128">
        <f t="shared" si="310"/>
        <v>0</v>
      </c>
      <c r="U7507" s="129" t="str">
        <f>IFERROR(IF(#REF!="S",VLOOKUP('Raw Data'!A7507,References!#REF!,2,FALSE),(VLOOKUP($S7507,References!$B$3:$C$7,2,FALSE))),"")</f>
        <v/>
      </c>
      <c r="W7507" s="74" t="str">
        <f>IFERROR(VLOOKUP($O7507,'Customer List'!$A$1:$J$488,10,FALSE),"")</f>
        <v/>
      </c>
    </row>
    <row r="7508" spans="18:23">
      <c r="R7508" s="127">
        <f t="shared" si="309"/>
        <v>0</v>
      </c>
      <c r="T7508" s="128">
        <f t="shared" si="310"/>
        <v>0</v>
      </c>
      <c r="U7508" s="129" t="str">
        <f>IFERROR(IF(#REF!="S",VLOOKUP('Raw Data'!A7508,References!#REF!,2,FALSE),(VLOOKUP($S7508,References!$B$3:$C$7,2,FALSE))),"")</f>
        <v/>
      </c>
      <c r="W7508" s="74" t="str">
        <f>IFERROR(VLOOKUP($O7508,'Customer List'!$A$1:$J$488,10,FALSE),"")</f>
        <v/>
      </c>
    </row>
    <row r="7509" spans="18:23">
      <c r="R7509" s="127">
        <f t="shared" si="309"/>
        <v>0</v>
      </c>
      <c r="T7509" s="128">
        <f t="shared" si="310"/>
        <v>0</v>
      </c>
      <c r="U7509" s="129" t="str">
        <f>IFERROR(IF(#REF!="S",VLOOKUP('Raw Data'!A7509,References!#REF!,2,FALSE),(VLOOKUP($S7509,References!$B$3:$C$7,2,FALSE))),"")</f>
        <v/>
      </c>
      <c r="W7509" s="74" t="str">
        <f>IFERROR(VLOOKUP($O7509,'Customer List'!$A$1:$J$488,10,FALSE),"")</f>
        <v/>
      </c>
    </row>
    <row r="7510" spans="18:23">
      <c r="R7510" s="127">
        <f t="shared" si="309"/>
        <v>0</v>
      </c>
      <c r="T7510" s="128">
        <f t="shared" si="310"/>
        <v>0</v>
      </c>
      <c r="U7510" s="129" t="str">
        <f>IFERROR(IF(#REF!="S",VLOOKUP('Raw Data'!A7510,References!#REF!,2,FALSE),(VLOOKUP($S7510,References!$B$3:$C$7,2,FALSE))),"")</f>
        <v/>
      </c>
      <c r="W7510" s="74" t="str">
        <f>IFERROR(VLOOKUP($O7510,'Customer List'!$A$1:$J$488,10,FALSE),"")</f>
        <v/>
      </c>
    </row>
    <row r="7511" spans="18:23">
      <c r="R7511" s="127">
        <f t="shared" si="309"/>
        <v>0</v>
      </c>
      <c r="T7511" s="128">
        <f t="shared" si="310"/>
        <v>0</v>
      </c>
      <c r="U7511" s="129" t="str">
        <f>IFERROR(IF(#REF!="S",VLOOKUP('Raw Data'!A7511,References!#REF!,2,FALSE),(VLOOKUP($S7511,References!$B$3:$C$7,2,FALSE))),"")</f>
        <v/>
      </c>
      <c r="W7511" s="74" t="str">
        <f>IFERROR(VLOOKUP($O7511,'Customer List'!$A$1:$J$488,10,FALSE),"")</f>
        <v/>
      </c>
    </row>
    <row r="7512" spans="18:23">
      <c r="R7512" s="127">
        <f t="shared" si="309"/>
        <v>0</v>
      </c>
      <c r="T7512" s="128">
        <f t="shared" si="310"/>
        <v>0</v>
      </c>
      <c r="U7512" s="129" t="str">
        <f>IFERROR(IF(#REF!="S",VLOOKUP('Raw Data'!A7512,References!#REF!,2,FALSE),(VLOOKUP($S7512,References!$B$3:$C$7,2,FALSE))),"")</f>
        <v/>
      </c>
      <c r="W7512" s="74" t="str">
        <f>IFERROR(VLOOKUP($O7512,'Customer List'!$A$1:$J$488,10,FALSE),"")</f>
        <v/>
      </c>
    </row>
    <row r="7513" spans="18:23">
      <c r="R7513" s="127">
        <f t="shared" si="309"/>
        <v>0</v>
      </c>
      <c r="T7513" s="128">
        <f t="shared" si="310"/>
        <v>0</v>
      </c>
      <c r="U7513" s="129" t="str">
        <f>IFERROR(IF(#REF!="S",VLOOKUP('Raw Data'!A7513,References!#REF!,2,FALSE),(VLOOKUP($S7513,References!$B$3:$C$7,2,FALSE))),"")</f>
        <v/>
      </c>
      <c r="W7513" s="74" t="str">
        <f>IFERROR(VLOOKUP($O7513,'Customer List'!$A$1:$J$488,10,FALSE),"")</f>
        <v/>
      </c>
    </row>
    <row r="7514" spans="18:23">
      <c r="R7514" s="127">
        <f t="shared" si="309"/>
        <v>0</v>
      </c>
      <c r="T7514" s="128">
        <f t="shared" si="310"/>
        <v>0</v>
      </c>
      <c r="U7514" s="129" t="str">
        <f>IFERROR(IF(#REF!="S",VLOOKUP('Raw Data'!A7514,References!#REF!,2,FALSE),(VLOOKUP($S7514,References!$B$3:$C$7,2,FALSE))),"")</f>
        <v/>
      </c>
      <c r="W7514" s="74" t="str">
        <f>IFERROR(VLOOKUP($O7514,'Customer List'!$A$1:$J$488,10,FALSE),"")</f>
        <v/>
      </c>
    </row>
    <row r="7515" spans="18:23">
      <c r="R7515" s="127">
        <f t="shared" si="309"/>
        <v>0</v>
      </c>
      <c r="T7515" s="128">
        <f t="shared" si="310"/>
        <v>0</v>
      </c>
      <c r="U7515" s="129" t="str">
        <f>IFERROR(IF(#REF!="S",VLOOKUP('Raw Data'!A7515,References!#REF!,2,FALSE),(VLOOKUP($S7515,References!$B$3:$C$7,2,FALSE))),"")</f>
        <v/>
      </c>
      <c r="W7515" s="74" t="str">
        <f>IFERROR(VLOOKUP($O7515,'Customer List'!$A$1:$J$488,10,FALSE),"")</f>
        <v/>
      </c>
    </row>
    <row r="7516" spans="18:23">
      <c r="R7516" s="127">
        <f t="shared" si="309"/>
        <v>0</v>
      </c>
      <c r="T7516" s="128">
        <f t="shared" si="310"/>
        <v>0</v>
      </c>
      <c r="U7516" s="129" t="str">
        <f>IFERROR(IF(#REF!="S",VLOOKUP('Raw Data'!A7516,References!#REF!,2,FALSE),(VLOOKUP($S7516,References!$B$3:$C$7,2,FALSE))),"")</f>
        <v/>
      </c>
      <c r="W7516" s="74" t="str">
        <f>IFERROR(VLOOKUP($O7516,'Customer List'!$A$1:$J$488,10,FALSE),"")</f>
        <v/>
      </c>
    </row>
    <row r="7517" spans="18:23">
      <c r="R7517" s="127">
        <f t="shared" si="309"/>
        <v>0</v>
      </c>
      <c r="T7517" s="128">
        <f t="shared" si="310"/>
        <v>0</v>
      </c>
      <c r="U7517" s="129" t="str">
        <f>IFERROR(IF(#REF!="S",VLOOKUP('Raw Data'!A7517,References!#REF!,2,FALSE),(VLOOKUP($S7517,References!$B$3:$C$7,2,FALSE))),"")</f>
        <v/>
      </c>
      <c r="W7517" s="74" t="str">
        <f>IFERROR(VLOOKUP($O7517,'Customer List'!$A$1:$J$488,10,FALSE),"")</f>
        <v/>
      </c>
    </row>
    <row r="7518" spans="18:23">
      <c r="R7518" s="127">
        <f t="shared" si="309"/>
        <v>0</v>
      </c>
      <c r="T7518" s="128">
        <f t="shared" si="310"/>
        <v>0</v>
      </c>
      <c r="U7518" s="129" t="str">
        <f>IFERROR(IF(#REF!="S",VLOOKUP('Raw Data'!A7518,References!#REF!,2,FALSE),(VLOOKUP($S7518,References!$B$3:$C$7,2,FALSE))),"")</f>
        <v/>
      </c>
      <c r="W7518" s="74" t="str">
        <f>IFERROR(VLOOKUP($O7518,'Customer List'!$A$1:$J$488,10,FALSE),"")</f>
        <v/>
      </c>
    </row>
    <row r="7519" spans="18:23">
      <c r="R7519" s="127">
        <f t="shared" si="309"/>
        <v>0</v>
      </c>
      <c r="T7519" s="128">
        <f t="shared" si="310"/>
        <v>0</v>
      </c>
      <c r="U7519" s="129" t="str">
        <f>IFERROR(IF(#REF!="S",VLOOKUP('Raw Data'!A7519,References!#REF!,2,FALSE),(VLOOKUP($S7519,References!$B$3:$C$7,2,FALSE))),"")</f>
        <v/>
      </c>
      <c r="W7519" s="74" t="str">
        <f>IFERROR(VLOOKUP($O7519,'Customer List'!$A$1:$J$488,10,FALSE),"")</f>
        <v/>
      </c>
    </row>
    <row r="7520" spans="18:23">
      <c r="R7520" s="127">
        <f t="shared" si="309"/>
        <v>0</v>
      </c>
      <c r="T7520" s="128">
        <f t="shared" si="310"/>
        <v>0</v>
      </c>
      <c r="U7520" s="129" t="str">
        <f>IFERROR(IF(#REF!="S",VLOOKUP('Raw Data'!A7520,References!#REF!,2,FALSE),(VLOOKUP($S7520,References!$B$3:$C$7,2,FALSE))),"")</f>
        <v/>
      </c>
      <c r="W7520" s="74" t="str">
        <f>IFERROR(VLOOKUP($O7520,'Customer List'!$A$1:$J$488,10,FALSE),"")</f>
        <v/>
      </c>
    </row>
    <row r="7521" spans="18:23">
      <c r="R7521" s="127">
        <f t="shared" si="309"/>
        <v>0</v>
      </c>
      <c r="T7521" s="128">
        <f t="shared" si="310"/>
        <v>0</v>
      </c>
      <c r="U7521" s="129" t="str">
        <f>IFERROR(IF(#REF!="S",VLOOKUP('Raw Data'!A7521,References!#REF!,2,FALSE),(VLOOKUP($S7521,References!$B$3:$C$7,2,FALSE))),"")</f>
        <v/>
      </c>
      <c r="W7521" s="74" t="str">
        <f>IFERROR(VLOOKUP($O7521,'Customer List'!$A$1:$J$488,10,FALSE),"")</f>
        <v/>
      </c>
    </row>
    <row r="7522" spans="18:23">
      <c r="R7522" s="127">
        <f t="shared" ref="R7522:R7585" si="311">L7522-K7522</f>
        <v>0</v>
      </c>
      <c r="T7522" s="128">
        <f t="shared" si="310"/>
        <v>0</v>
      </c>
      <c r="U7522" s="129" t="str">
        <f>IFERROR(IF(#REF!="S",VLOOKUP('Raw Data'!A7522,References!#REF!,2,FALSE),(VLOOKUP($S7522,References!$B$3:$C$7,2,FALSE))),"")</f>
        <v/>
      </c>
      <c r="W7522" s="74" t="str">
        <f>IFERROR(VLOOKUP($O7522,'Customer List'!$A$1:$J$488,10,FALSE),"")</f>
        <v/>
      </c>
    </row>
    <row r="7523" spans="18:23">
      <c r="R7523" s="127">
        <f t="shared" si="311"/>
        <v>0</v>
      </c>
      <c r="T7523" s="128">
        <f t="shared" si="310"/>
        <v>0</v>
      </c>
      <c r="U7523" s="129" t="str">
        <f>IFERROR(IF(#REF!="S",VLOOKUP('Raw Data'!A7523,References!#REF!,2,FALSE),(VLOOKUP($S7523,References!$B$3:$C$7,2,FALSE))),"")</f>
        <v/>
      </c>
      <c r="W7523" s="74" t="str">
        <f>IFERROR(VLOOKUP($O7523,'Customer List'!$A$1:$J$488,10,FALSE),"")</f>
        <v/>
      </c>
    </row>
    <row r="7524" spans="18:23">
      <c r="R7524" s="127">
        <f t="shared" si="311"/>
        <v>0</v>
      </c>
      <c r="T7524" s="128">
        <f t="shared" si="310"/>
        <v>0</v>
      </c>
      <c r="U7524" s="129" t="str">
        <f>IFERROR(IF(#REF!="S",VLOOKUP('Raw Data'!A7524,References!#REF!,2,FALSE),(VLOOKUP($S7524,References!$B$3:$C$7,2,FALSE))),"")</f>
        <v/>
      </c>
      <c r="W7524" s="74" t="str">
        <f>IFERROR(VLOOKUP($O7524,'Customer List'!$A$1:$J$488,10,FALSE),"")</f>
        <v/>
      </c>
    </row>
    <row r="7525" spans="18:23">
      <c r="R7525" s="127">
        <f t="shared" si="311"/>
        <v>0</v>
      </c>
      <c r="T7525" s="128">
        <f t="shared" si="310"/>
        <v>0</v>
      </c>
      <c r="U7525" s="129" t="str">
        <f>IFERROR(IF(#REF!="S",VLOOKUP('Raw Data'!A7525,References!#REF!,2,FALSE),(VLOOKUP($S7525,References!$B$3:$C$7,2,FALSE))),"")</f>
        <v/>
      </c>
      <c r="W7525" s="74" t="str">
        <f>IFERROR(VLOOKUP($O7525,'Customer List'!$A$1:$J$488,10,FALSE),"")</f>
        <v/>
      </c>
    </row>
    <row r="7526" spans="18:23">
      <c r="R7526" s="127">
        <f t="shared" si="311"/>
        <v>0</v>
      </c>
      <c r="T7526" s="128">
        <f t="shared" si="310"/>
        <v>0</v>
      </c>
      <c r="U7526" s="129" t="str">
        <f>IFERROR(IF(#REF!="S",VLOOKUP('Raw Data'!A7526,References!#REF!,2,FALSE),(VLOOKUP($S7526,References!$B$3:$C$7,2,FALSE))),"")</f>
        <v/>
      </c>
      <c r="W7526" s="74" t="str">
        <f>IFERROR(VLOOKUP($O7526,'Customer List'!$A$1:$J$488,10,FALSE),"")</f>
        <v/>
      </c>
    </row>
    <row r="7527" spans="18:23">
      <c r="R7527" s="127">
        <f t="shared" si="311"/>
        <v>0</v>
      </c>
      <c r="T7527" s="128">
        <f t="shared" si="310"/>
        <v>0</v>
      </c>
      <c r="U7527" s="129" t="str">
        <f>IFERROR(IF(#REF!="S",VLOOKUP('Raw Data'!A7527,References!#REF!,2,FALSE),(VLOOKUP($S7527,References!$B$3:$C$7,2,FALSE))),"")</f>
        <v/>
      </c>
      <c r="W7527" s="74" t="str">
        <f>IFERROR(VLOOKUP($O7527,'Customer List'!$A$1:$J$488,10,FALSE),"")</f>
        <v/>
      </c>
    </row>
    <row r="7528" spans="18:23">
      <c r="R7528" s="127">
        <f t="shared" si="311"/>
        <v>0</v>
      </c>
      <c r="T7528" s="128">
        <f t="shared" si="310"/>
        <v>0</v>
      </c>
      <c r="U7528" s="129" t="str">
        <f>IFERROR(IF(#REF!="S",VLOOKUP('Raw Data'!A7528,References!#REF!,2,FALSE),(VLOOKUP($S7528,References!$B$3:$C$7,2,FALSE))),"")</f>
        <v/>
      </c>
      <c r="W7528" s="74" t="str">
        <f>IFERROR(VLOOKUP($O7528,'Customer List'!$A$1:$J$488,10,FALSE),"")</f>
        <v/>
      </c>
    </row>
    <row r="7529" spans="18:23">
      <c r="R7529" s="127">
        <f t="shared" si="311"/>
        <v>0</v>
      </c>
      <c r="T7529" s="128">
        <f t="shared" si="310"/>
        <v>0</v>
      </c>
      <c r="U7529" s="129" t="str">
        <f>IFERROR(IF(#REF!="S",VLOOKUP('Raw Data'!A7529,References!#REF!,2,FALSE),(VLOOKUP($S7529,References!$B$3:$C$7,2,FALSE))),"")</f>
        <v/>
      </c>
      <c r="W7529" s="74" t="str">
        <f>IFERROR(VLOOKUP($O7529,'Customer List'!$A$1:$J$488,10,FALSE),"")</f>
        <v/>
      </c>
    </row>
    <row r="7530" spans="18:23">
      <c r="R7530" s="127">
        <f t="shared" si="311"/>
        <v>0</v>
      </c>
      <c r="T7530" s="128">
        <f t="shared" si="310"/>
        <v>0</v>
      </c>
      <c r="U7530" s="129" t="str">
        <f>IFERROR(IF(#REF!="S",VLOOKUP('Raw Data'!A7530,References!#REF!,2,FALSE),(VLOOKUP($S7530,References!$B$3:$C$7,2,FALSE))),"")</f>
        <v/>
      </c>
      <c r="W7530" s="74" t="str">
        <f>IFERROR(VLOOKUP($O7530,'Customer List'!$A$1:$J$488,10,FALSE),"")</f>
        <v/>
      </c>
    </row>
    <row r="7531" spans="18:23">
      <c r="R7531" s="127">
        <f t="shared" si="311"/>
        <v>0</v>
      </c>
      <c r="T7531" s="128">
        <f t="shared" si="310"/>
        <v>0</v>
      </c>
      <c r="U7531" s="129" t="str">
        <f>IFERROR(IF(#REF!="S",VLOOKUP('Raw Data'!A7531,References!#REF!,2,FALSE),(VLOOKUP($S7531,References!$B$3:$C$7,2,FALSE))),"")</f>
        <v/>
      </c>
      <c r="W7531" s="74" t="str">
        <f>IFERROR(VLOOKUP($O7531,'Customer List'!$A$1:$J$488,10,FALSE),"")</f>
        <v/>
      </c>
    </row>
    <row r="7532" spans="18:23">
      <c r="R7532" s="127">
        <f t="shared" si="311"/>
        <v>0</v>
      </c>
      <c r="T7532" s="128">
        <f t="shared" si="310"/>
        <v>0</v>
      </c>
      <c r="U7532" s="129" t="str">
        <f>IFERROR(IF(#REF!="S",VLOOKUP('Raw Data'!A7532,References!#REF!,2,FALSE),(VLOOKUP($S7532,References!$B$3:$C$7,2,FALSE))),"")</f>
        <v/>
      </c>
      <c r="W7532" s="74" t="str">
        <f>IFERROR(VLOOKUP($O7532,'Customer List'!$A$1:$J$488,10,FALSE),"")</f>
        <v/>
      </c>
    </row>
    <row r="7533" spans="18:23">
      <c r="R7533" s="127">
        <f t="shared" si="311"/>
        <v>0</v>
      </c>
      <c r="T7533" s="128">
        <f t="shared" si="310"/>
        <v>0</v>
      </c>
      <c r="U7533" s="129" t="str">
        <f>IFERROR(IF(#REF!="S",VLOOKUP('Raw Data'!A7533,References!#REF!,2,FALSE),(VLOOKUP($S7533,References!$B$3:$C$7,2,FALSE))),"")</f>
        <v/>
      </c>
      <c r="W7533" s="74" t="str">
        <f>IFERROR(VLOOKUP($O7533,'Customer List'!$A$1:$J$488,10,FALSE),"")</f>
        <v/>
      </c>
    </row>
    <row r="7534" spans="18:23">
      <c r="R7534" s="127">
        <f t="shared" si="311"/>
        <v>0</v>
      </c>
      <c r="T7534" s="128">
        <f t="shared" si="310"/>
        <v>0</v>
      </c>
      <c r="U7534" s="129" t="str">
        <f>IFERROR(IF(#REF!="S",VLOOKUP('Raw Data'!A7534,References!#REF!,2,FALSE),(VLOOKUP($S7534,References!$B$3:$C$7,2,FALSE))),"")</f>
        <v/>
      </c>
      <c r="W7534" s="74" t="str">
        <f>IFERROR(VLOOKUP($O7534,'Customer List'!$A$1:$J$488,10,FALSE),"")</f>
        <v/>
      </c>
    </row>
    <row r="7535" spans="18:23">
      <c r="R7535" s="127">
        <f t="shared" si="311"/>
        <v>0</v>
      </c>
      <c r="T7535" s="128">
        <f t="shared" si="310"/>
        <v>0</v>
      </c>
      <c r="U7535" s="129" t="str">
        <f>IFERROR(IF(#REF!="S",VLOOKUP('Raw Data'!A7535,References!#REF!,2,FALSE),(VLOOKUP($S7535,References!$B$3:$C$7,2,FALSE))),"")</f>
        <v/>
      </c>
      <c r="W7535" s="74" t="str">
        <f>IFERROR(VLOOKUP($O7535,'Customer List'!$A$1:$J$488,10,FALSE),"")</f>
        <v/>
      </c>
    </row>
    <row r="7536" spans="18:23">
      <c r="R7536" s="127">
        <f t="shared" si="311"/>
        <v>0</v>
      </c>
      <c r="T7536" s="128">
        <f t="shared" si="310"/>
        <v>0</v>
      </c>
      <c r="U7536" s="129" t="str">
        <f>IFERROR(IF(#REF!="S",VLOOKUP('Raw Data'!A7536,References!#REF!,2,FALSE),(VLOOKUP($S7536,References!$B$3:$C$7,2,FALSE))),"")</f>
        <v/>
      </c>
      <c r="W7536" s="74" t="str">
        <f>IFERROR(VLOOKUP($O7536,'Customer List'!$A$1:$J$488,10,FALSE),"")</f>
        <v/>
      </c>
    </row>
    <row r="7537" spans="18:23">
      <c r="R7537" s="127">
        <f t="shared" si="311"/>
        <v>0</v>
      </c>
      <c r="T7537" s="128">
        <f t="shared" si="310"/>
        <v>0</v>
      </c>
      <c r="U7537" s="129" t="str">
        <f>IFERROR(IF(#REF!="S",VLOOKUP('Raw Data'!A7537,References!#REF!,2,FALSE),(VLOOKUP($S7537,References!$B$3:$C$7,2,FALSE))),"")</f>
        <v/>
      </c>
      <c r="W7537" s="74" t="str">
        <f>IFERROR(VLOOKUP($O7537,'Customer List'!$A$1:$J$488,10,FALSE),"")</f>
        <v/>
      </c>
    </row>
    <row r="7538" spans="18:23">
      <c r="R7538" s="127">
        <f t="shared" si="311"/>
        <v>0</v>
      </c>
      <c r="T7538" s="128">
        <f t="shared" si="310"/>
        <v>0</v>
      </c>
      <c r="U7538" s="129" t="str">
        <f>IFERROR(IF(#REF!="S",VLOOKUP('Raw Data'!A7538,References!#REF!,2,FALSE),(VLOOKUP($S7538,References!$B$3:$C$7,2,FALSE))),"")</f>
        <v/>
      </c>
      <c r="W7538" s="74" t="str">
        <f>IFERROR(VLOOKUP($O7538,'Customer List'!$A$1:$J$488,10,FALSE),"")</f>
        <v/>
      </c>
    </row>
    <row r="7539" spans="18:23">
      <c r="R7539" s="127">
        <f t="shared" si="311"/>
        <v>0</v>
      </c>
      <c r="T7539" s="128">
        <f t="shared" si="310"/>
        <v>0</v>
      </c>
      <c r="U7539" s="129" t="str">
        <f>IFERROR(IF(#REF!="S",VLOOKUP('Raw Data'!A7539,References!#REF!,2,FALSE),(VLOOKUP($S7539,References!$B$3:$C$7,2,FALSE))),"")</f>
        <v/>
      </c>
      <c r="W7539" s="74" t="str">
        <f>IFERROR(VLOOKUP($O7539,'Customer List'!$A$1:$J$488,10,FALSE),"")</f>
        <v/>
      </c>
    </row>
    <row r="7540" spans="18:23">
      <c r="R7540" s="127">
        <f t="shared" si="311"/>
        <v>0</v>
      </c>
      <c r="T7540" s="128">
        <f t="shared" si="310"/>
        <v>0</v>
      </c>
      <c r="U7540" s="129" t="str">
        <f>IFERROR(IF(#REF!="S",VLOOKUP('Raw Data'!A7540,References!#REF!,2,FALSE),(VLOOKUP($S7540,References!$B$3:$C$7,2,FALSE))),"")</f>
        <v/>
      </c>
      <c r="W7540" s="74" t="str">
        <f>IFERROR(VLOOKUP($O7540,'Customer List'!$A$1:$J$488,10,FALSE),"")</f>
        <v/>
      </c>
    </row>
    <row r="7541" spans="18:23">
      <c r="R7541" s="127">
        <f t="shared" si="311"/>
        <v>0</v>
      </c>
      <c r="T7541" s="128">
        <f t="shared" si="310"/>
        <v>0</v>
      </c>
      <c r="U7541" s="129" t="str">
        <f>IFERROR(IF(#REF!="S",VLOOKUP('Raw Data'!A7541,References!#REF!,2,FALSE),(VLOOKUP($S7541,References!$B$3:$C$7,2,FALSE))),"")</f>
        <v/>
      </c>
      <c r="W7541" s="74" t="str">
        <f>IFERROR(VLOOKUP($O7541,'Customer List'!$A$1:$J$488,10,FALSE),"")</f>
        <v/>
      </c>
    </row>
    <row r="7542" spans="18:23">
      <c r="R7542" s="127">
        <f t="shared" si="311"/>
        <v>0</v>
      </c>
      <c r="T7542" s="128">
        <f t="shared" si="310"/>
        <v>0</v>
      </c>
      <c r="U7542" s="129" t="str">
        <f>IFERROR(IF(#REF!="S",VLOOKUP('Raw Data'!A7542,References!#REF!,2,FALSE),(VLOOKUP($S7542,References!$B$3:$C$7,2,FALSE))),"")</f>
        <v/>
      </c>
      <c r="W7542" s="74" t="str">
        <f>IFERROR(VLOOKUP($O7542,'Customer List'!$A$1:$J$488,10,FALSE),"")</f>
        <v/>
      </c>
    </row>
    <row r="7543" spans="18:23">
      <c r="R7543" s="127">
        <f t="shared" si="311"/>
        <v>0</v>
      </c>
      <c r="T7543" s="128">
        <f t="shared" si="310"/>
        <v>0</v>
      </c>
      <c r="U7543" s="129" t="str">
        <f>IFERROR(IF(#REF!="S",VLOOKUP('Raw Data'!A7543,References!#REF!,2,FALSE),(VLOOKUP($S7543,References!$B$3:$C$7,2,FALSE))),"")</f>
        <v/>
      </c>
      <c r="W7543" s="74" t="str">
        <f>IFERROR(VLOOKUP($O7543,'Customer List'!$A$1:$J$488,10,FALSE),"")</f>
        <v/>
      </c>
    </row>
    <row r="7544" spans="18:23">
      <c r="R7544" s="127">
        <f t="shared" si="311"/>
        <v>0</v>
      </c>
      <c r="T7544" s="128">
        <f t="shared" si="310"/>
        <v>0</v>
      </c>
      <c r="U7544" s="129" t="str">
        <f>IFERROR(IF(#REF!="S",VLOOKUP('Raw Data'!A7544,References!#REF!,2,FALSE),(VLOOKUP($S7544,References!$B$3:$C$7,2,FALSE))),"")</f>
        <v/>
      </c>
      <c r="W7544" s="74" t="str">
        <f>IFERROR(VLOOKUP($O7544,'Customer List'!$A$1:$J$488,10,FALSE),"")</f>
        <v/>
      </c>
    </row>
    <row r="7545" spans="18:23">
      <c r="R7545" s="127">
        <f t="shared" si="311"/>
        <v>0</v>
      </c>
      <c r="T7545" s="128">
        <f t="shared" si="310"/>
        <v>0</v>
      </c>
      <c r="U7545" s="129" t="str">
        <f>IFERROR(IF(#REF!="S",VLOOKUP('Raw Data'!A7545,References!#REF!,2,FALSE),(VLOOKUP($S7545,References!$B$3:$C$7,2,FALSE))),"")</f>
        <v/>
      </c>
      <c r="W7545" s="74" t="str">
        <f>IFERROR(VLOOKUP($O7545,'Customer List'!$A$1:$J$488,10,FALSE),"")</f>
        <v/>
      </c>
    </row>
    <row r="7546" spans="18:23">
      <c r="R7546" s="127">
        <f t="shared" si="311"/>
        <v>0</v>
      </c>
      <c r="T7546" s="128">
        <f t="shared" si="310"/>
        <v>0</v>
      </c>
      <c r="U7546" s="129" t="str">
        <f>IFERROR(IF(#REF!="S",VLOOKUP('Raw Data'!A7546,References!#REF!,2,FALSE),(VLOOKUP($S7546,References!$B$3:$C$7,2,FALSE))),"")</f>
        <v/>
      </c>
      <c r="W7546" s="74" t="str">
        <f>IFERROR(VLOOKUP($O7546,'Customer List'!$A$1:$J$488,10,FALSE),"")</f>
        <v/>
      </c>
    </row>
    <row r="7547" spans="18:23">
      <c r="R7547" s="127">
        <f t="shared" si="311"/>
        <v>0</v>
      </c>
      <c r="T7547" s="128">
        <f t="shared" si="310"/>
        <v>0</v>
      </c>
      <c r="U7547" s="129" t="str">
        <f>IFERROR(IF(#REF!="S",VLOOKUP('Raw Data'!A7547,References!#REF!,2,FALSE),(VLOOKUP($S7547,References!$B$3:$C$7,2,FALSE))),"")</f>
        <v/>
      </c>
      <c r="W7547" s="74" t="str">
        <f>IFERROR(VLOOKUP($O7547,'Customer List'!$A$1:$J$488,10,FALSE),"")</f>
        <v/>
      </c>
    </row>
    <row r="7548" spans="18:23">
      <c r="R7548" s="127">
        <f t="shared" si="311"/>
        <v>0</v>
      </c>
      <c r="T7548" s="128">
        <f t="shared" si="310"/>
        <v>0</v>
      </c>
      <c r="U7548" s="129" t="str">
        <f>IFERROR(IF(#REF!="S",VLOOKUP('Raw Data'!A7548,References!#REF!,2,FALSE),(VLOOKUP($S7548,References!$B$3:$C$7,2,FALSE))),"")</f>
        <v/>
      </c>
      <c r="W7548" s="74" t="str">
        <f>IFERROR(VLOOKUP($O7548,'Customer List'!$A$1:$J$488,10,FALSE),"")</f>
        <v/>
      </c>
    </row>
    <row r="7549" spans="18:23">
      <c r="R7549" s="127">
        <f t="shared" si="311"/>
        <v>0</v>
      </c>
      <c r="T7549" s="128">
        <f t="shared" si="310"/>
        <v>0</v>
      </c>
      <c r="U7549" s="129" t="str">
        <f>IFERROR(IF(#REF!="S",VLOOKUP('Raw Data'!A7549,References!#REF!,2,FALSE),(VLOOKUP($S7549,References!$B$3:$C$7,2,FALSE))),"")</f>
        <v/>
      </c>
      <c r="W7549" s="74" t="str">
        <f>IFERROR(VLOOKUP($O7549,'Customer List'!$A$1:$J$488,10,FALSE),"")</f>
        <v/>
      </c>
    </row>
    <row r="7550" spans="18:23">
      <c r="R7550" s="127">
        <f t="shared" si="311"/>
        <v>0</v>
      </c>
      <c r="T7550" s="128">
        <f t="shared" si="310"/>
        <v>0</v>
      </c>
      <c r="U7550" s="129" t="str">
        <f>IFERROR(IF(#REF!="S",VLOOKUP('Raw Data'!A7550,References!#REF!,2,FALSE),(VLOOKUP($S7550,References!$B$3:$C$7,2,FALSE))),"")</f>
        <v/>
      </c>
      <c r="W7550" s="74" t="str">
        <f>IFERROR(VLOOKUP($O7550,'Customer List'!$A$1:$J$488,10,FALSE),"")</f>
        <v/>
      </c>
    </row>
    <row r="7551" spans="18:23">
      <c r="R7551" s="127">
        <f t="shared" si="311"/>
        <v>0</v>
      </c>
      <c r="T7551" s="128">
        <f t="shared" si="310"/>
        <v>0</v>
      </c>
      <c r="U7551" s="129" t="str">
        <f>IFERROR(IF(#REF!="S",VLOOKUP('Raw Data'!A7551,References!#REF!,2,FALSE),(VLOOKUP($S7551,References!$B$3:$C$7,2,FALSE))),"")</f>
        <v/>
      </c>
      <c r="W7551" s="74" t="str">
        <f>IFERROR(VLOOKUP($O7551,'Customer List'!$A$1:$J$488,10,FALSE),"")</f>
        <v/>
      </c>
    </row>
    <row r="7552" spans="18:23">
      <c r="R7552" s="127">
        <f t="shared" si="311"/>
        <v>0</v>
      </c>
      <c r="T7552" s="128">
        <f t="shared" si="310"/>
        <v>0</v>
      </c>
      <c r="U7552" s="129" t="str">
        <f>IFERROR(IF(#REF!="S",VLOOKUP('Raw Data'!A7552,References!#REF!,2,FALSE),(VLOOKUP($S7552,References!$B$3:$C$7,2,FALSE))),"")</f>
        <v/>
      </c>
      <c r="W7552" s="74" t="str">
        <f>IFERROR(VLOOKUP($O7552,'Customer List'!$A$1:$J$488,10,FALSE),"")</f>
        <v/>
      </c>
    </row>
    <row r="7553" spans="18:23">
      <c r="R7553" s="127">
        <f t="shared" si="311"/>
        <v>0</v>
      </c>
      <c r="T7553" s="128">
        <f t="shared" si="310"/>
        <v>0</v>
      </c>
      <c r="U7553" s="129" t="str">
        <f>IFERROR(IF(#REF!="S",VLOOKUP('Raw Data'!A7553,References!#REF!,2,FALSE),(VLOOKUP($S7553,References!$B$3:$C$7,2,FALSE))),"")</f>
        <v/>
      </c>
      <c r="W7553" s="74" t="str">
        <f>IFERROR(VLOOKUP($O7553,'Customer List'!$A$1:$J$488,10,FALSE),"")</f>
        <v/>
      </c>
    </row>
    <row r="7554" spans="18:23">
      <c r="R7554" s="127">
        <f t="shared" si="311"/>
        <v>0</v>
      </c>
      <c r="T7554" s="128">
        <f t="shared" si="310"/>
        <v>0</v>
      </c>
      <c r="U7554" s="129" t="str">
        <f>IFERROR(IF(#REF!="S",VLOOKUP('Raw Data'!A7554,References!#REF!,2,FALSE),(VLOOKUP($S7554,References!$B$3:$C$7,2,FALSE))),"")</f>
        <v/>
      </c>
      <c r="W7554" s="74" t="str">
        <f>IFERROR(VLOOKUP($O7554,'Customer List'!$A$1:$J$488,10,FALSE),"")</f>
        <v/>
      </c>
    </row>
    <row r="7555" spans="18:23">
      <c r="R7555" s="127">
        <f t="shared" si="311"/>
        <v>0</v>
      </c>
      <c r="T7555" s="128">
        <f t="shared" si="310"/>
        <v>0</v>
      </c>
      <c r="U7555" s="129" t="str">
        <f>IFERROR(IF(#REF!="S",VLOOKUP('Raw Data'!A7555,References!#REF!,2,FALSE),(VLOOKUP($S7555,References!$B$3:$C$7,2,FALSE))),"")</f>
        <v/>
      </c>
      <c r="W7555" s="74" t="str">
        <f>IFERROR(VLOOKUP($O7555,'Customer List'!$A$1:$J$488,10,FALSE),"")</f>
        <v/>
      </c>
    </row>
    <row r="7556" spans="18:23">
      <c r="R7556" s="127">
        <f t="shared" si="311"/>
        <v>0</v>
      </c>
      <c r="T7556" s="128">
        <f t="shared" si="310"/>
        <v>0</v>
      </c>
      <c r="U7556" s="129" t="str">
        <f>IFERROR(IF(#REF!="S",VLOOKUP('Raw Data'!A7556,References!#REF!,2,FALSE),(VLOOKUP($S7556,References!$B$3:$C$7,2,FALSE))),"")</f>
        <v/>
      </c>
      <c r="W7556" s="74" t="str">
        <f>IFERROR(VLOOKUP($O7556,'Customer List'!$A$1:$J$488,10,FALSE),"")</f>
        <v/>
      </c>
    </row>
    <row r="7557" spans="18:23">
      <c r="R7557" s="127">
        <f t="shared" si="311"/>
        <v>0</v>
      </c>
      <c r="T7557" s="128">
        <f t="shared" si="310"/>
        <v>0</v>
      </c>
      <c r="U7557" s="129" t="str">
        <f>IFERROR(IF(#REF!="S",VLOOKUP('Raw Data'!A7557,References!#REF!,2,FALSE),(VLOOKUP($S7557,References!$B$3:$C$7,2,FALSE))),"")</f>
        <v/>
      </c>
      <c r="W7557" s="74" t="str">
        <f>IFERROR(VLOOKUP($O7557,'Customer List'!$A$1:$J$488,10,FALSE),"")</f>
        <v/>
      </c>
    </row>
    <row r="7558" spans="18:23">
      <c r="R7558" s="127">
        <f t="shared" si="311"/>
        <v>0</v>
      </c>
      <c r="T7558" s="128">
        <f t="shared" si="310"/>
        <v>0</v>
      </c>
      <c r="U7558" s="129" t="str">
        <f>IFERROR(IF(#REF!="S",VLOOKUP('Raw Data'!A7558,References!#REF!,2,FALSE),(VLOOKUP($S7558,References!$B$3:$C$7,2,FALSE))),"")</f>
        <v/>
      </c>
      <c r="W7558" s="74" t="str">
        <f>IFERROR(VLOOKUP($O7558,'Customer List'!$A$1:$J$488,10,FALSE),"")</f>
        <v/>
      </c>
    </row>
    <row r="7559" spans="18:23">
      <c r="R7559" s="127">
        <f t="shared" si="311"/>
        <v>0</v>
      </c>
      <c r="T7559" s="128">
        <f t="shared" si="310"/>
        <v>0</v>
      </c>
      <c r="U7559" s="129" t="str">
        <f>IFERROR(IF(#REF!="S",VLOOKUP('Raw Data'!A7559,References!#REF!,2,FALSE),(VLOOKUP($S7559,References!$B$3:$C$7,2,FALSE))),"")</f>
        <v/>
      </c>
      <c r="W7559" s="74" t="str">
        <f>IFERROR(VLOOKUP($O7559,'Customer List'!$A$1:$J$488,10,FALSE),"")</f>
        <v/>
      </c>
    </row>
    <row r="7560" spans="18:23">
      <c r="R7560" s="127">
        <f t="shared" si="311"/>
        <v>0</v>
      </c>
      <c r="T7560" s="128">
        <f t="shared" si="310"/>
        <v>0</v>
      </c>
      <c r="U7560" s="129" t="str">
        <f>IFERROR(IF(#REF!="S",VLOOKUP('Raw Data'!A7560,References!#REF!,2,FALSE),(VLOOKUP($S7560,References!$B$3:$C$7,2,FALSE))),"")</f>
        <v/>
      </c>
      <c r="W7560" s="74" t="str">
        <f>IFERROR(VLOOKUP($O7560,'Customer List'!$A$1:$J$488,10,FALSE),"")</f>
        <v/>
      </c>
    </row>
    <row r="7561" spans="18:23">
      <c r="R7561" s="127">
        <f t="shared" si="311"/>
        <v>0</v>
      </c>
      <c r="T7561" s="128">
        <f t="shared" si="310"/>
        <v>0</v>
      </c>
      <c r="U7561" s="129" t="str">
        <f>IFERROR(IF(#REF!="S",VLOOKUP('Raw Data'!A7561,References!#REF!,2,FALSE),(VLOOKUP($S7561,References!$B$3:$C$7,2,FALSE))),"")</f>
        <v/>
      </c>
      <c r="W7561" s="74" t="str">
        <f>IFERROR(VLOOKUP($O7561,'Customer List'!$A$1:$J$488,10,FALSE),"")</f>
        <v/>
      </c>
    </row>
    <row r="7562" spans="18:23">
      <c r="R7562" s="127">
        <f t="shared" si="311"/>
        <v>0</v>
      </c>
      <c r="T7562" s="128">
        <f t="shared" ref="T7562:T7625" si="312">IF(S7562="50 - Cleaning Fee",1,HOUR($R7562)+MINUTE(R7562)/60)</f>
        <v>0</v>
      </c>
      <c r="U7562" s="129" t="str">
        <f>IFERROR(IF(#REF!="S",VLOOKUP('Raw Data'!A7562,References!#REF!,2,FALSE),(VLOOKUP($S7562,References!$B$3:$C$7,2,FALSE))),"")</f>
        <v/>
      </c>
      <c r="W7562" s="74" t="str">
        <f>IFERROR(VLOOKUP($O7562,'Customer List'!$A$1:$J$488,10,FALSE),"")</f>
        <v/>
      </c>
    </row>
    <row r="7563" spans="18:23">
      <c r="R7563" s="127">
        <f t="shared" si="311"/>
        <v>0</v>
      </c>
      <c r="T7563" s="128">
        <f t="shared" si="312"/>
        <v>0</v>
      </c>
      <c r="U7563" s="129" t="str">
        <f>IFERROR(IF(#REF!="S",VLOOKUP('Raw Data'!A7563,References!#REF!,2,FALSE),(VLOOKUP($S7563,References!$B$3:$C$7,2,FALSE))),"")</f>
        <v/>
      </c>
      <c r="W7563" s="74" t="str">
        <f>IFERROR(VLOOKUP($O7563,'Customer List'!$A$1:$J$488,10,FALSE),"")</f>
        <v/>
      </c>
    </row>
    <row r="7564" spans="18:23">
      <c r="R7564" s="127">
        <f t="shared" si="311"/>
        <v>0</v>
      </c>
      <c r="T7564" s="128">
        <f t="shared" si="312"/>
        <v>0</v>
      </c>
      <c r="U7564" s="129" t="str">
        <f>IFERROR(IF(#REF!="S",VLOOKUP('Raw Data'!A7564,References!#REF!,2,FALSE),(VLOOKUP($S7564,References!$B$3:$C$7,2,FALSE))),"")</f>
        <v/>
      </c>
      <c r="W7564" s="74" t="str">
        <f>IFERROR(VLOOKUP($O7564,'Customer List'!$A$1:$J$488,10,FALSE),"")</f>
        <v/>
      </c>
    </row>
    <row r="7565" spans="18:23">
      <c r="R7565" s="127">
        <f t="shared" si="311"/>
        <v>0</v>
      </c>
      <c r="T7565" s="128">
        <f t="shared" si="312"/>
        <v>0</v>
      </c>
      <c r="U7565" s="129" t="str">
        <f>IFERROR(IF(#REF!="S",VLOOKUP('Raw Data'!A7565,References!#REF!,2,FALSE),(VLOOKUP($S7565,References!$B$3:$C$7,2,FALSE))),"")</f>
        <v/>
      </c>
      <c r="W7565" s="74" t="str">
        <f>IFERROR(VLOOKUP($O7565,'Customer List'!$A$1:$J$488,10,FALSE),"")</f>
        <v/>
      </c>
    </row>
    <row r="7566" spans="18:23">
      <c r="R7566" s="127">
        <f t="shared" si="311"/>
        <v>0</v>
      </c>
      <c r="T7566" s="128">
        <f t="shared" si="312"/>
        <v>0</v>
      </c>
      <c r="U7566" s="129" t="str">
        <f>IFERROR(IF(#REF!="S",VLOOKUP('Raw Data'!A7566,References!#REF!,2,FALSE),(VLOOKUP($S7566,References!$B$3:$C$7,2,FALSE))),"")</f>
        <v/>
      </c>
      <c r="W7566" s="74" t="str">
        <f>IFERROR(VLOOKUP($O7566,'Customer List'!$A$1:$J$488,10,FALSE),"")</f>
        <v/>
      </c>
    </row>
    <row r="7567" spans="18:23">
      <c r="R7567" s="127">
        <f t="shared" si="311"/>
        <v>0</v>
      </c>
      <c r="T7567" s="128">
        <f t="shared" si="312"/>
        <v>0</v>
      </c>
      <c r="U7567" s="129" t="str">
        <f>IFERROR(IF(#REF!="S",VLOOKUP('Raw Data'!A7567,References!#REF!,2,FALSE),(VLOOKUP($S7567,References!$B$3:$C$7,2,FALSE))),"")</f>
        <v/>
      </c>
      <c r="W7567" s="74" t="str">
        <f>IFERROR(VLOOKUP($O7567,'Customer List'!$A$1:$J$488,10,FALSE),"")</f>
        <v/>
      </c>
    </row>
    <row r="7568" spans="18:23">
      <c r="R7568" s="127">
        <f t="shared" si="311"/>
        <v>0</v>
      </c>
      <c r="T7568" s="128">
        <f t="shared" si="312"/>
        <v>0</v>
      </c>
      <c r="U7568" s="129" t="str">
        <f>IFERROR(IF(#REF!="S",VLOOKUP('Raw Data'!A7568,References!#REF!,2,FALSE),(VLOOKUP($S7568,References!$B$3:$C$7,2,FALSE))),"")</f>
        <v/>
      </c>
      <c r="W7568" s="74" t="str">
        <f>IFERROR(VLOOKUP($O7568,'Customer List'!$A$1:$J$488,10,FALSE),"")</f>
        <v/>
      </c>
    </row>
    <row r="7569" spans="18:23">
      <c r="R7569" s="127">
        <f t="shared" si="311"/>
        <v>0</v>
      </c>
      <c r="T7569" s="128">
        <f t="shared" si="312"/>
        <v>0</v>
      </c>
      <c r="U7569" s="129" t="str">
        <f>IFERROR(IF(#REF!="S",VLOOKUP('Raw Data'!A7569,References!#REF!,2,FALSE),(VLOOKUP($S7569,References!$B$3:$C$7,2,FALSE))),"")</f>
        <v/>
      </c>
      <c r="W7569" s="74" t="str">
        <f>IFERROR(VLOOKUP($O7569,'Customer List'!$A$1:$J$488,10,FALSE),"")</f>
        <v/>
      </c>
    </row>
    <row r="7570" spans="18:23">
      <c r="R7570" s="127">
        <f t="shared" si="311"/>
        <v>0</v>
      </c>
      <c r="T7570" s="128">
        <f t="shared" si="312"/>
        <v>0</v>
      </c>
      <c r="U7570" s="129" t="str">
        <f>IFERROR(IF(#REF!="S",VLOOKUP('Raw Data'!A7570,References!#REF!,2,FALSE),(VLOOKUP($S7570,References!$B$3:$C$7,2,FALSE))),"")</f>
        <v/>
      </c>
      <c r="W7570" s="74" t="str">
        <f>IFERROR(VLOOKUP($O7570,'Customer List'!$A$1:$J$488,10,FALSE),"")</f>
        <v/>
      </c>
    </row>
    <row r="7571" spans="18:23">
      <c r="R7571" s="127">
        <f t="shared" si="311"/>
        <v>0</v>
      </c>
      <c r="T7571" s="128">
        <f t="shared" si="312"/>
        <v>0</v>
      </c>
      <c r="U7571" s="129" t="str">
        <f>IFERROR(IF(#REF!="S",VLOOKUP('Raw Data'!A7571,References!#REF!,2,FALSE),(VLOOKUP($S7571,References!$B$3:$C$7,2,FALSE))),"")</f>
        <v/>
      </c>
      <c r="W7571" s="74" t="str">
        <f>IFERROR(VLOOKUP($O7571,'Customer List'!$A$1:$J$488,10,FALSE),"")</f>
        <v/>
      </c>
    </row>
    <row r="7572" spans="18:23">
      <c r="R7572" s="127">
        <f t="shared" si="311"/>
        <v>0</v>
      </c>
      <c r="T7572" s="128">
        <f t="shared" si="312"/>
        <v>0</v>
      </c>
      <c r="U7572" s="129" t="str">
        <f>IFERROR(IF(#REF!="S",VLOOKUP('Raw Data'!A7572,References!#REF!,2,FALSE),(VLOOKUP($S7572,References!$B$3:$C$7,2,FALSE))),"")</f>
        <v/>
      </c>
      <c r="W7572" s="74" t="str">
        <f>IFERROR(VLOOKUP($O7572,'Customer List'!$A$1:$J$488,10,FALSE),"")</f>
        <v/>
      </c>
    </row>
    <row r="7573" spans="18:23">
      <c r="R7573" s="127">
        <f t="shared" si="311"/>
        <v>0</v>
      </c>
      <c r="T7573" s="128">
        <f t="shared" si="312"/>
        <v>0</v>
      </c>
      <c r="U7573" s="129" t="str">
        <f>IFERROR(IF(#REF!="S",VLOOKUP('Raw Data'!A7573,References!#REF!,2,FALSE),(VLOOKUP($S7573,References!$B$3:$C$7,2,FALSE))),"")</f>
        <v/>
      </c>
      <c r="W7573" s="74" t="str">
        <f>IFERROR(VLOOKUP($O7573,'Customer List'!$A$1:$J$488,10,FALSE),"")</f>
        <v/>
      </c>
    </row>
    <row r="7574" spans="18:23">
      <c r="R7574" s="127">
        <f t="shared" si="311"/>
        <v>0</v>
      </c>
      <c r="T7574" s="128">
        <f t="shared" si="312"/>
        <v>0</v>
      </c>
      <c r="U7574" s="129" t="str">
        <f>IFERROR(IF(#REF!="S",VLOOKUP('Raw Data'!A7574,References!#REF!,2,FALSE),(VLOOKUP($S7574,References!$B$3:$C$7,2,FALSE))),"")</f>
        <v/>
      </c>
      <c r="W7574" s="74" t="str">
        <f>IFERROR(VLOOKUP($O7574,'Customer List'!$A$1:$J$488,10,FALSE),"")</f>
        <v/>
      </c>
    </row>
    <row r="7575" spans="18:23">
      <c r="R7575" s="127">
        <f t="shared" si="311"/>
        <v>0</v>
      </c>
      <c r="T7575" s="128">
        <f t="shared" si="312"/>
        <v>0</v>
      </c>
      <c r="U7575" s="129" t="str">
        <f>IFERROR(IF(#REF!="S",VLOOKUP('Raw Data'!A7575,References!#REF!,2,FALSE),(VLOOKUP($S7575,References!$B$3:$C$7,2,FALSE))),"")</f>
        <v/>
      </c>
      <c r="W7575" s="74" t="str">
        <f>IFERROR(VLOOKUP($O7575,'Customer List'!$A$1:$J$488,10,FALSE),"")</f>
        <v/>
      </c>
    </row>
    <row r="7576" spans="18:23">
      <c r="R7576" s="127">
        <f t="shared" si="311"/>
        <v>0</v>
      </c>
      <c r="T7576" s="128">
        <f t="shared" si="312"/>
        <v>0</v>
      </c>
      <c r="U7576" s="129" t="str">
        <f>IFERROR(IF(#REF!="S",VLOOKUP('Raw Data'!A7576,References!#REF!,2,FALSE),(VLOOKUP($S7576,References!$B$3:$C$7,2,FALSE))),"")</f>
        <v/>
      </c>
      <c r="W7576" s="74" t="str">
        <f>IFERROR(VLOOKUP($O7576,'Customer List'!$A$1:$J$488,10,FALSE),"")</f>
        <v/>
      </c>
    </row>
    <row r="7577" spans="18:23">
      <c r="R7577" s="127">
        <f t="shared" si="311"/>
        <v>0</v>
      </c>
      <c r="T7577" s="128">
        <f t="shared" si="312"/>
        <v>0</v>
      </c>
      <c r="U7577" s="129" t="str">
        <f>IFERROR(IF(#REF!="S",VLOOKUP('Raw Data'!A7577,References!#REF!,2,FALSE),(VLOOKUP($S7577,References!$B$3:$C$7,2,FALSE))),"")</f>
        <v/>
      </c>
      <c r="W7577" s="74" t="str">
        <f>IFERROR(VLOOKUP($O7577,'Customer List'!$A$1:$J$488,10,FALSE),"")</f>
        <v/>
      </c>
    </row>
    <row r="7578" spans="18:23">
      <c r="R7578" s="127">
        <f t="shared" si="311"/>
        <v>0</v>
      </c>
      <c r="T7578" s="128">
        <f t="shared" si="312"/>
        <v>0</v>
      </c>
      <c r="U7578" s="129" t="str">
        <f>IFERROR(IF(#REF!="S",VLOOKUP('Raw Data'!A7578,References!#REF!,2,FALSE),(VLOOKUP($S7578,References!$B$3:$C$7,2,FALSE))),"")</f>
        <v/>
      </c>
      <c r="W7578" s="74" t="str">
        <f>IFERROR(VLOOKUP($O7578,'Customer List'!$A$1:$J$488,10,FALSE),"")</f>
        <v/>
      </c>
    </row>
    <row r="7579" spans="18:23">
      <c r="R7579" s="127">
        <f t="shared" si="311"/>
        <v>0</v>
      </c>
      <c r="T7579" s="128">
        <f t="shared" si="312"/>
        <v>0</v>
      </c>
      <c r="U7579" s="129" t="str">
        <f>IFERROR(IF(#REF!="S",VLOOKUP('Raw Data'!A7579,References!#REF!,2,FALSE),(VLOOKUP($S7579,References!$B$3:$C$7,2,FALSE))),"")</f>
        <v/>
      </c>
      <c r="W7579" s="74" t="str">
        <f>IFERROR(VLOOKUP($O7579,'Customer List'!$A$1:$J$488,10,FALSE),"")</f>
        <v/>
      </c>
    </row>
    <row r="7580" spans="18:23">
      <c r="R7580" s="127">
        <f t="shared" si="311"/>
        <v>0</v>
      </c>
      <c r="T7580" s="128">
        <f t="shared" si="312"/>
        <v>0</v>
      </c>
      <c r="U7580" s="129" t="str">
        <f>IFERROR(IF(#REF!="S",VLOOKUP('Raw Data'!A7580,References!#REF!,2,FALSE),(VLOOKUP($S7580,References!$B$3:$C$7,2,FALSE))),"")</f>
        <v/>
      </c>
      <c r="W7580" s="74" t="str">
        <f>IFERROR(VLOOKUP($O7580,'Customer List'!$A$1:$J$488,10,FALSE),"")</f>
        <v/>
      </c>
    </row>
    <row r="7581" spans="18:23">
      <c r="R7581" s="127">
        <f t="shared" si="311"/>
        <v>0</v>
      </c>
      <c r="T7581" s="128">
        <f t="shared" si="312"/>
        <v>0</v>
      </c>
      <c r="U7581" s="129" t="str">
        <f>IFERROR(IF(#REF!="S",VLOOKUP('Raw Data'!A7581,References!#REF!,2,FALSE),(VLOOKUP($S7581,References!$B$3:$C$7,2,FALSE))),"")</f>
        <v/>
      </c>
      <c r="W7581" s="74" t="str">
        <f>IFERROR(VLOOKUP($O7581,'Customer List'!$A$1:$J$488,10,FALSE),"")</f>
        <v/>
      </c>
    </row>
    <row r="7582" spans="18:23">
      <c r="R7582" s="127">
        <f t="shared" si="311"/>
        <v>0</v>
      </c>
      <c r="T7582" s="128">
        <f t="shared" si="312"/>
        <v>0</v>
      </c>
      <c r="U7582" s="129" t="str">
        <f>IFERROR(IF(#REF!="S",VLOOKUP('Raw Data'!A7582,References!#REF!,2,FALSE),(VLOOKUP($S7582,References!$B$3:$C$7,2,FALSE))),"")</f>
        <v/>
      </c>
      <c r="W7582" s="74" t="str">
        <f>IFERROR(VLOOKUP($O7582,'Customer List'!$A$1:$J$488,10,FALSE),"")</f>
        <v/>
      </c>
    </row>
    <row r="7583" spans="18:23">
      <c r="R7583" s="127">
        <f t="shared" si="311"/>
        <v>0</v>
      </c>
      <c r="T7583" s="128">
        <f t="shared" si="312"/>
        <v>0</v>
      </c>
      <c r="U7583" s="129" t="str">
        <f>IFERROR(IF(#REF!="S",VLOOKUP('Raw Data'!A7583,References!#REF!,2,FALSE),(VLOOKUP($S7583,References!$B$3:$C$7,2,FALSE))),"")</f>
        <v/>
      </c>
      <c r="W7583" s="74" t="str">
        <f>IFERROR(VLOOKUP($O7583,'Customer List'!$A$1:$J$488,10,FALSE),"")</f>
        <v/>
      </c>
    </row>
    <row r="7584" spans="18:23">
      <c r="R7584" s="127">
        <f t="shared" si="311"/>
        <v>0</v>
      </c>
      <c r="T7584" s="128">
        <f t="shared" si="312"/>
        <v>0</v>
      </c>
      <c r="U7584" s="129" t="str">
        <f>IFERROR(IF(#REF!="S",VLOOKUP('Raw Data'!A7584,References!#REF!,2,FALSE),(VLOOKUP($S7584,References!$B$3:$C$7,2,FALSE))),"")</f>
        <v/>
      </c>
      <c r="W7584" s="74" t="str">
        <f>IFERROR(VLOOKUP($O7584,'Customer List'!$A$1:$J$488,10,FALSE),"")</f>
        <v/>
      </c>
    </row>
    <row r="7585" spans="18:23">
      <c r="R7585" s="127">
        <f t="shared" si="311"/>
        <v>0</v>
      </c>
      <c r="T7585" s="128">
        <f t="shared" si="312"/>
        <v>0</v>
      </c>
      <c r="U7585" s="129" t="str">
        <f>IFERROR(IF(#REF!="S",VLOOKUP('Raw Data'!A7585,References!#REF!,2,FALSE),(VLOOKUP($S7585,References!$B$3:$C$7,2,FALSE))),"")</f>
        <v/>
      </c>
      <c r="W7585" s="74" t="str">
        <f>IFERROR(VLOOKUP($O7585,'Customer List'!$A$1:$J$488,10,FALSE),"")</f>
        <v/>
      </c>
    </row>
    <row r="7586" spans="18:23">
      <c r="R7586" s="127">
        <f t="shared" ref="R7586:R7649" si="313">L7586-K7586</f>
        <v>0</v>
      </c>
      <c r="T7586" s="128">
        <f t="shared" si="312"/>
        <v>0</v>
      </c>
      <c r="U7586" s="129" t="str">
        <f>IFERROR(IF(#REF!="S",VLOOKUP('Raw Data'!A7586,References!#REF!,2,FALSE),(VLOOKUP($S7586,References!$B$3:$C$7,2,FALSE))),"")</f>
        <v/>
      </c>
      <c r="W7586" s="74" t="str">
        <f>IFERROR(VLOOKUP($O7586,'Customer List'!$A$1:$J$488,10,FALSE),"")</f>
        <v/>
      </c>
    </row>
    <row r="7587" spans="18:23">
      <c r="R7587" s="127">
        <f t="shared" si="313"/>
        <v>0</v>
      </c>
      <c r="T7587" s="128">
        <f t="shared" si="312"/>
        <v>0</v>
      </c>
      <c r="U7587" s="129" t="str">
        <f>IFERROR(IF(#REF!="S",VLOOKUP('Raw Data'!A7587,References!#REF!,2,FALSE),(VLOOKUP($S7587,References!$B$3:$C$7,2,FALSE))),"")</f>
        <v/>
      </c>
      <c r="W7587" s="74" t="str">
        <f>IFERROR(VLOOKUP($O7587,'Customer List'!$A$1:$J$488,10,FALSE),"")</f>
        <v/>
      </c>
    </row>
    <row r="7588" spans="18:23">
      <c r="R7588" s="127">
        <f t="shared" si="313"/>
        <v>0</v>
      </c>
      <c r="T7588" s="128">
        <f t="shared" si="312"/>
        <v>0</v>
      </c>
      <c r="U7588" s="129" t="str">
        <f>IFERROR(IF(#REF!="S",VLOOKUP('Raw Data'!A7588,References!#REF!,2,FALSE),(VLOOKUP($S7588,References!$B$3:$C$7,2,FALSE))),"")</f>
        <v/>
      </c>
      <c r="W7588" s="74" t="str">
        <f>IFERROR(VLOOKUP($O7588,'Customer List'!$A$1:$J$488,10,FALSE),"")</f>
        <v/>
      </c>
    </row>
    <row r="7589" spans="18:23">
      <c r="R7589" s="127">
        <f t="shared" si="313"/>
        <v>0</v>
      </c>
      <c r="T7589" s="128">
        <f t="shared" si="312"/>
        <v>0</v>
      </c>
      <c r="U7589" s="129" t="str">
        <f>IFERROR(IF(#REF!="S",VLOOKUP('Raw Data'!A7589,References!#REF!,2,FALSE),(VLOOKUP($S7589,References!$B$3:$C$7,2,FALSE))),"")</f>
        <v/>
      </c>
      <c r="W7589" s="74" t="str">
        <f>IFERROR(VLOOKUP($O7589,'Customer List'!$A$1:$J$488,10,FALSE),"")</f>
        <v/>
      </c>
    </row>
    <row r="7590" spans="18:23">
      <c r="R7590" s="127">
        <f t="shared" si="313"/>
        <v>0</v>
      </c>
      <c r="T7590" s="128">
        <f t="shared" si="312"/>
        <v>0</v>
      </c>
      <c r="U7590" s="129" t="str">
        <f>IFERROR(IF(#REF!="S",VLOOKUP('Raw Data'!A7590,References!#REF!,2,FALSE),(VLOOKUP($S7590,References!$B$3:$C$7,2,FALSE))),"")</f>
        <v/>
      </c>
      <c r="W7590" s="74" t="str">
        <f>IFERROR(VLOOKUP($O7590,'Customer List'!$A$1:$J$488,10,FALSE),"")</f>
        <v/>
      </c>
    </row>
    <row r="7591" spans="18:23">
      <c r="R7591" s="127">
        <f t="shared" si="313"/>
        <v>0</v>
      </c>
      <c r="T7591" s="128">
        <f t="shared" si="312"/>
        <v>0</v>
      </c>
      <c r="U7591" s="129" t="str">
        <f>IFERROR(IF(#REF!="S",VLOOKUP('Raw Data'!A7591,References!#REF!,2,FALSE),(VLOOKUP($S7591,References!$B$3:$C$7,2,FALSE))),"")</f>
        <v/>
      </c>
      <c r="W7591" s="74" t="str">
        <f>IFERROR(VLOOKUP($O7591,'Customer List'!$A$1:$J$488,10,FALSE),"")</f>
        <v/>
      </c>
    </row>
    <row r="7592" spans="18:23">
      <c r="R7592" s="127">
        <f t="shared" si="313"/>
        <v>0</v>
      </c>
      <c r="T7592" s="128">
        <f t="shared" si="312"/>
        <v>0</v>
      </c>
      <c r="U7592" s="129" t="str">
        <f>IFERROR(IF(#REF!="S",VLOOKUP('Raw Data'!A7592,References!#REF!,2,FALSE),(VLOOKUP($S7592,References!$B$3:$C$7,2,FALSE))),"")</f>
        <v/>
      </c>
      <c r="W7592" s="74" t="str">
        <f>IFERROR(VLOOKUP($O7592,'Customer List'!$A$1:$J$488,10,FALSE),"")</f>
        <v/>
      </c>
    </row>
    <row r="7593" spans="18:23">
      <c r="R7593" s="127">
        <f t="shared" si="313"/>
        <v>0</v>
      </c>
      <c r="T7593" s="128">
        <f t="shared" si="312"/>
        <v>0</v>
      </c>
      <c r="U7593" s="129" t="str">
        <f>IFERROR(IF(#REF!="S",VLOOKUP('Raw Data'!A7593,References!#REF!,2,FALSE),(VLOOKUP($S7593,References!$B$3:$C$7,2,FALSE))),"")</f>
        <v/>
      </c>
      <c r="W7593" s="74" t="str">
        <f>IFERROR(VLOOKUP($O7593,'Customer List'!$A$1:$J$488,10,FALSE),"")</f>
        <v/>
      </c>
    </row>
    <row r="7594" spans="18:23">
      <c r="R7594" s="127">
        <f t="shared" si="313"/>
        <v>0</v>
      </c>
      <c r="T7594" s="128">
        <f t="shared" si="312"/>
        <v>0</v>
      </c>
      <c r="U7594" s="129" t="str">
        <f>IFERROR(IF(#REF!="S",VLOOKUP('Raw Data'!A7594,References!#REF!,2,FALSE),(VLOOKUP($S7594,References!$B$3:$C$7,2,FALSE))),"")</f>
        <v/>
      </c>
      <c r="W7594" s="74" t="str">
        <f>IFERROR(VLOOKUP($O7594,'Customer List'!$A$1:$J$488,10,FALSE),"")</f>
        <v/>
      </c>
    </row>
    <row r="7595" spans="18:23">
      <c r="R7595" s="127">
        <f t="shared" si="313"/>
        <v>0</v>
      </c>
      <c r="T7595" s="128">
        <f t="shared" si="312"/>
        <v>0</v>
      </c>
      <c r="U7595" s="129" t="str">
        <f>IFERROR(IF(#REF!="S",VLOOKUP('Raw Data'!A7595,References!#REF!,2,FALSE),(VLOOKUP($S7595,References!$B$3:$C$7,2,FALSE))),"")</f>
        <v/>
      </c>
      <c r="W7595" s="74" t="str">
        <f>IFERROR(VLOOKUP($O7595,'Customer List'!$A$1:$J$488,10,FALSE),"")</f>
        <v/>
      </c>
    </row>
    <row r="7596" spans="18:23">
      <c r="R7596" s="127">
        <f t="shared" si="313"/>
        <v>0</v>
      </c>
      <c r="T7596" s="128">
        <f t="shared" si="312"/>
        <v>0</v>
      </c>
      <c r="U7596" s="129" t="str">
        <f>IFERROR(IF(#REF!="S",VLOOKUP('Raw Data'!A7596,References!#REF!,2,FALSE),(VLOOKUP($S7596,References!$B$3:$C$7,2,FALSE))),"")</f>
        <v/>
      </c>
      <c r="W7596" s="74" t="str">
        <f>IFERROR(VLOOKUP($O7596,'Customer List'!$A$1:$J$488,10,FALSE),"")</f>
        <v/>
      </c>
    </row>
    <row r="7597" spans="18:23">
      <c r="R7597" s="127">
        <f t="shared" si="313"/>
        <v>0</v>
      </c>
      <c r="T7597" s="128">
        <f t="shared" si="312"/>
        <v>0</v>
      </c>
      <c r="U7597" s="129" t="str">
        <f>IFERROR(IF(#REF!="S",VLOOKUP('Raw Data'!A7597,References!#REF!,2,FALSE),(VLOOKUP($S7597,References!$B$3:$C$7,2,FALSE))),"")</f>
        <v/>
      </c>
      <c r="W7597" s="74" t="str">
        <f>IFERROR(VLOOKUP($O7597,'Customer List'!$A$1:$J$488,10,FALSE),"")</f>
        <v/>
      </c>
    </row>
    <row r="7598" spans="18:23">
      <c r="R7598" s="127">
        <f t="shared" si="313"/>
        <v>0</v>
      </c>
      <c r="T7598" s="128">
        <f t="shared" si="312"/>
        <v>0</v>
      </c>
      <c r="U7598" s="129" t="str">
        <f>IFERROR(IF(#REF!="S",VLOOKUP('Raw Data'!A7598,References!#REF!,2,FALSE),(VLOOKUP($S7598,References!$B$3:$C$7,2,FALSE))),"")</f>
        <v/>
      </c>
      <c r="W7598" s="74" t="str">
        <f>IFERROR(VLOOKUP($O7598,'Customer List'!$A$1:$J$488,10,FALSE),"")</f>
        <v/>
      </c>
    </row>
    <row r="7599" spans="18:23">
      <c r="R7599" s="127">
        <f t="shared" si="313"/>
        <v>0</v>
      </c>
      <c r="T7599" s="128">
        <f t="shared" si="312"/>
        <v>0</v>
      </c>
      <c r="U7599" s="129" t="str">
        <f>IFERROR(IF(#REF!="S",VLOOKUP('Raw Data'!A7599,References!#REF!,2,FALSE),(VLOOKUP($S7599,References!$B$3:$C$7,2,FALSE))),"")</f>
        <v/>
      </c>
      <c r="W7599" s="74" t="str">
        <f>IFERROR(VLOOKUP($O7599,'Customer List'!$A$1:$J$488,10,FALSE),"")</f>
        <v/>
      </c>
    </row>
    <row r="7600" spans="18:23">
      <c r="R7600" s="127">
        <f t="shared" si="313"/>
        <v>0</v>
      </c>
      <c r="T7600" s="128">
        <f t="shared" si="312"/>
        <v>0</v>
      </c>
      <c r="U7600" s="129" t="str">
        <f>IFERROR(IF(#REF!="S",VLOOKUP('Raw Data'!A7600,References!#REF!,2,FALSE),(VLOOKUP($S7600,References!$B$3:$C$7,2,FALSE))),"")</f>
        <v/>
      </c>
      <c r="W7600" s="74" t="str">
        <f>IFERROR(VLOOKUP($O7600,'Customer List'!$A$1:$J$488,10,FALSE),"")</f>
        <v/>
      </c>
    </row>
    <row r="7601" spans="18:23">
      <c r="R7601" s="127">
        <f t="shared" si="313"/>
        <v>0</v>
      </c>
      <c r="T7601" s="128">
        <f t="shared" si="312"/>
        <v>0</v>
      </c>
      <c r="U7601" s="129" t="str">
        <f>IFERROR(IF(#REF!="S",VLOOKUP('Raw Data'!A7601,References!#REF!,2,FALSE),(VLOOKUP($S7601,References!$B$3:$C$7,2,FALSE))),"")</f>
        <v/>
      </c>
      <c r="W7601" s="74" t="str">
        <f>IFERROR(VLOOKUP($O7601,'Customer List'!$A$1:$J$488,10,FALSE),"")</f>
        <v/>
      </c>
    </row>
    <row r="7602" spans="18:23">
      <c r="R7602" s="127">
        <f t="shared" si="313"/>
        <v>0</v>
      </c>
      <c r="T7602" s="128">
        <f t="shared" si="312"/>
        <v>0</v>
      </c>
      <c r="U7602" s="129" t="str">
        <f>IFERROR(IF(#REF!="S",VLOOKUP('Raw Data'!A7602,References!#REF!,2,FALSE),(VLOOKUP($S7602,References!$B$3:$C$7,2,FALSE))),"")</f>
        <v/>
      </c>
      <c r="W7602" s="74" t="str">
        <f>IFERROR(VLOOKUP($O7602,'Customer List'!$A$1:$J$488,10,FALSE),"")</f>
        <v/>
      </c>
    </row>
    <row r="7603" spans="18:23">
      <c r="R7603" s="127">
        <f t="shared" si="313"/>
        <v>0</v>
      </c>
      <c r="T7603" s="128">
        <f t="shared" si="312"/>
        <v>0</v>
      </c>
      <c r="U7603" s="129" t="str">
        <f>IFERROR(IF(#REF!="S",VLOOKUP('Raw Data'!A7603,References!#REF!,2,FALSE),(VLOOKUP($S7603,References!$B$3:$C$7,2,FALSE))),"")</f>
        <v/>
      </c>
      <c r="W7603" s="74" t="str">
        <f>IFERROR(VLOOKUP($O7603,'Customer List'!$A$1:$J$488,10,FALSE),"")</f>
        <v/>
      </c>
    </row>
    <row r="7604" spans="18:23">
      <c r="R7604" s="127">
        <f t="shared" si="313"/>
        <v>0</v>
      </c>
      <c r="T7604" s="128">
        <f t="shared" si="312"/>
        <v>0</v>
      </c>
      <c r="U7604" s="129" t="str">
        <f>IFERROR(IF(#REF!="S",VLOOKUP('Raw Data'!A7604,References!#REF!,2,FALSE),(VLOOKUP($S7604,References!$B$3:$C$7,2,FALSE))),"")</f>
        <v/>
      </c>
      <c r="W7604" s="74" t="str">
        <f>IFERROR(VLOOKUP($O7604,'Customer List'!$A$1:$J$488,10,FALSE),"")</f>
        <v/>
      </c>
    </row>
    <row r="7605" spans="18:23">
      <c r="R7605" s="127">
        <f t="shared" si="313"/>
        <v>0</v>
      </c>
      <c r="T7605" s="128">
        <f t="shared" si="312"/>
        <v>0</v>
      </c>
      <c r="U7605" s="129" t="str">
        <f>IFERROR(IF(#REF!="S",VLOOKUP('Raw Data'!A7605,References!#REF!,2,FALSE),(VLOOKUP($S7605,References!$B$3:$C$7,2,FALSE))),"")</f>
        <v/>
      </c>
      <c r="W7605" s="74" t="str">
        <f>IFERROR(VLOOKUP($O7605,'Customer List'!$A$1:$J$488,10,FALSE),"")</f>
        <v/>
      </c>
    </row>
    <row r="7606" spans="18:23">
      <c r="R7606" s="127">
        <f t="shared" si="313"/>
        <v>0</v>
      </c>
      <c r="T7606" s="128">
        <f t="shared" si="312"/>
        <v>0</v>
      </c>
      <c r="U7606" s="129" t="str">
        <f>IFERROR(IF(#REF!="S",VLOOKUP('Raw Data'!A7606,References!#REF!,2,FALSE),(VLOOKUP($S7606,References!$B$3:$C$7,2,FALSE))),"")</f>
        <v/>
      </c>
      <c r="W7606" s="74" t="str">
        <f>IFERROR(VLOOKUP($O7606,'Customer List'!$A$1:$J$488,10,FALSE),"")</f>
        <v/>
      </c>
    </row>
    <row r="7607" spans="18:23">
      <c r="R7607" s="127">
        <f t="shared" si="313"/>
        <v>0</v>
      </c>
      <c r="T7607" s="128">
        <f t="shared" si="312"/>
        <v>0</v>
      </c>
      <c r="U7607" s="129" t="str">
        <f>IFERROR(IF(#REF!="S",VLOOKUP('Raw Data'!A7607,References!#REF!,2,FALSE),(VLOOKUP($S7607,References!$B$3:$C$7,2,FALSE))),"")</f>
        <v/>
      </c>
      <c r="W7607" s="74" t="str">
        <f>IFERROR(VLOOKUP($O7607,'Customer List'!$A$1:$J$488,10,FALSE),"")</f>
        <v/>
      </c>
    </row>
    <row r="7608" spans="18:23">
      <c r="R7608" s="127">
        <f t="shared" si="313"/>
        <v>0</v>
      </c>
      <c r="T7608" s="128">
        <f t="shared" si="312"/>
        <v>0</v>
      </c>
      <c r="U7608" s="129" t="str">
        <f>IFERROR(IF(#REF!="S",VLOOKUP('Raw Data'!A7608,References!#REF!,2,FALSE),(VLOOKUP($S7608,References!$B$3:$C$7,2,FALSE))),"")</f>
        <v/>
      </c>
      <c r="W7608" s="74" t="str">
        <f>IFERROR(VLOOKUP($O7608,'Customer List'!$A$1:$J$488,10,FALSE),"")</f>
        <v/>
      </c>
    </row>
    <row r="7609" spans="18:23">
      <c r="R7609" s="127">
        <f t="shared" si="313"/>
        <v>0</v>
      </c>
      <c r="T7609" s="128">
        <f t="shared" si="312"/>
        <v>0</v>
      </c>
      <c r="U7609" s="129" t="str">
        <f>IFERROR(IF(#REF!="S",VLOOKUP('Raw Data'!A7609,References!#REF!,2,FALSE),(VLOOKUP($S7609,References!$B$3:$C$7,2,FALSE))),"")</f>
        <v/>
      </c>
      <c r="W7609" s="74" t="str">
        <f>IFERROR(VLOOKUP($O7609,'Customer List'!$A$1:$J$488,10,FALSE),"")</f>
        <v/>
      </c>
    </row>
    <row r="7610" spans="18:23">
      <c r="R7610" s="127">
        <f t="shared" si="313"/>
        <v>0</v>
      </c>
      <c r="T7610" s="128">
        <f t="shared" si="312"/>
        <v>0</v>
      </c>
      <c r="U7610" s="129" t="str">
        <f>IFERROR(IF(#REF!="S",VLOOKUP('Raw Data'!A7610,References!#REF!,2,FALSE),(VLOOKUP($S7610,References!$B$3:$C$7,2,FALSE))),"")</f>
        <v/>
      </c>
      <c r="W7610" s="74" t="str">
        <f>IFERROR(VLOOKUP($O7610,'Customer List'!$A$1:$J$488,10,FALSE),"")</f>
        <v/>
      </c>
    </row>
    <row r="7611" spans="18:23">
      <c r="R7611" s="127">
        <f t="shared" si="313"/>
        <v>0</v>
      </c>
      <c r="T7611" s="128">
        <f t="shared" si="312"/>
        <v>0</v>
      </c>
      <c r="U7611" s="129" t="str">
        <f>IFERROR(IF(#REF!="S",VLOOKUP('Raw Data'!A7611,References!#REF!,2,FALSE),(VLOOKUP($S7611,References!$B$3:$C$7,2,FALSE))),"")</f>
        <v/>
      </c>
      <c r="W7611" s="74" t="str">
        <f>IFERROR(VLOOKUP($O7611,'Customer List'!$A$1:$J$488,10,FALSE),"")</f>
        <v/>
      </c>
    </row>
    <row r="7612" spans="18:23">
      <c r="R7612" s="127">
        <f t="shared" si="313"/>
        <v>0</v>
      </c>
      <c r="T7612" s="128">
        <f t="shared" si="312"/>
        <v>0</v>
      </c>
      <c r="U7612" s="129" t="str">
        <f>IFERROR(IF(#REF!="S",VLOOKUP('Raw Data'!A7612,References!#REF!,2,FALSE),(VLOOKUP($S7612,References!$B$3:$C$7,2,FALSE))),"")</f>
        <v/>
      </c>
      <c r="W7612" s="74" t="str">
        <f>IFERROR(VLOOKUP($O7612,'Customer List'!$A$1:$J$488,10,FALSE),"")</f>
        <v/>
      </c>
    </row>
    <row r="7613" spans="18:23">
      <c r="R7613" s="127">
        <f t="shared" si="313"/>
        <v>0</v>
      </c>
      <c r="T7613" s="128">
        <f t="shared" si="312"/>
        <v>0</v>
      </c>
      <c r="U7613" s="129" t="str">
        <f>IFERROR(IF(#REF!="S",VLOOKUP('Raw Data'!A7613,References!#REF!,2,FALSE),(VLOOKUP($S7613,References!$B$3:$C$7,2,FALSE))),"")</f>
        <v/>
      </c>
      <c r="W7613" s="74" t="str">
        <f>IFERROR(VLOOKUP($O7613,'Customer List'!$A$1:$J$488,10,FALSE),"")</f>
        <v/>
      </c>
    </row>
    <row r="7614" spans="18:23">
      <c r="R7614" s="127">
        <f t="shared" si="313"/>
        <v>0</v>
      </c>
      <c r="T7614" s="128">
        <f t="shared" si="312"/>
        <v>0</v>
      </c>
      <c r="U7614" s="129" t="str">
        <f>IFERROR(IF(#REF!="S",VLOOKUP('Raw Data'!A7614,References!#REF!,2,FALSE),(VLOOKUP($S7614,References!$B$3:$C$7,2,FALSE))),"")</f>
        <v/>
      </c>
      <c r="W7614" s="74" t="str">
        <f>IFERROR(VLOOKUP($O7614,'Customer List'!$A$1:$J$488,10,FALSE),"")</f>
        <v/>
      </c>
    </row>
    <row r="7615" spans="18:23">
      <c r="R7615" s="127">
        <f t="shared" si="313"/>
        <v>0</v>
      </c>
      <c r="T7615" s="128">
        <f t="shared" si="312"/>
        <v>0</v>
      </c>
      <c r="U7615" s="129" t="str">
        <f>IFERROR(IF(#REF!="S",VLOOKUP('Raw Data'!A7615,References!#REF!,2,FALSE),(VLOOKUP($S7615,References!$B$3:$C$7,2,FALSE))),"")</f>
        <v/>
      </c>
      <c r="W7615" s="74" t="str">
        <f>IFERROR(VLOOKUP($O7615,'Customer List'!$A$1:$J$488,10,FALSE),"")</f>
        <v/>
      </c>
    </row>
    <row r="7616" spans="18:23">
      <c r="R7616" s="127">
        <f t="shared" si="313"/>
        <v>0</v>
      </c>
      <c r="T7616" s="128">
        <f t="shared" si="312"/>
        <v>0</v>
      </c>
      <c r="U7616" s="129" t="str">
        <f>IFERROR(IF(#REF!="S",VLOOKUP('Raw Data'!A7616,References!#REF!,2,FALSE),(VLOOKUP($S7616,References!$B$3:$C$7,2,FALSE))),"")</f>
        <v/>
      </c>
      <c r="W7616" s="74" t="str">
        <f>IFERROR(VLOOKUP($O7616,'Customer List'!$A$1:$J$488,10,FALSE),"")</f>
        <v/>
      </c>
    </row>
    <row r="7617" spans="18:23">
      <c r="R7617" s="127">
        <f t="shared" si="313"/>
        <v>0</v>
      </c>
      <c r="T7617" s="128">
        <f t="shared" si="312"/>
        <v>0</v>
      </c>
      <c r="U7617" s="129" t="str">
        <f>IFERROR(IF(#REF!="S",VLOOKUP('Raw Data'!A7617,References!#REF!,2,FALSE),(VLOOKUP($S7617,References!$B$3:$C$7,2,FALSE))),"")</f>
        <v/>
      </c>
      <c r="W7617" s="74" t="str">
        <f>IFERROR(VLOOKUP($O7617,'Customer List'!$A$1:$J$488,10,FALSE),"")</f>
        <v/>
      </c>
    </row>
    <row r="7618" spans="18:23">
      <c r="R7618" s="127">
        <f t="shared" si="313"/>
        <v>0</v>
      </c>
      <c r="T7618" s="128">
        <f t="shared" si="312"/>
        <v>0</v>
      </c>
      <c r="U7618" s="129" t="str">
        <f>IFERROR(IF(#REF!="S",VLOOKUP('Raw Data'!A7618,References!#REF!,2,FALSE),(VLOOKUP($S7618,References!$B$3:$C$7,2,FALSE))),"")</f>
        <v/>
      </c>
      <c r="W7618" s="74" t="str">
        <f>IFERROR(VLOOKUP($O7618,'Customer List'!$A$1:$J$488,10,FALSE),"")</f>
        <v/>
      </c>
    </row>
    <row r="7619" spans="18:23">
      <c r="R7619" s="127">
        <f t="shared" si="313"/>
        <v>0</v>
      </c>
      <c r="T7619" s="128">
        <f t="shared" si="312"/>
        <v>0</v>
      </c>
      <c r="U7619" s="129" t="str">
        <f>IFERROR(IF(#REF!="S",VLOOKUP('Raw Data'!A7619,References!#REF!,2,FALSE),(VLOOKUP($S7619,References!$B$3:$C$7,2,FALSE))),"")</f>
        <v/>
      </c>
      <c r="W7619" s="74" t="str">
        <f>IFERROR(VLOOKUP($O7619,'Customer List'!$A$1:$J$488,10,FALSE),"")</f>
        <v/>
      </c>
    </row>
    <row r="7620" spans="18:23">
      <c r="R7620" s="127">
        <f t="shared" si="313"/>
        <v>0</v>
      </c>
      <c r="T7620" s="128">
        <f t="shared" si="312"/>
        <v>0</v>
      </c>
      <c r="U7620" s="129" t="str">
        <f>IFERROR(IF(#REF!="S",VLOOKUP('Raw Data'!A7620,References!#REF!,2,FALSE),(VLOOKUP($S7620,References!$B$3:$C$7,2,FALSE))),"")</f>
        <v/>
      </c>
      <c r="W7620" s="74" t="str">
        <f>IFERROR(VLOOKUP($O7620,'Customer List'!$A$1:$J$488,10,FALSE),"")</f>
        <v/>
      </c>
    </row>
    <row r="7621" spans="18:23">
      <c r="R7621" s="127">
        <f t="shared" si="313"/>
        <v>0</v>
      </c>
      <c r="T7621" s="128">
        <f t="shared" si="312"/>
        <v>0</v>
      </c>
      <c r="U7621" s="129" t="str">
        <f>IFERROR(IF(#REF!="S",VLOOKUP('Raw Data'!A7621,References!#REF!,2,FALSE),(VLOOKUP($S7621,References!$B$3:$C$7,2,FALSE))),"")</f>
        <v/>
      </c>
      <c r="W7621" s="74" t="str">
        <f>IFERROR(VLOOKUP($O7621,'Customer List'!$A$1:$J$488,10,FALSE),"")</f>
        <v/>
      </c>
    </row>
    <row r="7622" spans="18:23">
      <c r="R7622" s="127">
        <f t="shared" si="313"/>
        <v>0</v>
      </c>
      <c r="T7622" s="128">
        <f t="shared" si="312"/>
        <v>0</v>
      </c>
      <c r="U7622" s="129" t="str">
        <f>IFERROR(IF(#REF!="S",VLOOKUP('Raw Data'!A7622,References!#REF!,2,FALSE),(VLOOKUP($S7622,References!$B$3:$C$7,2,FALSE))),"")</f>
        <v/>
      </c>
      <c r="W7622" s="74" t="str">
        <f>IFERROR(VLOOKUP($O7622,'Customer List'!$A$1:$J$488,10,FALSE),"")</f>
        <v/>
      </c>
    </row>
    <row r="7623" spans="18:23">
      <c r="R7623" s="127">
        <f t="shared" si="313"/>
        <v>0</v>
      </c>
      <c r="T7623" s="128">
        <f t="shared" si="312"/>
        <v>0</v>
      </c>
      <c r="U7623" s="129" t="str">
        <f>IFERROR(IF(#REF!="S",VLOOKUP('Raw Data'!A7623,References!#REF!,2,FALSE),(VLOOKUP($S7623,References!$B$3:$C$7,2,FALSE))),"")</f>
        <v/>
      </c>
      <c r="W7623" s="74" t="str">
        <f>IFERROR(VLOOKUP($O7623,'Customer List'!$A$1:$J$488,10,FALSE),"")</f>
        <v/>
      </c>
    </row>
    <row r="7624" spans="18:23">
      <c r="R7624" s="127">
        <f t="shared" si="313"/>
        <v>0</v>
      </c>
      <c r="T7624" s="128">
        <f t="shared" si="312"/>
        <v>0</v>
      </c>
      <c r="U7624" s="129" t="str">
        <f>IFERROR(IF(#REF!="S",VLOOKUP('Raw Data'!A7624,References!#REF!,2,FALSE),(VLOOKUP($S7624,References!$B$3:$C$7,2,FALSE))),"")</f>
        <v/>
      </c>
      <c r="W7624" s="74" t="str">
        <f>IFERROR(VLOOKUP($O7624,'Customer List'!$A$1:$J$488,10,FALSE),"")</f>
        <v/>
      </c>
    </row>
    <row r="7625" spans="18:23">
      <c r="R7625" s="127">
        <f t="shared" si="313"/>
        <v>0</v>
      </c>
      <c r="T7625" s="128">
        <f t="shared" si="312"/>
        <v>0</v>
      </c>
      <c r="U7625" s="129" t="str">
        <f>IFERROR(IF(#REF!="S",VLOOKUP('Raw Data'!A7625,References!#REF!,2,FALSE),(VLOOKUP($S7625,References!$B$3:$C$7,2,FALSE))),"")</f>
        <v/>
      </c>
      <c r="W7625" s="74" t="str">
        <f>IFERROR(VLOOKUP($O7625,'Customer List'!$A$1:$J$488,10,FALSE),"")</f>
        <v/>
      </c>
    </row>
    <row r="7626" spans="18:23">
      <c r="R7626" s="127">
        <f t="shared" si="313"/>
        <v>0</v>
      </c>
      <c r="T7626" s="128">
        <f t="shared" ref="T7626:T7689" si="314">IF(S7626="50 - Cleaning Fee",1,HOUR($R7626)+MINUTE(R7626)/60)</f>
        <v>0</v>
      </c>
      <c r="U7626" s="129" t="str">
        <f>IFERROR(IF(#REF!="S",VLOOKUP('Raw Data'!A7626,References!#REF!,2,FALSE),(VLOOKUP($S7626,References!$B$3:$C$7,2,FALSE))),"")</f>
        <v/>
      </c>
      <c r="W7626" s="74" t="str">
        <f>IFERROR(VLOOKUP($O7626,'Customer List'!$A$1:$J$488,10,FALSE),"")</f>
        <v/>
      </c>
    </row>
    <row r="7627" spans="18:23">
      <c r="R7627" s="127">
        <f t="shared" si="313"/>
        <v>0</v>
      </c>
      <c r="T7627" s="128">
        <f t="shared" si="314"/>
        <v>0</v>
      </c>
      <c r="U7627" s="129" t="str">
        <f>IFERROR(IF(#REF!="S",VLOOKUP('Raw Data'!A7627,References!#REF!,2,FALSE),(VLOOKUP($S7627,References!$B$3:$C$7,2,FALSE))),"")</f>
        <v/>
      </c>
      <c r="W7627" s="74" t="str">
        <f>IFERROR(VLOOKUP($O7627,'Customer List'!$A$1:$J$488,10,FALSE),"")</f>
        <v/>
      </c>
    </row>
    <row r="7628" spans="18:23">
      <c r="R7628" s="127">
        <f t="shared" si="313"/>
        <v>0</v>
      </c>
      <c r="T7628" s="128">
        <f t="shared" si="314"/>
        <v>0</v>
      </c>
      <c r="U7628" s="129" t="str">
        <f>IFERROR(IF(#REF!="S",VLOOKUP('Raw Data'!A7628,References!#REF!,2,FALSE),(VLOOKUP($S7628,References!$B$3:$C$7,2,FALSE))),"")</f>
        <v/>
      </c>
      <c r="W7628" s="74" t="str">
        <f>IFERROR(VLOOKUP($O7628,'Customer List'!$A$1:$J$488,10,FALSE),"")</f>
        <v/>
      </c>
    </row>
    <row r="7629" spans="18:23">
      <c r="R7629" s="127">
        <f t="shared" si="313"/>
        <v>0</v>
      </c>
      <c r="T7629" s="128">
        <f t="shared" si="314"/>
        <v>0</v>
      </c>
      <c r="U7629" s="129" t="str">
        <f>IFERROR(IF(#REF!="S",VLOOKUP('Raw Data'!A7629,References!#REF!,2,FALSE),(VLOOKUP($S7629,References!$B$3:$C$7,2,FALSE))),"")</f>
        <v/>
      </c>
      <c r="W7629" s="74" t="str">
        <f>IFERROR(VLOOKUP($O7629,'Customer List'!$A$1:$J$488,10,FALSE),"")</f>
        <v/>
      </c>
    </row>
    <row r="7630" spans="18:23">
      <c r="R7630" s="127">
        <f t="shared" si="313"/>
        <v>0</v>
      </c>
      <c r="T7630" s="128">
        <f t="shared" si="314"/>
        <v>0</v>
      </c>
      <c r="U7630" s="129" t="str">
        <f>IFERROR(IF(#REF!="S",VLOOKUP('Raw Data'!A7630,References!#REF!,2,FALSE),(VLOOKUP($S7630,References!$B$3:$C$7,2,FALSE))),"")</f>
        <v/>
      </c>
      <c r="W7630" s="74" t="str">
        <f>IFERROR(VLOOKUP($O7630,'Customer List'!$A$1:$J$488,10,FALSE),"")</f>
        <v/>
      </c>
    </row>
    <row r="7631" spans="18:23">
      <c r="R7631" s="127">
        <f t="shared" si="313"/>
        <v>0</v>
      </c>
      <c r="T7631" s="128">
        <f t="shared" si="314"/>
        <v>0</v>
      </c>
      <c r="U7631" s="129" t="str">
        <f>IFERROR(IF(#REF!="S",VLOOKUP('Raw Data'!A7631,References!#REF!,2,FALSE),(VLOOKUP($S7631,References!$B$3:$C$7,2,FALSE))),"")</f>
        <v/>
      </c>
      <c r="W7631" s="74" t="str">
        <f>IFERROR(VLOOKUP($O7631,'Customer List'!$A$1:$J$488,10,FALSE),"")</f>
        <v/>
      </c>
    </row>
    <row r="7632" spans="18:23">
      <c r="R7632" s="127">
        <f t="shared" si="313"/>
        <v>0</v>
      </c>
      <c r="T7632" s="128">
        <f t="shared" si="314"/>
        <v>0</v>
      </c>
      <c r="U7632" s="129" t="str">
        <f>IFERROR(IF(#REF!="S",VLOOKUP('Raw Data'!A7632,References!#REF!,2,FALSE),(VLOOKUP($S7632,References!$B$3:$C$7,2,FALSE))),"")</f>
        <v/>
      </c>
      <c r="W7632" s="74" t="str">
        <f>IFERROR(VLOOKUP($O7632,'Customer List'!$A$1:$J$488,10,FALSE),"")</f>
        <v/>
      </c>
    </row>
    <row r="7633" spans="18:23">
      <c r="R7633" s="127">
        <f t="shared" si="313"/>
        <v>0</v>
      </c>
      <c r="T7633" s="128">
        <f t="shared" si="314"/>
        <v>0</v>
      </c>
      <c r="U7633" s="129" t="str">
        <f>IFERROR(IF(#REF!="S",VLOOKUP('Raw Data'!A7633,References!#REF!,2,FALSE),(VLOOKUP($S7633,References!$B$3:$C$7,2,FALSE))),"")</f>
        <v/>
      </c>
      <c r="W7633" s="74" t="str">
        <f>IFERROR(VLOOKUP($O7633,'Customer List'!$A$1:$J$488,10,FALSE),"")</f>
        <v/>
      </c>
    </row>
    <row r="7634" spans="18:23">
      <c r="R7634" s="127">
        <f t="shared" si="313"/>
        <v>0</v>
      </c>
      <c r="T7634" s="128">
        <f t="shared" si="314"/>
        <v>0</v>
      </c>
      <c r="U7634" s="129" t="str">
        <f>IFERROR(IF(#REF!="S",VLOOKUP('Raw Data'!A7634,References!#REF!,2,FALSE),(VLOOKUP($S7634,References!$B$3:$C$7,2,FALSE))),"")</f>
        <v/>
      </c>
      <c r="W7634" s="74" t="str">
        <f>IFERROR(VLOOKUP($O7634,'Customer List'!$A$1:$J$488,10,FALSE),"")</f>
        <v/>
      </c>
    </row>
    <row r="7635" spans="18:23">
      <c r="R7635" s="127">
        <f t="shared" si="313"/>
        <v>0</v>
      </c>
      <c r="T7635" s="128">
        <f t="shared" si="314"/>
        <v>0</v>
      </c>
      <c r="U7635" s="129" t="str">
        <f>IFERROR(IF(#REF!="S",VLOOKUP('Raw Data'!A7635,References!#REF!,2,FALSE),(VLOOKUP($S7635,References!$B$3:$C$7,2,FALSE))),"")</f>
        <v/>
      </c>
      <c r="W7635" s="74" t="str">
        <f>IFERROR(VLOOKUP($O7635,'Customer List'!$A$1:$J$488,10,FALSE),"")</f>
        <v/>
      </c>
    </row>
    <row r="7636" spans="18:23">
      <c r="R7636" s="127">
        <f t="shared" si="313"/>
        <v>0</v>
      </c>
      <c r="T7636" s="128">
        <f t="shared" si="314"/>
        <v>0</v>
      </c>
      <c r="U7636" s="129" t="str">
        <f>IFERROR(IF(#REF!="S",VLOOKUP('Raw Data'!A7636,References!#REF!,2,FALSE),(VLOOKUP($S7636,References!$B$3:$C$7,2,FALSE))),"")</f>
        <v/>
      </c>
      <c r="W7636" s="74" t="str">
        <f>IFERROR(VLOOKUP($O7636,'Customer List'!$A$1:$J$488,10,FALSE),"")</f>
        <v/>
      </c>
    </row>
    <row r="7637" spans="18:23">
      <c r="R7637" s="127">
        <f t="shared" si="313"/>
        <v>0</v>
      </c>
      <c r="T7637" s="128">
        <f t="shared" si="314"/>
        <v>0</v>
      </c>
      <c r="U7637" s="129" t="str">
        <f>IFERROR(IF(#REF!="S",VLOOKUP('Raw Data'!A7637,References!#REF!,2,FALSE),(VLOOKUP($S7637,References!$B$3:$C$7,2,FALSE))),"")</f>
        <v/>
      </c>
      <c r="W7637" s="74" t="str">
        <f>IFERROR(VLOOKUP($O7637,'Customer List'!$A$1:$J$488,10,FALSE),"")</f>
        <v/>
      </c>
    </row>
    <row r="7638" spans="18:23">
      <c r="R7638" s="127">
        <f t="shared" si="313"/>
        <v>0</v>
      </c>
      <c r="T7638" s="128">
        <f t="shared" si="314"/>
        <v>0</v>
      </c>
      <c r="U7638" s="129" t="str">
        <f>IFERROR(IF(#REF!="S",VLOOKUP('Raw Data'!A7638,References!#REF!,2,FALSE),(VLOOKUP($S7638,References!$B$3:$C$7,2,FALSE))),"")</f>
        <v/>
      </c>
      <c r="W7638" s="74" t="str">
        <f>IFERROR(VLOOKUP($O7638,'Customer List'!$A$1:$J$488,10,FALSE),"")</f>
        <v/>
      </c>
    </row>
    <row r="7639" spans="18:23">
      <c r="R7639" s="127">
        <f t="shared" si="313"/>
        <v>0</v>
      </c>
      <c r="T7639" s="128">
        <f t="shared" si="314"/>
        <v>0</v>
      </c>
      <c r="U7639" s="129" t="str">
        <f>IFERROR(IF(#REF!="S",VLOOKUP('Raw Data'!A7639,References!#REF!,2,FALSE),(VLOOKUP($S7639,References!$B$3:$C$7,2,FALSE))),"")</f>
        <v/>
      </c>
      <c r="W7639" s="74" t="str">
        <f>IFERROR(VLOOKUP($O7639,'Customer List'!$A$1:$J$488,10,FALSE),"")</f>
        <v/>
      </c>
    </row>
    <row r="7640" spans="18:23">
      <c r="R7640" s="127">
        <f t="shared" si="313"/>
        <v>0</v>
      </c>
      <c r="T7640" s="128">
        <f t="shared" si="314"/>
        <v>0</v>
      </c>
      <c r="U7640" s="129" t="str">
        <f>IFERROR(IF(#REF!="S",VLOOKUP('Raw Data'!A7640,References!#REF!,2,FALSE),(VLOOKUP($S7640,References!$B$3:$C$7,2,FALSE))),"")</f>
        <v/>
      </c>
      <c r="W7640" s="74" t="str">
        <f>IFERROR(VLOOKUP($O7640,'Customer List'!$A$1:$J$488,10,FALSE),"")</f>
        <v/>
      </c>
    </row>
    <row r="7641" spans="18:23">
      <c r="R7641" s="127">
        <f t="shared" si="313"/>
        <v>0</v>
      </c>
      <c r="T7641" s="128">
        <f t="shared" si="314"/>
        <v>0</v>
      </c>
      <c r="U7641" s="129" t="str">
        <f>IFERROR(IF(#REF!="S",VLOOKUP('Raw Data'!A7641,References!#REF!,2,FALSE),(VLOOKUP($S7641,References!$B$3:$C$7,2,FALSE))),"")</f>
        <v/>
      </c>
      <c r="W7641" s="74" t="str">
        <f>IFERROR(VLOOKUP($O7641,'Customer List'!$A$1:$J$488,10,FALSE),"")</f>
        <v/>
      </c>
    </row>
    <row r="7642" spans="18:23">
      <c r="R7642" s="127">
        <f t="shared" si="313"/>
        <v>0</v>
      </c>
      <c r="T7642" s="128">
        <f t="shared" si="314"/>
        <v>0</v>
      </c>
      <c r="U7642" s="129" t="str">
        <f>IFERROR(IF(#REF!="S",VLOOKUP('Raw Data'!A7642,References!#REF!,2,FALSE),(VLOOKUP($S7642,References!$B$3:$C$7,2,FALSE))),"")</f>
        <v/>
      </c>
      <c r="W7642" s="74" t="str">
        <f>IFERROR(VLOOKUP($O7642,'Customer List'!$A$1:$J$488,10,FALSE),"")</f>
        <v/>
      </c>
    </row>
    <row r="7643" spans="18:23">
      <c r="R7643" s="127">
        <f t="shared" si="313"/>
        <v>0</v>
      </c>
      <c r="T7643" s="128">
        <f t="shared" si="314"/>
        <v>0</v>
      </c>
      <c r="U7643" s="129" t="str">
        <f>IFERROR(IF(#REF!="S",VLOOKUP('Raw Data'!A7643,References!#REF!,2,FALSE),(VLOOKUP($S7643,References!$B$3:$C$7,2,FALSE))),"")</f>
        <v/>
      </c>
      <c r="W7643" s="74" t="str">
        <f>IFERROR(VLOOKUP($O7643,'Customer List'!$A$1:$J$488,10,FALSE),"")</f>
        <v/>
      </c>
    </row>
    <row r="7644" spans="18:23">
      <c r="R7644" s="127">
        <f t="shared" si="313"/>
        <v>0</v>
      </c>
      <c r="T7644" s="128">
        <f t="shared" si="314"/>
        <v>0</v>
      </c>
      <c r="U7644" s="129" t="str">
        <f>IFERROR(IF(#REF!="S",VLOOKUP('Raw Data'!A7644,References!#REF!,2,FALSE),(VLOOKUP($S7644,References!$B$3:$C$7,2,FALSE))),"")</f>
        <v/>
      </c>
      <c r="W7644" s="74" t="str">
        <f>IFERROR(VLOOKUP($O7644,'Customer List'!$A$1:$J$488,10,FALSE),"")</f>
        <v/>
      </c>
    </row>
    <row r="7645" spans="18:23">
      <c r="R7645" s="127">
        <f t="shared" si="313"/>
        <v>0</v>
      </c>
      <c r="T7645" s="128">
        <f t="shared" si="314"/>
        <v>0</v>
      </c>
      <c r="U7645" s="129" t="str">
        <f>IFERROR(IF(#REF!="S",VLOOKUP('Raw Data'!A7645,References!#REF!,2,FALSE),(VLOOKUP($S7645,References!$B$3:$C$7,2,FALSE))),"")</f>
        <v/>
      </c>
      <c r="W7645" s="74" t="str">
        <f>IFERROR(VLOOKUP($O7645,'Customer List'!$A$1:$J$488,10,FALSE),"")</f>
        <v/>
      </c>
    </row>
    <row r="7646" spans="18:23">
      <c r="R7646" s="127">
        <f t="shared" si="313"/>
        <v>0</v>
      </c>
      <c r="T7646" s="128">
        <f t="shared" si="314"/>
        <v>0</v>
      </c>
      <c r="U7646" s="129" t="str">
        <f>IFERROR(IF(#REF!="S",VLOOKUP('Raw Data'!A7646,References!#REF!,2,FALSE),(VLOOKUP($S7646,References!$B$3:$C$7,2,FALSE))),"")</f>
        <v/>
      </c>
      <c r="W7646" s="74" t="str">
        <f>IFERROR(VLOOKUP($O7646,'Customer List'!$A$1:$J$488,10,FALSE),"")</f>
        <v/>
      </c>
    </row>
    <row r="7647" spans="18:23">
      <c r="R7647" s="127">
        <f t="shared" si="313"/>
        <v>0</v>
      </c>
      <c r="T7647" s="128">
        <f t="shared" si="314"/>
        <v>0</v>
      </c>
      <c r="U7647" s="129" t="str">
        <f>IFERROR(IF(#REF!="S",VLOOKUP('Raw Data'!A7647,References!#REF!,2,FALSE),(VLOOKUP($S7647,References!$B$3:$C$7,2,FALSE))),"")</f>
        <v/>
      </c>
      <c r="W7647" s="74" t="str">
        <f>IFERROR(VLOOKUP($O7647,'Customer List'!$A$1:$J$488,10,FALSE),"")</f>
        <v/>
      </c>
    </row>
    <row r="7648" spans="18:23">
      <c r="R7648" s="127">
        <f t="shared" si="313"/>
        <v>0</v>
      </c>
      <c r="T7648" s="128">
        <f t="shared" si="314"/>
        <v>0</v>
      </c>
      <c r="U7648" s="129" t="str">
        <f>IFERROR(IF(#REF!="S",VLOOKUP('Raw Data'!A7648,References!#REF!,2,FALSE),(VLOOKUP($S7648,References!$B$3:$C$7,2,FALSE))),"")</f>
        <v/>
      </c>
      <c r="W7648" s="74" t="str">
        <f>IFERROR(VLOOKUP($O7648,'Customer List'!$A$1:$J$488,10,FALSE),"")</f>
        <v/>
      </c>
    </row>
    <row r="7649" spans="18:23">
      <c r="R7649" s="127">
        <f t="shared" si="313"/>
        <v>0</v>
      </c>
      <c r="T7649" s="128">
        <f t="shared" si="314"/>
        <v>0</v>
      </c>
      <c r="U7649" s="129" t="str">
        <f>IFERROR(IF(#REF!="S",VLOOKUP('Raw Data'!A7649,References!#REF!,2,FALSE),(VLOOKUP($S7649,References!$B$3:$C$7,2,FALSE))),"")</f>
        <v/>
      </c>
      <c r="W7649" s="74" t="str">
        <f>IFERROR(VLOOKUP($O7649,'Customer List'!$A$1:$J$488,10,FALSE),"")</f>
        <v/>
      </c>
    </row>
    <row r="7650" spans="18:23">
      <c r="R7650" s="127">
        <f t="shared" ref="R7650:R7713" si="315">L7650-K7650</f>
        <v>0</v>
      </c>
      <c r="T7650" s="128">
        <f t="shared" si="314"/>
        <v>0</v>
      </c>
      <c r="U7650" s="129" t="str">
        <f>IFERROR(IF(#REF!="S",VLOOKUP('Raw Data'!A7650,References!#REF!,2,FALSE),(VLOOKUP($S7650,References!$B$3:$C$7,2,FALSE))),"")</f>
        <v/>
      </c>
      <c r="W7650" s="74" t="str">
        <f>IFERROR(VLOOKUP($O7650,'Customer List'!$A$1:$J$488,10,FALSE),"")</f>
        <v/>
      </c>
    </row>
    <row r="7651" spans="18:23">
      <c r="R7651" s="127">
        <f t="shared" si="315"/>
        <v>0</v>
      </c>
      <c r="T7651" s="128">
        <f t="shared" si="314"/>
        <v>0</v>
      </c>
      <c r="U7651" s="129" t="str">
        <f>IFERROR(IF(#REF!="S",VLOOKUP('Raw Data'!A7651,References!#REF!,2,FALSE),(VLOOKUP($S7651,References!$B$3:$C$7,2,FALSE))),"")</f>
        <v/>
      </c>
      <c r="W7651" s="74" t="str">
        <f>IFERROR(VLOOKUP($O7651,'Customer List'!$A$1:$J$488,10,FALSE),"")</f>
        <v/>
      </c>
    </row>
    <row r="7652" spans="18:23">
      <c r="R7652" s="127">
        <f t="shared" si="315"/>
        <v>0</v>
      </c>
      <c r="T7652" s="128">
        <f t="shared" si="314"/>
        <v>0</v>
      </c>
      <c r="U7652" s="129" t="str">
        <f>IFERROR(IF(#REF!="S",VLOOKUP('Raw Data'!A7652,References!#REF!,2,FALSE),(VLOOKUP($S7652,References!$B$3:$C$7,2,FALSE))),"")</f>
        <v/>
      </c>
      <c r="W7652" s="74" t="str">
        <f>IFERROR(VLOOKUP($O7652,'Customer List'!$A$1:$J$488,10,FALSE),"")</f>
        <v/>
      </c>
    </row>
    <row r="7653" spans="18:23">
      <c r="R7653" s="127">
        <f t="shared" si="315"/>
        <v>0</v>
      </c>
      <c r="T7653" s="128">
        <f t="shared" si="314"/>
        <v>0</v>
      </c>
      <c r="U7653" s="129" t="str">
        <f>IFERROR(IF(#REF!="S",VLOOKUP('Raw Data'!A7653,References!#REF!,2,FALSE),(VLOOKUP($S7653,References!$B$3:$C$7,2,FALSE))),"")</f>
        <v/>
      </c>
      <c r="W7653" s="74" t="str">
        <f>IFERROR(VLOOKUP($O7653,'Customer List'!$A$1:$J$488,10,FALSE),"")</f>
        <v/>
      </c>
    </row>
    <row r="7654" spans="18:23">
      <c r="R7654" s="127">
        <f t="shared" si="315"/>
        <v>0</v>
      </c>
      <c r="T7654" s="128">
        <f t="shared" si="314"/>
        <v>0</v>
      </c>
      <c r="U7654" s="129" t="str">
        <f>IFERROR(IF(#REF!="S",VLOOKUP('Raw Data'!A7654,References!#REF!,2,FALSE),(VLOOKUP($S7654,References!$B$3:$C$7,2,FALSE))),"")</f>
        <v/>
      </c>
      <c r="W7654" s="74" t="str">
        <f>IFERROR(VLOOKUP($O7654,'Customer List'!$A$1:$J$488,10,FALSE),"")</f>
        <v/>
      </c>
    </row>
    <row r="7655" spans="18:23">
      <c r="R7655" s="127">
        <f t="shared" si="315"/>
        <v>0</v>
      </c>
      <c r="T7655" s="128">
        <f t="shared" si="314"/>
        <v>0</v>
      </c>
      <c r="U7655" s="129" t="str">
        <f>IFERROR(IF(#REF!="S",VLOOKUP('Raw Data'!A7655,References!#REF!,2,FALSE),(VLOOKUP($S7655,References!$B$3:$C$7,2,FALSE))),"")</f>
        <v/>
      </c>
      <c r="W7655" s="74" t="str">
        <f>IFERROR(VLOOKUP($O7655,'Customer List'!$A$1:$J$488,10,FALSE),"")</f>
        <v/>
      </c>
    </row>
    <row r="7656" spans="18:23">
      <c r="R7656" s="127">
        <f t="shared" si="315"/>
        <v>0</v>
      </c>
      <c r="T7656" s="128">
        <f t="shared" si="314"/>
        <v>0</v>
      </c>
      <c r="U7656" s="129" t="str">
        <f>IFERROR(IF(#REF!="S",VLOOKUP('Raw Data'!A7656,References!#REF!,2,FALSE),(VLOOKUP($S7656,References!$B$3:$C$7,2,FALSE))),"")</f>
        <v/>
      </c>
      <c r="W7656" s="74" t="str">
        <f>IFERROR(VLOOKUP($O7656,'Customer List'!$A$1:$J$488,10,FALSE),"")</f>
        <v/>
      </c>
    </row>
    <row r="7657" spans="18:23">
      <c r="R7657" s="127">
        <f t="shared" si="315"/>
        <v>0</v>
      </c>
      <c r="T7657" s="128">
        <f t="shared" si="314"/>
        <v>0</v>
      </c>
      <c r="U7657" s="129" t="str">
        <f>IFERROR(IF(#REF!="S",VLOOKUP('Raw Data'!A7657,References!#REF!,2,FALSE),(VLOOKUP($S7657,References!$B$3:$C$7,2,FALSE))),"")</f>
        <v/>
      </c>
      <c r="W7657" s="74" t="str">
        <f>IFERROR(VLOOKUP($O7657,'Customer List'!$A$1:$J$488,10,FALSE),"")</f>
        <v/>
      </c>
    </row>
    <row r="7658" spans="18:23">
      <c r="R7658" s="127">
        <f t="shared" si="315"/>
        <v>0</v>
      </c>
      <c r="T7658" s="128">
        <f t="shared" si="314"/>
        <v>0</v>
      </c>
      <c r="U7658" s="129" t="str">
        <f>IFERROR(IF(#REF!="S",VLOOKUP('Raw Data'!A7658,References!#REF!,2,FALSE),(VLOOKUP($S7658,References!$B$3:$C$7,2,FALSE))),"")</f>
        <v/>
      </c>
      <c r="W7658" s="74" t="str">
        <f>IFERROR(VLOOKUP($O7658,'Customer List'!$A$1:$J$488,10,FALSE),"")</f>
        <v/>
      </c>
    </row>
    <row r="7659" spans="18:23">
      <c r="R7659" s="127">
        <f t="shared" si="315"/>
        <v>0</v>
      </c>
      <c r="T7659" s="128">
        <f t="shared" si="314"/>
        <v>0</v>
      </c>
      <c r="U7659" s="129" t="str">
        <f>IFERROR(IF(#REF!="S",VLOOKUP('Raw Data'!A7659,References!#REF!,2,FALSE),(VLOOKUP($S7659,References!$B$3:$C$7,2,FALSE))),"")</f>
        <v/>
      </c>
      <c r="W7659" s="74" t="str">
        <f>IFERROR(VLOOKUP($O7659,'Customer List'!$A$1:$J$488,10,FALSE),"")</f>
        <v/>
      </c>
    </row>
    <row r="7660" spans="18:23">
      <c r="R7660" s="127">
        <f t="shared" si="315"/>
        <v>0</v>
      </c>
      <c r="T7660" s="128">
        <f t="shared" si="314"/>
        <v>0</v>
      </c>
      <c r="U7660" s="129" t="str">
        <f>IFERROR(IF(#REF!="S",VLOOKUP('Raw Data'!A7660,References!#REF!,2,FALSE),(VLOOKUP($S7660,References!$B$3:$C$7,2,FALSE))),"")</f>
        <v/>
      </c>
      <c r="W7660" s="74" t="str">
        <f>IFERROR(VLOOKUP($O7660,'Customer List'!$A$1:$J$488,10,FALSE),"")</f>
        <v/>
      </c>
    </row>
    <row r="7661" spans="18:23">
      <c r="R7661" s="127">
        <f t="shared" si="315"/>
        <v>0</v>
      </c>
      <c r="T7661" s="128">
        <f t="shared" si="314"/>
        <v>0</v>
      </c>
      <c r="U7661" s="129" t="str">
        <f>IFERROR(IF(#REF!="S",VLOOKUP('Raw Data'!A7661,References!#REF!,2,FALSE),(VLOOKUP($S7661,References!$B$3:$C$7,2,FALSE))),"")</f>
        <v/>
      </c>
      <c r="W7661" s="74" t="str">
        <f>IFERROR(VLOOKUP($O7661,'Customer List'!$A$1:$J$488,10,FALSE),"")</f>
        <v/>
      </c>
    </row>
    <row r="7662" spans="18:23">
      <c r="R7662" s="127">
        <f t="shared" si="315"/>
        <v>0</v>
      </c>
      <c r="T7662" s="128">
        <f t="shared" si="314"/>
        <v>0</v>
      </c>
      <c r="U7662" s="129" t="str">
        <f>IFERROR(IF(#REF!="S",VLOOKUP('Raw Data'!A7662,References!#REF!,2,FALSE),(VLOOKUP($S7662,References!$B$3:$C$7,2,FALSE))),"")</f>
        <v/>
      </c>
      <c r="W7662" s="74" t="str">
        <f>IFERROR(VLOOKUP($O7662,'Customer List'!$A$1:$J$488,10,FALSE),"")</f>
        <v/>
      </c>
    </row>
    <row r="7663" spans="18:23">
      <c r="R7663" s="127">
        <f t="shared" si="315"/>
        <v>0</v>
      </c>
      <c r="T7663" s="128">
        <f t="shared" si="314"/>
        <v>0</v>
      </c>
      <c r="U7663" s="129" t="str">
        <f>IFERROR(IF(#REF!="S",VLOOKUP('Raw Data'!A7663,References!#REF!,2,FALSE),(VLOOKUP($S7663,References!$B$3:$C$7,2,FALSE))),"")</f>
        <v/>
      </c>
      <c r="W7663" s="74" t="str">
        <f>IFERROR(VLOOKUP($O7663,'Customer List'!$A$1:$J$488,10,FALSE),"")</f>
        <v/>
      </c>
    </row>
    <row r="7664" spans="18:23">
      <c r="R7664" s="127">
        <f t="shared" si="315"/>
        <v>0</v>
      </c>
      <c r="T7664" s="128">
        <f t="shared" si="314"/>
        <v>0</v>
      </c>
      <c r="U7664" s="129" t="str">
        <f>IFERROR(IF(#REF!="S",VLOOKUP('Raw Data'!A7664,References!#REF!,2,FALSE),(VLOOKUP($S7664,References!$B$3:$C$7,2,FALSE))),"")</f>
        <v/>
      </c>
      <c r="W7664" s="74" t="str">
        <f>IFERROR(VLOOKUP($O7664,'Customer List'!$A$1:$J$488,10,FALSE),"")</f>
        <v/>
      </c>
    </row>
    <row r="7665" spans="18:23">
      <c r="R7665" s="127">
        <f t="shared" si="315"/>
        <v>0</v>
      </c>
      <c r="T7665" s="128">
        <f t="shared" si="314"/>
        <v>0</v>
      </c>
      <c r="U7665" s="129" t="str">
        <f>IFERROR(IF(#REF!="S",VLOOKUP('Raw Data'!A7665,References!#REF!,2,FALSE),(VLOOKUP($S7665,References!$B$3:$C$7,2,FALSE))),"")</f>
        <v/>
      </c>
      <c r="W7665" s="74" t="str">
        <f>IFERROR(VLOOKUP($O7665,'Customer List'!$A$1:$J$488,10,FALSE),"")</f>
        <v/>
      </c>
    </row>
    <row r="7666" spans="18:23">
      <c r="R7666" s="127">
        <f t="shared" si="315"/>
        <v>0</v>
      </c>
      <c r="T7666" s="128">
        <f t="shared" si="314"/>
        <v>0</v>
      </c>
      <c r="U7666" s="129" t="str">
        <f>IFERROR(IF(#REF!="S",VLOOKUP('Raw Data'!A7666,References!#REF!,2,FALSE),(VLOOKUP($S7666,References!$B$3:$C$7,2,FALSE))),"")</f>
        <v/>
      </c>
      <c r="W7666" s="74" t="str">
        <f>IFERROR(VLOOKUP($O7666,'Customer List'!$A$1:$J$488,10,FALSE),"")</f>
        <v/>
      </c>
    </row>
    <row r="7667" spans="18:23">
      <c r="R7667" s="127">
        <f t="shared" si="315"/>
        <v>0</v>
      </c>
      <c r="T7667" s="128">
        <f t="shared" si="314"/>
        <v>0</v>
      </c>
      <c r="U7667" s="129" t="str">
        <f>IFERROR(IF(#REF!="S",VLOOKUP('Raw Data'!A7667,References!#REF!,2,FALSE),(VLOOKUP($S7667,References!$B$3:$C$7,2,FALSE))),"")</f>
        <v/>
      </c>
      <c r="W7667" s="74" t="str">
        <f>IFERROR(VLOOKUP($O7667,'Customer List'!$A$1:$J$488,10,FALSE),"")</f>
        <v/>
      </c>
    </row>
    <row r="7668" spans="18:23">
      <c r="R7668" s="127">
        <f t="shared" si="315"/>
        <v>0</v>
      </c>
      <c r="T7668" s="128">
        <f t="shared" si="314"/>
        <v>0</v>
      </c>
      <c r="U7668" s="129" t="str">
        <f>IFERROR(IF(#REF!="S",VLOOKUP('Raw Data'!A7668,References!#REF!,2,FALSE),(VLOOKUP($S7668,References!$B$3:$C$7,2,FALSE))),"")</f>
        <v/>
      </c>
      <c r="W7668" s="74" t="str">
        <f>IFERROR(VLOOKUP($O7668,'Customer List'!$A$1:$J$488,10,FALSE),"")</f>
        <v/>
      </c>
    </row>
    <row r="7669" spans="18:23">
      <c r="R7669" s="127">
        <f t="shared" si="315"/>
        <v>0</v>
      </c>
      <c r="T7669" s="128">
        <f t="shared" si="314"/>
        <v>0</v>
      </c>
      <c r="U7669" s="129" t="str">
        <f>IFERROR(IF(#REF!="S",VLOOKUP('Raw Data'!A7669,References!#REF!,2,FALSE),(VLOOKUP($S7669,References!$B$3:$C$7,2,FALSE))),"")</f>
        <v/>
      </c>
      <c r="W7669" s="74" t="str">
        <f>IFERROR(VLOOKUP($O7669,'Customer List'!$A$1:$J$488,10,FALSE),"")</f>
        <v/>
      </c>
    </row>
    <row r="7670" spans="18:23">
      <c r="R7670" s="127">
        <f t="shared" si="315"/>
        <v>0</v>
      </c>
      <c r="T7670" s="128">
        <f t="shared" si="314"/>
        <v>0</v>
      </c>
      <c r="U7670" s="129" t="str">
        <f>IFERROR(IF(#REF!="S",VLOOKUP('Raw Data'!A7670,References!#REF!,2,FALSE),(VLOOKUP($S7670,References!$B$3:$C$7,2,FALSE))),"")</f>
        <v/>
      </c>
      <c r="W7670" s="74" t="str">
        <f>IFERROR(VLOOKUP($O7670,'Customer List'!$A$1:$J$488,10,FALSE),"")</f>
        <v/>
      </c>
    </row>
    <row r="7671" spans="18:23">
      <c r="R7671" s="127">
        <f t="shared" si="315"/>
        <v>0</v>
      </c>
      <c r="T7671" s="128">
        <f t="shared" si="314"/>
        <v>0</v>
      </c>
      <c r="U7671" s="129" t="str">
        <f>IFERROR(IF(#REF!="S",VLOOKUP('Raw Data'!A7671,References!#REF!,2,FALSE),(VLOOKUP($S7671,References!$B$3:$C$7,2,FALSE))),"")</f>
        <v/>
      </c>
      <c r="W7671" s="74" t="str">
        <f>IFERROR(VLOOKUP($O7671,'Customer List'!$A$1:$J$488,10,FALSE),"")</f>
        <v/>
      </c>
    </row>
    <row r="7672" spans="18:23">
      <c r="R7672" s="127">
        <f t="shared" si="315"/>
        <v>0</v>
      </c>
      <c r="T7672" s="128">
        <f t="shared" si="314"/>
        <v>0</v>
      </c>
      <c r="U7672" s="129" t="str">
        <f>IFERROR(IF(#REF!="S",VLOOKUP('Raw Data'!A7672,References!#REF!,2,FALSE),(VLOOKUP($S7672,References!$B$3:$C$7,2,FALSE))),"")</f>
        <v/>
      </c>
      <c r="W7672" s="74" t="str">
        <f>IFERROR(VLOOKUP($O7672,'Customer List'!$A$1:$J$488,10,FALSE),"")</f>
        <v/>
      </c>
    </row>
    <row r="7673" spans="18:23">
      <c r="R7673" s="127">
        <f t="shared" si="315"/>
        <v>0</v>
      </c>
      <c r="T7673" s="128">
        <f t="shared" si="314"/>
        <v>0</v>
      </c>
      <c r="U7673" s="129" t="str">
        <f>IFERROR(IF(#REF!="S",VLOOKUP('Raw Data'!A7673,References!#REF!,2,FALSE),(VLOOKUP($S7673,References!$B$3:$C$7,2,FALSE))),"")</f>
        <v/>
      </c>
      <c r="W7673" s="74" t="str">
        <f>IFERROR(VLOOKUP($O7673,'Customer List'!$A$1:$J$488,10,FALSE),"")</f>
        <v/>
      </c>
    </row>
    <row r="7674" spans="18:23">
      <c r="R7674" s="127">
        <f t="shared" si="315"/>
        <v>0</v>
      </c>
      <c r="T7674" s="128">
        <f t="shared" si="314"/>
        <v>0</v>
      </c>
      <c r="U7674" s="129" t="str">
        <f>IFERROR(IF(#REF!="S",VLOOKUP('Raw Data'!A7674,References!#REF!,2,FALSE),(VLOOKUP($S7674,References!$B$3:$C$7,2,FALSE))),"")</f>
        <v/>
      </c>
      <c r="W7674" s="74" t="str">
        <f>IFERROR(VLOOKUP($O7674,'Customer List'!$A$1:$J$488,10,FALSE),"")</f>
        <v/>
      </c>
    </row>
    <row r="7675" spans="18:23">
      <c r="R7675" s="127">
        <f t="shared" si="315"/>
        <v>0</v>
      </c>
      <c r="T7675" s="128">
        <f t="shared" si="314"/>
        <v>0</v>
      </c>
      <c r="U7675" s="129" t="str">
        <f>IFERROR(IF(#REF!="S",VLOOKUP('Raw Data'!A7675,References!#REF!,2,FALSE),(VLOOKUP($S7675,References!$B$3:$C$7,2,FALSE))),"")</f>
        <v/>
      </c>
      <c r="W7675" s="74" t="str">
        <f>IFERROR(VLOOKUP($O7675,'Customer List'!$A$1:$J$488,10,FALSE),"")</f>
        <v/>
      </c>
    </row>
    <row r="7676" spans="18:23">
      <c r="R7676" s="127">
        <f t="shared" si="315"/>
        <v>0</v>
      </c>
      <c r="T7676" s="128">
        <f t="shared" si="314"/>
        <v>0</v>
      </c>
      <c r="U7676" s="129" t="str">
        <f>IFERROR(IF(#REF!="S",VLOOKUP('Raw Data'!A7676,References!#REF!,2,FALSE),(VLOOKUP($S7676,References!$B$3:$C$7,2,FALSE))),"")</f>
        <v/>
      </c>
      <c r="W7676" s="74" t="str">
        <f>IFERROR(VLOOKUP($O7676,'Customer List'!$A$1:$J$488,10,FALSE),"")</f>
        <v/>
      </c>
    </row>
    <row r="7677" spans="18:23">
      <c r="R7677" s="127">
        <f t="shared" si="315"/>
        <v>0</v>
      </c>
      <c r="T7677" s="128">
        <f t="shared" si="314"/>
        <v>0</v>
      </c>
      <c r="U7677" s="129" t="str">
        <f>IFERROR(IF(#REF!="S",VLOOKUP('Raw Data'!A7677,References!#REF!,2,FALSE),(VLOOKUP($S7677,References!$B$3:$C$7,2,FALSE))),"")</f>
        <v/>
      </c>
      <c r="W7677" s="74" t="str">
        <f>IFERROR(VLOOKUP($O7677,'Customer List'!$A$1:$J$488,10,FALSE),"")</f>
        <v/>
      </c>
    </row>
    <row r="7678" spans="18:23">
      <c r="R7678" s="127">
        <f t="shared" si="315"/>
        <v>0</v>
      </c>
      <c r="T7678" s="128">
        <f t="shared" si="314"/>
        <v>0</v>
      </c>
      <c r="U7678" s="129" t="str">
        <f>IFERROR(IF(#REF!="S",VLOOKUP('Raw Data'!A7678,References!#REF!,2,FALSE),(VLOOKUP($S7678,References!$B$3:$C$7,2,FALSE))),"")</f>
        <v/>
      </c>
      <c r="W7678" s="74" t="str">
        <f>IFERROR(VLOOKUP($O7678,'Customer List'!$A$1:$J$488,10,FALSE),"")</f>
        <v/>
      </c>
    </row>
    <row r="7679" spans="18:23">
      <c r="R7679" s="127">
        <f t="shared" si="315"/>
        <v>0</v>
      </c>
      <c r="T7679" s="128">
        <f t="shared" si="314"/>
        <v>0</v>
      </c>
      <c r="U7679" s="129" t="str">
        <f>IFERROR(IF(#REF!="S",VLOOKUP('Raw Data'!A7679,References!#REF!,2,FALSE),(VLOOKUP($S7679,References!$B$3:$C$7,2,FALSE))),"")</f>
        <v/>
      </c>
      <c r="W7679" s="74" t="str">
        <f>IFERROR(VLOOKUP($O7679,'Customer List'!$A$1:$J$488,10,FALSE),"")</f>
        <v/>
      </c>
    </row>
    <row r="7680" spans="18:23">
      <c r="R7680" s="127">
        <f t="shared" si="315"/>
        <v>0</v>
      </c>
      <c r="T7680" s="128">
        <f t="shared" si="314"/>
        <v>0</v>
      </c>
      <c r="U7680" s="129" t="str">
        <f>IFERROR(IF(#REF!="S",VLOOKUP('Raw Data'!A7680,References!#REF!,2,FALSE),(VLOOKUP($S7680,References!$B$3:$C$7,2,FALSE))),"")</f>
        <v/>
      </c>
      <c r="W7680" s="74" t="str">
        <f>IFERROR(VLOOKUP($O7680,'Customer List'!$A$1:$J$488,10,FALSE),"")</f>
        <v/>
      </c>
    </row>
    <row r="7681" spans="18:23">
      <c r="R7681" s="127">
        <f t="shared" si="315"/>
        <v>0</v>
      </c>
      <c r="T7681" s="128">
        <f t="shared" si="314"/>
        <v>0</v>
      </c>
      <c r="U7681" s="129" t="str">
        <f>IFERROR(IF(#REF!="S",VLOOKUP('Raw Data'!A7681,References!#REF!,2,FALSE),(VLOOKUP($S7681,References!$B$3:$C$7,2,FALSE))),"")</f>
        <v/>
      </c>
      <c r="W7681" s="74" t="str">
        <f>IFERROR(VLOOKUP($O7681,'Customer List'!$A$1:$J$488,10,FALSE),"")</f>
        <v/>
      </c>
    </row>
    <row r="7682" spans="18:23">
      <c r="R7682" s="127">
        <f t="shared" si="315"/>
        <v>0</v>
      </c>
      <c r="T7682" s="128">
        <f t="shared" si="314"/>
        <v>0</v>
      </c>
      <c r="U7682" s="129" t="str">
        <f>IFERROR(IF(#REF!="S",VLOOKUP('Raw Data'!A7682,References!#REF!,2,FALSE),(VLOOKUP($S7682,References!$B$3:$C$7,2,FALSE))),"")</f>
        <v/>
      </c>
      <c r="W7682" s="74" t="str">
        <f>IFERROR(VLOOKUP($O7682,'Customer List'!$A$1:$J$488,10,FALSE),"")</f>
        <v/>
      </c>
    </row>
    <row r="7683" spans="18:23">
      <c r="R7683" s="127">
        <f t="shared" si="315"/>
        <v>0</v>
      </c>
      <c r="T7683" s="128">
        <f t="shared" si="314"/>
        <v>0</v>
      </c>
      <c r="U7683" s="129" t="str">
        <f>IFERROR(IF(#REF!="S",VLOOKUP('Raw Data'!A7683,References!#REF!,2,FALSE),(VLOOKUP($S7683,References!$B$3:$C$7,2,FALSE))),"")</f>
        <v/>
      </c>
      <c r="W7683" s="74" t="str">
        <f>IFERROR(VLOOKUP($O7683,'Customer List'!$A$1:$J$488,10,FALSE),"")</f>
        <v/>
      </c>
    </row>
    <row r="7684" spans="18:23">
      <c r="R7684" s="127">
        <f t="shared" si="315"/>
        <v>0</v>
      </c>
      <c r="T7684" s="128">
        <f t="shared" si="314"/>
        <v>0</v>
      </c>
      <c r="U7684" s="129" t="str">
        <f>IFERROR(IF(#REF!="S",VLOOKUP('Raw Data'!A7684,References!#REF!,2,FALSE),(VLOOKUP($S7684,References!$B$3:$C$7,2,FALSE))),"")</f>
        <v/>
      </c>
      <c r="W7684" s="74" t="str">
        <f>IFERROR(VLOOKUP($O7684,'Customer List'!$A$1:$J$488,10,FALSE),"")</f>
        <v/>
      </c>
    </row>
    <row r="7685" spans="18:23">
      <c r="R7685" s="127">
        <f t="shared" si="315"/>
        <v>0</v>
      </c>
      <c r="T7685" s="128">
        <f t="shared" si="314"/>
        <v>0</v>
      </c>
      <c r="U7685" s="129" t="str">
        <f>IFERROR(IF(#REF!="S",VLOOKUP('Raw Data'!A7685,References!#REF!,2,FALSE),(VLOOKUP($S7685,References!$B$3:$C$7,2,FALSE))),"")</f>
        <v/>
      </c>
      <c r="W7685" s="74" t="str">
        <f>IFERROR(VLOOKUP($O7685,'Customer List'!$A$1:$J$488,10,FALSE),"")</f>
        <v/>
      </c>
    </row>
    <row r="7686" spans="18:23">
      <c r="R7686" s="127">
        <f t="shared" si="315"/>
        <v>0</v>
      </c>
      <c r="T7686" s="128">
        <f t="shared" si="314"/>
        <v>0</v>
      </c>
      <c r="U7686" s="129" t="str">
        <f>IFERROR(IF(#REF!="S",VLOOKUP('Raw Data'!A7686,References!#REF!,2,FALSE),(VLOOKUP($S7686,References!$B$3:$C$7,2,FALSE))),"")</f>
        <v/>
      </c>
      <c r="W7686" s="74" t="str">
        <f>IFERROR(VLOOKUP($O7686,'Customer List'!$A$1:$J$488,10,FALSE),"")</f>
        <v/>
      </c>
    </row>
    <row r="7687" spans="18:23">
      <c r="R7687" s="127">
        <f t="shared" si="315"/>
        <v>0</v>
      </c>
      <c r="T7687" s="128">
        <f t="shared" si="314"/>
        <v>0</v>
      </c>
      <c r="U7687" s="129" t="str">
        <f>IFERROR(IF(#REF!="S",VLOOKUP('Raw Data'!A7687,References!#REF!,2,FALSE),(VLOOKUP($S7687,References!$B$3:$C$7,2,FALSE))),"")</f>
        <v/>
      </c>
      <c r="W7687" s="74" t="str">
        <f>IFERROR(VLOOKUP($O7687,'Customer List'!$A$1:$J$488,10,FALSE),"")</f>
        <v/>
      </c>
    </row>
    <row r="7688" spans="18:23">
      <c r="R7688" s="127">
        <f t="shared" si="315"/>
        <v>0</v>
      </c>
      <c r="T7688" s="128">
        <f t="shared" si="314"/>
        <v>0</v>
      </c>
      <c r="U7688" s="129" t="str">
        <f>IFERROR(IF(#REF!="S",VLOOKUP('Raw Data'!A7688,References!#REF!,2,FALSE),(VLOOKUP($S7688,References!$B$3:$C$7,2,FALSE))),"")</f>
        <v/>
      </c>
      <c r="W7688" s="74" t="str">
        <f>IFERROR(VLOOKUP($O7688,'Customer List'!$A$1:$J$488,10,FALSE),"")</f>
        <v/>
      </c>
    </row>
    <row r="7689" spans="18:23">
      <c r="R7689" s="127">
        <f t="shared" si="315"/>
        <v>0</v>
      </c>
      <c r="T7689" s="128">
        <f t="shared" si="314"/>
        <v>0</v>
      </c>
      <c r="U7689" s="129" t="str">
        <f>IFERROR(IF(#REF!="S",VLOOKUP('Raw Data'!A7689,References!#REF!,2,FALSE),(VLOOKUP($S7689,References!$B$3:$C$7,2,FALSE))),"")</f>
        <v/>
      </c>
      <c r="W7689" s="74" t="str">
        <f>IFERROR(VLOOKUP($O7689,'Customer List'!$A$1:$J$488,10,FALSE),"")</f>
        <v/>
      </c>
    </row>
    <row r="7690" spans="18:23">
      <c r="R7690" s="127">
        <f t="shared" si="315"/>
        <v>0</v>
      </c>
      <c r="T7690" s="128">
        <f t="shared" ref="T7690:T7753" si="316">IF(S7690="50 - Cleaning Fee",1,HOUR($R7690)+MINUTE(R7690)/60)</f>
        <v>0</v>
      </c>
      <c r="U7690" s="129" t="str">
        <f>IFERROR(IF(#REF!="S",VLOOKUP('Raw Data'!A7690,References!#REF!,2,FALSE),(VLOOKUP($S7690,References!$B$3:$C$7,2,FALSE))),"")</f>
        <v/>
      </c>
      <c r="W7690" s="74" t="str">
        <f>IFERROR(VLOOKUP($O7690,'Customer List'!$A$1:$J$488,10,FALSE),"")</f>
        <v/>
      </c>
    </row>
    <row r="7691" spans="18:23">
      <c r="R7691" s="127">
        <f t="shared" si="315"/>
        <v>0</v>
      </c>
      <c r="T7691" s="128">
        <f t="shared" si="316"/>
        <v>0</v>
      </c>
      <c r="U7691" s="129" t="str">
        <f>IFERROR(IF(#REF!="S",VLOOKUP('Raw Data'!A7691,References!#REF!,2,FALSE),(VLOOKUP($S7691,References!$B$3:$C$7,2,FALSE))),"")</f>
        <v/>
      </c>
      <c r="W7691" s="74" t="str">
        <f>IFERROR(VLOOKUP($O7691,'Customer List'!$A$1:$J$488,10,FALSE),"")</f>
        <v/>
      </c>
    </row>
    <row r="7692" spans="18:23">
      <c r="R7692" s="127">
        <f t="shared" si="315"/>
        <v>0</v>
      </c>
      <c r="T7692" s="128">
        <f t="shared" si="316"/>
        <v>0</v>
      </c>
      <c r="U7692" s="129" t="str">
        <f>IFERROR(IF(#REF!="S",VLOOKUP('Raw Data'!A7692,References!#REF!,2,FALSE),(VLOOKUP($S7692,References!$B$3:$C$7,2,FALSE))),"")</f>
        <v/>
      </c>
      <c r="W7692" s="74" t="str">
        <f>IFERROR(VLOOKUP($O7692,'Customer List'!$A$1:$J$488,10,FALSE),"")</f>
        <v/>
      </c>
    </row>
    <row r="7693" spans="18:23">
      <c r="R7693" s="127">
        <f t="shared" si="315"/>
        <v>0</v>
      </c>
      <c r="T7693" s="128">
        <f t="shared" si="316"/>
        <v>0</v>
      </c>
      <c r="U7693" s="129" t="str">
        <f>IFERROR(IF(#REF!="S",VLOOKUP('Raw Data'!A7693,References!#REF!,2,FALSE),(VLOOKUP($S7693,References!$B$3:$C$7,2,FALSE))),"")</f>
        <v/>
      </c>
      <c r="W7693" s="74" t="str">
        <f>IFERROR(VLOOKUP($O7693,'Customer List'!$A$1:$J$488,10,FALSE),"")</f>
        <v/>
      </c>
    </row>
    <row r="7694" spans="18:23">
      <c r="R7694" s="127">
        <f t="shared" si="315"/>
        <v>0</v>
      </c>
      <c r="T7694" s="128">
        <f t="shared" si="316"/>
        <v>0</v>
      </c>
      <c r="U7694" s="129" t="str">
        <f>IFERROR(IF(#REF!="S",VLOOKUP('Raw Data'!A7694,References!#REF!,2,FALSE),(VLOOKUP($S7694,References!$B$3:$C$7,2,FALSE))),"")</f>
        <v/>
      </c>
      <c r="W7694" s="74" t="str">
        <f>IFERROR(VLOOKUP($O7694,'Customer List'!$A$1:$J$488,10,FALSE),"")</f>
        <v/>
      </c>
    </row>
    <row r="7695" spans="18:23">
      <c r="R7695" s="127">
        <f t="shared" si="315"/>
        <v>0</v>
      </c>
      <c r="T7695" s="128">
        <f t="shared" si="316"/>
        <v>0</v>
      </c>
      <c r="U7695" s="129" t="str">
        <f>IFERROR(IF(#REF!="S",VLOOKUP('Raw Data'!A7695,References!#REF!,2,FALSE),(VLOOKUP($S7695,References!$B$3:$C$7,2,FALSE))),"")</f>
        <v/>
      </c>
      <c r="W7695" s="74" t="str">
        <f>IFERROR(VLOOKUP($O7695,'Customer List'!$A$1:$J$488,10,FALSE),"")</f>
        <v/>
      </c>
    </row>
    <row r="7696" spans="18:23">
      <c r="R7696" s="127">
        <f t="shared" si="315"/>
        <v>0</v>
      </c>
      <c r="T7696" s="128">
        <f t="shared" si="316"/>
        <v>0</v>
      </c>
      <c r="U7696" s="129" t="str">
        <f>IFERROR(IF(#REF!="S",VLOOKUP('Raw Data'!A7696,References!#REF!,2,FALSE),(VLOOKUP($S7696,References!$B$3:$C$7,2,FALSE))),"")</f>
        <v/>
      </c>
      <c r="W7696" s="74" t="str">
        <f>IFERROR(VLOOKUP($O7696,'Customer List'!$A$1:$J$488,10,FALSE),"")</f>
        <v/>
      </c>
    </row>
    <row r="7697" spans="18:23">
      <c r="R7697" s="127">
        <f t="shared" si="315"/>
        <v>0</v>
      </c>
      <c r="T7697" s="128">
        <f t="shared" si="316"/>
        <v>0</v>
      </c>
      <c r="U7697" s="129" t="str">
        <f>IFERROR(IF(#REF!="S",VLOOKUP('Raw Data'!A7697,References!#REF!,2,FALSE),(VLOOKUP($S7697,References!$B$3:$C$7,2,FALSE))),"")</f>
        <v/>
      </c>
      <c r="W7697" s="74" t="str">
        <f>IFERROR(VLOOKUP($O7697,'Customer List'!$A$1:$J$488,10,FALSE),"")</f>
        <v/>
      </c>
    </row>
    <row r="7698" spans="18:23">
      <c r="R7698" s="127">
        <f t="shared" si="315"/>
        <v>0</v>
      </c>
      <c r="T7698" s="128">
        <f t="shared" si="316"/>
        <v>0</v>
      </c>
      <c r="U7698" s="129" t="str">
        <f>IFERROR(IF(#REF!="S",VLOOKUP('Raw Data'!A7698,References!#REF!,2,FALSE),(VLOOKUP($S7698,References!$B$3:$C$7,2,FALSE))),"")</f>
        <v/>
      </c>
      <c r="W7698" s="74" t="str">
        <f>IFERROR(VLOOKUP($O7698,'Customer List'!$A$1:$J$488,10,FALSE),"")</f>
        <v/>
      </c>
    </row>
    <row r="7699" spans="18:23">
      <c r="R7699" s="127">
        <f t="shared" si="315"/>
        <v>0</v>
      </c>
      <c r="T7699" s="128">
        <f t="shared" si="316"/>
        <v>0</v>
      </c>
      <c r="U7699" s="129" t="str">
        <f>IFERROR(IF(#REF!="S",VLOOKUP('Raw Data'!A7699,References!#REF!,2,FALSE),(VLOOKUP($S7699,References!$B$3:$C$7,2,FALSE))),"")</f>
        <v/>
      </c>
      <c r="W7699" s="74" t="str">
        <f>IFERROR(VLOOKUP($O7699,'Customer List'!$A$1:$J$488,10,FALSE),"")</f>
        <v/>
      </c>
    </row>
    <row r="7700" spans="18:23">
      <c r="R7700" s="127">
        <f t="shared" si="315"/>
        <v>0</v>
      </c>
      <c r="T7700" s="128">
        <f t="shared" si="316"/>
        <v>0</v>
      </c>
      <c r="U7700" s="129" t="str">
        <f>IFERROR(IF(#REF!="S",VLOOKUP('Raw Data'!A7700,References!#REF!,2,FALSE),(VLOOKUP($S7700,References!$B$3:$C$7,2,FALSE))),"")</f>
        <v/>
      </c>
      <c r="W7700" s="74" t="str">
        <f>IFERROR(VLOOKUP($O7700,'Customer List'!$A$1:$J$488,10,FALSE),"")</f>
        <v/>
      </c>
    </row>
    <row r="7701" spans="18:23">
      <c r="R7701" s="127">
        <f t="shared" si="315"/>
        <v>0</v>
      </c>
      <c r="T7701" s="128">
        <f t="shared" si="316"/>
        <v>0</v>
      </c>
      <c r="U7701" s="129" t="str">
        <f>IFERROR(IF(#REF!="S",VLOOKUP('Raw Data'!A7701,References!#REF!,2,FALSE),(VLOOKUP($S7701,References!$B$3:$C$7,2,FALSE))),"")</f>
        <v/>
      </c>
      <c r="W7701" s="74" t="str">
        <f>IFERROR(VLOOKUP($O7701,'Customer List'!$A$1:$J$488,10,FALSE),"")</f>
        <v/>
      </c>
    </row>
    <row r="7702" spans="18:23">
      <c r="R7702" s="127">
        <f t="shared" si="315"/>
        <v>0</v>
      </c>
      <c r="T7702" s="128">
        <f t="shared" si="316"/>
        <v>0</v>
      </c>
      <c r="U7702" s="129" t="str">
        <f>IFERROR(IF(#REF!="S",VLOOKUP('Raw Data'!A7702,References!#REF!,2,FALSE),(VLOOKUP($S7702,References!$B$3:$C$7,2,FALSE))),"")</f>
        <v/>
      </c>
      <c r="W7702" s="74" t="str">
        <f>IFERROR(VLOOKUP($O7702,'Customer List'!$A$1:$J$488,10,FALSE),"")</f>
        <v/>
      </c>
    </row>
    <row r="7703" spans="18:23">
      <c r="R7703" s="127">
        <f t="shared" si="315"/>
        <v>0</v>
      </c>
      <c r="T7703" s="128">
        <f t="shared" si="316"/>
        <v>0</v>
      </c>
      <c r="U7703" s="129" t="str">
        <f>IFERROR(IF(#REF!="S",VLOOKUP('Raw Data'!A7703,References!#REF!,2,FALSE),(VLOOKUP($S7703,References!$B$3:$C$7,2,FALSE))),"")</f>
        <v/>
      </c>
      <c r="W7703" s="74" t="str">
        <f>IFERROR(VLOOKUP($O7703,'Customer List'!$A$1:$J$488,10,FALSE),"")</f>
        <v/>
      </c>
    </row>
    <row r="7704" spans="18:23">
      <c r="R7704" s="127">
        <f t="shared" si="315"/>
        <v>0</v>
      </c>
      <c r="T7704" s="128">
        <f t="shared" si="316"/>
        <v>0</v>
      </c>
      <c r="U7704" s="129" t="str">
        <f>IFERROR(IF(#REF!="S",VLOOKUP('Raw Data'!A7704,References!#REF!,2,FALSE),(VLOOKUP($S7704,References!$B$3:$C$7,2,FALSE))),"")</f>
        <v/>
      </c>
      <c r="W7704" s="74" t="str">
        <f>IFERROR(VLOOKUP($O7704,'Customer List'!$A$1:$J$488,10,FALSE),"")</f>
        <v/>
      </c>
    </row>
    <row r="7705" spans="18:23">
      <c r="R7705" s="127">
        <f t="shared" si="315"/>
        <v>0</v>
      </c>
      <c r="T7705" s="128">
        <f t="shared" si="316"/>
        <v>0</v>
      </c>
      <c r="U7705" s="129" t="str">
        <f>IFERROR(IF(#REF!="S",VLOOKUP('Raw Data'!A7705,References!#REF!,2,FALSE),(VLOOKUP($S7705,References!$B$3:$C$7,2,FALSE))),"")</f>
        <v/>
      </c>
      <c r="W7705" s="74" t="str">
        <f>IFERROR(VLOOKUP($O7705,'Customer List'!$A$1:$J$488,10,FALSE),"")</f>
        <v/>
      </c>
    </row>
    <row r="7706" spans="18:23">
      <c r="R7706" s="127">
        <f t="shared" si="315"/>
        <v>0</v>
      </c>
      <c r="T7706" s="128">
        <f t="shared" si="316"/>
        <v>0</v>
      </c>
      <c r="U7706" s="129" t="str">
        <f>IFERROR(IF(#REF!="S",VLOOKUP('Raw Data'!A7706,References!#REF!,2,FALSE),(VLOOKUP($S7706,References!$B$3:$C$7,2,FALSE))),"")</f>
        <v/>
      </c>
      <c r="W7706" s="74" t="str">
        <f>IFERROR(VLOOKUP($O7706,'Customer List'!$A$1:$J$488,10,FALSE),"")</f>
        <v/>
      </c>
    </row>
    <row r="7707" spans="18:23">
      <c r="R7707" s="127">
        <f t="shared" si="315"/>
        <v>0</v>
      </c>
      <c r="T7707" s="128">
        <f t="shared" si="316"/>
        <v>0</v>
      </c>
      <c r="U7707" s="129" t="str">
        <f>IFERROR(IF(#REF!="S",VLOOKUP('Raw Data'!A7707,References!#REF!,2,FALSE),(VLOOKUP($S7707,References!$B$3:$C$7,2,FALSE))),"")</f>
        <v/>
      </c>
      <c r="W7707" s="74" t="str">
        <f>IFERROR(VLOOKUP($O7707,'Customer List'!$A$1:$J$488,10,FALSE),"")</f>
        <v/>
      </c>
    </row>
    <row r="7708" spans="18:23">
      <c r="R7708" s="127">
        <f t="shared" si="315"/>
        <v>0</v>
      </c>
      <c r="T7708" s="128">
        <f t="shared" si="316"/>
        <v>0</v>
      </c>
      <c r="U7708" s="129" t="str">
        <f>IFERROR(IF(#REF!="S",VLOOKUP('Raw Data'!A7708,References!#REF!,2,FALSE),(VLOOKUP($S7708,References!$B$3:$C$7,2,FALSE))),"")</f>
        <v/>
      </c>
      <c r="W7708" s="74" t="str">
        <f>IFERROR(VLOOKUP($O7708,'Customer List'!$A$1:$J$488,10,FALSE),"")</f>
        <v/>
      </c>
    </row>
    <row r="7709" spans="18:23">
      <c r="R7709" s="127">
        <f t="shared" si="315"/>
        <v>0</v>
      </c>
      <c r="T7709" s="128">
        <f t="shared" si="316"/>
        <v>0</v>
      </c>
      <c r="U7709" s="129" t="str">
        <f>IFERROR(IF(#REF!="S",VLOOKUP('Raw Data'!A7709,References!#REF!,2,FALSE),(VLOOKUP($S7709,References!$B$3:$C$7,2,FALSE))),"")</f>
        <v/>
      </c>
      <c r="W7709" s="74" t="str">
        <f>IFERROR(VLOOKUP($O7709,'Customer List'!$A$1:$J$488,10,FALSE),"")</f>
        <v/>
      </c>
    </row>
    <row r="7710" spans="18:23">
      <c r="R7710" s="127">
        <f t="shared" si="315"/>
        <v>0</v>
      </c>
      <c r="T7710" s="128">
        <f t="shared" si="316"/>
        <v>0</v>
      </c>
      <c r="U7710" s="129" t="str">
        <f>IFERROR(IF(#REF!="S",VLOOKUP('Raw Data'!A7710,References!#REF!,2,FALSE),(VLOOKUP($S7710,References!$B$3:$C$7,2,FALSE))),"")</f>
        <v/>
      </c>
      <c r="W7710" s="74" t="str">
        <f>IFERROR(VLOOKUP($O7710,'Customer List'!$A$1:$J$488,10,FALSE),"")</f>
        <v/>
      </c>
    </row>
    <row r="7711" spans="18:23">
      <c r="R7711" s="127">
        <f t="shared" si="315"/>
        <v>0</v>
      </c>
      <c r="T7711" s="128">
        <f t="shared" si="316"/>
        <v>0</v>
      </c>
      <c r="U7711" s="129" t="str">
        <f>IFERROR(IF(#REF!="S",VLOOKUP('Raw Data'!A7711,References!#REF!,2,FALSE),(VLOOKUP($S7711,References!$B$3:$C$7,2,FALSE))),"")</f>
        <v/>
      </c>
      <c r="W7711" s="74" t="str">
        <f>IFERROR(VLOOKUP($O7711,'Customer List'!$A$1:$J$488,10,FALSE),"")</f>
        <v/>
      </c>
    </row>
    <row r="7712" spans="18:23">
      <c r="R7712" s="127">
        <f t="shared" si="315"/>
        <v>0</v>
      </c>
      <c r="T7712" s="128">
        <f t="shared" si="316"/>
        <v>0</v>
      </c>
      <c r="U7712" s="129" t="str">
        <f>IFERROR(IF(#REF!="S",VLOOKUP('Raw Data'!A7712,References!#REF!,2,FALSE),(VLOOKUP($S7712,References!$B$3:$C$7,2,FALSE))),"")</f>
        <v/>
      </c>
      <c r="W7712" s="74" t="str">
        <f>IFERROR(VLOOKUP($O7712,'Customer List'!$A$1:$J$488,10,FALSE),"")</f>
        <v/>
      </c>
    </row>
    <row r="7713" spans="18:23">
      <c r="R7713" s="127">
        <f t="shared" si="315"/>
        <v>0</v>
      </c>
      <c r="T7713" s="128">
        <f t="shared" si="316"/>
        <v>0</v>
      </c>
      <c r="U7713" s="129" t="str">
        <f>IFERROR(IF(#REF!="S",VLOOKUP('Raw Data'!A7713,References!#REF!,2,FALSE),(VLOOKUP($S7713,References!$B$3:$C$7,2,FALSE))),"")</f>
        <v/>
      </c>
      <c r="W7713" s="74" t="str">
        <f>IFERROR(VLOOKUP($O7713,'Customer List'!$A$1:$J$488,10,FALSE),"")</f>
        <v/>
      </c>
    </row>
    <row r="7714" spans="18:23">
      <c r="R7714" s="127">
        <f t="shared" ref="R7714:R7777" si="317">L7714-K7714</f>
        <v>0</v>
      </c>
      <c r="T7714" s="128">
        <f t="shared" si="316"/>
        <v>0</v>
      </c>
      <c r="U7714" s="129" t="str">
        <f>IFERROR(IF(#REF!="S",VLOOKUP('Raw Data'!A7714,References!#REF!,2,FALSE),(VLOOKUP($S7714,References!$B$3:$C$7,2,FALSE))),"")</f>
        <v/>
      </c>
      <c r="W7714" s="74" t="str">
        <f>IFERROR(VLOOKUP($O7714,'Customer List'!$A$1:$J$488,10,FALSE),"")</f>
        <v/>
      </c>
    </row>
    <row r="7715" spans="18:23">
      <c r="R7715" s="127">
        <f t="shared" si="317"/>
        <v>0</v>
      </c>
      <c r="T7715" s="128">
        <f t="shared" si="316"/>
        <v>0</v>
      </c>
      <c r="U7715" s="129" t="str">
        <f>IFERROR(IF(#REF!="S",VLOOKUP('Raw Data'!A7715,References!#REF!,2,FALSE),(VLOOKUP($S7715,References!$B$3:$C$7,2,FALSE))),"")</f>
        <v/>
      </c>
      <c r="W7715" s="74" t="str">
        <f>IFERROR(VLOOKUP($O7715,'Customer List'!$A$1:$J$488,10,FALSE),"")</f>
        <v/>
      </c>
    </row>
    <row r="7716" spans="18:23">
      <c r="R7716" s="127">
        <f t="shared" si="317"/>
        <v>0</v>
      </c>
      <c r="T7716" s="128">
        <f t="shared" si="316"/>
        <v>0</v>
      </c>
      <c r="U7716" s="129" t="str">
        <f>IFERROR(IF(#REF!="S",VLOOKUP('Raw Data'!A7716,References!#REF!,2,FALSE),(VLOOKUP($S7716,References!$B$3:$C$7,2,FALSE))),"")</f>
        <v/>
      </c>
      <c r="W7716" s="74" t="str">
        <f>IFERROR(VLOOKUP($O7716,'Customer List'!$A$1:$J$488,10,FALSE),"")</f>
        <v/>
      </c>
    </row>
    <row r="7717" spans="18:23">
      <c r="R7717" s="127">
        <f t="shared" si="317"/>
        <v>0</v>
      </c>
      <c r="T7717" s="128">
        <f t="shared" si="316"/>
        <v>0</v>
      </c>
      <c r="U7717" s="129" t="str">
        <f>IFERROR(IF(#REF!="S",VLOOKUP('Raw Data'!A7717,References!#REF!,2,FALSE),(VLOOKUP($S7717,References!$B$3:$C$7,2,FALSE))),"")</f>
        <v/>
      </c>
      <c r="W7717" s="74" t="str">
        <f>IFERROR(VLOOKUP($O7717,'Customer List'!$A$1:$J$488,10,FALSE),"")</f>
        <v/>
      </c>
    </row>
    <row r="7718" spans="18:23">
      <c r="R7718" s="127">
        <f t="shared" si="317"/>
        <v>0</v>
      </c>
      <c r="T7718" s="128">
        <f t="shared" si="316"/>
        <v>0</v>
      </c>
      <c r="U7718" s="129" t="str">
        <f>IFERROR(IF(#REF!="S",VLOOKUP('Raw Data'!A7718,References!#REF!,2,FALSE),(VLOOKUP($S7718,References!$B$3:$C$7,2,FALSE))),"")</f>
        <v/>
      </c>
      <c r="W7718" s="74" t="str">
        <f>IFERROR(VLOOKUP($O7718,'Customer List'!$A$1:$J$488,10,FALSE),"")</f>
        <v/>
      </c>
    </row>
    <row r="7719" spans="18:23">
      <c r="R7719" s="127">
        <f t="shared" si="317"/>
        <v>0</v>
      </c>
      <c r="T7719" s="128">
        <f t="shared" si="316"/>
        <v>0</v>
      </c>
      <c r="U7719" s="129" t="str">
        <f>IFERROR(IF(#REF!="S",VLOOKUP('Raw Data'!A7719,References!#REF!,2,FALSE),(VLOOKUP($S7719,References!$B$3:$C$7,2,FALSE))),"")</f>
        <v/>
      </c>
      <c r="W7719" s="74" t="str">
        <f>IFERROR(VLOOKUP($O7719,'Customer List'!$A$1:$J$488,10,FALSE),"")</f>
        <v/>
      </c>
    </row>
    <row r="7720" spans="18:23">
      <c r="R7720" s="127">
        <f t="shared" si="317"/>
        <v>0</v>
      </c>
      <c r="T7720" s="128">
        <f t="shared" si="316"/>
        <v>0</v>
      </c>
      <c r="U7720" s="129" t="str">
        <f>IFERROR(IF(#REF!="S",VLOOKUP('Raw Data'!A7720,References!#REF!,2,FALSE),(VLOOKUP($S7720,References!$B$3:$C$7,2,FALSE))),"")</f>
        <v/>
      </c>
      <c r="W7720" s="74" t="str">
        <f>IFERROR(VLOOKUP($O7720,'Customer List'!$A$1:$J$488,10,FALSE),"")</f>
        <v/>
      </c>
    </row>
    <row r="7721" spans="18:23">
      <c r="R7721" s="127">
        <f t="shared" si="317"/>
        <v>0</v>
      </c>
      <c r="T7721" s="128">
        <f t="shared" si="316"/>
        <v>0</v>
      </c>
      <c r="U7721" s="129" t="str">
        <f>IFERROR(IF(#REF!="S",VLOOKUP('Raw Data'!A7721,References!#REF!,2,FALSE),(VLOOKUP($S7721,References!$B$3:$C$7,2,FALSE))),"")</f>
        <v/>
      </c>
      <c r="W7721" s="74" t="str">
        <f>IFERROR(VLOOKUP($O7721,'Customer List'!$A$1:$J$488,10,FALSE),"")</f>
        <v/>
      </c>
    </row>
    <row r="7722" spans="18:23">
      <c r="R7722" s="127">
        <f t="shared" si="317"/>
        <v>0</v>
      </c>
      <c r="T7722" s="128">
        <f t="shared" si="316"/>
        <v>0</v>
      </c>
      <c r="U7722" s="129" t="str">
        <f>IFERROR(IF(#REF!="S",VLOOKUP('Raw Data'!A7722,References!#REF!,2,FALSE),(VLOOKUP($S7722,References!$B$3:$C$7,2,FALSE))),"")</f>
        <v/>
      </c>
      <c r="W7722" s="74" t="str">
        <f>IFERROR(VLOOKUP($O7722,'Customer List'!$A$1:$J$488,10,FALSE),"")</f>
        <v/>
      </c>
    </row>
    <row r="7723" spans="18:23">
      <c r="R7723" s="127">
        <f t="shared" si="317"/>
        <v>0</v>
      </c>
      <c r="T7723" s="128">
        <f t="shared" si="316"/>
        <v>0</v>
      </c>
      <c r="U7723" s="129" t="str">
        <f>IFERROR(IF(#REF!="S",VLOOKUP('Raw Data'!A7723,References!#REF!,2,FALSE),(VLOOKUP($S7723,References!$B$3:$C$7,2,FALSE))),"")</f>
        <v/>
      </c>
      <c r="W7723" s="74" t="str">
        <f>IFERROR(VLOOKUP($O7723,'Customer List'!$A$1:$J$488,10,FALSE),"")</f>
        <v/>
      </c>
    </row>
    <row r="7724" spans="18:23">
      <c r="R7724" s="127">
        <f t="shared" si="317"/>
        <v>0</v>
      </c>
      <c r="T7724" s="128">
        <f t="shared" si="316"/>
        <v>0</v>
      </c>
      <c r="U7724" s="129" t="str">
        <f>IFERROR(IF(#REF!="S",VLOOKUP('Raw Data'!A7724,References!#REF!,2,FALSE),(VLOOKUP($S7724,References!$B$3:$C$7,2,FALSE))),"")</f>
        <v/>
      </c>
      <c r="W7724" s="74" t="str">
        <f>IFERROR(VLOOKUP($O7724,'Customer List'!$A$1:$J$488,10,FALSE),"")</f>
        <v/>
      </c>
    </row>
    <row r="7725" spans="18:23">
      <c r="R7725" s="127">
        <f t="shared" si="317"/>
        <v>0</v>
      </c>
      <c r="T7725" s="128">
        <f t="shared" si="316"/>
        <v>0</v>
      </c>
      <c r="U7725" s="129" t="str">
        <f>IFERROR(IF(#REF!="S",VLOOKUP('Raw Data'!A7725,References!#REF!,2,FALSE),(VLOOKUP($S7725,References!$B$3:$C$7,2,FALSE))),"")</f>
        <v/>
      </c>
      <c r="W7725" s="74" t="str">
        <f>IFERROR(VLOOKUP($O7725,'Customer List'!$A$1:$J$488,10,FALSE),"")</f>
        <v/>
      </c>
    </row>
    <row r="7726" spans="18:23">
      <c r="R7726" s="127">
        <f t="shared" si="317"/>
        <v>0</v>
      </c>
      <c r="T7726" s="128">
        <f t="shared" si="316"/>
        <v>0</v>
      </c>
      <c r="U7726" s="129" t="str">
        <f>IFERROR(IF(#REF!="S",VLOOKUP('Raw Data'!A7726,References!#REF!,2,FALSE),(VLOOKUP($S7726,References!$B$3:$C$7,2,FALSE))),"")</f>
        <v/>
      </c>
      <c r="W7726" s="74" t="str">
        <f>IFERROR(VLOOKUP($O7726,'Customer List'!$A$1:$J$488,10,FALSE),"")</f>
        <v/>
      </c>
    </row>
    <row r="7727" spans="18:23">
      <c r="R7727" s="127">
        <f t="shared" si="317"/>
        <v>0</v>
      </c>
      <c r="T7727" s="128">
        <f t="shared" si="316"/>
        <v>0</v>
      </c>
      <c r="U7727" s="129" t="str">
        <f>IFERROR(IF(#REF!="S",VLOOKUP('Raw Data'!A7727,References!#REF!,2,FALSE),(VLOOKUP($S7727,References!$B$3:$C$7,2,FALSE))),"")</f>
        <v/>
      </c>
      <c r="W7727" s="74" t="str">
        <f>IFERROR(VLOOKUP($O7727,'Customer List'!$A$1:$J$488,10,FALSE),"")</f>
        <v/>
      </c>
    </row>
    <row r="7728" spans="18:23">
      <c r="R7728" s="127">
        <f t="shared" si="317"/>
        <v>0</v>
      </c>
      <c r="T7728" s="128">
        <f t="shared" si="316"/>
        <v>0</v>
      </c>
      <c r="U7728" s="129" t="str">
        <f>IFERROR(IF(#REF!="S",VLOOKUP('Raw Data'!A7728,References!#REF!,2,FALSE),(VLOOKUP($S7728,References!$B$3:$C$7,2,FALSE))),"")</f>
        <v/>
      </c>
      <c r="W7728" s="74" t="str">
        <f>IFERROR(VLOOKUP($O7728,'Customer List'!$A$1:$J$488,10,FALSE),"")</f>
        <v/>
      </c>
    </row>
    <row r="7729" spans="18:23">
      <c r="R7729" s="127">
        <f t="shared" si="317"/>
        <v>0</v>
      </c>
      <c r="T7729" s="128">
        <f t="shared" si="316"/>
        <v>0</v>
      </c>
      <c r="U7729" s="129" t="str">
        <f>IFERROR(IF(#REF!="S",VLOOKUP('Raw Data'!A7729,References!#REF!,2,FALSE),(VLOOKUP($S7729,References!$B$3:$C$7,2,FALSE))),"")</f>
        <v/>
      </c>
      <c r="W7729" s="74" t="str">
        <f>IFERROR(VLOOKUP($O7729,'Customer List'!$A$1:$J$488,10,FALSE),"")</f>
        <v/>
      </c>
    </row>
    <row r="7730" spans="18:23">
      <c r="R7730" s="127">
        <f t="shared" si="317"/>
        <v>0</v>
      </c>
      <c r="T7730" s="128">
        <f t="shared" si="316"/>
        <v>0</v>
      </c>
      <c r="U7730" s="129" t="str">
        <f>IFERROR(IF(#REF!="S",VLOOKUP('Raw Data'!A7730,References!#REF!,2,FALSE),(VLOOKUP($S7730,References!$B$3:$C$7,2,FALSE))),"")</f>
        <v/>
      </c>
      <c r="W7730" s="74" t="str">
        <f>IFERROR(VLOOKUP($O7730,'Customer List'!$A$1:$J$488,10,FALSE),"")</f>
        <v/>
      </c>
    </row>
    <row r="7731" spans="18:23">
      <c r="R7731" s="127">
        <f t="shared" si="317"/>
        <v>0</v>
      </c>
      <c r="T7731" s="128">
        <f t="shared" si="316"/>
        <v>0</v>
      </c>
      <c r="U7731" s="129" t="str">
        <f>IFERROR(IF(#REF!="S",VLOOKUP('Raw Data'!A7731,References!#REF!,2,FALSE),(VLOOKUP($S7731,References!$B$3:$C$7,2,FALSE))),"")</f>
        <v/>
      </c>
      <c r="W7731" s="74" t="str">
        <f>IFERROR(VLOOKUP($O7731,'Customer List'!$A$1:$J$488,10,FALSE),"")</f>
        <v/>
      </c>
    </row>
    <row r="7732" spans="18:23">
      <c r="R7732" s="127">
        <f t="shared" si="317"/>
        <v>0</v>
      </c>
      <c r="T7732" s="128">
        <f t="shared" si="316"/>
        <v>0</v>
      </c>
      <c r="U7732" s="129" t="str">
        <f>IFERROR(IF(#REF!="S",VLOOKUP('Raw Data'!A7732,References!#REF!,2,FALSE),(VLOOKUP($S7732,References!$B$3:$C$7,2,FALSE))),"")</f>
        <v/>
      </c>
      <c r="W7732" s="74" t="str">
        <f>IFERROR(VLOOKUP($O7732,'Customer List'!$A$1:$J$488,10,FALSE),"")</f>
        <v/>
      </c>
    </row>
    <row r="7733" spans="18:23">
      <c r="R7733" s="127">
        <f t="shared" si="317"/>
        <v>0</v>
      </c>
      <c r="T7733" s="128">
        <f t="shared" si="316"/>
        <v>0</v>
      </c>
      <c r="U7733" s="129" t="str">
        <f>IFERROR(IF(#REF!="S",VLOOKUP('Raw Data'!A7733,References!#REF!,2,FALSE),(VLOOKUP($S7733,References!$B$3:$C$7,2,FALSE))),"")</f>
        <v/>
      </c>
      <c r="W7733" s="74" t="str">
        <f>IFERROR(VLOOKUP($O7733,'Customer List'!$A$1:$J$488,10,FALSE),"")</f>
        <v/>
      </c>
    </row>
    <row r="7734" spans="18:23">
      <c r="R7734" s="127">
        <f t="shared" si="317"/>
        <v>0</v>
      </c>
      <c r="T7734" s="128">
        <f t="shared" si="316"/>
        <v>0</v>
      </c>
      <c r="U7734" s="129" t="str">
        <f>IFERROR(IF(#REF!="S",VLOOKUP('Raw Data'!A7734,References!#REF!,2,FALSE),(VLOOKUP($S7734,References!$B$3:$C$7,2,FALSE))),"")</f>
        <v/>
      </c>
      <c r="W7734" s="74" t="str">
        <f>IFERROR(VLOOKUP($O7734,'Customer List'!$A$1:$J$488,10,FALSE),"")</f>
        <v/>
      </c>
    </row>
    <row r="7735" spans="18:23">
      <c r="R7735" s="127">
        <f t="shared" si="317"/>
        <v>0</v>
      </c>
      <c r="T7735" s="128">
        <f t="shared" si="316"/>
        <v>0</v>
      </c>
      <c r="U7735" s="129" t="str">
        <f>IFERROR(IF(#REF!="S",VLOOKUP('Raw Data'!A7735,References!#REF!,2,FALSE),(VLOOKUP($S7735,References!$B$3:$C$7,2,FALSE))),"")</f>
        <v/>
      </c>
      <c r="W7735" s="74" t="str">
        <f>IFERROR(VLOOKUP($O7735,'Customer List'!$A$1:$J$488,10,FALSE),"")</f>
        <v/>
      </c>
    </row>
    <row r="7736" spans="18:23">
      <c r="R7736" s="127">
        <f t="shared" si="317"/>
        <v>0</v>
      </c>
      <c r="T7736" s="128">
        <f t="shared" si="316"/>
        <v>0</v>
      </c>
      <c r="U7736" s="129" t="str">
        <f>IFERROR(IF(#REF!="S",VLOOKUP('Raw Data'!A7736,References!#REF!,2,FALSE),(VLOOKUP($S7736,References!$B$3:$C$7,2,FALSE))),"")</f>
        <v/>
      </c>
      <c r="W7736" s="74" t="str">
        <f>IFERROR(VLOOKUP($O7736,'Customer List'!$A$1:$J$488,10,FALSE),"")</f>
        <v/>
      </c>
    </row>
    <row r="7737" spans="18:23">
      <c r="R7737" s="127">
        <f t="shared" si="317"/>
        <v>0</v>
      </c>
      <c r="T7737" s="128">
        <f t="shared" si="316"/>
        <v>0</v>
      </c>
      <c r="U7737" s="129" t="str">
        <f>IFERROR(IF(#REF!="S",VLOOKUP('Raw Data'!A7737,References!#REF!,2,FALSE),(VLOOKUP($S7737,References!$B$3:$C$7,2,FALSE))),"")</f>
        <v/>
      </c>
      <c r="W7737" s="74" t="str">
        <f>IFERROR(VLOOKUP($O7737,'Customer List'!$A$1:$J$488,10,FALSE),"")</f>
        <v/>
      </c>
    </row>
    <row r="7738" spans="18:23">
      <c r="R7738" s="127">
        <f t="shared" si="317"/>
        <v>0</v>
      </c>
      <c r="T7738" s="128">
        <f t="shared" si="316"/>
        <v>0</v>
      </c>
      <c r="U7738" s="129" t="str">
        <f>IFERROR(IF(#REF!="S",VLOOKUP('Raw Data'!A7738,References!#REF!,2,FALSE),(VLOOKUP($S7738,References!$B$3:$C$7,2,FALSE))),"")</f>
        <v/>
      </c>
      <c r="W7738" s="74" t="str">
        <f>IFERROR(VLOOKUP($O7738,'Customer List'!$A$1:$J$488,10,FALSE),"")</f>
        <v/>
      </c>
    </row>
    <row r="7739" spans="18:23">
      <c r="R7739" s="127">
        <f t="shared" si="317"/>
        <v>0</v>
      </c>
      <c r="T7739" s="128">
        <f t="shared" si="316"/>
        <v>0</v>
      </c>
      <c r="U7739" s="129" t="str">
        <f>IFERROR(IF(#REF!="S",VLOOKUP('Raw Data'!A7739,References!#REF!,2,FALSE),(VLOOKUP($S7739,References!$B$3:$C$7,2,FALSE))),"")</f>
        <v/>
      </c>
      <c r="W7739" s="74" t="str">
        <f>IFERROR(VLOOKUP($O7739,'Customer List'!$A$1:$J$488,10,FALSE),"")</f>
        <v/>
      </c>
    </row>
    <row r="7740" spans="18:23">
      <c r="R7740" s="127">
        <f t="shared" si="317"/>
        <v>0</v>
      </c>
      <c r="T7740" s="128">
        <f t="shared" si="316"/>
        <v>0</v>
      </c>
      <c r="U7740" s="129" t="str">
        <f>IFERROR(IF(#REF!="S",VLOOKUP('Raw Data'!A7740,References!#REF!,2,FALSE),(VLOOKUP($S7740,References!$B$3:$C$7,2,FALSE))),"")</f>
        <v/>
      </c>
      <c r="W7740" s="74" t="str">
        <f>IFERROR(VLOOKUP($O7740,'Customer List'!$A$1:$J$488,10,FALSE),"")</f>
        <v/>
      </c>
    </row>
    <row r="7741" spans="18:23">
      <c r="R7741" s="127">
        <f t="shared" si="317"/>
        <v>0</v>
      </c>
      <c r="T7741" s="128">
        <f t="shared" si="316"/>
        <v>0</v>
      </c>
      <c r="U7741" s="129" t="str">
        <f>IFERROR(IF(#REF!="S",VLOOKUP('Raw Data'!A7741,References!#REF!,2,FALSE),(VLOOKUP($S7741,References!$B$3:$C$7,2,FALSE))),"")</f>
        <v/>
      </c>
      <c r="W7741" s="74" t="str">
        <f>IFERROR(VLOOKUP($O7741,'Customer List'!$A$1:$J$488,10,FALSE),"")</f>
        <v/>
      </c>
    </row>
    <row r="7742" spans="18:23">
      <c r="R7742" s="127">
        <f t="shared" si="317"/>
        <v>0</v>
      </c>
      <c r="T7742" s="128">
        <f t="shared" si="316"/>
        <v>0</v>
      </c>
      <c r="U7742" s="129" t="str">
        <f>IFERROR(IF(#REF!="S",VLOOKUP('Raw Data'!A7742,References!#REF!,2,FALSE),(VLOOKUP($S7742,References!$B$3:$C$7,2,FALSE))),"")</f>
        <v/>
      </c>
      <c r="W7742" s="74" t="str">
        <f>IFERROR(VLOOKUP($O7742,'Customer List'!$A$1:$J$488,10,FALSE),"")</f>
        <v/>
      </c>
    </row>
    <row r="7743" spans="18:23">
      <c r="R7743" s="127">
        <f t="shared" si="317"/>
        <v>0</v>
      </c>
      <c r="T7743" s="128">
        <f t="shared" si="316"/>
        <v>0</v>
      </c>
      <c r="U7743" s="129" t="str">
        <f>IFERROR(IF(#REF!="S",VLOOKUP('Raw Data'!A7743,References!#REF!,2,FALSE),(VLOOKUP($S7743,References!$B$3:$C$7,2,FALSE))),"")</f>
        <v/>
      </c>
      <c r="W7743" s="74" t="str">
        <f>IFERROR(VLOOKUP($O7743,'Customer List'!$A$1:$J$488,10,FALSE),"")</f>
        <v/>
      </c>
    </row>
    <row r="7744" spans="18:23">
      <c r="R7744" s="127">
        <f t="shared" si="317"/>
        <v>0</v>
      </c>
      <c r="T7744" s="128">
        <f t="shared" si="316"/>
        <v>0</v>
      </c>
      <c r="U7744" s="129" t="str">
        <f>IFERROR(IF(#REF!="S",VLOOKUP('Raw Data'!A7744,References!#REF!,2,FALSE),(VLOOKUP($S7744,References!$B$3:$C$7,2,FALSE))),"")</f>
        <v/>
      </c>
      <c r="W7744" s="74" t="str">
        <f>IFERROR(VLOOKUP($O7744,'Customer List'!$A$1:$J$488,10,FALSE),"")</f>
        <v/>
      </c>
    </row>
    <row r="7745" spans="18:23">
      <c r="R7745" s="127">
        <f t="shared" si="317"/>
        <v>0</v>
      </c>
      <c r="T7745" s="128">
        <f t="shared" si="316"/>
        <v>0</v>
      </c>
      <c r="U7745" s="129" t="str">
        <f>IFERROR(IF(#REF!="S",VLOOKUP('Raw Data'!A7745,References!#REF!,2,FALSE),(VLOOKUP($S7745,References!$B$3:$C$7,2,FALSE))),"")</f>
        <v/>
      </c>
      <c r="W7745" s="74" t="str">
        <f>IFERROR(VLOOKUP($O7745,'Customer List'!$A$1:$J$488,10,FALSE),"")</f>
        <v/>
      </c>
    </row>
    <row r="7746" spans="18:23">
      <c r="R7746" s="127">
        <f t="shared" si="317"/>
        <v>0</v>
      </c>
      <c r="T7746" s="128">
        <f t="shared" si="316"/>
        <v>0</v>
      </c>
      <c r="U7746" s="129" t="str">
        <f>IFERROR(IF(#REF!="S",VLOOKUP('Raw Data'!A7746,References!#REF!,2,FALSE),(VLOOKUP($S7746,References!$B$3:$C$7,2,FALSE))),"")</f>
        <v/>
      </c>
      <c r="W7746" s="74" t="str">
        <f>IFERROR(VLOOKUP($O7746,'Customer List'!$A$1:$J$488,10,FALSE),"")</f>
        <v/>
      </c>
    </row>
    <row r="7747" spans="18:23">
      <c r="R7747" s="127">
        <f t="shared" si="317"/>
        <v>0</v>
      </c>
      <c r="T7747" s="128">
        <f t="shared" si="316"/>
        <v>0</v>
      </c>
      <c r="U7747" s="129" t="str">
        <f>IFERROR(IF(#REF!="S",VLOOKUP('Raw Data'!A7747,References!#REF!,2,FALSE),(VLOOKUP($S7747,References!$B$3:$C$7,2,FALSE))),"")</f>
        <v/>
      </c>
      <c r="W7747" s="74" t="str">
        <f>IFERROR(VLOOKUP($O7747,'Customer List'!$A$1:$J$488,10,FALSE),"")</f>
        <v/>
      </c>
    </row>
    <row r="7748" spans="18:23">
      <c r="R7748" s="127">
        <f t="shared" si="317"/>
        <v>0</v>
      </c>
      <c r="T7748" s="128">
        <f t="shared" si="316"/>
        <v>0</v>
      </c>
      <c r="U7748" s="129" t="str">
        <f>IFERROR(IF(#REF!="S",VLOOKUP('Raw Data'!A7748,References!#REF!,2,FALSE),(VLOOKUP($S7748,References!$B$3:$C$7,2,FALSE))),"")</f>
        <v/>
      </c>
      <c r="W7748" s="74" t="str">
        <f>IFERROR(VLOOKUP($O7748,'Customer List'!$A$1:$J$488,10,FALSE),"")</f>
        <v/>
      </c>
    </row>
    <row r="7749" spans="18:23">
      <c r="R7749" s="127">
        <f t="shared" si="317"/>
        <v>0</v>
      </c>
      <c r="T7749" s="128">
        <f t="shared" si="316"/>
        <v>0</v>
      </c>
      <c r="U7749" s="129" t="str">
        <f>IFERROR(IF(#REF!="S",VLOOKUP('Raw Data'!A7749,References!#REF!,2,FALSE),(VLOOKUP($S7749,References!$B$3:$C$7,2,FALSE))),"")</f>
        <v/>
      </c>
      <c r="W7749" s="74" t="str">
        <f>IFERROR(VLOOKUP($O7749,'Customer List'!$A$1:$J$488,10,FALSE),"")</f>
        <v/>
      </c>
    </row>
    <row r="7750" spans="18:23">
      <c r="R7750" s="127">
        <f t="shared" si="317"/>
        <v>0</v>
      </c>
      <c r="T7750" s="128">
        <f t="shared" si="316"/>
        <v>0</v>
      </c>
      <c r="U7750" s="129" t="str">
        <f>IFERROR(IF(#REF!="S",VLOOKUP('Raw Data'!A7750,References!#REF!,2,FALSE),(VLOOKUP($S7750,References!$B$3:$C$7,2,FALSE))),"")</f>
        <v/>
      </c>
      <c r="W7750" s="74" t="str">
        <f>IFERROR(VLOOKUP($O7750,'Customer List'!$A$1:$J$488,10,FALSE),"")</f>
        <v/>
      </c>
    </row>
    <row r="7751" spans="18:23">
      <c r="R7751" s="127">
        <f t="shared" si="317"/>
        <v>0</v>
      </c>
      <c r="T7751" s="128">
        <f t="shared" si="316"/>
        <v>0</v>
      </c>
      <c r="U7751" s="129" t="str">
        <f>IFERROR(IF(#REF!="S",VLOOKUP('Raw Data'!A7751,References!#REF!,2,FALSE),(VLOOKUP($S7751,References!$B$3:$C$7,2,FALSE))),"")</f>
        <v/>
      </c>
      <c r="W7751" s="74" t="str">
        <f>IFERROR(VLOOKUP($O7751,'Customer List'!$A$1:$J$488,10,FALSE),"")</f>
        <v/>
      </c>
    </row>
    <row r="7752" spans="18:23">
      <c r="R7752" s="127">
        <f t="shared" si="317"/>
        <v>0</v>
      </c>
      <c r="T7752" s="128">
        <f t="shared" si="316"/>
        <v>0</v>
      </c>
      <c r="U7752" s="129" t="str">
        <f>IFERROR(IF(#REF!="S",VLOOKUP('Raw Data'!A7752,References!#REF!,2,FALSE),(VLOOKUP($S7752,References!$B$3:$C$7,2,FALSE))),"")</f>
        <v/>
      </c>
      <c r="W7752" s="74" t="str">
        <f>IFERROR(VLOOKUP($O7752,'Customer List'!$A$1:$J$488,10,FALSE),"")</f>
        <v/>
      </c>
    </row>
    <row r="7753" spans="18:23">
      <c r="R7753" s="127">
        <f t="shared" si="317"/>
        <v>0</v>
      </c>
      <c r="T7753" s="128">
        <f t="shared" si="316"/>
        <v>0</v>
      </c>
      <c r="U7753" s="129" t="str">
        <f>IFERROR(IF(#REF!="S",VLOOKUP('Raw Data'!A7753,References!#REF!,2,FALSE),(VLOOKUP($S7753,References!$B$3:$C$7,2,FALSE))),"")</f>
        <v/>
      </c>
      <c r="W7753" s="74" t="str">
        <f>IFERROR(VLOOKUP($O7753,'Customer List'!$A$1:$J$488,10,FALSE),"")</f>
        <v/>
      </c>
    </row>
    <row r="7754" spans="18:23">
      <c r="R7754" s="127">
        <f t="shared" si="317"/>
        <v>0</v>
      </c>
      <c r="T7754" s="128">
        <f t="shared" ref="T7754:T7817" si="318">IF(S7754="50 - Cleaning Fee",1,HOUR($R7754)+MINUTE(R7754)/60)</f>
        <v>0</v>
      </c>
      <c r="U7754" s="129" t="str">
        <f>IFERROR(IF(#REF!="S",VLOOKUP('Raw Data'!A7754,References!#REF!,2,FALSE),(VLOOKUP($S7754,References!$B$3:$C$7,2,FALSE))),"")</f>
        <v/>
      </c>
      <c r="W7754" s="74" t="str">
        <f>IFERROR(VLOOKUP($O7754,'Customer List'!$A$1:$J$488,10,FALSE),"")</f>
        <v/>
      </c>
    </row>
    <row r="7755" spans="18:23">
      <c r="R7755" s="127">
        <f t="shared" si="317"/>
        <v>0</v>
      </c>
      <c r="T7755" s="128">
        <f t="shared" si="318"/>
        <v>0</v>
      </c>
      <c r="U7755" s="129" t="str">
        <f>IFERROR(IF(#REF!="S",VLOOKUP('Raw Data'!A7755,References!#REF!,2,FALSE),(VLOOKUP($S7755,References!$B$3:$C$7,2,FALSE))),"")</f>
        <v/>
      </c>
      <c r="W7755" s="74" t="str">
        <f>IFERROR(VLOOKUP($O7755,'Customer List'!$A$1:$J$488,10,FALSE),"")</f>
        <v/>
      </c>
    </row>
    <row r="7756" spans="18:23">
      <c r="R7756" s="127">
        <f t="shared" si="317"/>
        <v>0</v>
      </c>
      <c r="T7756" s="128">
        <f t="shared" si="318"/>
        <v>0</v>
      </c>
      <c r="U7756" s="129" t="str">
        <f>IFERROR(IF(#REF!="S",VLOOKUP('Raw Data'!A7756,References!#REF!,2,FALSE),(VLOOKUP($S7756,References!$B$3:$C$7,2,FALSE))),"")</f>
        <v/>
      </c>
      <c r="W7756" s="74" t="str">
        <f>IFERROR(VLOOKUP($O7756,'Customer List'!$A$1:$J$488,10,FALSE),"")</f>
        <v/>
      </c>
    </row>
    <row r="7757" spans="18:23">
      <c r="R7757" s="127">
        <f t="shared" si="317"/>
        <v>0</v>
      </c>
      <c r="T7757" s="128">
        <f t="shared" si="318"/>
        <v>0</v>
      </c>
      <c r="U7757" s="129" t="str">
        <f>IFERROR(IF(#REF!="S",VLOOKUP('Raw Data'!A7757,References!#REF!,2,FALSE),(VLOOKUP($S7757,References!$B$3:$C$7,2,FALSE))),"")</f>
        <v/>
      </c>
      <c r="W7757" s="74" t="str">
        <f>IFERROR(VLOOKUP($O7757,'Customer List'!$A$1:$J$488,10,FALSE),"")</f>
        <v/>
      </c>
    </row>
    <row r="7758" spans="18:23">
      <c r="R7758" s="127">
        <f t="shared" si="317"/>
        <v>0</v>
      </c>
      <c r="T7758" s="128">
        <f t="shared" si="318"/>
        <v>0</v>
      </c>
      <c r="U7758" s="129" t="str">
        <f>IFERROR(IF(#REF!="S",VLOOKUP('Raw Data'!A7758,References!#REF!,2,FALSE),(VLOOKUP($S7758,References!$B$3:$C$7,2,FALSE))),"")</f>
        <v/>
      </c>
      <c r="W7758" s="74" t="str">
        <f>IFERROR(VLOOKUP($O7758,'Customer List'!$A$1:$J$488,10,FALSE),"")</f>
        <v/>
      </c>
    </row>
    <row r="7759" spans="18:23">
      <c r="R7759" s="127">
        <f t="shared" si="317"/>
        <v>0</v>
      </c>
      <c r="T7759" s="128">
        <f t="shared" si="318"/>
        <v>0</v>
      </c>
      <c r="U7759" s="129" t="str">
        <f>IFERROR(IF(#REF!="S",VLOOKUP('Raw Data'!A7759,References!#REF!,2,FALSE),(VLOOKUP($S7759,References!$B$3:$C$7,2,FALSE))),"")</f>
        <v/>
      </c>
      <c r="W7759" s="74" t="str">
        <f>IFERROR(VLOOKUP($O7759,'Customer List'!$A$1:$J$488,10,FALSE),"")</f>
        <v/>
      </c>
    </row>
    <row r="7760" spans="18:23">
      <c r="R7760" s="127">
        <f t="shared" si="317"/>
        <v>0</v>
      </c>
      <c r="T7760" s="128">
        <f t="shared" si="318"/>
        <v>0</v>
      </c>
      <c r="U7760" s="129" t="str">
        <f>IFERROR(IF(#REF!="S",VLOOKUP('Raw Data'!A7760,References!#REF!,2,FALSE),(VLOOKUP($S7760,References!$B$3:$C$7,2,FALSE))),"")</f>
        <v/>
      </c>
      <c r="W7760" s="74" t="str">
        <f>IFERROR(VLOOKUP($O7760,'Customer List'!$A$1:$J$488,10,FALSE),"")</f>
        <v/>
      </c>
    </row>
    <row r="7761" spans="18:23">
      <c r="R7761" s="127">
        <f t="shared" si="317"/>
        <v>0</v>
      </c>
      <c r="T7761" s="128">
        <f t="shared" si="318"/>
        <v>0</v>
      </c>
      <c r="U7761" s="129" t="str">
        <f>IFERROR(IF(#REF!="S",VLOOKUP('Raw Data'!A7761,References!#REF!,2,FALSE),(VLOOKUP($S7761,References!$B$3:$C$7,2,FALSE))),"")</f>
        <v/>
      </c>
      <c r="W7761" s="74" t="str">
        <f>IFERROR(VLOOKUP($O7761,'Customer List'!$A$1:$J$488,10,FALSE),"")</f>
        <v/>
      </c>
    </row>
    <row r="7762" spans="18:23">
      <c r="R7762" s="127">
        <f t="shared" si="317"/>
        <v>0</v>
      </c>
      <c r="T7762" s="128">
        <f t="shared" si="318"/>
        <v>0</v>
      </c>
      <c r="U7762" s="129" t="str">
        <f>IFERROR(IF(#REF!="S",VLOOKUP('Raw Data'!A7762,References!#REF!,2,FALSE),(VLOOKUP($S7762,References!$B$3:$C$7,2,FALSE))),"")</f>
        <v/>
      </c>
      <c r="W7762" s="74" t="str">
        <f>IFERROR(VLOOKUP($O7762,'Customer List'!$A$1:$J$488,10,FALSE),"")</f>
        <v/>
      </c>
    </row>
    <row r="7763" spans="18:23">
      <c r="R7763" s="127">
        <f t="shared" si="317"/>
        <v>0</v>
      </c>
      <c r="T7763" s="128">
        <f t="shared" si="318"/>
        <v>0</v>
      </c>
      <c r="U7763" s="129" t="str">
        <f>IFERROR(IF(#REF!="S",VLOOKUP('Raw Data'!A7763,References!#REF!,2,FALSE),(VLOOKUP($S7763,References!$B$3:$C$7,2,FALSE))),"")</f>
        <v/>
      </c>
      <c r="W7763" s="74" t="str">
        <f>IFERROR(VLOOKUP($O7763,'Customer List'!$A$1:$J$488,10,FALSE),"")</f>
        <v/>
      </c>
    </row>
    <row r="7764" spans="18:23">
      <c r="R7764" s="127">
        <f t="shared" si="317"/>
        <v>0</v>
      </c>
      <c r="T7764" s="128">
        <f t="shared" si="318"/>
        <v>0</v>
      </c>
      <c r="U7764" s="129" t="str">
        <f>IFERROR(IF(#REF!="S",VLOOKUP('Raw Data'!A7764,References!#REF!,2,FALSE),(VLOOKUP($S7764,References!$B$3:$C$7,2,FALSE))),"")</f>
        <v/>
      </c>
      <c r="W7764" s="74" t="str">
        <f>IFERROR(VLOOKUP($O7764,'Customer List'!$A$1:$J$488,10,FALSE),"")</f>
        <v/>
      </c>
    </row>
    <row r="7765" spans="18:23">
      <c r="R7765" s="127">
        <f t="shared" si="317"/>
        <v>0</v>
      </c>
      <c r="T7765" s="128">
        <f t="shared" si="318"/>
        <v>0</v>
      </c>
      <c r="U7765" s="129" t="str">
        <f>IFERROR(IF(#REF!="S",VLOOKUP('Raw Data'!A7765,References!#REF!,2,FALSE),(VLOOKUP($S7765,References!$B$3:$C$7,2,FALSE))),"")</f>
        <v/>
      </c>
      <c r="W7765" s="74" t="str">
        <f>IFERROR(VLOOKUP($O7765,'Customer List'!$A$1:$J$488,10,FALSE),"")</f>
        <v/>
      </c>
    </row>
    <row r="7766" spans="18:23">
      <c r="R7766" s="127">
        <f t="shared" si="317"/>
        <v>0</v>
      </c>
      <c r="T7766" s="128">
        <f t="shared" si="318"/>
        <v>0</v>
      </c>
      <c r="U7766" s="129" t="str">
        <f>IFERROR(IF(#REF!="S",VLOOKUP('Raw Data'!A7766,References!#REF!,2,FALSE),(VLOOKUP($S7766,References!$B$3:$C$7,2,FALSE))),"")</f>
        <v/>
      </c>
      <c r="W7766" s="74" t="str">
        <f>IFERROR(VLOOKUP($O7766,'Customer List'!$A$1:$J$488,10,FALSE),"")</f>
        <v/>
      </c>
    </row>
    <row r="7767" spans="18:23">
      <c r="R7767" s="127">
        <f t="shared" si="317"/>
        <v>0</v>
      </c>
      <c r="T7767" s="128">
        <f t="shared" si="318"/>
        <v>0</v>
      </c>
      <c r="U7767" s="129" t="str">
        <f>IFERROR(IF(#REF!="S",VLOOKUP('Raw Data'!A7767,References!#REF!,2,FALSE),(VLOOKUP($S7767,References!$B$3:$C$7,2,FALSE))),"")</f>
        <v/>
      </c>
      <c r="W7767" s="74" t="str">
        <f>IFERROR(VLOOKUP($O7767,'Customer List'!$A$1:$J$488,10,FALSE),"")</f>
        <v/>
      </c>
    </row>
    <row r="7768" spans="18:23">
      <c r="R7768" s="127">
        <f t="shared" si="317"/>
        <v>0</v>
      </c>
      <c r="T7768" s="128">
        <f t="shared" si="318"/>
        <v>0</v>
      </c>
      <c r="U7768" s="129" t="str">
        <f>IFERROR(IF(#REF!="S",VLOOKUP('Raw Data'!A7768,References!#REF!,2,FALSE),(VLOOKUP($S7768,References!$B$3:$C$7,2,FALSE))),"")</f>
        <v/>
      </c>
      <c r="W7768" s="74" t="str">
        <f>IFERROR(VLOOKUP($O7768,'Customer List'!$A$1:$J$488,10,FALSE),"")</f>
        <v/>
      </c>
    </row>
    <row r="7769" spans="18:23">
      <c r="R7769" s="127">
        <f t="shared" si="317"/>
        <v>0</v>
      </c>
      <c r="T7769" s="128">
        <f t="shared" si="318"/>
        <v>0</v>
      </c>
      <c r="U7769" s="129" t="str">
        <f>IFERROR(IF(#REF!="S",VLOOKUP('Raw Data'!A7769,References!#REF!,2,FALSE),(VLOOKUP($S7769,References!$B$3:$C$7,2,FALSE))),"")</f>
        <v/>
      </c>
      <c r="W7769" s="74" t="str">
        <f>IFERROR(VLOOKUP($O7769,'Customer List'!$A$1:$J$488,10,FALSE),"")</f>
        <v/>
      </c>
    </row>
    <row r="7770" spans="18:23">
      <c r="R7770" s="127">
        <f t="shared" si="317"/>
        <v>0</v>
      </c>
      <c r="T7770" s="128">
        <f t="shared" si="318"/>
        <v>0</v>
      </c>
      <c r="U7770" s="129" t="str">
        <f>IFERROR(IF(#REF!="S",VLOOKUP('Raw Data'!A7770,References!#REF!,2,FALSE),(VLOOKUP($S7770,References!$B$3:$C$7,2,FALSE))),"")</f>
        <v/>
      </c>
      <c r="W7770" s="74" t="str">
        <f>IFERROR(VLOOKUP($O7770,'Customer List'!$A$1:$J$488,10,FALSE),"")</f>
        <v/>
      </c>
    </row>
    <row r="7771" spans="18:23">
      <c r="R7771" s="127">
        <f t="shared" si="317"/>
        <v>0</v>
      </c>
      <c r="T7771" s="128">
        <f t="shared" si="318"/>
        <v>0</v>
      </c>
      <c r="U7771" s="129" t="str">
        <f>IFERROR(IF(#REF!="S",VLOOKUP('Raw Data'!A7771,References!#REF!,2,FALSE),(VLOOKUP($S7771,References!$B$3:$C$7,2,FALSE))),"")</f>
        <v/>
      </c>
      <c r="W7771" s="74" t="str">
        <f>IFERROR(VLOOKUP($O7771,'Customer List'!$A$1:$J$488,10,FALSE),"")</f>
        <v/>
      </c>
    </row>
    <row r="7772" spans="18:23">
      <c r="R7772" s="127">
        <f t="shared" si="317"/>
        <v>0</v>
      </c>
      <c r="T7772" s="128">
        <f t="shared" si="318"/>
        <v>0</v>
      </c>
      <c r="U7772" s="129" t="str">
        <f>IFERROR(IF(#REF!="S",VLOOKUP('Raw Data'!A7772,References!#REF!,2,FALSE),(VLOOKUP($S7772,References!$B$3:$C$7,2,FALSE))),"")</f>
        <v/>
      </c>
      <c r="W7772" s="74" t="str">
        <f>IFERROR(VLOOKUP($O7772,'Customer List'!$A$1:$J$488,10,FALSE),"")</f>
        <v/>
      </c>
    </row>
    <row r="7773" spans="18:23">
      <c r="R7773" s="127">
        <f t="shared" si="317"/>
        <v>0</v>
      </c>
      <c r="T7773" s="128">
        <f t="shared" si="318"/>
        <v>0</v>
      </c>
      <c r="U7773" s="129" t="str">
        <f>IFERROR(IF(#REF!="S",VLOOKUP('Raw Data'!A7773,References!#REF!,2,FALSE),(VLOOKUP($S7773,References!$B$3:$C$7,2,FALSE))),"")</f>
        <v/>
      </c>
      <c r="W7773" s="74" t="str">
        <f>IFERROR(VLOOKUP($O7773,'Customer List'!$A$1:$J$488,10,FALSE),"")</f>
        <v/>
      </c>
    </row>
    <row r="7774" spans="18:23">
      <c r="R7774" s="127">
        <f t="shared" si="317"/>
        <v>0</v>
      </c>
      <c r="T7774" s="128">
        <f t="shared" si="318"/>
        <v>0</v>
      </c>
      <c r="U7774" s="129" t="str">
        <f>IFERROR(IF(#REF!="S",VLOOKUP('Raw Data'!A7774,References!#REF!,2,FALSE),(VLOOKUP($S7774,References!$B$3:$C$7,2,FALSE))),"")</f>
        <v/>
      </c>
      <c r="W7774" s="74" t="str">
        <f>IFERROR(VLOOKUP($O7774,'Customer List'!$A$1:$J$488,10,FALSE),"")</f>
        <v/>
      </c>
    </row>
    <row r="7775" spans="18:23">
      <c r="R7775" s="127">
        <f t="shared" si="317"/>
        <v>0</v>
      </c>
      <c r="T7775" s="128">
        <f t="shared" si="318"/>
        <v>0</v>
      </c>
      <c r="U7775" s="129" t="str">
        <f>IFERROR(IF(#REF!="S",VLOOKUP('Raw Data'!A7775,References!#REF!,2,FALSE),(VLOOKUP($S7775,References!$B$3:$C$7,2,FALSE))),"")</f>
        <v/>
      </c>
      <c r="W7775" s="74" t="str">
        <f>IFERROR(VLOOKUP($O7775,'Customer List'!$A$1:$J$488,10,FALSE),"")</f>
        <v/>
      </c>
    </row>
    <row r="7776" spans="18:23">
      <c r="R7776" s="127">
        <f t="shared" si="317"/>
        <v>0</v>
      </c>
      <c r="T7776" s="128">
        <f t="shared" si="318"/>
        <v>0</v>
      </c>
      <c r="U7776" s="129" t="str">
        <f>IFERROR(IF(#REF!="S",VLOOKUP('Raw Data'!A7776,References!#REF!,2,FALSE),(VLOOKUP($S7776,References!$B$3:$C$7,2,FALSE))),"")</f>
        <v/>
      </c>
      <c r="W7776" s="74" t="str">
        <f>IFERROR(VLOOKUP($O7776,'Customer List'!$A$1:$J$488,10,FALSE),"")</f>
        <v/>
      </c>
    </row>
    <row r="7777" spans="18:23">
      <c r="R7777" s="127">
        <f t="shared" si="317"/>
        <v>0</v>
      </c>
      <c r="T7777" s="128">
        <f t="shared" si="318"/>
        <v>0</v>
      </c>
      <c r="U7777" s="129" t="str">
        <f>IFERROR(IF(#REF!="S",VLOOKUP('Raw Data'!A7777,References!#REF!,2,FALSE),(VLOOKUP($S7777,References!$B$3:$C$7,2,FALSE))),"")</f>
        <v/>
      </c>
      <c r="W7777" s="74" t="str">
        <f>IFERROR(VLOOKUP($O7777,'Customer List'!$A$1:$J$488,10,FALSE),"")</f>
        <v/>
      </c>
    </row>
    <row r="7778" spans="18:23">
      <c r="R7778" s="127">
        <f t="shared" ref="R7778:R7841" si="319">L7778-K7778</f>
        <v>0</v>
      </c>
      <c r="T7778" s="128">
        <f t="shared" si="318"/>
        <v>0</v>
      </c>
      <c r="U7778" s="129" t="str">
        <f>IFERROR(IF(#REF!="S",VLOOKUP('Raw Data'!A7778,References!#REF!,2,FALSE),(VLOOKUP($S7778,References!$B$3:$C$7,2,FALSE))),"")</f>
        <v/>
      </c>
      <c r="W7778" s="74" t="str">
        <f>IFERROR(VLOOKUP($O7778,'Customer List'!$A$1:$J$488,10,FALSE),"")</f>
        <v/>
      </c>
    </row>
    <row r="7779" spans="18:23">
      <c r="R7779" s="127">
        <f t="shared" si="319"/>
        <v>0</v>
      </c>
      <c r="T7779" s="128">
        <f t="shared" si="318"/>
        <v>0</v>
      </c>
      <c r="U7779" s="129" t="str">
        <f>IFERROR(IF(#REF!="S",VLOOKUP('Raw Data'!A7779,References!#REF!,2,FALSE),(VLOOKUP($S7779,References!$B$3:$C$7,2,FALSE))),"")</f>
        <v/>
      </c>
      <c r="W7779" s="74" t="str">
        <f>IFERROR(VLOOKUP($O7779,'Customer List'!$A$1:$J$488,10,FALSE),"")</f>
        <v/>
      </c>
    </row>
    <row r="7780" spans="18:23">
      <c r="R7780" s="127">
        <f t="shared" si="319"/>
        <v>0</v>
      </c>
      <c r="T7780" s="128">
        <f t="shared" si="318"/>
        <v>0</v>
      </c>
      <c r="U7780" s="129" t="str">
        <f>IFERROR(IF(#REF!="S",VLOOKUP('Raw Data'!A7780,References!#REF!,2,FALSE),(VLOOKUP($S7780,References!$B$3:$C$7,2,FALSE))),"")</f>
        <v/>
      </c>
      <c r="W7780" s="74" t="str">
        <f>IFERROR(VLOOKUP($O7780,'Customer List'!$A$1:$J$488,10,FALSE),"")</f>
        <v/>
      </c>
    </row>
    <row r="7781" spans="18:23">
      <c r="R7781" s="127">
        <f t="shared" si="319"/>
        <v>0</v>
      </c>
      <c r="T7781" s="128">
        <f t="shared" si="318"/>
        <v>0</v>
      </c>
      <c r="U7781" s="129" t="str">
        <f>IFERROR(IF(#REF!="S",VLOOKUP('Raw Data'!A7781,References!#REF!,2,FALSE),(VLOOKUP($S7781,References!$B$3:$C$7,2,FALSE))),"")</f>
        <v/>
      </c>
      <c r="W7781" s="74" t="str">
        <f>IFERROR(VLOOKUP($O7781,'Customer List'!$A$1:$J$488,10,FALSE),"")</f>
        <v/>
      </c>
    </row>
    <row r="7782" spans="18:23">
      <c r="R7782" s="127">
        <f t="shared" si="319"/>
        <v>0</v>
      </c>
      <c r="T7782" s="128">
        <f t="shared" si="318"/>
        <v>0</v>
      </c>
      <c r="U7782" s="129" t="str">
        <f>IFERROR(IF(#REF!="S",VLOOKUP('Raw Data'!A7782,References!#REF!,2,FALSE),(VLOOKUP($S7782,References!$B$3:$C$7,2,FALSE))),"")</f>
        <v/>
      </c>
      <c r="W7782" s="74" t="str">
        <f>IFERROR(VLOOKUP($O7782,'Customer List'!$A$1:$J$488,10,FALSE),"")</f>
        <v/>
      </c>
    </row>
    <row r="7783" spans="18:23">
      <c r="R7783" s="127">
        <f t="shared" si="319"/>
        <v>0</v>
      </c>
      <c r="T7783" s="128">
        <f t="shared" si="318"/>
        <v>0</v>
      </c>
      <c r="U7783" s="129" t="str">
        <f>IFERROR(IF(#REF!="S",VLOOKUP('Raw Data'!A7783,References!#REF!,2,FALSE),(VLOOKUP($S7783,References!$B$3:$C$7,2,FALSE))),"")</f>
        <v/>
      </c>
      <c r="W7783" s="74" t="str">
        <f>IFERROR(VLOOKUP($O7783,'Customer List'!$A$1:$J$488,10,FALSE),"")</f>
        <v/>
      </c>
    </row>
    <row r="7784" spans="18:23">
      <c r="R7784" s="127">
        <f t="shared" si="319"/>
        <v>0</v>
      </c>
      <c r="T7784" s="128">
        <f t="shared" si="318"/>
        <v>0</v>
      </c>
      <c r="U7784" s="129" t="str">
        <f>IFERROR(IF(#REF!="S",VLOOKUP('Raw Data'!A7784,References!#REF!,2,FALSE),(VLOOKUP($S7784,References!$B$3:$C$7,2,FALSE))),"")</f>
        <v/>
      </c>
      <c r="W7784" s="74" t="str">
        <f>IFERROR(VLOOKUP($O7784,'Customer List'!$A$1:$J$488,10,FALSE),"")</f>
        <v/>
      </c>
    </row>
    <row r="7785" spans="18:23">
      <c r="R7785" s="127">
        <f t="shared" si="319"/>
        <v>0</v>
      </c>
      <c r="T7785" s="128">
        <f t="shared" si="318"/>
        <v>0</v>
      </c>
      <c r="U7785" s="129" t="str">
        <f>IFERROR(IF(#REF!="S",VLOOKUP('Raw Data'!A7785,References!#REF!,2,FALSE),(VLOOKUP($S7785,References!$B$3:$C$7,2,FALSE))),"")</f>
        <v/>
      </c>
      <c r="W7785" s="74" t="str">
        <f>IFERROR(VLOOKUP($O7785,'Customer List'!$A$1:$J$488,10,FALSE),"")</f>
        <v/>
      </c>
    </row>
    <row r="7786" spans="18:23">
      <c r="R7786" s="127">
        <f t="shared" si="319"/>
        <v>0</v>
      </c>
      <c r="T7786" s="128">
        <f t="shared" si="318"/>
        <v>0</v>
      </c>
      <c r="U7786" s="129" t="str">
        <f>IFERROR(IF(#REF!="S",VLOOKUP('Raw Data'!A7786,References!#REF!,2,FALSE),(VLOOKUP($S7786,References!$B$3:$C$7,2,FALSE))),"")</f>
        <v/>
      </c>
      <c r="W7786" s="74" t="str">
        <f>IFERROR(VLOOKUP($O7786,'Customer List'!$A$1:$J$488,10,FALSE),"")</f>
        <v/>
      </c>
    </row>
    <row r="7787" spans="18:23">
      <c r="R7787" s="127">
        <f t="shared" si="319"/>
        <v>0</v>
      </c>
      <c r="T7787" s="128">
        <f t="shared" si="318"/>
        <v>0</v>
      </c>
      <c r="U7787" s="129" t="str">
        <f>IFERROR(IF(#REF!="S",VLOOKUP('Raw Data'!A7787,References!#REF!,2,FALSE),(VLOOKUP($S7787,References!$B$3:$C$7,2,FALSE))),"")</f>
        <v/>
      </c>
      <c r="W7787" s="74" t="str">
        <f>IFERROR(VLOOKUP($O7787,'Customer List'!$A$1:$J$488,10,FALSE),"")</f>
        <v/>
      </c>
    </row>
    <row r="7788" spans="18:23">
      <c r="R7788" s="127">
        <f t="shared" si="319"/>
        <v>0</v>
      </c>
      <c r="T7788" s="128">
        <f t="shared" si="318"/>
        <v>0</v>
      </c>
      <c r="U7788" s="129" t="str">
        <f>IFERROR(IF(#REF!="S",VLOOKUP('Raw Data'!A7788,References!#REF!,2,FALSE),(VLOOKUP($S7788,References!$B$3:$C$7,2,FALSE))),"")</f>
        <v/>
      </c>
      <c r="W7788" s="74" t="str">
        <f>IFERROR(VLOOKUP($O7788,'Customer List'!$A$1:$J$488,10,FALSE),"")</f>
        <v/>
      </c>
    </row>
    <row r="7789" spans="18:23">
      <c r="R7789" s="127">
        <f t="shared" si="319"/>
        <v>0</v>
      </c>
      <c r="T7789" s="128">
        <f t="shared" si="318"/>
        <v>0</v>
      </c>
      <c r="U7789" s="129" t="str">
        <f>IFERROR(IF(#REF!="S",VLOOKUP('Raw Data'!A7789,References!#REF!,2,FALSE),(VLOOKUP($S7789,References!$B$3:$C$7,2,FALSE))),"")</f>
        <v/>
      </c>
      <c r="W7789" s="74" t="str">
        <f>IFERROR(VLOOKUP($O7789,'Customer List'!$A$1:$J$488,10,FALSE),"")</f>
        <v/>
      </c>
    </row>
    <row r="7790" spans="18:23">
      <c r="R7790" s="127">
        <f t="shared" si="319"/>
        <v>0</v>
      </c>
      <c r="T7790" s="128">
        <f t="shared" si="318"/>
        <v>0</v>
      </c>
      <c r="U7790" s="129" t="str">
        <f>IFERROR(IF(#REF!="S",VLOOKUP('Raw Data'!A7790,References!#REF!,2,FALSE),(VLOOKUP($S7790,References!$B$3:$C$7,2,FALSE))),"")</f>
        <v/>
      </c>
      <c r="W7790" s="74" t="str">
        <f>IFERROR(VLOOKUP($O7790,'Customer List'!$A$1:$J$488,10,FALSE),"")</f>
        <v/>
      </c>
    </row>
    <row r="7791" spans="18:23">
      <c r="R7791" s="127">
        <f t="shared" si="319"/>
        <v>0</v>
      </c>
      <c r="T7791" s="128">
        <f t="shared" si="318"/>
        <v>0</v>
      </c>
      <c r="U7791" s="129" t="str">
        <f>IFERROR(IF(#REF!="S",VLOOKUP('Raw Data'!A7791,References!#REF!,2,FALSE),(VLOOKUP($S7791,References!$B$3:$C$7,2,FALSE))),"")</f>
        <v/>
      </c>
      <c r="W7791" s="74" t="str">
        <f>IFERROR(VLOOKUP($O7791,'Customer List'!$A$1:$J$488,10,FALSE),"")</f>
        <v/>
      </c>
    </row>
    <row r="7792" spans="18:23">
      <c r="R7792" s="127">
        <f t="shared" si="319"/>
        <v>0</v>
      </c>
      <c r="T7792" s="128">
        <f t="shared" si="318"/>
        <v>0</v>
      </c>
      <c r="U7792" s="129" t="str">
        <f>IFERROR(IF(#REF!="S",VLOOKUP('Raw Data'!A7792,References!#REF!,2,FALSE),(VLOOKUP($S7792,References!$B$3:$C$7,2,FALSE))),"")</f>
        <v/>
      </c>
      <c r="W7792" s="74" t="str">
        <f>IFERROR(VLOOKUP($O7792,'Customer List'!$A$1:$J$488,10,FALSE),"")</f>
        <v/>
      </c>
    </row>
    <row r="7793" spans="18:23">
      <c r="R7793" s="127">
        <f t="shared" si="319"/>
        <v>0</v>
      </c>
      <c r="T7793" s="128">
        <f t="shared" si="318"/>
        <v>0</v>
      </c>
      <c r="U7793" s="129" t="str">
        <f>IFERROR(IF(#REF!="S",VLOOKUP('Raw Data'!A7793,References!#REF!,2,FALSE),(VLOOKUP($S7793,References!$B$3:$C$7,2,FALSE))),"")</f>
        <v/>
      </c>
      <c r="W7793" s="74" t="str">
        <f>IFERROR(VLOOKUP($O7793,'Customer List'!$A$1:$J$488,10,FALSE),"")</f>
        <v/>
      </c>
    </row>
    <row r="7794" spans="18:23">
      <c r="R7794" s="127">
        <f t="shared" si="319"/>
        <v>0</v>
      </c>
      <c r="T7794" s="128">
        <f t="shared" si="318"/>
        <v>0</v>
      </c>
      <c r="U7794" s="129" t="str">
        <f>IFERROR(IF(#REF!="S",VLOOKUP('Raw Data'!A7794,References!#REF!,2,FALSE),(VLOOKUP($S7794,References!$B$3:$C$7,2,FALSE))),"")</f>
        <v/>
      </c>
      <c r="W7794" s="74" t="str">
        <f>IFERROR(VLOOKUP($O7794,'Customer List'!$A$1:$J$488,10,FALSE),"")</f>
        <v/>
      </c>
    </row>
    <row r="7795" spans="18:23">
      <c r="R7795" s="127">
        <f t="shared" si="319"/>
        <v>0</v>
      </c>
      <c r="T7795" s="128">
        <f t="shared" si="318"/>
        <v>0</v>
      </c>
      <c r="U7795" s="129" t="str">
        <f>IFERROR(IF(#REF!="S",VLOOKUP('Raw Data'!A7795,References!#REF!,2,FALSE),(VLOOKUP($S7795,References!$B$3:$C$7,2,FALSE))),"")</f>
        <v/>
      </c>
      <c r="W7795" s="74" t="str">
        <f>IFERROR(VLOOKUP($O7795,'Customer List'!$A$1:$J$488,10,FALSE),"")</f>
        <v/>
      </c>
    </row>
    <row r="7796" spans="18:23">
      <c r="R7796" s="127">
        <f t="shared" si="319"/>
        <v>0</v>
      </c>
      <c r="T7796" s="128">
        <f t="shared" si="318"/>
        <v>0</v>
      </c>
      <c r="U7796" s="129" t="str">
        <f>IFERROR(IF(#REF!="S",VLOOKUP('Raw Data'!A7796,References!#REF!,2,FALSE),(VLOOKUP($S7796,References!$B$3:$C$7,2,FALSE))),"")</f>
        <v/>
      </c>
      <c r="W7796" s="74" t="str">
        <f>IFERROR(VLOOKUP($O7796,'Customer List'!$A$1:$J$488,10,FALSE),"")</f>
        <v/>
      </c>
    </row>
    <row r="7797" spans="18:23">
      <c r="R7797" s="127">
        <f t="shared" si="319"/>
        <v>0</v>
      </c>
      <c r="T7797" s="128">
        <f t="shared" si="318"/>
        <v>0</v>
      </c>
      <c r="U7797" s="129" t="str">
        <f>IFERROR(IF(#REF!="S",VLOOKUP('Raw Data'!A7797,References!#REF!,2,FALSE),(VLOOKUP($S7797,References!$B$3:$C$7,2,FALSE))),"")</f>
        <v/>
      </c>
      <c r="W7797" s="74" t="str">
        <f>IFERROR(VLOOKUP($O7797,'Customer List'!$A$1:$J$488,10,FALSE),"")</f>
        <v/>
      </c>
    </row>
    <row r="7798" spans="18:23">
      <c r="R7798" s="127">
        <f t="shared" si="319"/>
        <v>0</v>
      </c>
      <c r="T7798" s="128">
        <f t="shared" si="318"/>
        <v>0</v>
      </c>
      <c r="U7798" s="129" t="str">
        <f>IFERROR(IF(#REF!="S",VLOOKUP('Raw Data'!A7798,References!#REF!,2,FALSE),(VLOOKUP($S7798,References!$B$3:$C$7,2,FALSE))),"")</f>
        <v/>
      </c>
      <c r="W7798" s="74" t="str">
        <f>IFERROR(VLOOKUP($O7798,'Customer List'!$A$1:$J$488,10,FALSE),"")</f>
        <v/>
      </c>
    </row>
    <row r="7799" spans="18:23">
      <c r="R7799" s="127">
        <f t="shared" si="319"/>
        <v>0</v>
      </c>
      <c r="T7799" s="128">
        <f t="shared" si="318"/>
        <v>0</v>
      </c>
      <c r="U7799" s="129" t="str">
        <f>IFERROR(IF(#REF!="S",VLOOKUP('Raw Data'!A7799,References!#REF!,2,FALSE),(VLOOKUP($S7799,References!$B$3:$C$7,2,FALSE))),"")</f>
        <v/>
      </c>
      <c r="W7799" s="74" t="str">
        <f>IFERROR(VLOOKUP($O7799,'Customer List'!$A$1:$J$488,10,FALSE),"")</f>
        <v/>
      </c>
    </row>
    <row r="7800" spans="18:23">
      <c r="R7800" s="127">
        <f t="shared" si="319"/>
        <v>0</v>
      </c>
      <c r="T7800" s="128">
        <f t="shared" si="318"/>
        <v>0</v>
      </c>
      <c r="U7800" s="129" t="str">
        <f>IFERROR(IF(#REF!="S",VLOOKUP('Raw Data'!A7800,References!#REF!,2,FALSE),(VLOOKUP($S7800,References!$B$3:$C$7,2,FALSE))),"")</f>
        <v/>
      </c>
      <c r="W7800" s="74" t="str">
        <f>IFERROR(VLOOKUP($O7800,'Customer List'!$A$1:$J$488,10,FALSE),"")</f>
        <v/>
      </c>
    </row>
    <row r="7801" spans="18:23">
      <c r="R7801" s="127">
        <f t="shared" si="319"/>
        <v>0</v>
      </c>
      <c r="T7801" s="128">
        <f t="shared" si="318"/>
        <v>0</v>
      </c>
      <c r="U7801" s="129" t="str">
        <f>IFERROR(IF(#REF!="S",VLOOKUP('Raw Data'!A7801,References!#REF!,2,FALSE),(VLOOKUP($S7801,References!$B$3:$C$7,2,FALSE))),"")</f>
        <v/>
      </c>
      <c r="W7801" s="74" t="str">
        <f>IFERROR(VLOOKUP($O7801,'Customer List'!$A$1:$J$488,10,FALSE),"")</f>
        <v/>
      </c>
    </row>
    <row r="7802" spans="18:23">
      <c r="R7802" s="127">
        <f t="shared" si="319"/>
        <v>0</v>
      </c>
      <c r="T7802" s="128">
        <f t="shared" si="318"/>
        <v>0</v>
      </c>
      <c r="U7802" s="129" t="str">
        <f>IFERROR(IF(#REF!="S",VLOOKUP('Raw Data'!A7802,References!#REF!,2,FALSE),(VLOOKUP($S7802,References!$B$3:$C$7,2,FALSE))),"")</f>
        <v/>
      </c>
      <c r="W7802" s="74" t="str">
        <f>IFERROR(VLOOKUP($O7802,'Customer List'!$A$1:$J$488,10,FALSE),"")</f>
        <v/>
      </c>
    </row>
    <row r="7803" spans="18:23">
      <c r="R7803" s="127">
        <f t="shared" si="319"/>
        <v>0</v>
      </c>
      <c r="T7803" s="128">
        <f t="shared" si="318"/>
        <v>0</v>
      </c>
      <c r="U7803" s="129" t="str">
        <f>IFERROR(IF(#REF!="S",VLOOKUP('Raw Data'!A7803,References!#REF!,2,FALSE),(VLOOKUP($S7803,References!$B$3:$C$7,2,FALSE))),"")</f>
        <v/>
      </c>
      <c r="W7803" s="74" t="str">
        <f>IFERROR(VLOOKUP($O7803,'Customer List'!$A$1:$J$488,10,FALSE),"")</f>
        <v/>
      </c>
    </row>
    <row r="7804" spans="18:23">
      <c r="R7804" s="127">
        <f t="shared" si="319"/>
        <v>0</v>
      </c>
      <c r="T7804" s="128">
        <f t="shared" si="318"/>
        <v>0</v>
      </c>
      <c r="U7804" s="129" t="str">
        <f>IFERROR(IF(#REF!="S",VLOOKUP('Raw Data'!A7804,References!#REF!,2,FALSE),(VLOOKUP($S7804,References!$B$3:$C$7,2,FALSE))),"")</f>
        <v/>
      </c>
      <c r="W7804" s="74" t="str">
        <f>IFERROR(VLOOKUP($O7804,'Customer List'!$A$1:$J$488,10,FALSE),"")</f>
        <v/>
      </c>
    </row>
    <row r="7805" spans="18:23">
      <c r="R7805" s="127">
        <f t="shared" si="319"/>
        <v>0</v>
      </c>
      <c r="T7805" s="128">
        <f t="shared" si="318"/>
        <v>0</v>
      </c>
      <c r="U7805" s="129" t="str">
        <f>IFERROR(IF(#REF!="S",VLOOKUP('Raw Data'!A7805,References!#REF!,2,FALSE),(VLOOKUP($S7805,References!$B$3:$C$7,2,FALSE))),"")</f>
        <v/>
      </c>
      <c r="W7805" s="74" t="str">
        <f>IFERROR(VLOOKUP($O7805,'Customer List'!$A$1:$J$488,10,FALSE),"")</f>
        <v/>
      </c>
    </row>
    <row r="7806" spans="18:23">
      <c r="R7806" s="127">
        <f t="shared" si="319"/>
        <v>0</v>
      </c>
      <c r="T7806" s="128">
        <f t="shared" si="318"/>
        <v>0</v>
      </c>
      <c r="U7806" s="129" t="str">
        <f>IFERROR(IF(#REF!="S",VLOOKUP('Raw Data'!A7806,References!#REF!,2,FALSE),(VLOOKUP($S7806,References!$B$3:$C$7,2,FALSE))),"")</f>
        <v/>
      </c>
      <c r="W7806" s="74" t="str">
        <f>IFERROR(VLOOKUP($O7806,'Customer List'!$A$1:$J$488,10,FALSE),"")</f>
        <v/>
      </c>
    </row>
    <row r="7807" spans="18:23">
      <c r="R7807" s="127">
        <f t="shared" si="319"/>
        <v>0</v>
      </c>
      <c r="T7807" s="128">
        <f t="shared" si="318"/>
        <v>0</v>
      </c>
      <c r="U7807" s="129" t="str">
        <f>IFERROR(IF(#REF!="S",VLOOKUP('Raw Data'!A7807,References!#REF!,2,FALSE),(VLOOKUP($S7807,References!$B$3:$C$7,2,FALSE))),"")</f>
        <v/>
      </c>
      <c r="W7807" s="74" t="str">
        <f>IFERROR(VLOOKUP($O7807,'Customer List'!$A$1:$J$488,10,FALSE),"")</f>
        <v/>
      </c>
    </row>
    <row r="7808" spans="18:23">
      <c r="R7808" s="127">
        <f t="shared" si="319"/>
        <v>0</v>
      </c>
      <c r="T7808" s="128">
        <f t="shared" si="318"/>
        <v>0</v>
      </c>
      <c r="U7808" s="129" t="str">
        <f>IFERROR(IF(#REF!="S",VLOOKUP('Raw Data'!A7808,References!#REF!,2,FALSE),(VLOOKUP($S7808,References!$B$3:$C$7,2,FALSE))),"")</f>
        <v/>
      </c>
      <c r="W7808" s="74" t="str">
        <f>IFERROR(VLOOKUP($O7808,'Customer List'!$A$1:$J$488,10,FALSE),"")</f>
        <v/>
      </c>
    </row>
    <row r="7809" spans="18:23">
      <c r="R7809" s="127">
        <f t="shared" si="319"/>
        <v>0</v>
      </c>
      <c r="T7809" s="128">
        <f t="shared" si="318"/>
        <v>0</v>
      </c>
      <c r="U7809" s="129" t="str">
        <f>IFERROR(IF(#REF!="S",VLOOKUP('Raw Data'!A7809,References!#REF!,2,FALSE),(VLOOKUP($S7809,References!$B$3:$C$7,2,FALSE))),"")</f>
        <v/>
      </c>
      <c r="W7809" s="74" t="str">
        <f>IFERROR(VLOOKUP($O7809,'Customer List'!$A$1:$J$488,10,FALSE),"")</f>
        <v/>
      </c>
    </row>
    <row r="7810" spans="18:23">
      <c r="R7810" s="127">
        <f t="shared" si="319"/>
        <v>0</v>
      </c>
      <c r="T7810" s="128">
        <f t="shared" si="318"/>
        <v>0</v>
      </c>
      <c r="U7810" s="129" t="str">
        <f>IFERROR(IF(#REF!="S",VLOOKUP('Raw Data'!A7810,References!#REF!,2,FALSE),(VLOOKUP($S7810,References!$B$3:$C$7,2,FALSE))),"")</f>
        <v/>
      </c>
      <c r="W7810" s="74" t="str">
        <f>IFERROR(VLOOKUP($O7810,'Customer List'!$A$1:$J$488,10,FALSE),"")</f>
        <v/>
      </c>
    </row>
    <row r="7811" spans="18:23">
      <c r="R7811" s="127">
        <f t="shared" si="319"/>
        <v>0</v>
      </c>
      <c r="T7811" s="128">
        <f t="shared" si="318"/>
        <v>0</v>
      </c>
      <c r="U7811" s="129" t="str">
        <f>IFERROR(IF(#REF!="S",VLOOKUP('Raw Data'!A7811,References!#REF!,2,FALSE),(VLOOKUP($S7811,References!$B$3:$C$7,2,FALSE))),"")</f>
        <v/>
      </c>
      <c r="W7811" s="74" t="str">
        <f>IFERROR(VLOOKUP($O7811,'Customer List'!$A$1:$J$488,10,FALSE),"")</f>
        <v/>
      </c>
    </row>
    <row r="7812" spans="18:23">
      <c r="R7812" s="127">
        <f t="shared" si="319"/>
        <v>0</v>
      </c>
      <c r="T7812" s="128">
        <f t="shared" si="318"/>
        <v>0</v>
      </c>
      <c r="U7812" s="129" t="str">
        <f>IFERROR(IF(#REF!="S",VLOOKUP('Raw Data'!A7812,References!#REF!,2,FALSE),(VLOOKUP($S7812,References!$B$3:$C$7,2,FALSE))),"")</f>
        <v/>
      </c>
      <c r="W7812" s="74" t="str">
        <f>IFERROR(VLOOKUP($O7812,'Customer List'!$A$1:$J$488,10,FALSE),"")</f>
        <v/>
      </c>
    </row>
    <row r="7813" spans="18:23">
      <c r="R7813" s="127">
        <f t="shared" si="319"/>
        <v>0</v>
      </c>
      <c r="T7813" s="128">
        <f t="shared" si="318"/>
        <v>0</v>
      </c>
      <c r="U7813" s="129" t="str">
        <f>IFERROR(IF(#REF!="S",VLOOKUP('Raw Data'!A7813,References!#REF!,2,FALSE),(VLOOKUP($S7813,References!$B$3:$C$7,2,FALSE))),"")</f>
        <v/>
      </c>
      <c r="W7813" s="74" t="str">
        <f>IFERROR(VLOOKUP($O7813,'Customer List'!$A$1:$J$488,10,FALSE),"")</f>
        <v/>
      </c>
    </row>
    <row r="7814" spans="18:23">
      <c r="R7814" s="127">
        <f t="shared" si="319"/>
        <v>0</v>
      </c>
      <c r="T7814" s="128">
        <f t="shared" si="318"/>
        <v>0</v>
      </c>
      <c r="U7814" s="129" t="str">
        <f>IFERROR(IF(#REF!="S",VLOOKUP('Raw Data'!A7814,References!#REF!,2,FALSE),(VLOOKUP($S7814,References!$B$3:$C$7,2,FALSE))),"")</f>
        <v/>
      </c>
      <c r="W7814" s="74" t="str">
        <f>IFERROR(VLOOKUP($O7814,'Customer List'!$A$1:$J$488,10,FALSE),"")</f>
        <v/>
      </c>
    </row>
    <row r="7815" spans="18:23">
      <c r="R7815" s="127">
        <f t="shared" si="319"/>
        <v>0</v>
      </c>
      <c r="T7815" s="128">
        <f t="shared" si="318"/>
        <v>0</v>
      </c>
      <c r="U7815" s="129" t="str">
        <f>IFERROR(IF(#REF!="S",VLOOKUP('Raw Data'!A7815,References!#REF!,2,FALSE),(VLOOKUP($S7815,References!$B$3:$C$7,2,FALSE))),"")</f>
        <v/>
      </c>
      <c r="W7815" s="74" t="str">
        <f>IFERROR(VLOOKUP($O7815,'Customer List'!$A$1:$J$488,10,FALSE),"")</f>
        <v/>
      </c>
    </row>
    <row r="7816" spans="18:23">
      <c r="R7816" s="127">
        <f t="shared" si="319"/>
        <v>0</v>
      </c>
      <c r="T7816" s="128">
        <f t="shared" si="318"/>
        <v>0</v>
      </c>
      <c r="U7816" s="129" t="str">
        <f>IFERROR(IF(#REF!="S",VLOOKUP('Raw Data'!A7816,References!#REF!,2,FALSE),(VLOOKUP($S7816,References!$B$3:$C$7,2,FALSE))),"")</f>
        <v/>
      </c>
      <c r="W7816" s="74" t="str">
        <f>IFERROR(VLOOKUP($O7816,'Customer List'!$A$1:$J$488,10,FALSE),"")</f>
        <v/>
      </c>
    </row>
    <row r="7817" spans="18:23">
      <c r="R7817" s="127">
        <f t="shared" si="319"/>
        <v>0</v>
      </c>
      <c r="T7817" s="128">
        <f t="shared" si="318"/>
        <v>0</v>
      </c>
      <c r="U7817" s="129" t="str">
        <f>IFERROR(IF(#REF!="S",VLOOKUP('Raw Data'!A7817,References!#REF!,2,FALSE),(VLOOKUP($S7817,References!$B$3:$C$7,2,FALSE))),"")</f>
        <v/>
      </c>
      <c r="W7817" s="74" t="str">
        <f>IFERROR(VLOOKUP($O7817,'Customer List'!$A$1:$J$488,10,FALSE),"")</f>
        <v/>
      </c>
    </row>
    <row r="7818" spans="18:23">
      <c r="R7818" s="127">
        <f t="shared" si="319"/>
        <v>0</v>
      </c>
      <c r="T7818" s="128">
        <f t="shared" ref="T7818:T7881" si="320">IF(S7818="50 - Cleaning Fee",1,HOUR($R7818)+MINUTE(R7818)/60)</f>
        <v>0</v>
      </c>
      <c r="U7818" s="129" t="str">
        <f>IFERROR(IF(#REF!="S",VLOOKUP('Raw Data'!A7818,References!#REF!,2,FALSE),(VLOOKUP($S7818,References!$B$3:$C$7,2,FALSE))),"")</f>
        <v/>
      </c>
      <c r="W7818" s="74" t="str">
        <f>IFERROR(VLOOKUP($O7818,'Customer List'!$A$1:$J$488,10,FALSE),"")</f>
        <v/>
      </c>
    </row>
    <row r="7819" spans="18:23">
      <c r="R7819" s="127">
        <f t="shared" si="319"/>
        <v>0</v>
      </c>
      <c r="T7819" s="128">
        <f t="shared" si="320"/>
        <v>0</v>
      </c>
      <c r="U7819" s="129" t="str">
        <f>IFERROR(IF(#REF!="S",VLOOKUP('Raw Data'!A7819,References!#REF!,2,FALSE),(VLOOKUP($S7819,References!$B$3:$C$7,2,FALSE))),"")</f>
        <v/>
      </c>
      <c r="W7819" s="74" t="str">
        <f>IFERROR(VLOOKUP($O7819,'Customer List'!$A$1:$J$488,10,FALSE),"")</f>
        <v/>
      </c>
    </row>
    <row r="7820" spans="18:23">
      <c r="R7820" s="127">
        <f t="shared" si="319"/>
        <v>0</v>
      </c>
      <c r="T7820" s="128">
        <f t="shared" si="320"/>
        <v>0</v>
      </c>
      <c r="U7820" s="129" t="str">
        <f>IFERROR(IF(#REF!="S",VLOOKUP('Raw Data'!A7820,References!#REF!,2,FALSE),(VLOOKUP($S7820,References!$B$3:$C$7,2,FALSE))),"")</f>
        <v/>
      </c>
      <c r="W7820" s="74" t="str">
        <f>IFERROR(VLOOKUP($O7820,'Customer List'!$A$1:$J$488,10,FALSE),"")</f>
        <v/>
      </c>
    </row>
    <row r="7821" spans="18:23">
      <c r="R7821" s="127">
        <f t="shared" si="319"/>
        <v>0</v>
      </c>
      <c r="T7821" s="128">
        <f t="shared" si="320"/>
        <v>0</v>
      </c>
      <c r="U7821" s="129" t="str">
        <f>IFERROR(IF(#REF!="S",VLOOKUP('Raw Data'!A7821,References!#REF!,2,FALSE),(VLOOKUP($S7821,References!$B$3:$C$7,2,FALSE))),"")</f>
        <v/>
      </c>
      <c r="W7821" s="74" t="str">
        <f>IFERROR(VLOOKUP($O7821,'Customer List'!$A$1:$J$488,10,FALSE),"")</f>
        <v/>
      </c>
    </row>
    <row r="7822" spans="18:23">
      <c r="R7822" s="127">
        <f t="shared" si="319"/>
        <v>0</v>
      </c>
      <c r="T7822" s="128">
        <f t="shared" si="320"/>
        <v>0</v>
      </c>
      <c r="U7822" s="129" t="str">
        <f>IFERROR(IF(#REF!="S",VLOOKUP('Raw Data'!A7822,References!#REF!,2,FALSE),(VLOOKUP($S7822,References!$B$3:$C$7,2,FALSE))),"")</f>
        <v/>
      </c>
      <c r="W7822" s="74" t="str">
        <f>IFERROR(VLOOKUP($O7822,'Customer List'!$A$1:$J$488,10,FALSE),"")</f>
        <v/>
      </c>
    </row>
    <row r="7823" spans="18:23">
      <c r="R7823" s="127">
        <f t="shared" si="319"/>
        <v>0</v>
      </c>
      <c r="T7823" s="128">
        <f t="shared" si="320"/>
        <v>0</v>
      </c>
      <c r="U7823" s="129" t="str">
        <f>IFERROR(IF(#REF!="S",VLOOKUP('Raw Data'!A7823,References!#REF!,2,FALSE),(VLOOKUP($S7823,References!$B$3:$C$7,2,FALSE))),"")</f>
        <v/>
      </c>
      <c r="W7823" s="74" t="str">
        <f>IFERROR(VLOOKUP($O7823,'Customer List'!$A$1:$J$488,10,FALSE),"")</f>
        <v/>
      </c>
    </row>
    <row r="7824" spans="18:23">
      <c r="R7824" s="127">
        <f t="shared" si="319"/>
        <v>0</v>
      </c>
      <c r="T7824" s="128">
        <f t="shared" si="320"/>
        <v>0</v>
      </c>
      <c r="U7824" s="129" t="str">
        <f>IFERROR(IF(#REF!="S",VLOOKUP('Raw Data'!A7824,References!#REF!,2,FALSE),(VLOOKUP($S7824,References!$B$3:$C$7,2,FALSE))),"")</f>
        <v/>
      </c>
      <c r="W7824" s="74" t="str">
        <f>IFERROR(VLOOKUP($O7824,'Customer List'!$A$1:$J$488,10,FALSE),"")</f>
        <v/>
      </c>
    </row>
    <row r="7825" spans="18:23">
      <c r="R7825" s="127">
        <f t="shared" si="319"/>
        <v>0</v>
      </c>
      <c r="T7825" s="128">
        <f t="shared" si="320"/>
        <v>0</v>
      </c>
      <c r="U7825" s="129" t="str">
        <f>IFERROR(IF(#REF!="S",VLOOKUP('Raw Data'!A7825,References!#REF!,2,FALSE),(VLOOKUP($S7825,References!$B$3:$C$7,2,FALSE))),"")</f>
        <v/>
      </c>
      <c r="W7825" s="74" t="str">
        <f>IFERROR(VLOOKUP($O7825,'Customer List'!$A$1:$J$488,10,FALSE),"")</f>
        <v/>
      </c>
    </row>
    <row r="7826" spans="18:23">
      <c r="R7826" s="127">
        <f t="shared" si="319"/>
        <v>0</v>
      </c>
      <c r="T7826" s="128">
        <f t="shared" si="320"/>
        <v>0</v>
      </c>
      <c r="U7826" s="129" t="str">
        <f>IFERROR(IF(#REF!="S",VLOOKUP('Raw Data'!A7826,References!#REF!,2,FALSE),(VLOOKUP($S7826,References!$B$3:$C$7,2,FALSE))),"")</f>
        <v/>
      </c>
      <c r="W7826" s="74" t="str">
        <f>IFERROR(VLOOKUP($O7826,'Customer List'!$A$1:$J$488,10,FALSE),"")</f>
        <v/>
      </c>
    </row>
    <row r="7827" spans="18:23">
      <c r="R7827" s="127">
        <f t="shared" si="319"/>
        <v>0</v>
      </c>
      <c r="T7827" s="128">
        <f t="shared" si="320"/>
        <v>0</v>
      </c>
      <c r="U7827" s="129" t="str">
        <f>IFERROR(IF(#REF!="S",VLOOKUP('Raw Data'!A7827,References!#REF!,2,FALSE),(VLOOKUP($S7827,References!$B$3:$C$7,2,FALSE))),"")</f>
        <v/>
      </c>
      <c r="W7827" s="74" t="str">
        <f>IFERROR(VLOOKUP($O7827,'Customer List'!$A$1:$J$488,10,FALSE),"")</f>
        <v/>
      </c>
    </row>
    <row r="7828" spans="18:23">
      <c r="R7828" s="127">
        <f t="shared" si="319"/>
        <v>0</v>
      </c>
      <c r="T7828" s="128">
        <f t="shared" si="320"/>
        <v>0</v>
      </c>
      <c r="U7828" s="129" t="str">
        <f>IFERROR(IF(#REF!="S",VLOOKUP('Raw Data'!A7828,References!#REF!,2,FALSE),(VLOOKUP($S7828,References!$B$3:$C$7,2,FALSE))),"")</f>
        <v/>
      </c>
      <c r="W7828" s="74" t="str">
        <f>IFERROR(VLOOKUP($O7828,'Customer List'!$A$1:$J$488,10,FALSE),"")</f>
        <v/>
      </c>
    </row>
    <row r="7829" spans="18:23">
      <c r="R7829" s="127">
        <f t="shared" si="319"/>
        <v>0</v>
      </c>
      <c r="T7829" s="128">
        <f t="shared" si="320"/>
        <v>0</v>
      </c>
      <c r="U7829" s="129" t="str">
        <f>IFERROR(IF(#REF!="S",VLOOKUP('Raw Data'!A7829,References!#REF!,2,FALSE),(VLOOKUP($S7829,References!$B$3:$C$7,2,FALSE))),"")</f>
        <v/>
      </c>
      <c r="W7829" s="74" t="str">
        <f>IFERROR(VLOOKUP($O7829,'Customer List'!$A$1:$J$488,10,FALSE),"")</f>
        <v/>
      </c>
    </row>
    <row r="7830" spans="18:23">
      <c r="R7830" s="127">
        <f t="shared" si="319"/>
        <v>0</v>
      </c>
      <c r="T7830" s="128">
        <f t="shared" si="320"/>
        <v>0</v>
      </c>
      <c r="U7830" s="129" t="str">
        <f>IFERROR(IF(#REF!="S",VLOOKUP('Raw Data'!A7830,References!#REF!,2,FALSE),(VLOOKUP($S7830,References!$B$3:$C$7,2,FALSE))),"")</f>
        <v/>
      </c>
      <c r="W7830" s="74" t="str">
        <f>IFERROR(VLOOKUP($O7830,'Customer List'!$A$1:$J$488,10,FALSE),"")</f>
        <v/>
      </c>
    </row>
    <row r="7831" spans="18:23">
      <c r="R7831" s="127">
        <f t="shared" si="319"/>
        <v>0</v>
      </c>
      <c r="T7831" s="128">
        <f t="shared" si="320"/>
        <v>0</v>
      </c>
      <c r="U7831" s="129" t="str">
        <f>IFERROR(IF(#REF!="S",VLOOKUP('Raw Data'!A7831,References!#REF!,2,FALSE),(VLOOKUP($S7831,References!$B$3:$C$7,2,FALSE))),"")</f>
        <v/>
      </c>
      <c r="W7831" s="74" t="str">
        <f>IFERROR(VLOOKUP($O7831,'Customer List'!$A$1:$J$488,10,FALSE),"")</f>
        <v/>
      </c>
    </row>
    <row r="7832" spans="18:23">
      <c r="R7832" s="127">
        <f t="shared" si="319"/>
        <v>0</v>
      </c>
      <c r="T7832" s="128">
        <f t="shared" si="320"/>
        <v>0</v>
      </c>
      <c r="U7832" s="129" t="str">
        <f>IFERROR(IF(#REF!="S",VLOOKUP('Raw Data'!A7832,References!#REF!,2,FALSE),(VLOOKUP($S7832,References!$B$3:$C$7,2,FALSE))),"")</f>
        <v/>
      </c>
      <c r="W7832" s="74" t="str">
        <f>IFERROR(VLOOKUP($O7832,'Customer List'!$A$1:$J$488,10,FALSE),"")</f>
        <v/>
      </c>
    </row>
    <row r="7833" spans="18:23">
      <c r="R7833" s="127">
        <f t="shared" si="319"/>
        <v>0</v>
      </c>
      <c r="T7833" s="128">
        <f t="shared" si="320"/>
        <v>0</v>
      </c>
      <c r="U7833" s="129" t="str">
        <f>IFERROR(IF(#REF!="S",VLOOKUP('Raw Data'!A7833,References!#REF!,2,FALSE),(VLOOKUP($S7833,References!$B$3:$C$7,2,FALSE))),"")</f>
        <v/>
      </c>
      <c r="W7833" s="74" t="str">
        <f>IFERROR(VLOOKUP($O7833,'Customer List'!$A$1:$J$488,10,FALSE),"")</f>
        <v/>
      </c>
    </row>
    <row r="7834" spans="18:23">
      <c r="R7834" s="127">
        <f t="shared" si="319"/>
        <v>0</v>
      </c>
      <c r="T7834" s="128">
        <f t="shared" si="320"/>
        <v>0</v>
      </c>
      <c r="U7834" s="129" t="str">
        <f>IFERROR(IF(#REF!="S",VLOOKUP('Raw Data'!A7834,References!#REF!,2,FALSE),(VLOOKUP($S7834,References!$B$3:$C$7,2,FALSE))),"")</f>
        <v/>
      </c>
      <c r="W7834" s="74" t="str">
        <f>IFERROR(VLOOKUP($O7834,'Customer List'!$A$1:$J$488,10,FALSE),"")</f>
        <v/>
      </c>
    </row>
    <row r="7835" spans="18:23">
      <c r="R7835" s="127">
        <f t="shared" si="319"/>
        <v>0</v>
      </c>
      <c r="T7835" s="128">
        <f t="shared" si="320"/>
        <v>0</v>
      </c>
      <c r="U7835" s="129" t="str">
        <f>IFERROR(IF(#REF!="S",VLOOKUP('Raw Data'!A7835,References!#REF!,2,FALSE),(VLOOKUP($S7835,References!$B$3:$C$7,2,FALSE))),"")</f>
        <v/>
      </c>
      <c r="W7835" s="74" t="str">
        <f>IFERROR(VLOOKUP($O7835,'Customer List'!$A$1:$J$488,10,FALSE),"")</f>
        <v/>
      </c>
    </row>
    <row r="7836" spans="18:23">
      <c r="R7836" s="127">
        <f t="shared" si="319"/>
        <v>0</v>
      </c>
      <c r="T7836" s="128">
        <f t="shared" si="320"/>
        <v>0</v>
      </c>
      <c r="U7836" s="129" t="str">
        <f>IFERROR(IF(#REF!="S",VLOOKUP('Raw Data'!A7836,References!#REF!,2,FALSE),(VLOOKUP($S7836,References!$B$3:$C$7,2,FALSE))),"")</f>
        <v/>
      </c>
      <c r="W7836" s="74" t="str">
        <f>IFERROR(VLOOKUP($O7836,'Customer List'!$A$1:$J$488,10,FALSE),"")</f>
        <v/>
      </c>
    </row>
    <row r="7837" spans="18:23">
      <c r="R7837" s="127">
        <f t="shared" si="319"/>
        <v>0</v>
      </c>
      <c r="T7837" s="128">
        <f t="shared" si="320"/>
        <v>0</v>
      </c>
      <c r="U7837" s="129" t="str">
        <f>IFERROR(IF(#REF!="S",VLOOKUP('Raw Data'!A7837,References!#REF!,2,FALSE),(VLOOKUP($S7837,References!$B$3:$C$7,2,FALSE))),"")</f>
        <v/>
      </c>
      <c r="W7837" s="74" t="str">
        <f>IFERROR(VLOOKUP($O7837,'Customer List'!$A$1:$J$488,10,FALSE),"")</f>
        <v/>
      </c>
    </row>
    <row r="7838" spans="18:23">
      <c r="R7838" s="127">
        <f t="shared" si="319"/>
        <v>0</v>
      </c>
      <c r="T7838" s="128">
        <f t="shared" si="320"/>
        <v>0</v>
      </c>
      <c r="U7838" s="129" t="str">
        <f>IFERROR(IF(#REF!="S",VLOOKUP('Raw Data'!A7838,References!#REF!,2,FALSE),(VLOOKUP($S7838,References!$B$3:$C$7,2,FALSE))),"")</f>
        <v/>
      </c>
      <c r="W7838" s="74" t="str">
        <f>IFERROR(VLOOKUP($O7838,'Customer List'!$A$1:$J$488,10,FALSE),"")</f>
        <v/>
      </c>
    </row>
    <row r="7839" spans="18:23">
      <c r="R7839" s="127">
        <f t="shared" si="319"/>
        <v>0</v>
      </c>
      <c r="T7839" s="128">
        <f t="shared" si="320"/>
        <v>0</v>
      </c>
      <c r="U7839" s="129" t="str">
        <f>IFERROR(IF(#REF!="S",VLOOKUP('Raw Data'!A7839,References!#REF!,2,FALSE),(VLOOKUP($S7839,References!$B$3:$C$7,2,FALSE))),"")</f>
        <v/>
      </c>
      <c r="W7839" s="74" t="str">
        <f>IFERROR(VLOOKUP($O7839,'Customer List'!$A$1:$J$488,10,FALSE),"")</f>
        <v/>
      </c>
    </row>
    <row r="7840" spans="18:23">
      <c r="R7840" s="127">
        <f t="shared" si="319"/>
        <v>0</v>
      </c>
      <c r="T7840" s="128">
        <f t="shared" si="320"/>
        <v>0</v>
      </c>
      <c r="U7840" s="129" t="str">
        <f>IFERROR(IF(#REF!="S",VLOOKUP('Raw Data'!A7840,References!#REF!,2,FALSE),(VLOOKUP($S7840,References!$B$3:$C$7,2,FALSE))),"")</f>
        <v/>
      </c>
      <c r="W7840" s="74" t="str">
        <f>IFERROR(VLOOKUP($O7840,'Customer List'!$A$1:$J$488,10,FALSE),"")</f>
        <v/>
      </c>
    </row>
    <row r="7841" spans="18:23">
      <c r="R7841" s="127">
        <f t="shared" si="319"/>
        <v>0</v>
      </c>
      <c r="T7841" s="128">
        <f t="shared" si="320"/>
        <v>0</v>
      </c>
      <c r="U7841" s="129" t="str">
        <f>IFERROR(IF(#REF!="S",VLOOKUP('Raw Data'!A7841,References!#REF!,2,FALSE),(VLOOKUP($S7841,References!$B$3:$C$7,2,FALSE))),"")</f>
        <v/>
      </c>
      <c r="W7841" s="74" t="str">
        <f>IFERROR(VLOOKUP($O7841,'Customer List'!$A$1:$J$488,10,FALSE),"")</f>
        <v/>
      </c>
    </row>
    <row r="7842" spans="18:23">
      <c r="R7842" s="127">
        <f t="shared" ref="R7842:R7905" si="321">L7842-K7842</f>
        <v>0</v>
      </c>
      <c r="T7842" s="128">
        <f t="shared" si="320"/>
        <v>0</v>
      </c>
      <c r="U7842" s="129" t="str">
        <f>IFERROR(IF(#REF!="S",VLOOKUP('Raw Data'!A7842,References!#REF!,2,FALSE),(VLOOKUP($S7842,References!$B$3:$C$7,2,FALSE))),"")</f>
        <v/>
      </c>
      <c r="W7842" s="74" t="str">
        <f>IFERROR(VLOOKUP($O7842,'Customer List'!$A$1:$J$488,10,FALSE),"")</f>
        <v/>
      </c>
    </row>
    <row r="7843" spans="18:23">
      <c r="R7843" s="127">
        <f t="shared" si="321"/>
        <v>0</v>
      </c>
      <c r="T7843" s="128">
        <f t="shared" si="320"/>
        <v>0</v>
      </c>
      <c r="U7843" s="129" t="str">
        <f>IFERROR(IF(#REF!="S",VLOOKUP('Raw Data'!A7843,References!#REF!,2,FALSE),(VLOOKUP($S7843,References!$B$3:$C$7,2,FALSE))),"")</f>
        <v/>
      </c>
      <c r="W7843" s="74" t="str">
        <f>IFERROR(VLOOKUP($O7843,'Customer List'!$A$1:$J$488,10,FALSE),"")</f>
        <v/>
      </c>
    </row>
    <row r="7844" spans="18:23">
      <c r="R7844" s="127">
        <f t="shared" si="321"/>
        <v>0</v>
      </c>
      <c r="T7844" s="128">
        <f t="shared" si="320"/>
        <v>0</v>
      </c>
      <c r="U7844" s="129" t="str">
        <f>IFERROR(IF(#REF!="S",VLOOKUP('Raw Data'!A7844,References!#REF!,2,FALSE),(VLOOKUP($S7844,References!$B$3:$C$7,2,FALSE))),"")</f>
        <v/>
      </c>
      <c r="W7844" s="74" t="str">
        <f>IFERROR(VLOOKUP($O7844,'Customer List'!$A$1:$J$488,10,FALSE),"")</f>
        <v/>
      </c>
    </row>
    <row r="7845" spans="18:23">
      <c r="R7845" s="127">
        <f t="shared" si="321"/>
        <v>0</v>
      </c>
      <c r="T7845" s="128">
        <f t="shared" si="320"/>
        <v>0</v>
      </c>
      <c r="U7845" s="129" t="str">
        <f>IFERROR(IF(#REF!="S",VLOOKUP('Raw Data'!A7845,References!#REF!,2,FALSE),(VLOOKUP($S7845,References!$B$3:$C$7,2,FALSE))),"")</f>
        <v/>
      </c>
      <c r="W7845" s="74" t="str">
        <f>IFERROR(VLOOKUP($O7845,'Customer List'!$A$1:$J$488,10,FALSE),"")</f>
        <v/>
      </c>
    </row>
    <row r="7846" spans="18:23">
      <c r="R7846" s="127">
        <f t="shared" si="321"/>
        <v>0</v>
      </c>
      <c r="T7846" s="128">
        <f t="shared" si="320"/>
        <v>0</v>
      </c>
      <c r="U7846" s="129" t="str">
        <f>IFERROR(IF(#REF!="S",VLOOKUP('Raw Data'!A7846,References!#REF!,2,FALSE),(VLOOKUP($S7846,References!$B$3:$C$7,2,FALSE))),"")</f>
        <v/>
      </c>
      <c r="W7846" s="74" t="str">
        <f>IFERROR(VLOOKUP($O7846,'Customer List'!$A$1:$J$488,10,FALSE),"")</f>
        <v/>
      </c>
    </row>
    <row r="7847" spans="18:23">
      <c r="R7847" s="127">
        <f t="shared" si="321"/>
        <v>0</v>
      </c>
      <c r="T7847" s="128">
        <f t="shared" si="320"/>
        <v>0</v>
      </c>
      <c r="U7847" s="129" t="str">
        <f>IFERROR(IF(#REF!="S",VLOOKUP('Raw Data'!A7847,References!#REF!,2,FALSE),(VLOOKUP($S7847,References!$B$3:$C$7,2,FALSE))),"")</f>
        <v/>
      </c>
      <c r="W7847" s="74" t="str">
        <f>IFERROR(VLOOKUP($O7847,'Customer List'!$A$1:$J$488,10,FALSE),"")</f>
        <v/>
      </c>
    </row>
    <row r="7848" spans="18:23">
      <c r="R7848" s="127">
        <f t="shared" si="321"/>
        <v>0</v>
      </c>
      <c r="T7848" s="128">
        <f t="shared" si="320"/>
        <v>0</v>
      </c>
      <c r="U7848" s="129" t="str">
        <f>IFERROR(IF(#REF!="S",VLOOKUP('Raw Data'!A7848,References!#REF!,2,FALSE),(VLOOKUP($S7848,References!$B$3:$C$7,2,FALSE))),"")</f>
        <v/>
      </c>
      <c r="W7848" s="74" t="str">
        <f>IFERROR(VLOOKUP($O7848,'Customer List'!$A$1:$J$488,10,FALSE),"")</f>
        <v/>
      </c>
    </row>
    <row r="7849" spans="18:23">
      <c r="R7849" s="127">
        <f t="shared" si="321"/>
        <v>0</v>
      </c>
      <c r="T7849" s="128">
        <f t="shared" si="320"/>
        <v>0</v>
      </c>
      <c r="U7849" s="129" t="str">
        <f>IFERROR(IF(#REF!="S",VLOOKUP('Raw Data'!A7849,References!#REF!,2,FALSE),(VLOOKUP($S7849,References!$B$3:$C$7,2,FALSE))),"")</f>
        <v/>
      </c>
      <c r="W7849" s="74" t="str">
        <f>IFERROR(VLOOKUP($O7849,'Customer List'!$A$1:$J$488,10,FALSE),"")</f>
        <v/>
      </c>
    </row>
    <row r="7850" spans="18:23">
      <c r="R7850" s="127">
        <f t="shared" si="321"/>
        <v>0</v>
      </c>
      <c r="T7850" s="128">
        <f t="shared" si="320"/>
        <v>0</v>
      </c>
      <c r="U7850" s="129" t="str">
        <f>IFERROR(IF(#REF!="S",VLOOKUP('Raw Data'!A7850,References!#REF!,2,FALSE),(VLOOKUP($S7850,References!$B$3:$C$7,2,FALSE))),"")</f>
        <v/>
      </c>
      <c r="W7850" s="74" t="str">
        <f>IFERROR(VLOOKUP($O7850,'Customer List'!$A$1:$J$488,10,FALSE),"")</f>
        <v/>
      </c>
    </row>
    <row r="7851" spans="18:23">
      <c r="R7851" s="127">
        <f t="shared" si="321"/>
        <v>0</v>
      </c>
      <c r="T7851" s="128">
        <f t="shared" si="320"/>
        <v>0</v>
      </c>
      <c r="U7851" s="129" t="str">
        <f>IFERROR(IF(#REF!="S",VLOOKUP('Raw Data'!A7851,References!#REF!,2,FALSE),(VLOOKUP($S7851,References!$B$3:$C$7,2,FALSE))),"")</f>
        <v/>
      </c>
      <c r="W7851" s="74" t="str">
        <f>IFERROR(VLOOKUP($O7851,'Customer List'!$A$1:$J$488,10,FALSE),"")</f>
        <v/>
      </c>
    </row>
    <row r="7852" spans="18:23">
      <c r="R7852" s="127">
        <f t="shared" si="321"/>
        <v>0</v>
      </c>
      <c r="T7852" s="128">
        <f t="shared" si="320"/>
        <v>0</v>
      </c>
      <c r="U7852" s="129" t="str">
        <f>IFERROR(IF(#REF!="S",VLOOKUP('Raw Data'!A7852,References!#REF!,2,FALSE),(VLOOKUP($S7852,References!$B$3:$C$7,2,FALSE))),"")</f>
        <v/>
      </c>
      <c r="W7852" s="74" t="str">
        <f>IFERROR(VLOOKUP($O7852,'Customer List'!$A$1:$J$488,10,FALSE),"")</f>
        <v/>
      </c>
    </row>
    <row r="7853" spans="18:23">
      <c r="R7853" s="127">
        <f t="shared" si="321"/>
        <v>0</v>
      </c>
      <c r="T7853" s="128">
        <f t="shared" si="320"/>
        <v>0</v>
      </c>
      <c r="U7853" s="129" t="str">
        <f>IFERROR(IF(#REF!="S",VLOOKUP('Raw Data'!A7853,References!#REF!,2,FALSE),(VLOOKUP($S7853,References!$B$3:$C$7,2,FALSE))),"")</f>
        <v/>
      </c>
      <c r="W7853" s="74" t="str">
        <f>IFERROR(VLOOKUP($O7853,'Customer List'!$A$1:$J$488,10,FALSE),"")</f>
        <v/>
      </c>
    </row>
    <row r="7854" spans="18:23">
      <c r="R7854" s="127">
        <f t="shared" si="321"/>
        <v>0</v>
      </c>
      <c r="T7854" s="128">
        <f t="shared" si="320"/>
        <v>0</v>
      </c>
      <c r="U7854" s="129" t="str">
        <f>IFERROR(IF(#REF!="S",VLOOKUP('Raw Data'!A7854,References!#REF!,2,FALSE),(VLOOKUP($S7854,References!$B$3:$C$7,2,FALSE))),"")</f>
        <v/>
      </c>
      <c r="W7854" s="74" t="str">
        <f>IFERROR(VLOOKUP($O7854,'Customer List'!$A$1:$J$488,10,FALSE),"")</f>
        <v/>
      </c>
    </row>
    <row r="7855" spans="18:23">
      <c r="R7855" s="127">
        <f t="shared" si="321"/>
        <v>0</v>
      </c>
      <c r="T7855" s="128">
        <f t="shared" si="320"/>
        <v>0</v>
      </c>
      <c r="U7855" s="129" t="str">
        <f>IFERROR(IF(#REF!="S",VLOOKUP('Raw Data'!A7855,References!#REF!,2,FALSE),(VLOOKUP($S7855,References!$B$3:$C$7,2,FALSE))),"")</f>
        <v/>
      </c>
      <c r="W7855" s="74" t="str">
        <f>IFERROR(VLOOKUP($O7855,'Customer List'!$A$1:$J$488,10,FALSE),"")</f>
        <v/>
      </c>
    </row>
    <row r="7856" spans="18:23">
      <c r="R7856" s="127">
        <f t="shared" si="321"/>
        <v>0</v>
      </c>
      <c r="T7856" s="128">
        <f t="shared" si="320"/>
        <v>0</v>
      </c>
      <c r="U7856" s="129" t="str">
        <f>IFERROR(IF(#REF!="S",VLOOKUP('Raw Data'!A7856,References!#REF!,2,FALSE),(VLOOKUP($S7856,References!$B$3:$C$7,2,FALSE))),"")</f>
        <v/>
      </c>
      <c r="W7856" s="74" t="str">
        <f>IFERROR(VLOOKUP($O7856,'Customer List'!$A$1:$J$488,10,FALSE),"")</f>
        <v/>
      </c>
    </row>
    <row r="7857" spans="18:23">
      <c r="R7857" s="127">
        <f t="shared" si="321"/>
        <v>0</v>
      </c>
      <c r="T7857" s="128">
        <f t="shared" si="320"/>
        <v>0</v>
      </c>
      <c r="U7857" s="129" t="str">
        <f>IFERROR(IF(#REF!="S",VLOOKUP('Raw Data'!A7857,References!#REF!,2,FALSE),(VLOOKUP($S7857,References!$B$3:$C$7,2,FALSE))),"")</f>
        <v/>
      </c>
      <c r="W7857" s="74" t="str">
        <f>IFERROR(VLOOKUP($O7857,'Customer List'!$A$1:$J$488,10,FALSE),"")</f>
        <v/>
      </c>
    </row>
    <row r="7858" spans="18:23">
      <c r="R7858" s="127">
        <f t="shared" si="321"/>
        <v>0</v>
      </c>
      <c r="T7858" s="128">
        <f t="shared" si="320"/>
        <v>0</v>
      </c>
      <c r="U7858" s="129" t="str">
        <f>IFERROR(IF(#REF!="S",VLOOKUP('Raw Data'!A7858,References!#REF!,2,FALSE),(VLOOKUP($S7858,References!$B$3:$C$7,2,FALSE))),"")</f>
        <v/>
      </c>
      <c r="W7858" s="74" t="str">
        <f>IFERROR(VLOOKUP($O7858,'Customer List'!$A$1:$J$488,10,FALSE),"")</f>
        <v/>
      </c>
    </row>
    <row r="7859" spans="18:23">
      <c r="R7859" s="127">
        <f t="shared" si="321"/>
        <v>0</v>
      </c>
      <c r="T7859" s="128">
        <f t="shared" si="320"/>
        <v>0</v>
      </c>
      <c r="U7859" s="129" t="str">
        <f>IFERROR(IF(#REF!="S",VLOOKUP('Raw Data'!A7859,References!#REF!,2,FALSE),(VLOOKUP($S7859,References!$B$3:$C$7,2,FALSE))),"")</f>
        <v/>
      </c>
      <c r="W7859" s="74" t="str">
        <f>IFERROR(VLOOKUP($O7859,'Customer List'!$A$1:$J$488,10,FALSE),"")</f>
        <v/>
      </c>
    </row>
    <row r="7860" spans="18:23">
      <c r="R7860" s="127">
        <f t="shared" si="321"/>
        <v>0</v>
      </c>
      <c r="T7860" s="128">
        <f t="shared" si="320"/>
        <v>0</v>
      </c>
      <c r="U7860" s="129" t="str">
        <f>IFERROR(IF(#REF!="S",VLOOKUP('Raw Data'!A7860,References!#REF!,2,FALSE),(VLOOKUP($S7860,References!$B$3:$C$7,2,FALSE))),"")</f>
        <v/>
      </c>
      <c r="W7860" s="74" t="str">
        <f>IFERROR(VLOOKUP($O7860,'Customer List'!$A$1:$J$488,10,FALSE),"")</f>
        <v/>
      </c>
    </row>
    <row r="7861" spans="18:23">
      <c r="R7861" s="127">
        <f t="shared" si="321"/>
        <v>0</v>
      </c>
      <c r="T7861" s="128">
        <f t="shared" si="320"/>
        <v>0</v>
      </c>
      <c r="U7861" s="129" t="str">
        <f>IFERROR(IF(#REF!="S",VLOOKUP('Raw Data'!A7861,References!#REF!,2,FALSE),(VLOOKUP($S7861,References!$B$3:$C$7,2,FALSE))),"")</f>
        <v/>
      </c>
      <c r="W7861" s="74" t="str">
        <f>IFERROR(VLOOKUP($O7861,'Customer List'!$A$1:$J$488,10,FALSE),"")</f>
        <v/>
      </c>
    </row>
    <row r="7862" spans="18:23">
      <c r="R7862" s="127">
        <f t="shared" si="321"/>
        <v>0</v>
      </c>
      <c r="T7862" s="128">
        <f t="shared" si="320"/>
        <v>0</v>
      </c>
      <c r="U7862" s="129" t="str">
        <f>IFERROR(IF(#REF!="S",VLOOKUP('Raw Data'!A7862,References!#REF!,2,FALSE),(VLOOKUP($S7862,References!$B$3:$C$7,2,FALSE))),"")</f>
        <v/>
      </c>
      <c r="W7862" s="74" t="str">
        <f>IFERROR(VLOOKUP($O7862,'Customer List'!$A$1:$J$488,10,FALSE),"")</f>
        <v/>
      </c>
    </row>
    <row r="7863" spans="18:23">
      <c r="R7863" s="127">
        <f t="shared" si="321"/>
        <v>0</v>
      </c>
      <c r="T7863" s="128">
        <f t="shared" si="320"/>
        <v>0</v>
      </c>
      <c r="U7863" s="129" t="str">
        <f>IFERROR(IF(#REF!="S",VLOOKUP('Raw Data'!A7863,References!#REF!,2,FALSE),(VLOOKUP($S7863,References!$B$3:$C$7,2,FALSE))),"")</f>
        <v/>
      </c>
      <c r="W7863" s="74" t="str">
        <f>IFERROR(VLOOKUP($O7863,'Customer List'!$A$1:$J$488,10,FALSE),"")</f>
        <v/>
      </c>
    </row>
    <row r="7864" spans="18:23">
      <c r="R7864" s="127">
        <f t="shared" si="321"/>
        <v>0</v>
      </c>
      <c r="T7864" s="128">
        <f t="shared" si="320"/>
        <v>0</v>
      </c>
      <c r="U7864" s="129" t="str">
        <f>IFERROR(IF(#REF!="S",VLOOKUP('Raw Data'!A7864,References!#REF!,2,FALSE),(VLOOKUP($S7864,References!$B$3:$C$7,2,FALSE))),"")</f>
        <v/>
      </c>
      <c r="W7864" s="74" t="str">
        <f>IFERROR(VLOOKUP($O7864,'Customer List'!$A$1:$J$488,10,FALSE),"")</f>
        <v/>
      </c>
    </row>
    <row r="7865" spans="18:23">
      <c r="R7865" s="127">
        <f t="shared" si="321"/>
        <v>0</v>
      </c>
      <c r="T7865" s="128">
        <f t="shared" si="320"/>
        <v>0</v>
      </c>
      <c r="U7865" s="129" t="str">
        <f>IFERROR(IF(#REF!="S",VLOOKUP('Raw Data'!A7865,References!#REF!,2,FALSE),(VLOOKUP($S7865,References!$B$3:$C$7,2,FALSE))),"")</f>
        <v/>
      </c>
      <c r="W7865" s="74" t="str">
        <f>IFERROR(VLOOKUP($O7865,'Customer List'!$A$1:$J$488,10,FALSE),"")</f>
        <v/>
      </c>
    </row>
    <row r="7866" spans="18:23">
      <c r="R7866" s="127">
        <f t="shared" si="321"/>
        <v>0</v>
      </c>
      <c r="T7866" s="128">
        <f t="shared" si="320"/>
        <v>0</v>
      </c>
      <c r="U7866" s="129" t="str">
        <f>IFERROR(IF(#REF!="S",VLOOKUP('Raw Data'!A7866,References!#REF!,2,FALSE),(VLOOKUP($S7866,References!$B$3:$C$7,2,FALSE))),"")</f>
        <v/>
      </c>
      <c r="W7866" s="74" t="str">
        <f>IFERROR(VLOOKUP($O7866,'Customer List'!$A$1:$J$488,10,FALSE),"")</f>
        <v/>
      </c>
    </row>
    <row r="7867" spans="18:23">
      <c r="R7867" s="127">
        <f t="shared" si="321"/>
        <v>0</v>
      </c>
      <c r="T7867" s="128">
        <f t="shared" si="320"/>
        <v>0</v>
      </c>
      <c r="U7867" s="129" t="str">
        <f>IFERROR(IF(#REF!="S",VLOOKUP('Raw Data'!A7867,References!#REF!,2,FALSE),(VLOOKUP($S7867,References!$B$3:$C$7,2,FALSE))),"")</f>
        <v/>
      </c>
      <c r="W7867" s="74" t="str">
        <f>IFERROR(VLOOKUP($O7867,'Customer List'!$A$1:$J$488,10,FALSE),"")</f>
        <v/>
      </c>
    </row>
    <row r="7868" spans="18:23">
      <c r="R7868" s="127">
        <f t="shared" si="321"/>
        <v>0</v>
      </c>
      <c r="T7868" s="128">
        <f t="shared" si="320"/>
        <v>0</v>
      </c>
      <c r="U7868" s="129" t="str">
        <f>IFERROR(IF(#REF!="S",VLOOKUP('Raw Data'!A7868,References!#REF!,2,FALSE),(VLOOKUP($S7868,References!$B$3:$C$7,2,FALSE))),"")</f>
        <v/>
      </c>
      <c r="W7868" s="74" t="str">
        <f>IFERROR(VLOOKUP($O7868,'Customer List'!$A$1:$J$488,10,FALSE),"")</f>
        <v/>
      </c>
    </row>
    <row r="7869" spans="18:23">
      <c r="R7869" s="127">
        <f t="shared" si="321"/>
        <v>0</v>
      </c>
      <c r="T7869" s="128">
        <f t="shared" si="320"/>
        <v>0</v>
      </c>
      <c r="U7869" s="129" t="str">
        <f>IFERROR(IF(#REF!="S",VLOOKUP('Raw Data'!A7869,References!#REF!,2,FALSE),(VLOOKUP($S7869,References!$B$3:$C$7,2,FALSE))),"")</f>
        <v/>
      </c>
      <c r="W7869" s="74" t="str">
        <f>IFERROR(VLOOKUP($O7869,'Customer List'!$A$1:$J$488,10,FALSE),"")</f>
        <v/>
      </c>
    </row>
    <row r="7870" spans="18:23">
      <c r="R7870" s="127">
        <f t="shared" si="321"/>
        <v>0</v>
      </c>
      <c r="T7870" s="128">
        <f t="shared" si="320"/>
        <v>0</v>
      </c>
      <c r="U7870" s="129" t="str">
        <f>IFERROR(IF(#REF!="S",VLOOKUP('Raw Data'!A7870,References!#REF!,2,FALSE),(VLOOKUP($S7870,References!$B$3:$C$7,2,FALSE))),"")</f>
        <v/>
      </c>
      <c r="W7870" s="74" t="str">
        <f>IFERROR(VLOOKUP($O7870,'Customer List'!$A$1:$J$488,10,FALSE),"")</f>
        <v/>
      </c>
    </row>
    <row r="7871" spans="18:23">
      <c r="R7871" s="127">
        <f t="shared" si="321"/>
        <v>0</v>
      </c>
      <c r="T7871" s="128">
        <f t="shared" si="320"/>
        <v>0</v>
      </c>
      <c r="U7871" s="129" t="str">
        <f>IFERROR(IF(#REF!="S",VLOOKUP('Raw Data'!A7871,References!#REF!,2,FALSE),(VLOOKUP($S7871,References!$B$3:$C$7,2,FALSE))),"")</f>
        <v/>
      </c>
      <c r="W7871" s="74" t="str">
        <f>IFERROR(VLOOKUP($O7871,'Customer List'!$A$1:$J$488,10,FALSE),"")</f>
        <v/>
      </c>
    </row>
    <row r="7872" spans="18:23">
      <c r="R7872" s="127">
        <f t="shared" si="321"/>
        <v>0</v>
      </c>
      <c r="T7872" s="128">
        <f t="shared" si="320"/>
        <v>0</v>
      </c>
      <c r="U7872" s="129" t="str">
        <f>IFERROR(IF(#REF!="S",VLOOKUP('Raw Data'!A7872,References!#REF!,2,FALSE),(VLOOKUP($S7872,References!$B$3:$C$7,2,FALSE))),"")</f>
        <v/>
      </c>
      <c r="W7872" s="74" t="str">
        <f>IFERROR(VLOOKUP($O7872,'Customer List'!$A$1:$J$488,10,FALSE),"")</f>
        <v/>
      </c>
    </row>
    <row r="7873" spans="18:23">
      <c r="R7873" s="127">
        <f t="shared" si="321"/>
        <v>0</v>
      </c>
      <c r="T7873" s="128">
        <f t="shared" si="320"/>
        <v>0</v>
      </c>
      <c r="U7873" s="129" t="str">
        <f>IFERROR(IF(#REF!="S",VLOOKUP('Raw Data'!A7873,References!#REF!,2,FALSE),(VLOOKUP($S7873,References!$B$3:$C$7,2,FALSE))),"")</f>
        <v/>
      </c>
      <c r="W7873" s="74" t="str">
        <f>IFERROR(VLOOKUP($O7873,'Customer List'!$A$1:$J$488,10,FALSE),"")</f>
        <v/>
      </c>
    </row>
    <row r="7874" spans="18:23">
      <c r="R7874" s="127">
        <f t="shared" si="321"/>
        <v>0</v>
      </c>
      <c r="T7874" s="128">
        <f t="shared" si="320"/>
        <v>0</v>
      </c>
      <c r="U7874" s="129" t="str">
        <f>IFERROR(IF(#REF!="S",VLOOKUP('Raw Data'!A7874,References!#REF!,2,FALSE),(VLOOKUP($S7874,References!$B$3:$C$7,2,FALSE))),"")</f>
        <v/>
      </c>
      <c r="W7874" s="74" t="str">
        <f>IFERROR(VLOOKUP($O7874,'Customer List'!$A$1:$J$488,10,FALSE),"")</f>
        <v/>
      </c>
    </row>
    <row r="7875" spans="18:23">
      <c r="R7875" s="127">
        <f t="shared" si="321"/>
        <v>0</v>
      </c>
      <c r="T7875" s="128">
        <f t="shared" si="320"/>
        <v>0</v>
      </c>
      <c r="U7875" s="129" t="str">
        <f>IFERROR(IF(#REF!="S",VLOOKUP('Raw Data'!A7875,References!#REF!,2,FALSE),(VLOOKUP($S7875,References!$B$3:$C$7,2,FALSE))),"")</f>
        <v/>
      </c>
      <c r="W7875" s="74" t="str">
        <f>IFERROR(VLOOKUP($O7875,'Customer List'!$A$1:$J$488,10,FALSE),"")</f>
        <v/>
      </c>
    </row>
    <row r="7876" spans="18:23">
      <c r="R7876" s="127">
        <f t="shared" si="321"/>
        <v>0</v>
      </c>
      <c r="T7876" s="128">
        <f t="shared" si="320"/>
        <v>0</v>
      </c>
      <c r="U7876" s="129" t="str">
        <f>IFERROR(IF(#REF!="S",VLOOKUP('Raw Data'!A7876,References!#REF!,2,FALSE),(VLOOKUP($S7876,References!$B$3:$C$7,2,FALSE))),"")</f>
        <v/>
      </c>
      <c r="W7876" s="74" t="str">
        <f>IFERROR(VLOOKUP($O7876,'Customer List'!$A$1:$J$488,10,FALSE),"")</f>
        <v/>
      </c>
    </row>
    <row r="7877" spans="18:23">
      <c r="R7877" s="127">
        <f t="shared" si="321"/>
        <v>0</v>
      </c>
      <c r="T7877" s="128">
        <f t="shared" si="320"/>
        <v>0</v>
      </c>
      <c r="U7877" s="129" t="str">
        <f>IFERROR(IF(#REF!="S",VLOOKUP('Raw Data'!A7877,References!#REF!,2,FALSE),(VLOOKUP($S7877,References!$B$3:$C$7,2,FALSE))),"")</f>
        <v/>
      </c>
      <c r="W7877" s="74" t="str">
        <f>IFERROR(VLOOKUP($O7877,'Customer List'!$A$1:$J$488,10,FALSE),"")</f>
        <v/>
      </c>
    </row>
    <row r="7878" spans="18:23">
      <c r="R7878" s="127">
        <f t="shared" si="321"/>
        <v>0</v>
      </c>
      <c r="T7878" s="128">
        <f t="shared" si="320"/>
        <v>0</v>
      </c>
      <c r="U7878" s="129" t="str">
        <f>IFERROR(IF(#REF!="S",VLOOKUP('Raw Data'!A7878,References!#REF!,2,FALSE),(VLOOKUP($S7878,References!$B$3:$C$7,2,FALSE))),"")</f>
        <v/>
      </c>
      <c r="W7878" s="74" t="str">
        <f>IFERROR(VLOOKUP($O7878,'Customer List'!$A$1:$J$488,10,FALSE),"")</f>
        <v/>
      </c>
    </row>
    <row r="7879" spans="18:23">
      <c r="R7879" s="127">
        <f t="shared" si="321"/>
        <v>0</v>
      </c>
      <c r="T7879" s="128">
        <f t="shared" si="320"/>
        <v>0</v>
      </c>
      <c r="U7879" s="129" t="str">
        <f>IFERROR(IF(#REF!="S",VLOOKUP('Raw Data'!A7879,References!#REF!,2,FALSE),(VLOOKUP($S7879,References!$B$3:$C$7,2,FALSE))),"")</f>
        <v/>
      </c>
      <c r="W7879" s="74" t="str">
        <f>IFERROR(VLOOKUP($O7879,'Customer List'!$A$1:$J$488,10,FALSE),"")</f>
        <v/>
      </c>
    </row>
    <row r="7880" spans="18:23">
      <c r="R7880" s="127">
        <f t="shared" si="321"/>
        <v>0</v>
      </c>
      <c r="T7880" s="128">
        <f t="shared" si="320"/>
        <v>0</v>
      </c>
      <c r="U7880" s="129" t="str">
        <f>IFERROR(IF(#REF!="S",VLOOKUP('Raw Data'!A7880,References!#REF!,2,FALSE),(VLOOKUP($S7880,References!$B$3:$C$7,2,FALSE))),"")</f>
        <v/>
      </c>
      <c r="W7880" s="74" t="str">
        <f>IFERROR(VLOOKUP($O7880,'Customer List'!$A$1:$J$488,10,FALSE),"")</f>
        <v/>
      </c>
    </row>
    <row r="7881" spans="18:23">
      <c r="R7881" s="127">
        <f t="shared" si="321"/>
        <v>0</v>
      </c>
      <c r="T7881" s="128">
        <f t="shared" si="320"/>
        <v>0</v>
      </c>
      <c r="U7881" s="129" t="str">
        <f>IFERROR(IF(#REF!="S",VLOOKUP('Raw Data'!A7881,References!#REF!,2,FALSE),(VLOOKUP($S7881,References!$B$3:$C$7,2,FALSE))),"")</f>
        <v/>
      </c>
      <c r="W7881" s="74" t="str">
        <f>IFERROR(VLOOKUP($O7881,'Customer List'!$A$1:$J$488,10,FALSE),"")</f>
        <v/>
      </c>
    </row>
    <row r="7882" spans="18:23">
      <c r="R7882" s="127">
        <f t="shared" si="321"/>
        <v>0</v>
      </c>
      <c r="T7882" s="128">
        <f t="shared" ref="T7882:T7945" si="322">IF(S7882="50 - Cleaning Fee",1,HOUR($R7882)+MINUTE(R7882)/60)</f>
        <v>0</v>
      </c>
      <c r="U7882" s="129" t="str">
        <f>IFERROR(IF(#REF!="S",VLOOKUP('Raw Data'!A7882,References!#REF!,2,FALSE),(VLOOKUP($S7882,References!$B$3:$C$7,2,FALSE))),"")</f>
        <v/>
      </c>
      <c r="W7882" s="74" t="str">
        <f>IFERROR(VLOOKUP($O7882,'Customer List'!$A$1:$J$488,10,FALSE),"")</f>
        <v/>
      </c>
    </row>
    <row r="7883" spans="18:23">
      <c r="R7883" s="127">
        <f t="shared" si="321"/>
        <v>0</v>
      </c>
      <c r="T7883" s="128">
        <f t="shared" si="322"/>
        <v>0</v>
      </c>
      <c r="U7883" s="129" t="str">
        <f>IFERROR(IF(#REF!="S",VLOOKUP('Raw Data'!A7883,References!#REF!,2,FALSE),(VLOOKUP($S7883,References!$B$3:$C$7,2,FALSE))),"")</f>
        <v/>
      </c>
      <c r="W7883" s="74" t="str">
        <f>IFERROR(VLOOKUP($O7883,'Customer List'!$A$1:$J$488,10,FALSE),"")</f>
        <v/>
      </c>
    </row>
    <row r="7884" spans="18:23">
      <c r="R7884" s="127">
        <f t="shared" si="321"/>
        <v>0</v>
      </c>
      <c r="T7884" s="128">
        <f t="shared" si="322"/>
        <v>0</v>
      </c>
      <c r="U7884" s="129" t="str">
        <f>IFERROR(IF(#REF!="S",VLOOKUP('Raw Data'!A7884,References!#REF!,2,FALSE),(VLOOKUP($S7884,References!$B$3:$C$7,2,FALSE))),"")</f>
        <v/>
      </c>
      <c r="W7884" s="74" t="str">
        <f>IFERROR(VLOOKUP($O7884,'Customer List'!$A$1:$J$488,10,FALSE),"")</f>
        <v/>
      </c>
    </row>
    <row r="7885" spans="18:23">
      <c r="R7885" s="127">
        <f t="shared" si="321"/>
        <v>0</v>
      </c>
      <c r="T7885" s="128">
        <f t="shared" si="322"/>
        <v>0</v>
      </c>
      <c r="U7885" s="129" t="str">
        <f>IFERROR(IF(#REF!="S",VLOOKUP('Raw Data'!A7885,References!#REF!,2,FALSE),(VLOOKUP($S7885,References!$B$3:$C$7,2,FALSE))),"")</f>
        <v/>
      </c>
      <c r="W7885" s="74" t="str">
        <f>IFERROR(VLOOKUP($O7885,'Customer List'!$A$1:$J$488,10,FALSE),"")</f>
        <v/>
      </c>
    </row>
    <row r="7886" spans="18:23">
      <c r="R7886" s="127">
        <f t="shared" si="321"/>
        <v>0</v>
      </c>
      <c r="T7886" s="128">
        <f t="shared" si="322"/>
        <v>0</v>
      </c>
      <c r="U7886" s="129" t="str">
        <f>IFERROR(IF(#REF!="S",VLOOKUP('Raw Data'!A7886,References!#REF!,2,FALSE),(VLOOKUP($S7886,References!$B$3:$C$7,2,FALSE))),"")</f>
        <v/>
      </c>
      <c r="W7886" s="74" t="str">
        <f>IFERROR(VLOOKUP($O7886,'Customer List'!$A$1:$J$488,10,FALSE),"")</f>
        <v/>
      </c>
    </row>
    <row r="7887" spans="18:23">
      <c r="R7887" s="127">
        <f t="shared" si="321"/>
        <v>0</v>
      </c>
      <c r="T7887" s="128">
        <f t="shared" si="322"/>
        <v>0</v>
      </c>
      <c r="U7887" s="129" t="str">
        <f>IFERROR(IF(#REF!="S",VLOOKUP('Raw Data'!A7887,References!#REF!,2,FALSE),(VLOOKUP($S7887,References!$B$3:$C$7,2,FALSE))),"")</f>
        <v/>
      </c>
      <c r="W7887" s="74" t="str">
        <f>IFERROR(VLOOKUP($O7887,'Customer List'!$A$1:$J$488,10,FALSE),"")</f>
        <v/>
      </c>
    </row>
    <row r="7888" spans="18:23">
      <c r="R7888" s="127">
        <f t="shared" si="321"/>
        <v>0</v>
      </c>
      <c r="T7888" s="128">
        <f t="shared" si="322"/>
        <v>0</v>
      </c>
      <c r="U7888" s="129" t="str">
        <f>IFERROR(IF(#REF!="S",VLOOKUP('Raw Data'!A7888,References!#REF!,2,FALSE),(VLOOKUP($S7888,References!$B$3:$C$7,2,FALSE))),"")</f>
        <v/>
      </c>
      <c r="W7888" s="74" t="str">
        <f>IFERROR(VLOOKUP($O7888,'Customer List'!$A$1:$J$488,10,FALSE),"")</f>
        <v/>
      </c>
    </row>
    <row r="7889" spans="18:23">
      <c r="R7889" s="127">
        <f t="shared" si="321"/>
        <v>0</v>
      </c>
      <c r="T7889" s="128">
        <f t="shared" si="322"/>
        <v>0</v>
      </c>
      <c r="U7889" s="129" t="str">
        <f>IFERROR(IF(#REF!="S",VLOOKUP('Raw Data'!A7889,References!#REF!,2,FALSE),(VLOOKUP($S7889,References!$B$3:$C$7,2,FALSE))),"")</f>
        <v/>
      </c>
      <c r="W7889" s="74" t="str">
        <f>IFERROR(VLOOKUP($O7889,'Customer List'!$A$1:$J$488,10,FALSE),"")</f>
        <v/>
      </c>
    </row>
    <row r="7890" spans="18:23">
      <c r="R7890" s="127">
        <f t="shared" si="321"/>
        <v>0</v>
      </c>
      <c r="T7890" s="128">
        <f t="shared" si="322"/>
        <v>0</v>
      </c>
      <c r="U7890" s="129" t="str">
        <f>IFERROR(IF(#REF!="S",VLOOKUP('Raw Data'!A7890,References!#REF!,2,FALSE),(VLOOKUP($S7890,References!$B$3:$C$7,2,FALSE))),"")</f>
        <v/>
      </c>
      <c r="W7890" s="74" t="str">
        <f>IFERROR(VLOOKUP($O7890,'Customer List'!$A$1:$J$488,10,FALSE),"")</f>
        <v/>
      </c>
    </row>
    <row r="7891" spans="18:23">
      <c r="R7891" s="127">
        <f t="shared" si="321"/>
        <v>0</v>
      </c>
      <c r="T7891" s="128">
        <f t="shared" si="322"/>
        <v>0</v>
      </c>
      <c r="U7891" s="129" t="str">
        <f>IFERROR(IF(#REF!="S",VLOOKUP('Raw Data'!A7891,References!#REF!,2,FALSE),(VLOOKUP($S7891,References!$B$3:$C$7,2,FALSE))),"")</f>
        <v/>
      </c>
      <c r="W7891" s="74" t="str">
        <f>IFERROR(VLOOKUP($O7891,'Customer List'!$A$1:$J$488,10,FALSE),"")</f>
        <v/>
      </c>
    </row>
    <row r="7892" spans="18:23">
      <c r="R7892" s="127">
        <f t="shared" si="321"/>
        <v>0</v>
      </c>
      <c r="T7892" s="128">
        <f t="shared" si="322"/>
        <v>0</v>
      </c>
      <c r="U7892" s="129" t="str">
        <f>IFERROR(IF(#REF!="S",VLOOKUP('Raw Data'!A7892,References!#REF!,2,FALSE),(VLOOKUP($S7892,References!$B$3:$C$7,2,FALSE))),"")</f>
        <v/>
      </c>
      <c r="W7892" s="74" t="str">
        <f>IFERROR(VLOOKUP($O7892,'Customer List'!$A$1:$J$488,10,FALSE),"")</f>
        <v/>
      </c>
    </row>
    <row r="7893" spans="18:23">
      <c r="R7893" s="127">
        <f t="shared" si="321"/>
        <v>0</v>
      </c>
      <c r="T7893" s="128">
        <f t="shared" si="322"/>
        <v>0</v>
      </c>
      <c r="U7893" s="129" t="str">
        <f>IFERROR(IF(#REF!="S",VLOOKUP('Raw Data'!A7893,References!#REF!,2,FALSE),(VLOOKUP($S7893,References!$B$3:$C$7,2,FALSE))),"")</f>
        <v/>
      </c>
      <c r="W7893" s="74" t="str">
        <f>IFERROR(VLOOKUP($O7893,'Customer List'!$A$1:$J$488,10,FALSE),"")</f>
        <v/>
      </c>
    </row>
    <row r="7894" spans="18:23">
      <c r="R7894" s="127">
        <f t="shared" si="321"/>
        <v>0</v>
      </c>
      <c r="T7894" s="128">
        <f t="shared" si="322"/>
        <v>0</v>
      </c>
      <c r="U7894" s="129" t="str">
        <f>IFERROR(IF(#REF!="S",VLOOKUP('Raw Data'!A7894,References!#REF!,2,FALSE),(VLOOKUP($S7894,References!$B$3:$C$7,2,FALSE))),"")</f>
        <v/>
      </c>
      <c r="W7894" s="74" t="str">
        <f>IFERROR(VLOOKUP($O7894,'Customer List'!$A$1:$J$488,10,FALSE),"")</f>
        <v/>
      </c>
    </row>
    <row r="7895" spans="18:23">
      <c r="R7895" s="127">
        <f t="shared" si="321"/>
        <v>0</v>
      </c>
      <c r="T7895" s="128">
        <f t="shared" si="322"/>
        <v>0</v>
      </c>
      <c r="U7895" s="129" t="str">
        <f>IFERROR(IF(#REF!="S",VLOOKUP('Raw Data'!A7895,References!#REF!,2,FALSE),(VLOOKUP($S7895,References!$B$3:$C$7,2,FALSE))),"")</f>
        <v/>
      </c>
      <c r="W7895" s="74" t="str">
        <f>IFERROR(VLOOKUP($O7895,'Customer List'!$A$1:$J$488,10,FALSE),"")</f>
        <v/>
      </c>
    </row>
    <row r="7896" spans="18:23">
      <c r="R7896" s="127">
        <f t="shared" si="321"/>
        <v>0</v>
      </c>
      <c r="T7896" s="128">
        <f t="shared" si="322"/>
        <v>0</v>
      </c>
      <c r="U7896" s="129" t="str">
        <f>IFERROR(IF(#REF!="S",VLOOKUP('Raw Data'!A7896,References!#REF!,2,FALSE),(VLOOKUP($S7896,References!$B$3:$C$7,2,FALSE))),"")</f>
        <v/>
      </c>
      <c r="W7896" s="74" t="str">
        <f>IFERROR(VLOOKUP($O7896,'Customer List'!$A$1:$J$488,10,FALSE),"")</f>
        <v/>
      </c>
    </row>
    <row r="7897" spans="18:23">
      <c r="R7897" s="127">
        <f t="shared" si="321"/>
        <v>0</v>
      </c>
      <c r="T7897" s="128">
        <f t="shared" si="322"/>
        <v>0</v>
      </c>
      <c r="U7897" s="129" t="str">
        <f>IFERROR(IF(#REF!="S",VLOOKUP('Raw Data'!A7897,References!#REF!,2,FALSE),(VLOOKUP($S7897,References!$B$3:$C$7,2,FALSE))),"")</f>
        <v/>
      </c>
      <c r="W7897" s="74" t="str">
        <f>IFERROR(VLOOKUP($O7897,'Customer List'!$A$1:$J$488,10,FALSE),"")</f>
        <v/>
      </c>
    </row>
    <row r="7898" spans="18:23">
      <c r="R7898" s="127">
        <f t="shared" si="321"/>
        <v>0</v>
      </c>
      <c r="T7898" s="128">
        <f t="shared" si="322"/>
        <v>0</v>
      </c>
      <c r="U7898" s="129" t="str">
        <f>IFERROR(IF(#REF!="S",VLOOKUP('Raw Data'!A7898,References!#REF!,2,FALSE),(VLOOKUP($S7898,References!$B$3:$C$7,2,FALSE))),"")</f>
        <v/>
      </c>
      <c r="W7898" s="74" t="str">
        <f>IFERROR(VLOOKUP($O7898,'Customer List'!$A$1:$J$488,10,FALSE),"")</f>
        <v/>
      </c>
    </row>
    <row r="7899" spans="18:23">
      <c r="R7899" s="127">
        <f t="shared" si="321"/>
        <v>0</v>
      </c>
      <c r="T7899" s="128">
        <f t="shared" si="322"/>
        <v>0</v>
      </c>
      <c r="U7899" s="129" t="str">
        <f>IFERROR(IF(#REF!="S",VLOOKUP('Raw Data'!A7899,References!#REF!,2,FALSE),(VLOOKUP($S7899,References!$B$3:$C$7,2,FALSE))),"")</f>
        <v/>
      </c>
      <c r="W7899" s="74" t="str">
        <f>IFERROR(VLOOKUP($O7899,'Customer List'!$A$1:$J$488,10,FALSE),"")</f>
        <v/>
      </c>
    </row>
    <row r="7900" spans="18:23">
      <c r="R7900" s="127">
        <f t="shared" si="321"/>
        <v>0</v>
      </c>
      <c r="T7900" s="128">
        <f t="shared" si="322"/>
        <v>0</v>
      </c>
      <c r="U7900" s="129" t="str">
        <f>IFERROR(IF(#REF!="S",VLOOKUP('Raw Data'!A7900,References!#REF!,2,FALSE),(VLOOKUP($S7900,References!$B$3:$C$7,2,FALSE))),"")</f>
        <v/>
      </c>
      <c r="W7900" s="74" t="str">
        <f>IFERROR(VLOOKUP($O7900,'Customer List'!$A$1:$J$488,10,FALSE),"")</f>
        <v/>
      </c>
    </row>
    <row r="7901" spans="18:23">
      <c r="R7901" s="127">
        <f t="shared" si="321"/>
        <v>0</v>
      </c>
      <c r="T7901" s="128">
        <f t="shared" si="322"/>
        <v>0</v>
      </c>
      <c r="U7901" s="129" t="str">
        <f>IFERROR(IF(#REF!="S",VLOOKUP('Raw Data'!A7901,References!#REF!,2,FALSE),(VLOOKUP($S7901,References!$B$3:$C$7,2,FALSE))),"")</f>
        <v/>
      </c>
      <c r="W7901" s="74" t="str">
        <f>IFERROR(VLOOKUP($O7901,'Customer List'!$A$1:$J$488,10,FALSE),"")</f>
        <v/>
      </c>
    </row>
    <row r="7902" spans="18:23">
      <c r="R7902" s="127">
        <f t="shared" si="321"/>
        <v>0</v>
      </c>
      <c r="T7902" s="128">
        <f t="shared" si="322"/>
        <v>0</v>
      </c>
      <c r="U7902" s="129" t="str">
        <f>IFERROR(IF(#REF!="S",VLOOKUP('Raw Data'!A7902,References!#REF!,2,FALSE),(VLOOKUP($S7902,References!$B$3:$C$7,2,FALSE))),"")</f>
        <v/>
      </c>
      <c r="W7902" s="74" t="str">
        <f>IFERROR(VLOOKUP($O7902,'Customer List'!$A$1:$J$488,10,FALSE),"")</f>
        <v/>
      </c>
    </row>
    <row r="7903" spans="18:23">
      <c r="R7903" s="127">
        <f t="shared" si="321"/>
        <v>0</v>
      </c>
      <c r="T7903" s="128">
        <f t="shared" si="322"/>
        <v>0</v>
      </c>
      <c r="U7903" s="129" t="str">
        <f>IFERROR(IF(#REF!="S",VLOOKUP('Raw Data'!A7903,References!#REF!,2,FALSE),(VLOOKUP($S7903,References!$B$3:$C$7,2,FALSE))),"")</f>
        <v/>
      </c>
      <c r="W7903" s="74" t="str">
        <f>IFERROR(VLOOKUP($O7903,'Customer List'!$A$1:$J$488,10,FALSE),"")</f>
        <v/>
      </c>
    </row>
    <row r="7904" spans="18:23">
      <c r="R7904" s="127">
        <f t="shared" si="321"/>
        <v>0</v>
      </c>
      <c r="T7904" s="128">
        <f t="shared" si="322"/>
        <v>0</v>
      </c>
      <c r="U7904" s="129" t="str">
        <f>IFERROR(IF(#REF!="S",VLOOKUP('Raw Data'!A7904,References!#REF!,2,FALSE),(VLOOKUP($S7904,References!$B$3:$C$7,2,FALSE))),"")</f>
        <v/>
      </c>
      <c r="W7904" s="74" t="str">
        <f>IFERROR(VLOOKUP($O7904,'Customer List'!$A$1:$J$488,10,FALSE),"")</f>
        <v/>
      </c>
    </row>
    <row r="7905" spans="18:23">
      <c r="R7905" s="127">
        <f t="shared" si="321"/>
        <v>0</v>
      </c>
      <c r="T7905" s="128">
        <f t="shared" si="322"/>
        <v>0</v>
      </c>
      <c r="U7905" s="129" t="str">
        <f>IFERROR(IF(#REF!="S",VLOOKUP('Raw Data'!A7905,References!#REF!,2,FALSE),(VLOOKUP($S7905,References!$B$3:$C$7,2,FALSE))),"")</f>
        <v/>
      </c>
      <c r="W7905" s="74" t="str">
        <f>IFERROR(VLOOKUP($O7905,'Customer List'!$A$1:$J$488,10,FALSE),"")</f>
        <v/>
      </c>
    </row>
    <row r="7906" spans="18:23">
      <c r="R7906" s="127">
        <f t="shared" ref="R7906:R7969" si="323">L7906-K7906</f>
        <v>0</v>
      </c>
      <c r="T7906" s="128">
        <f t="shared" si="322"/>
        <v>0</v>
      </c>
      <c r="U7906" s="129" t="str">
        <f>IFERROR(IF(#REF!="S",VLOOKUP('Raw Data'!A7906,References!#REF!,2,FALSE),(VLOOKUP($S7906,References!$B$3:$C$7,2,FALSE))),"")</f>
        <v/>
      </c>
      <c r="W7906" s="74" t="str">
        <f>IFERROR(VLOOKUP($O7906,'Customer List'!$A$1:$J$488,10,FALSE),"")</f>
        <v/>
      </c>
    </row>
    <row r="7907" spans="18:23">
      <c r="R7907" s="127">
        <f t="shared" si="323"/>
        <v>0</v>
      </c>
      <c r="T7907" s="128">
        <f t="shared" si="322"/>
        <v>0</v>
      </c>
      <c r="U7907" s="129" t="str">
        <f>IFERROR(IF(#REF!="S",VLOOKUP('Raw Data'!A7907,References!#REF!,2,FALSE),(VLOOKUP($S7907,References!$B$3:$C$7,2,FALSE))),"")</f>
        <v/>
      </c>
      <c r="W7907" s="74" t="str">
        <f>IFERROR(VLOOKUP($O7907,'Customer List'!$A$1:$J$488,10,FALSE),"")</f>
        <v/>
      </c>
    </row>
    <row r="7908" spans="18:23">
      <c r="R7908" s="127">
        <f t="shared" si="323"/>
        <v>0</v>
      </c>
      <c r="T7908" s="128">
        <f t="shared" si="322"/>
        <v>0</v>
      </c>
      <c r="U7908" s="129" t="str">
        <f>IFERROR(IF(#REF!="S",VLOOKUP('Raw Data'!A7908,References!#REF!,2,FALSE),(VLOOKUP($S7908,References!$B$3:$C$7,2,FALSE))),"")</f>
        <v/>
      </c>
      <c r="W7908" s="74" t="str">
        <f>IFERROR(VLOOKUP($O7908,'Customer List'!$A$1:$J$488,10,FALSE),"")</f>
        <v/>
      </c>
    </row>
    <row r="7909" spans="18:23">
      <c r="R7909" s="127">
        <f t="shared" si="323"/>
        <v>0</v>
      </c>
      <c r="T7909" s="128">
        <f t="shared" si="322"/>
        <v>0</v>
      </c>
      <c r="U7909" s="129" t="str">
        <f>IFERROR(IF(#REF!="S",VLOOKUP('Raw Data'!A7909,References!#REF!,2,FALSE),(VLOOKUP($S7909,References!$B$3:$C$7,2,FALSE))),"")</f>
        <v/>
      </c>
      <c r="W7909" s="74" t="str">
        <f>IFERROR(VLOOKUP($O7909,'Customer List'!$A$1:$J$488,10,FALSE),"")</f>
        <v/>
      </c>
    </row>
    <row r="7910" spans="18:23">
      <c r="R7910" s="127">
        <f t="shared" si="323"/>
        <v>0</v>
      </c>
      <c r="T7910" s="128">
        <f t="shared" si="322"/>
        <v>0</v>
      </c>
      <c r="U7910" s="129" t="str">
        <f>IFERROR(IF(#REF!="S",VLOOKUP('Raw Data'!A7910,References!#REF!,2,FALSE),(VLOOKUP($S7910,References!$B$3:$C$7,2,FALSE))),"")</f>
        <v/>
      </c>
      <c r="W7910" s="74" t="str">
        <f>IFERROR(VLOOKUP($O7910,'Customer List'!$A$1:$J$488,10,FALSE),"")</f>
        <v/>
      </c>
    </row>
    <row r="7911" spans="18:23">
      <c r="R7911" s="127">
        <f t="shared" si="323"/>
        <v>0</v>
      </c>
      <c r="T7911" s="128">
        <f t="shared" si="322"/>
        <v>0</v>
      </c>
      <c r="U7911" s="129" t="str">
        <f>IFERROR(IF(#REF!="S",VLOOKUP('Raw Data'!A7911,References!#REF!,2,FALSE),(VLOOKUP($S7911,References!$B$3:$C$7,2,FALSE))),"")</f>
        <v/>
      </c>
      <c r="W7911" s="74" t="str">
        <f>IFERROR(VLOOKUP($O7911,'Customer List'!$A$1:$J$488,10,FALSE),"")</f>
        <v/>
      </c>
    </row>
    <row r="7912" spans="18:23">
      <c r="R7912" s="127">
        <f t="shared" si="323"/>
        <v>0</v>
      </c>
      <c r="T7912" s="128">
        <f t="shared" si="322"/>
        <v>0</v>
      </c>
      <c r="U7912" s="129" t="str">
        <f>IFERROR(IF(#REF!="S",VLOOKUP('Raw Data'!A7912,References!#REF!,2,FALSE),(VLOOKUP($S7912,References!$B$3:$C$7,2,FALSE))),"")</f>
        <v/>
      </c>
      <c r="W7912" s="74" t="str">
        <f>IFERROR(VLOOKUP($O7912,'Customer List'!$A$1:$J$488,10,FALSE),"")</f>
        <v/>
      </c>
    </row>
    <row r="7913" spans="18:23">
      <c r="R7913" s="127">
        <f t="shared" si="323"/>
        <v>0</v>
      </c>
      <c r="T7913" s="128">
        <f t="shared" si="322"/>
        <v>0</v>
      </c>
      <c r="U7913" s="129" t="str">
        <f>IFERROR(IF(#REF!="S",VLOOKUP('Raw Data'!A7913,References!#REF!,2,FALSE),(VLOOKUP($S7913,References!$B$3:$C$7,2,FALSE))),"")</f>
        <v/>
      </c>
      <c r="W7913" s="74" t="str">
        <f>IFERROR(VLOOKUP($O7913,'Customer List'!$A$1:$J$488,10,FALSE),"")</f>
        <v/>
      </c>
    </row>
    <row r="7914" spans="18:23">
      <c r="R7914" s="127">
        <f t="shared" si="323"/>
        <v>0</v>
      </c>
      <c r="T7914" s="128">
        <f t="shared" si="322"/>
        <v>0</v>
      </c>
      <c r="U7914" s="129" t="str">
        <f>IFERROR(IF(#REF!="S",VLOOKUP('Raw Data'!A7914,References!#REF!,2,FALSE),(VLOOKUP($S7914,References!$B$3:$C$7,2,FALSE))),"")</f>
        <v/>
      </c>
      <c r="W7914" s="74" t="str">
        <f>IFERROR(VLOOKUP($O7914,'Customer List'!$A$1:$J$488,10,FALSE),"")</f>
        <v/>
      </c>
    </row>
    <row r="7915" spans="18:23">
      <c r="R7915" s="127">
        <f t="shared" si="323"/>
        <v>0</v>
      </c>
      <c r="T7915" s="128">
        <f t="shared" si="322"/>
        <v>0</v>
      </c>
      <c r="U7915" s="129" t="str">
        <f>IFERROR(IF(#REF!="S",VLOOKUP('Raw Data'!A7915,References!#REF!,2,FALSE),(VLOOKUP($S7915,References!$B$3:$C$7,2,FALSE))),"")</f>
        <v/>
      </c>
      <c r="W7915" s="74" t="str">
        <f>IFERROR(VLOOKUP($O7915,'Customer List'!$A$1:$J$488,10,FALSE),"")</f>
        <v/>
      </c>
    </row>
    <row r="7916" spans="18:23">
      <c r="R7916" s="127">
        <f t="shared" si="323"/>
        <v>0</v>
      </c>
      <c r="T7916" s="128">
        <f t="shared" si="322"/>
        <v>0</v>
      </c>
      <c r="U7916" s="129" t="str">
        <f>IFERROR(IF(#REF!="S",VLOOKUP('Raw Data'!A7916,References!#REF!,2,FALSE),(VLOOKUP($S7916,References!$B$3:$C$7,2,FALSE))),"")</f>
        <v/>
      </c>
      <c r="W7916" s="74" t="str">
        <f>IFERROR(VLOOKUP($O7916,'Customer List'!$A$1:$J$488,10,FALSE),"")</f>
        <v/>
      </c>
    </row>
    <row r="7917" spans="18:23">
      <c r="R7917" s="127">
        <f t="shared" si="323"/>
        <v>0</v>
      </c>
      <c r="T7917" s="128">
        <f t="shared" si="322"/>
        <v>0</v>
      </c>
      <c r="U7917" s="129" t="str">
        <f>IFERROR(IF(#REF!="S",VLOOKUP('Raw Data'!A7917,References!#REF!,2,FALSE),(VLOOKUP($S7917,References!$B$3:$C$7,2,FALSE))),"")</f>
        <v/>
      </c>
      <c r="W7917" s="74" t="str">
        <f>IFERROR(VLOOKUP($O7917,'Customer List'!$A$1:$J$488,10,FALSE),"")</f>
        <v/>
      </c>
    </row>
    <row r="7918" spans="18:23">
      <c r="R7918" s="127">
        <f t="shared" si="323"/>
        <v>0</v>
      </c>
      <c r="T7918" s="128">
        <f t="shared" si="322"/>
        <v>0</v>
      </c>
      <c r="U7918" s="129" t="str">
        <f>IFERROR(IF(#REF!="S",VLOOKUP('Raw Data'!A7918,References!#REF!,2,FALSE),(VLOOKUP($S7918,References!$B$3:$C$7,2,FALSE))),"")</f>
        <v/>
      </c>
      <c r="W7918" s="74" t="str">
        <f>IFERROR(VLOOKUP($O7918,'Customer List'!$A$1:$J$488,10,FALSE),"")</f>
        <v/>
      </c>
    </row>
    <row r="7919" spans="18:23">
      <c r="R7919" s="127">
        <f t="shared" si="323"/>
        <v>0</v>
      </c>
      <c r="T7919" s="128">
        <f t="shared" si="322"/>
        <v>0</v>
      </c>
      <c r="U7919" s="129" t="str">
        <f>IFERROR(IF(#REF!="S",VLOOKUP('Raw Data'!A7919,References!#REF!,2,FALSE),(VLOOKUP($S7919,References!$B$3:$C$7,2,FALSE))),"")</f>
        <v/>
      </c>
      <c r="W7919" s="74" t="str">
        <f>IFERROR(VLOOKUP($O7919,'Customer List'!$A$1:$J$488,10,FALSE),"")</f>
        <v/>
      </c>
    </row>
    <row r="7920" spans="18:23">
      <c r="R7920" s="127">
        <f t="shared" si="323"/>
        <v>0</v>
      </c>
      <c r="T7920" s="128">
        <f t="shared" si="322"/>
        <v>0</v>
      </c>
      <c r="U7920" s="129" t="str">
        <f>IFERROR(IF(#REF!="S",VLOOKUP('Raw Data'!A7920,References!#REF!,2,FALSE),(VLOOKUP($S7920,References!$B$3:$C$7,2,FALSE))),"")</f>
        <v/>
      </c>
      <c r="W7920" s="74" t="str">
        <f>IFERROR(VLOOKUP($O7920,'Customer List'!$A$1:$J$488,10,FALSE),"")</f>
        <v/>
      </c>
    </row>
    <row r="7921" spans="18:23">
      <c r="R7921" s="127">
        <f t="shared" si="323"/>
        <v>0</v>
      </c>
      <c r="T7921" s="128">
        <f t="shared" si="322"/>
        <v>0</v>
      </c>
      <c r="U7921" s="129" t="str">
        <f>IFERROR(IF(#REF!="S",VLOOKUP('Raw Data'!A7921,References!#REF!,2,FALSE),(VLOOKUP($S7921,References!$B$3:$C$7,2,FALSE))),"")</f>
        <v/>
      </c>
      <c r="W7921" s="74" t="str">
        <f>IFERROR(VLOOKUP($O7921,'Customer List'!$A$1:$J$488,10,FALSE),"")</f>
        <v/>
      </c>
    </row>
    <row r="7922" spans="18:23">
      <c r="R7922" s="127">
        <f t="shared" si="323"/>
        <v>0</v>
      </c>
      <c r="T7922" s="128">
        <f t="shared" si="322"/>
        <v>0</v>
      </c>
      <c r="U7922" s="129" t="str">
        <f>IFERROR(IF(#REF!="S",VLOOKUP('Raw Data'!A7922,References!#REF!,2,FALSE),(VLOOKUP($S7922,References!$B$3:$C$7,2,FALSE))),"")</f>
        <v/>
      </c>
      <c r="W7922" s="74" t="str">
        <f>IFERROR(VLOOKUP($O7922,'Customer List'!$A$1:$J$488,10,FALSE),"")</f>
        <v/>
      </c>
    </row>
    <row r="7923" spans="18:23">
      <c r="R7923" s="127">
        <f t="shared" si="323"/>
        <v>0</v>
      </c>
      <c r="T7923" s="128">
        <f t="shared" si="322"/>
        <v>0</v>
      </c>
      <c r="U7923" s="129" t="str">
        <f>IFERROR(IF(#REF!="S",VLOOKUP('Raw Data'!A7923,References!#REF!,2,FALSE),(VLOOKUP($S7923,References!$B$3:$C$7,2,FALSE))),"")</f>
        <v/>
      </c>
      <c r="W7923" s="74" t="str">
        <f>IFERROR(VLOOKUP($O7923,'Customer List'!$A$1:$J$488,10,FALSE),"")</f>
        <v/>
      </c>
    </row>
    <row r="7924" spans="18:23">
      <c r="R7924" s="127">
        <f t="shared" si="323"/>
        <v>0</v>
      </c>
      <c r="T7924" s="128">
        <f t="shared" si="322"/>
        <v>0</v>
      </c>
      <c r="U7924" s="129" t="str">
        <f>IFERROR(IF(#REF!="S",VLOOKUP('Raw Data'!A7924,References!#REF!,2,FALSE),(VLOOKUP($S7924,References!$B$3:$C$7,2,FALSE))),"")</f>
        <v/>
      </c>
      <c r="W7924" s="74" t="str">
        <f>IFERROR(VLOOKUP($O7924,'Customer List'!$A$1:$J$488,10,FALSE),"")</f>
        <v/>
      </c>
    </row>
    <row r="7925" spans="18:23">
      <c r="R7925" s="127">
        <f t="shared" si="323"/>
        <v>0</v>
      </c>
      <c r="T7925" s="128">
        <f t="shared" si="322"/>
        <v>0</v>
      </c>
      <c r="U7925" s="129" t="str">
        <f>IFERROR(IF(#REF!="S",VLOOKUP('Raw Data'!A7925,References!#REF!,2,FALSE),(VLOOKUP($S7925,References!$B$3:$C$7,2,FALSE))),"")</f>
        <v/>
      </c>
      <c r="W7925" s="74" t="str">
        <f>IFERROR(VLOOKUP($O7925,'Customer List'!$A$1:$J$488,10,FALSE),"")</f>
        <v/>
      </c>
    </row>
    <row r="7926" spans="18:23">
      <c r="R7926" s="127">
        <f t="shared" si="323"/>
        <v>0</v>
      </c>
      <c r="T7926" s="128">
        <f t="shared" si="322"/>
        <v>0</v>
      </c>
      <c r="U7926" s="129" t="str">
        <f>IFERROR(IF(#REF!="S",VLOOKUP('Raw Data'!A7926,References!#REF!,2,FALSE),(VLOOKUP($S7926,References!$B$3:$C$7,2,FALSE))),"")</f>
        <v/>
      </c>
      <c r="W7926" s="74" t="str">
        <f>IFERROR(VLOOKUP($O7926,'Customer List'!$A$1:$J$488,10,FALSE),"")</f>
        <v/>
      </c>
    </row>
    <row r="7927" spans="18:23">
      <c r="R7927" s="127">
        <f t="shared" si="323"/>
        <v>0</v>
      </c>
      <c r="T7927" s="128">
        <f t="shared" si="322"/>
        <v>0</v>
      </c>
      <c r="U7927" s="129" t="str">
        <f>IFERROR(IF(#REF!="S",VLOOKUP('Raw Data'!A7927,References!#REF!,2,FALSE),(VLOOKUP($S7927,References!$B$3:$C$7,2,FALSE))),"")</f>
        <v/>
      </c>
      <c r="W7927" s="74" t="str">
        <f>IFERROR(VLOOKUP($O7927,'Customer List'!$A$1:$J$488,10,FALSE),"")</f>
        <v/>
      </c>
    </row>
    <row r="7928" spans="18:23">
      <c r="R7928" s="127">
        <f t="shared" si="323"/>
        <v>0</v>
      </c>
      <c r="T7928" s="128">
        <f t="shared" si="322"/>
        <v>0</v>
      </c>
      <c r="U7928" s="129" t="str">
        <f>IFERROR(IF(#REF!="S",VLOOKUP('Raw Data'!A7928,References!#REF!,2,FALSE),(VLOOKUP($S7928,References!$B$3:$C$7,2,FALSE))),"")</f>
        <v/>
      </c>
      <c r="W7928" s="74" t="str">
        <f>IFERROR(VLOOKUP($O7928,'Customer List'!$A$1:$J$488,10,FALSE),"")</f>
        <v/>
      </c>
    </row>
    <row r="7929" spans="18:23">
      <c r="R7929" s="127">
        <f t="shared" si="323"/>
        <v>0</v>
      </c>
      <c r="T7929" s="128">
        <f t="shared" si="322"/>
        <v>0</v>
      </c>
      <c r="U7929" s="129" t="str">
        <f>IFERROR(IF(#REF!="S",VLOOKUP('Raw Data'!A7929,References!#REF!,2,FALSE),(VLOOKUP($S7929,References!$B$3:$C$7,2,FALSE))),"")</f>
        <v/>
      </c>
      <c r="W7929" s="74" t="str">
        <f>IFERROR(VLOOKUP($O7929,'Customer List'!$A$1:$J$488,10,FALSE),"")</f>
        <v/>
      </c>
    </row>
    <row r="7930" spans="18:23">
      <c r="R7930" s="127">
        <f t="shared" si="323"/>
        <v>0</v>
      </c>
      <c r="T7930" s="128">
        <f t="shared" si="322"/>
        <v>0</v>
      </c>
      <c r="U7930" s="129" t="str">
        <f>IFERROR(IF(#REF!="S",VLOOKUP('Raw Data'!A7930,References!#REF!,2,FALSE),(VLOOKUP($S7930,References!$B$3:$C$7,2,FALSE))),"")</f>
        <v/>
      </c>
      <c r="W7930" s="74" t="str">
        <f>IFERROR(VLOOKUP($O7930,'Customer List'!$A$1:$J$488,10,FALSE),"")</f>
        <v/>
      </c>
    </row>
    <row r="7931" spans="18:23">
      <c r="R7931" s="127">
        <f t="shared" si="323"/>
        <v>0</v>
      </c>
      <c r="T7931" s="128">
        <f t="shared" si="322"/>
        <v>0</v>
      </c>
      <c r="U7931" s="129" t="str">
        <f>IFERROR(IF(#REF!="S",VLOOKUP('Raw Data'!A7931,References!#REF!,2,FALSE),(VLOOKUP($S7931,References!$B$3:$C$7,2,FALSE))),"")</f>
        <v/>
      </c>
      <c r="W7931" s="74" t="str">
        <f>IFERROR(VLOOKUP($O7931,'Customer List'!$A$1:$J$488,10,FALSE),"")</f>
        <v/>
      </c>
    </row>
    <row r="7932" spans="18:23">
      <c r="R7932" s="127">
        <f t="shared" si="323"/>
        <v>0</v>
      </c>
      <c r="T7932" s="128">
        <f t="shared" si="322"/>
        <v>0</v>
      </c>
      <c r="U7932" s="129" t="str">
        <f>IFERROR(IF(#REF!="S",VLOOKUP('Raw Data'!A7932,References!#REF!,2,FALSE),(VLOOKUP($S7932,References!$B$3:$C$7,2,FALSE))),"")</f>
        <v/>
      </c>
      <c r="W7932" s="74" t="str">
        <f>IFERROR(VLOOKUP($O7932,'Customer List'!$A$1:$J$488,10,FALSE),"")</f>
        <v/>
      </c>
    </row>
    <row r="7933" spans="18:23">
      <c r="R7933" s="127">
        <f t="shared" si="323"/>
        <v>0</v>
      </c>
      <c r="T7933" s="128">
        <f t="shared" si="322"/>
        <v>0</v>
      </c>
      <c r="U7933" s="129" t="str">
        <f>IFERROR(IF(#REF!="S",VLOOKUP('Raw Data'!A7933,References!#REF!,2,FALSE),(VLOOKUP($S7933,References!$B$3:$C$7,2,FALSE))),"")</f>
        <v/>
      </c>
      <c r="W7933" s="74" t="str">
        <f>IFERROR(VLOOKUP($O7933,'Customer List'!$A$1:$J$488,10,FALSE),"")</f>
        <v/>
      </c>
    </row>
    <row r="7934" spans="18:23">
      <c r="R7934" s="127">
        <f t="shared" si="323"/>
        <v>0</v>
      </c>
      <c r="T7934" s="128">
        <f t="shared" si="322"/>
        <v>0</v>
      </c>
      <c r="U7934" s="129" t="str">
        <f>IFERROR(IF(#REF!="S",VLOOKUP('Raw Data'!A7934,References!#REF!,2,FALSE),(VLOOKUP($S7934,References!$B$3:$C$7,2,FALSE))),"")</f>
        <v/>
      </c>
      <c r="W7934" s="74" t="str">
        <f>IFERROR(VLOOKUP($O7934,'Customer List'!$A$1:$J$488,10,FALSE),"")</f>
        <v/>
      </c>
    </row>
    <row r="7935" spans="18:23">
      <c r="R7935" s="127">
        <f t="shared" si="323"/>
        <v>0</v>
      </c>
      <c r="T7935" s="128">
        <f t="shared" si="322"/>
        <v>0</v>
      </c>
      <c r="U7935" s="129" t="str">
        <f>IFERROR(IF(#REF!="S",VLOOKUP('Raw Data'!A7935,References!#REF!,2,FALSE),(VLOOKUP($S7935,References!$B$3:$C$7,2,FALSE))),"")</f>
        <v/>
      </c>
      <c r="W7935" s="74" t="str">
        <f>IFERROR(VLOOKUP($O7935,'Customer List'!$A$1:$J$488,10,FALSE),"")</f>
        <v/>
      </c>
    </row>
    <row r="7936" spans="18:23">
      <c r="R7936" s="127">
        <f t="shared" si="323"/>
        <v>0</v>
      </c>
      <c r="T7936" s="128">
        <f t="shared" si="322"/>
        <v>0</v>
      </c>
      <c r="U7936" s="129" t="str">
        <f>IFERROR(IF(#REF!="S",VLOOKUP('Raw Data'!A7936,References!#REF!,2,FALSE),(VLOOKUP($S7936,References!$B$3:$C$7,2,FALSE))),"")</f>
        <v/>
      </c>
      <c r="W7936" s="74" t="str">
        <f>IFERROR(VLOOKUP($O7936,'Customer List'!$A$1:$J$488,10,FALSE),"")</f>
        <v/>
      </c>
    </row>
    <row r="7937" spans="18:23">
      <c r="R7937" s="127">
        <f t="shared" si="323"/>
        <v>0</v>
      </c>
      <c r="T7937" s="128">
        <f t="shared" si="322"/>
        <v>0</v>
      </c>
      <c r="U7937" s="129" t="str">
        <f>IFERROR(IF(#REF!="S",VLOOKUP('Raw Data'!A7937,References!#REF!,2,FALSE),(VLOOKUP($S7937,References!$B$3:$C$7,2,FALSE))),"")</f>
        <v/>
      </c>
      <c r="W7937" s="74" t="str">
        <f>IFERROR(VLOOKUP($O7937,'Customer List'!$A$1:$J$488,10,FALSE),"")</f>
        <v/>
      </c>
    </row>
    <row r="7938" spans="18:23">
      <c r="R7938" s="127">
        <f t="shared" si="323"/>
        <v>0</v>
      </c>
      <c r="T7938" s="128">
        <f t="shared" si="322"/>
        <v>0</v>
      </c>
      <c r="U7938" s="129" t="str">
        <f>IFERROR(IF(#REF!="S",VLOOKUP('Raw Data'!A7938,References!#REF!,2,FALSE),(VLOOKUP($S7938,References!$B$3:$C$7,2,FALSE))),"")</f>
        <v/>
      </c>
      <c r="W7938" s="74" t="str">
        <f>IFERROR(VLOOKUP($O7938,'Customer List'!$A$1:$J$488,10,FALSE),"")</f>
        <v/>
      </c>
    </row>
    <row r="7939" spans="18:23">
      <c r="R7939" s="127">
        <f t="shared" si="323"/>
        <v>0</v>
      </c>
      <c r="T7939" s="128">
        <f t="shared" si="322"/>
        <v>0</v>
      </c>
      <c r="U7939" s="129" t="str">
        <f>IFERROR(IF(#REF!="S",VLOOKUP('Raw Data'!A7939,References!#REF!,2,FALSE),(VLOOKUP($S7939,References!$B$3:$C$7,2,FALSE))),"")</f>
        <v/>
      </c>
      <c r="W7939" s="74" t="str">
        <f>IFERROR(VLOOKUP($O7939,'Customer List'!$A$1:$J$488,10,FALSE),"")</f>
        <v/>
      </c>
    </row>
    <row r="7940" spans="18:23">
      <c r="R7940" s="127">
        <f t="shared" si="323"/>
        <v>0</v>
      </c>
      <c r="T7940" s="128">
        <f t="shared" si="322"/>
        <v>0</v>
      </c>
      <c r="U7940" s="129" t="str">
        <f>IFERROR(IF(#REF!="S",VLOOKUP('Raw Data'!A7940,References!#REF!,2,FALSE),(VLOOKUP($S7940,References!$B$3:$C$7,2,FALSE))),"")</f>
        <v/>
      </c>
      <c r="W7940" s="74" t="str">
        <f>IFERROR(VLOOKUP($O7940,'Customer List'!$A$1:$J$488,10,FALSE),"")</f>
        <v/>
      </c>
    </row>
    <row r="7941" spans="18:23">
      <c r="R7941" s="127">
        <f t="shared" si="323"/>
        <v>0</v>
      </c>
      <c r="T7941" s="128">
        <f t="shared" si="322"/>
        <v>0</v>
      </c>
      <c r="U7941" s="129" t="str">
        <f>IFERROR(IF(#REF!="S",VLOOKUP('Raw Data'!A7941,References!#REF!,2,FALSE),(VLOOKUP($S7941,References!$B$3:$C$7,2,FALSE))),"")</f>
        <v/>
      </c>
      <c r="W7941" s="74" t="str">
        <f>IFERROR(VLOOKUP($O7941,'Customer List'!$A$1:$J$488,10,FALSE),"")</f>
        <v/>
      </c>
    </row>
    <row r="7942" spans="18:23">
      <c r="R7942" s="127">
        <f t="shared" si="323"/>
        <v>0</v>
      </c>
      <c r="T7942" s="128">
        <f t="shared" si="322"/>
        <v>0</v>
      </c>
      <c r="U7942" s="129" t="str">
        <f>IFERROR(IF(#REF!="S",VLOOKUP('Raw Data'!A7942,References!#REF!,2,FALSE),(VLOOKUP($S7942,References!$B$3:$C$7,2,FALSE))),"")</f>
        <v/>
      </c>
      <c r="W7942" s="74" t="str">
        <f>IFERROR(VLOOKUP($O7942,'Customer List'!$A$1:$J$488,10,FALSE),"")</f>
        <v/>
      </c>
    </row>
    <row r="7943" spans="18:23">
      <c r="R7943" s="127">
        <f t="shared" si="323"/>
        <v>0</v>
      </c>
      <c r="T7943" s="128">
        <f t="shared" si="322"/>
        <v>0</v>
      </c>
      <c r="U7943" s="129" t="str">
        <f>IFERROR(IF(#REF!="S",VLOOKUP('Raw Data'!A7943,References!#REF!,2,FALSE),(VLOOKUP($S7943,References!$B$3:$C$7,2,FALSE))),"")</f>
        <v/>
      </c>
      <c r="W7943" s="74" t="str">
        <f>IFERROR(VLOOKUP($O7943,'Customer List'!$A$1:$J$488,10,FALSE),"")</f>
        <v/>
      </c>
    </row>
    <row r="7944" spans="18:23">
      <c r="R7944" s="127">
        <f t="shared" si="323"/>
        <v>0</v>
      </c>
      <c r="T7944" s="128">
        <f t="shared" si="322"/>
        <v>0</v>
      </c>
      <c r="U7944" s="129" t="str">
        <f>IFERROR(IF(#REF!="S",VLOOKUP('Raw Data'!A7944,References!#REF!,2,FALSE),(VLOOKUP($S7944,References!$B$3:$C$7,2,FALSE))),"")</f>
        <v/>
      </c>
      <c r="W7944" s="74" t="str">
        <f>IFERROR(VLOOKUP($O7944,'Customer List'!$A$1:$J$488,10,FALSE),"")</f>
        <v/>
      </c>
    </row>
    <row r="7945" spans="18:23">
      <c r="R7945" s="127">
        <f t="shared" si="323"/>
        <v>0</v>
      </c>
      <c r="T7945" s="128">
        <f t="shared" si="322"/>
        <v>0</v>
      </c>
      <c r="U7945" s="129" t="str">
        <f>IFERROR(IF(#REF!="S",VLOOKUP('Raw Data'!A7945,References!#REF!,2,FALSE),(VLOOKUP($S7945,References!$B$3:$C$7,2,FALSE))),"")</f>
        <v/>
      </c>
      <c r="W7945" s="74" t="str">
        <f>IFERROR(VLOOKUP($O7945,'Customer List'!$A$1:$J$488,10,FALSE),"")</f>
        <v/>
      </c>
    </row>
    <row r="7946" spans="18:23">
      <c r="R7946" s="127">
        <f t="shared" si="323"/>
        <v>0</v>
      </c>
      <c r="T7946" s="128">
        <f t="shared" ref="T7946:T8009" si="324">IF(S7946="50 - Cleaning Fee",1,HOUR($R7946)+MINUTE(R7946)/60)</f>
        <v>0</v>
      </c>
      <c r="U7946" s="129" t="str">
        <f>IFERROR(IF(#REF!="S",VLOOKUP('Raw Data'!A7946,References!#REF!,2,FALSE),(VLOOKUP($S7946,References!$B$3:$C$7,2,FALSE))),"")</f>
        <v/>
      </c>
      <c r="W7946" s="74" t="str">
        <f>IFERROR(VLOOKUP($O7946,'Customer List'!$A$1:$J$488,10,FALSE),"")</f>
        <v/>
      </c>
    </row>
    <row r="7947" spans="18:23">
      <c r="R7947" s="127">
        <f t="shared" si="323"/>
        <v>0</v>
      </c>
      <c r="T7947" s="128">
        <f t="shared" si="324"/>
        <v>0</v>
      </c>
      <c r="U7947" s="129" t="str">
        <f>IFERROR(IF(#REF!="S",VLOOKUP('Raw Data'!A7947,References!#REF!,2,FALSE),(VLOOKUP($S7947,References!$B$3:$C$7,2,FALSE))),"")</f>
        <v/>
      </c>
      <c r="W7947" s="74" t="str">
        <f>IFERROR(VLOOKUP($O7947,'Customer List'!$A$1:$J$488,10,FALSE),"")</f>
        <v/>
      </c>
    </row>
    <row r="7948" spans="18:23">
      <c r="R7948" s="127">
        <f t="shared" si="323"/>
        <v>0</v>
      </c>
      <c r="T7948" s="128">
        <f t="shared" si="324"/>
        <v>0</v>
      </c>
      <c r="U7948" s="129" t="str">
        <f>IFERROR(IF(#REF!="S",VLOOKUP('Raw Data'!A7948,References!#REF!,2,FALSE),(VLOOKUP($S7948,References!$B$3:$C$7,2,FALSE))),"")</f>
        <v/>
      </c>
      <c r="W7948" s="74" t="str">
        <f>IFERROR(VLOOKUP($O7948,'Customer List'!$A$1:$J$488,10,FALSE),"")</f>
        <v/>
      </c>
    </row>
    <row r="7949" spans="18:23">
      <c r="R7949" s="127">
        <f t="shared" si="323"/>
        <v>0</v>
      </c>
      <c r="T7949" s="128">
        <f t="shared" si="324"/>
        <v>0</v>
      </c>
      <c r="U7949" s="129" t="str">
        <f>IFERROR(IF(#REF!="S",VLOOKUP('Raw Data'!A7949,References!#REF!,2,FALSE),(VLOOKUP($S7949,References!$B$3:$C$7,2,FALSE))),"")</f>
        <v/>
      </c>
      <c r="W7949" s="74" t="str">
        <f>IFERROR(VLOOKUP($O7949,'Customer List'!$A$1:$J$488,10,FALSE),"")</f>
        <v/>
      </c>
    </row>
    <row r="7950" spans="18:23">
      <c r="R7950" s="127">
        <f t="shared" si="323"/>
        <v>0</v>
      </c>
      <c r="T7950" s="128">
        <f t="shared" si="324"/>
        <v>0</v>
      </c>
      <c r="U7950" s="129" t="str">
        <f>IFERROR(IF(#REF!="S",VLOOKUP('Raw Data'!A7950,References!#REF!,2,FALSE),(VLOOKUP($S7950,References!$B$3:$C$7,2,FALSE))),"")</f>
        <v/>
      </c>
      <c r="W7950" s="74" t="str">
        <f>IFERROR(VLOOKUP($O7950,'Customer List'!$A$1:$J$488,10,FALSE),"")</f>
        <v/>
      </c>
    </row>
    <row r="7951" spans="18:23">
      <c r="R7951" s="127">
        <f t="shared" si="323"/>
        <v>0</v>
      </c>
      <c r="T7951" s="128">
        <f t="shared" si="324"/>
        <v>0</v>
      </c>
      <c r="U7951" s="129" t="str">
        <f>IFERROR(IF(#REF!="S",VLOOKUP('Raw Data'!A7951,References!#REF!,2,FALSE),(VLOOKUP($S7951,References!$B$3:$C$7,2,FALSE))),"")</f>
        <v/>
      </c>
      <c r="W7951" s="74" t="str">
        <f>IFERROR(VLOOKUP($O7951,'Customer List'!$A$1:$J$488,10,FALSE),"")</f>
        <v/>
      </c>
    </row>
    <row r="7952" spans="18:23">
      <c r="R7952" s="127">
        <f t="shared" si="323"/>
        <v>0</v>
      </c>
      <c r="T7952" s="128">
        <f t="shared" si="324"/>
        <v>0</v>
      </c>
      <c r="U7952" s="129" t="str">
        <f>IFERROR(IF(#REF!="S",VLOOKUP('Raw Data'!A7952,References!#REF!,2,FALSE),(VLOOKUP($S7952,References!$B$3:$C$7,2,FALSE))),"")</f>
        <v/>
      </c>
      <c r="W7952" s="74" t="str">
        <f>IFERROR(VLOOKUP($O7952,'Customer List'!$A$1:$J$488,10,FALSE),"")</f>
        <v/>
      </c>
    </row>
    <row r="7953" spans="18:23">
      <c r="R7953" s="127">
        <f t="shared" si="323"/>
        <v>0</v>
      </c>
      <c r="T7953" s="128">
        <f t="shared" si="324"/>
        <v>0</v>
      </c>
      <c r="U7953" s="129" t="str">
        <f>IFERROR(IF(#REF!="S",VLOOKUP('Raw Data'!A7953,References!#REF!,2,FALSE),(VLOOKUP($S7953,References!$B$3:$C$7,2,FALSE))),"")</f>
        <v/>
      </c>
      <c r="W7953" s="74" t="str">
        <f>IFERROR(VLOOKUP($O7953,'Customer List'!$A$1:$J$488,10,FALSE),"")</f>
        <v/>
      </c>
    </row>
    <row r="7954" spans="18:23">
      <c r="R7954" s="127">
        <f t="shared" si="323"/>
        <v>0</v>
      </c>
      <c r="T7954" s="128">
        <f t="shared" si="324"/>
        <v>0</v>
      </c>
      <c r="U7954" s="129" t="str">
        <f>IFERROR(IF(#REF!="S",VLOOKUP('Raw Data'!A7954,References!#REF!,2,FALSE),(VLOOKUP($S7954,References!$B$3:$C$7,2,FALSE))),"")</f>
        <v/>
      </c>
      <c r="W7954" s="74" t="str">
        <f>IFERROR(VLOOKUP($O7954,'Customer List'!$A$1:$J$488,10,FALSE),"")</f>
        <v/>
      </c>
    </row>
    <row r="7955" spans="18:23">
      <c r="R7955" s="127">
        <f t="shared" si="323"/>
        <v>0</v>
      </c>
      <c r="T7955" s="128">
        <f t="shared" si="324"/>
        <v>0</v>
      </c>
      <c r="U7955" s="129" t="str">
        <f>IFERROR(IF(#REF!="S",VLOOKUP('Raw Data'!A7955,References!#REF!,2,FALSE),(VLOOKUP($S7955,References!$B$3:$C$7,2,FALSE))),"")</f>
        <v/>
      </c>
      <c r="W7955" s="74" t="str">
        <f>IFERROR(VLOOKUP($O7955,'Customer List'!$A$1:$J$488,10,FALSE),"")</f>
        <v/>
      </c>
    </row>
    <row r="7956" spans="18:23">
      <c r="R7956" s="127">
        <f t="shared" si="323"/>
        <v>0</v>
      </c>
      <c r="T7956" s="128">
        <f t="shared" si="324"/>
        <v>0</v>
      </c>
      <c r="U7956" s="129" t="str">
        <f>IFERROR(IF(#REF!="S",VLOOKUP('Raw Data'!A7956,References!#REF!,2,FALSE),(VLOOKUP($S7956,References!$B$3:$C$7,2,FALSE))),"")</f>
        <v/>
      </c>
      <c r="W7956" s="74" t="str">
        <f>IFERROR(VLOOKUP($O7956,'Customer List'!$A$1:$J$488,10,FALSE),"")</f>
        <v/>
      </c>
    </row>
    <row r="7957" spans="18:23">
      <c r="R7957" s="127">
        <f t="shared" si="323"/>
        <v>0</v>
      </c>
      <c r="T7957" s="128">
        <f t="shared" si="324"/>
        <v>0</v>
      </c>
      <c r="U7957" s="129" t="str">
        <f>IFERROR(IF(#REF!="S",VLOOKUP('Raw Data'!A7957,References!#REF!,2,FALSE),(VLOOKUP($S7957,References!$B$3:$C$7,2,FALSE))),"")</f>
        <v/>
      </c>
      <c r="W7957" s="74" t="str">
        <f>IFERROR(VLOOKUP($O7957,'Customer List'!$A$1:$J$488,10,FALSE),"")</f>
        <v/>
      </c>
    </row>
    <row r="7958" spans="18:23">
      <c r="R7958" s="127">
        <f t="shared" si="323"/>
        <v>0</v>
      </c>
      <c r="T7958" s="128">
        <f t="shared" si="324"/>
        <v>0</v>
      </c>
      <c r="U7958" s="129" t="str">
        <f>IFERROR(IF(#REF!="S",VLOOKUP('Raw Data'!A7958,References!#REF!,2,FALSE),(VLOOKUP($S7958,References!$B$3:$C$7,2,FALSE))),"")</f>
        <v/>
      </c>
      <c r="W7958" s="74" t="str">
        <f>IFERROR(VLOOKUP($O7958,'Customer List'!$A$1:$J$488,10,FALSE),"")</f>
        <v/>
      </c>
    </row>
    <row r="7959" spans="18:23">
      <c r="R7959" s="127">
        <f t="shared" si="323"/>
        <v>0</v>
      </c>
      <c r="T7959" s="128">
        <f t="shared" si="324"/>
        <v>0</v>
      </c>
      <c r="U7959" s="129" t="str">
        <f>IFERROR(IF(#REF!="S",VLOOKUP('Raw Data'!A7959,References!#REF!,2,FALSE),(VLOOKUP($S7959,References!$B$3:$C$7,2,FALSE))),"")</f>
        <v/>
      </c>
      <c r="W7959" s="74" t="str">
        <f>IFERROR(VLOOKUP($O7959,'Customer List'!$A$1:$J$488,10,FALSE),"")</f>
        <v/>
      </c>
    </row>
    <row r="7960" spans="18:23">
      <c r="R7960" s="127">
        <f t="shared" si="323"/>
        <v>0</v>
      </c>
      <c r="T7960" s="128">
        <f t="shared" si="324"/>
        <v>0</v>
      </c>
      <c r="U7960" s="129" t="str">
        <f>IFERROR(IF(#REF!="S",VLOOKUP('Raw Data'!A7960,References!#REF!,2,FALSE),(VLOOKUP($S7960,References!$B$3:$C$7,2,FALSE))),"")</f>
        <v/>
      </c>
      <c r="W7960" s="74" t="str">
        <f>IFERROR(VLOOKUP($O7960,'Customer List'!$A$1:$J$488,10,FALSE),"")</f>
        <v/>
      </c>
    </row>
    <row r="7961" spans="18:23">
      <c r="R7961" s="127">
        <f t="shared" si="323"/>
        <v>0</v>
      </c>
      <c r="T7961" s="128">
        <f t="shared" si="324"/>
        <v>0</v>
      </c>
      <c r="U7961" s="129" t="str">
        <f>IFERROR(IF(#REF!="S",VLOOKUP('Raw Data'!A7961,References!#REF!,2,FALSE),(VLOOKUP($S7961,References!$B$3:$C$7,2,FALSE))),"")</f>
        <v/>
      </c>
      <c r="W7961" s="74" t="str">
        <f>IFERROR(VLOOKUP($O7961,'Customer List'!$A$1:$J$488,10,FALSE),"")</f>
        <v/>
      </c>
    </row>
    <row r="7962" spans="18:23">
      <c r="R7962" s="127">
        <f t="shared" si="323"/>
        <v>0</v>
      </c>
      <c r="T7962" s="128">
        <f t="shared" si="324"/>
        <v>0</v>
      </c>
      <c r="U7962" s="129" t="str">
        <f>IFERROR(IF(#REF!="S",VLOOKUP('Raw Data'!A7962,References!#REF!,2,FALSE),(VLOOKUP($S7962,References!$B$3:$C$7,2,FALSE))),"")</f>
        <v/>
      </c>
      <c r="W7962" s="74" t="str">
        <f>IFERROR(VLOOKUP($O7962,'Customer List'!$A$1:$J$488,10,FALSE),"")</f>
        <v/>
      </c>
    </row>
    <row r="7963" spans="18:23">
      <c r="R7963" s="127">
        <f t="shared" si="323"/>
        <v>0</v>
      </c>
      <c r="T7963" s="128">
        <f t="shared" si="324"/>
        <v>0</v>
      </c>
      <c r="U7963" s="129" t="str">
        <f>IFERROR(IF(#REF!="S",VLOOKUP('Raw Data'!A7963,References!#REF!,2,FALSE),(VLOOKUP($S7963,References!$B$3:$C$7,2,FALSE))),"")</f>
        <v/>
      </c>
      <c r="W7963" s="74" t="str">
        <f>IFERROR(VLOOKUP($O7963,'Customer List'!$A$1:$J$488,10,FALSE),"")</f>
        <v/>
      </c>
    </row>
    <row r="7964" spans="18:23">
      <c r="R7964" s="127">
        <f t="shared" si="323"/>
        <v>0</v>
      </c>
      <c r="T7964" s="128">
        <f t="shared" si="324"/>
        <v>0</v>
      </c>
      <c r="U7964" s="129" t="str">
        <f>IFERROR(IF(#REF!="S",VLOOKUP('Raw Data'!A7964,References!#REF!,2,FALSE),(VLOOKUP($S7964,References!$B$3:$C$7,2,FALSE))),"")</f>
        <v/>
      </c>
      <c r="W7964" s="74" t="str">
        <f>IFERROR(VLOOKUP($O7964,'Customer List'!$A$1:$J$488,10,FALSE),"")</f>
        <v/>
      </c>
    </row>
    <row r="7965" spans="18:23">
      <c r="R7965" s="127">
        <f t="shared" si="323"/>
        <v>0</v>
      </c>
      <c r="T7965" s="128">
        <f t="shared" si="324"/>
        <v>0</v>
      </c>
      <c r="U7965" s="129" t="str">
        <f>IFERROR(IF(#REF!="S",VLOOKUP('Raw Data'!A7965,References!#REF!,2,FALSE),(VLOOKUP($S7965,References!$B$3:$C$7,2,FALSE))),"")</f>
        <v/>
      </c>
      <c r="W7965" s="74" t="str">
        <f>IFERROR(VLOOKUP($O7965,'Customer List'!$A$1:$J$488,10,FALSE),"")</f>
        <v/>
      </c>
    </row>
    <row r="7966" spans="18:23">
      <c r="R7966" s="127">
        <f t="shared" si="323"/>
        <v>0</v>
      </c>
      <c r="T7966" s="128">
        <f t="shared" si="324"/>
        <v>0</v>
      </c>
      <c r="U7966" s="129" t="str">
        <f>IFERROR(IF(#REF!="S",VLOOKUP('Raw Data'!A7966,References!#REF!,2,FALSE),(VLOOKUP($S7966,References!$B$3:$C$7,2,FALSE))),"")</f>
        <v/>
      </c>
      <c r="W7966" s="74" t="str">
        <f>IFERROR(VLOOKUP($O7966,'Customer List'!$A$1:$J$488,10,FALSE),"")</f>
        <v/>
      </c>
    </row>
    <row r="7967" spans="18:23">
      <c r="R7967" s="127">
        <f t="shared" si="323"/>
        <v>0</v>
      </c>
      <c r="T7967" s="128">
        <f t="shared" si="324"/>
        <v>0</v>
      </c>
      <c r="U7967" s="129" t="str">
        <f>IFERROR(IF(#REF!="S",VLOOKUP('Raw Data'!A7967,References!#REF!,2,FALSE),(VLOOKUP($S7967,References!$B$3:$C$7,2,FALSE))),"")</f>
        <v/>
      </c>
      <c r="W7967" s="74" t="str">
        <f>IFERROR(VLOOKUP($O7967,'Customer List'!$A$1:$J$488,10,FALSE),"")</f>
        <v/>
      </c>
    </row>
    <row r="7968" spans="18:23">
      <c r="R7968" s="127">
        <f t="shared" si="323"/>
        <v>0</v>
      </c>
      <c r="T7968" s="128">
        <f t="shared" si="324"/>
        <v>0</v>
      </c>
      <c r="U7968" s="129" t="str">
        <f>IFERROR(IF(#REF!="S",VLOOKUP('Raw Data'!A7968,References!#REF!,2,FALSE),(VLOOKUP($S7968,References!$B$3:$C$7,2,FALSE))),"")</f>
        <v/>
      </c>
      <c r="W7968" s="74" t="str">
        <f>IFERROR(VLOOKUP($O7968,'Customer List'!$A$1:$J$488,10,FALSE),"")</f>
        <v/>
      </c>
    </row>
    <row r="7969" spans="18:23">
      <c r="R7969" s="127">
        <f t="shared" si="323"/>
        <v>0</v>
      </c>
      <c r="T7969" s="128">
        <f t="shared" si="324"/>
        <v>0</v>
      </c>
      <c r="U7969" s="129" t="str">
        <f>IFERROR(IF(#REF!="S",VLOOKUP('Raw Data'!A7969,References!#REF!,2,FALSE),(VLOOKUP($S7969,References!$B$3:$C$7,2,FALSE))),"")</f>
        <v/>
      </c>
      <c r="W7969" s="74" t="str">
        <f>IFERROR(VLOOKUP($O7969,'Customer List'!$A$1:$J$488,10,FALSE),"")</f>
        <v/>
      </c>
    </row>
    <row r="7970" spans="18:23">
      <c r="R7970" s="127">
        <f t="shared" ref="R7970:R8033" si="325">L7970-K7970</f>
        <v>0</v>
      </c>
      <c r="T7970" s="128">
        <f t="shared" si="324"/>
        <v>0</v>
      </c>
      <c r="U7970" s="129" t="str">
        <f>IFERROR(IF(#REF!="S",VLOOKUP('Raw Data'!A7970,References!#REF!,2,FALSE),(VLOOKUP($S7970,References!$B$3:$C$7,2,FALSE))),"")</f>
        <v/>
      </c>
      <c r="W7970" s="74" t="str">
        <f>IFERROR(VLOOKUP($O7970,'Customer List'!$A$1:$J$488,10,FALSE),"")</f>
        <v/>
      </c>
    </row>
    <row r="7971" spans="18:23">
      <c r="R7971" s="127">
        <f t="shared" si="325"/>
        <v>0</v>
      </c>
      <c r="T7971" s="128">
        <f t="shared" si="324"/>
        <v>0</v>
      </c>
      <c r="U7971" s="129" t="str">
        <f>IFERROR(IF(#REF!="S",VLOOKUP('Raw Data'!A7971,References!#REF!,2,FALSE),(VLOOKUP($S7971,References!$B$3:$C$7,2,FALSE))),"")</f>
        <v/>
      </c>
      <c r="W7971" s="74" t="str">
        <f>IFERROR(VLOOKUP($O7971,'Customer List'!$A$1:$J$488,10,FALSE),"")</f>
        <v/>
      </c>
    </row>
    <row r="7972" spans="18:23">
      <c r="R7972" s="127">
        <f t="shared" si="325"/>
        <v>0</v>
      </c>
      <c r="T7972" s="128">
        <f t="shared" si="324"/>
        <v>0</v>
      </c>
      <c r="U7972" s="129" t="str">
        <f>IFERROR(IF(#REF!="S",VLOOKUP('Raw Data'!A7972,References!#REF!,2,FALSE),(VLOOKUP($S7972,References!$B$3:$C$7,2,FALSE))),"")</f>
        <v/>
      </c>
      <c r="W7972" s="74" t="str">
        <f>IFERROR(VLOOKUP($O7972,'Customer List'!$A$1:$J$488,10,FALSE),"")</f>
        <v/>
      </c>
    </row>
    <row r="7973" spans="18:23">
      <c r="R7973" s="127">
        <f t="shared" si="325"/>
        <v>0</v>
      </c>
      <c r="T7973" s="128">
        <f t="shared" si="324"/>
        <v>0</v>
      </c>
      <c r="U7973" s="129" t="str">
        <f>IFERROR(IF(#REF!="S",VLOOKUP('Raw Data'!A7973,References!#REF!,2,FALSE),(VLOOKUP($S7973,References!$B$3:$C$7,2,FALSE))),"")</f>
        <v/>
      </c>
      <c r="W7973" s="74" t="str">
        <f>IFERROR(VLOOKUP($O7973,'Customer List'!$A$1:$J$488,10,FALSE),"")</f>
        <v/>
      </c>
    </row>
    <row r="7974" spans="18:23">
      <c r="R7974" s="127">
        <f t="shared" si="325"/>
        <v>0</v>
      </c>
      <c r="T7974" s="128">
        <f t="shared" si="324"/>
        <v>0</v>
      </c>
      <c r="U7974" s="129" t="str">
        <f>IFERROR(IF(#REF!="S",VLOOKUP('Raw Data'!A7974,References!#REF!,2,FALSE),(VLOOKUP($S7974,References!$B$3:$C$7,2,FALSE))),"")</f>
        <v/>
      </c>
      <c r="W7974" s="74" t="str">
        <f>IFERROR(VLOOKUP($O7974,'Customer List'!$A$1:$J$488,10,FALSE),"")</f>
        <v/>
      </c>
    </row>
    <row r="7975" spans="18:23">
      <c r="R7975" s="127">
        <f t="shared" si="325"/>
        <v>0</v>
      </c>
      <c r="T7975" s="128">
        <f t="shared" si="324"/>
        <v>0</v>
      </c>
      <c r="U7975" s="129" t="str">
        <f>IFERROR(IF(#REF!="S",VLOOKUP('Raw Data'!A7975,References!#REF!,2,FALSE),(VLOOKUP($S7975,References!$B$3:$C$7,2,FALSE))),"")</f>
        <v/>
      </c>
      <c r="W7975" s="74" t="str">
        <f>IFERROR(VLOOKUP($O7975,'Customer List'!$A$1:$J$488,10,FALSE),"")</f>
        <v/>
      </c>
    </row>
    <row r="7976" spans="18:23">
      <c r="R7976" s="127">
        <f t="shared" si="325"/>
        <v>0</v>
      </c>
      <c r="T7976" s="128">
        <f t="shared" si="324"/>
        <v>0</v>
      </c>
      <c r="U7976" s="129" t="str">
        <f>IFERROR(IF(#REF!="S",VLOOKUP('Raw Data'!A7976,References!#REF!,2,FALSE),(VLOOKUP($S7976,References!$B$3:$C$7,2,FALSE))),"")</f>
        <v/>
      </c>
      <c r="W7976" s="74" t="str">
        <f>IFERROR(VLOOKUP($O7976,'Customer List'!$A$1:$J$488,10,FALSE),"")</f>
        <v/>
      </c>
    </row>
    <row r="7977" spans="18:23">
      <c r="R7977" s="127">
        <f t="shared" si="325"/>
        <v>0</v>
      </c>
      <c r="T7977" s="128">
        <f t="shared" si="324"/>
        <v>0</v>
      </c>
      <c r="U7977" s="129" t="str">
        <f>IFERROR(IF(#REF!="S",VLOOKUP('Raw Data'!A7977,References!#REF!,2,FALSE),(VLOOKUP($S7977,References!$B$3:$C$7,2,FALSE))),"")</f>
        <v/>
      </c>
      <c r="W7977" s="74" t="str">
        <f>IFERROR(VLOOKUP($O7977,'Customer List'!$A$1:$J$488,10,FALSE),"")</f>
        <v/>
      </c>
    </row>
    <row r="7978" spans="18:23">
      <c r="R7978" s="127">
        <f t="shared" si="325"/>
        <v>0</v>
      </c>
      <c r="T7978" s="128">
        <f t="shared" si="324"/>
        <v>0</v>
      </c>
      <c r="U7978" s="129" t="str">
        <f>IFERROR(IF(#REF!="S",VLOOKUP('Raw Data'!A7978,References!#REF!,2,FALSE),(VLOOKUP($S7978,References!$B$3:$C$7,2,FALSE))),"")</f>
        <v/>
      </c>
      <c r="W7978" s="74" t="str">
        <f>IFERROR(VLOOKUP($O7978,'Customer List'!$A$1:$J$488,10,FALSE),"")</f>
        <v/>
      </c>
    </row>
    <row r="7979" spans="18:23">
      <c r="R7979" s="127">
        <f t="shared" si="325"/>
        <v>0</v>
      </c>
      <c r="T7979" s="128">
        <f t="shared" si="324"/>
        <v>0</v>
      </c>
      <c r="U7979" s="129" t="str">
        <f>IFERROR(IF(#REF!="S",VLOOKUP('Raw Data'!A7979,References!#REF!,2,FALSE),(VLOOKUP($S7979,References!$B$3:$C$7,2,FALSE))),"")</f>
        <v/>
      </c>
      <c r="W7979" s="74" t="str">
        <f>IFERROR(VLOOKUP($O7979,'Customer List'!$A$1:$J$488,10,FALSE),"")</f>
        <v/>
      </c>
    </row>
    <row r="7980" spans="18:23">
      <c r="R7980" s="127">
        <f t="shared" si="325"/>
        <v>0</v>
      </c>
      <c r="T7980" s="128">
        <f t="shared" si="324"/>
        <v>0</v>
      </c>
      <c r="U7980" s="129" t="str">
        <f>IFERROR(IF(#REF!="S",VLOOKUP('Raw Data'!A7980,References!#REF!,2,FALSE),(VLOOKUP($S7980,References!$B$3:$C$7,2,FALSE))),"")</f>
        <v/>
      </c>
      <c r="W7980" s="74" t="str">
        <f>IFERROR(VLOOKUP($O7980,'Customer List'!$A$1:$J$488,10,FALSE),"")</f>
        <v/>
      </c>
    </row>
    <row r="7981" spans="18:23">
      <c r="R7981" s="127">
        <f t="shared" si="325"/>
        <v>0</v>
      </c>
      <c r="T7981" s="128">
        <f t="shared" si="324"/>
        <v>0</v>
      </c>
      <c r="U7981" s="129" t="str">
        <f>IFERROR(IF(#REF!="S",VLOOKUP('Raw Data'!A7981,References!#REF!,2,FALSE),(VLOOKUP($S7981,References!$B$3:$C$7,2,FALSE))),"")</f>
        <v/>
      </c>
      <c r="W7981" s="74" t="str">
        <f>IFERROR(VLOOKUP($O7981,'Customer List'!$A$1:$J$488,10,FALSE),"")</f>
        <v/>
      </c>
    </row>
    <row r="7982" spans="18:23">
      <c r="R7982" s="127">
        <f t="shared" si="325"/>
        <v>0</v>
      </c>
      <c r="T7982" s="128">
        <f t="shared" si="324"/>
        <v>0</v>
      </c>
      <c r="U7982" s="129" t="str">
        <f>IFERROR(IF(#REF!="S",VLOOKUP('Raw Data'!A7982,References!#REF!,2,FALSE),(VLOOKUP($S7982,References!$B$3:$C$7,2,FALSE))),"")</f>
        <v/>
      </c>
      <c r="W7982" s="74" t="str">
        <f>IFERROR(VLOOKUP($O7982,'Customer List'!$A$1:$J$488,10,FALSE),"")</f>
        <v/>
      </c>
    </row>
    <row r="7983" spans="18:23">
      <c r="R7983" s="127">
        <f t="shared" si="325"/>
        <v>0</v>
      </c>
      <c r="T7983" s="128">
        <f t="shared" si="324"/>
        <v>0</v>
      </c>
      <c r="U7983" s="129" t="str">
        <f>IFERROR(IF(#REF!="S",VLOOKUP('Raw Data'!A7983,References!#REF!,2,FALSE),(VLOOKUP($S7983,References!$B$3:$C$7,2,FALSE))),"")</f>
        <v/>
      </c>
      <c r="W7983" s="74" t="str">
        <f>IFERROR(VLOOKUP($O7983,'Customer List'!$A$1:$J$488,10,FALSE),"")</f>
        <v/>
      </c>
    </row>
    <row r="7984" spans="18:23">
      <c r="R7984" s="127">
        <f t="shared" si="325"/>
        <v>0</v>
      </c>
      <c r="T7984" s="128">
        <f t="shared" si="324"/>
        <v>0</v>
      </c>
      <c r="U7984" s="129" t="str">
        <f>IFERROR(IF(#REF!="S",VLOOKUP('Raw Data'!A7984,References!#REF!,2,FALSE),(VLOOKUP($S7984,References!$B$3:$C$7,2,FALSE))),"")</f>
        <v/>
      </c>
      <c r="W7984" s="74" t="str">
        <f>IFERROR(VLOOKUP($O7984,'Customer List'!$A$1:$J$488,10,FALSE),"")</f>
        <v/>
      </c>
    </row>
    <row r="7985" spans="18:23">
      <c r="R7985" s="127">
        <f t="shared" si="325"/>
        <v>0</v>
      </c>
      <c r="T7985" s="128">
        <f t="shared" si="324"/>
        <v>0</v>
      </c>
      <c r="U7985" s="129" t="str">
        <f>IFERROR(IF(#REF!="S",VLOOKUP('Raw Data'!A7985,References!#REF!,2,FALSE),(VLOOKUP($S7985,References!$B$3:$C$7,2,FALSE))),"")</f>
        <v/>
      </c>
      <c r="W7985" s="74" t="str">
        <f>IFERROR(VLOOKUP($O7985,'Customer List'!$A$1:$J$488,10,FALSE),"")</f>
        <v/>
      </c>
    </row>
    <row r="7986" spans="18:23">
      <c r="R7986" s="127">
        <f t="shared" si="325"/>
        <v>0</v>
      </c>
      <c r="T7986" s="128">
        <f t="shared" si="324"/>
        <v>0</v>
      </c>
      <c r="U7986" s="129" t="str">
        <f>IFERROR(IF(#REF!="S",VLOOKUP('Raw Data'!A7986,References!#REF!,2,FALSE),(VLOOKUP($S7986,References!$B$3:$C$7,2,FALSE))),"")</f>
        <v/>
      </c>
      <c r="W7986" s="74" t="str">
        <f>IFERROR(VLOOKUP($O7986,'Customer List'!$A$1:$J$488,10,FALSE),"")</f>
        <v/>
      </c>
    </row>
    <row r="7987" spans="18:23">
      <c r="R7987" s="127">
        <f t="shared" si="325"/>
        <v>0</v>
      </c>
      <c r="T7987" s="128">
        <f t="shared" si="324"/>
        <v>0</v>
      </c>
      <c r="U7987" s="129" t="str">
        <f>IFERROR(IF(#REF!="S",VLOOKUP('Raw Data'!A7987,References!#REF!,2,FALSE),(VLOOKUP($S7987,References!$B$3:$C$7,2,FALSE))),"")</f>
        <v/>
      </c>
      <c r="W7987" s="74" t="str">
        <f>IFERROR(VLOOKUP($O7987,'Customer List'!$A$1:$J$488,10,FALSE),"")</f>
        <v/>
      </c>
    </row>
    <row r="7988" spans="18:23">
      <c r="R7988" s="127">
        <f t="shared" si="325"/>
        <v>0</v>
      </c>
      <c r="T7988" s="128">
        <f t="shared" si="324"/>
        <v>0</v>
      </c>
      <c r="U7988" s="129" t="str">
        <f>IFERROR(IF(#REF!="S",VLOOKUP('Raw Data'!A7988,References!#REF!,2,FALSE),(VLOOKUP($S7988,References!$B$3:$C$7,2,FALSE))),"")</f>
        <v/>
      </c>
      <c r="W7988" s="74" t="str">
        <f>IFERROR(VLOOKUP($O7988,'Customer List'!$A$1:$J$488,10,FALSE),"")</f>
        <v/>
      </c>
    </row>
    <row r="7989" spans="18:23">
      <c r="R7989" s="127">
        <f t="shared" si="325"/>
        <v>0</v>
      </c>
      <c r="T7989" s="128">
        <f t="shared" si="324"/>
        <v>0</v>
      </c>
      <c r="U7989" s="129" t="str">
        <f>IFERROR(IF(#REF!="S",VLOOKUP('Raw Data'!A7989,References!#REF!,2,FALSE),(VLOOKUP($S7989,References!$B$3:$C$7,2,FALSE))),"")</f>
        <v/>
      </c>
      <c r="W7989" s="74" t="str">
        <f>IFERROR(VLOOKUP($O7989,'Customer List'!$A$1:$J$488,10,FALSE),"")</f>
        <v/>
      </c>
    </row>
    <row r="7990" spans="18:23">
      <c r="R7990" s="127">
        <f t="shared" si="325"/>
        <v>0</v>
      </c>
      <c r="T7990" s="128">
        <f t="shared" si="324"/>
        <v>0</v>
      </c>
      <c r="U7990" s="129" t="str">
        <f>IFERROR(IF(#REF!="S",VLOOKUP('Raw Data'!A7990,References!#REF!,2,FALSE),(VLOOKUP($S7990,References!$B$3:$C$7,2,FALSE))),"")</f>
        <v/>
      </c>
      <c r="W7990" s="74" t="str">
        <f>IFERROR(VLOOKUP($O7990,'Customer List'!$A$1:$J$488,10,FALSE),"")</f>
        <v/>
      </c>
    </row>
    <row r="7991" spans="18:23">
      <c r="R7991" s="127">
        <f t="shared" si="325"/>
        <v>0</v>
      </c>
      <c r="T7991" s="128">
        <f t="shared" si="324"/>
        <v>0</v>
      </c>
      <c r="U7991" s="129" t="str">
        <f>IFERROR(IF(#REF!="S",VLOOKUP('Raw Data'!A7991,References!#REF!,2,FALSE),(VLOOKUP($S7991,References!$B$3:$C$7,2,FALSE))),"")</f>
        <v/>
      </c>
      <c r="W7991" s="74" t="str">
        <f>IFERROR(VLOOKUP($O7991,'Customer List'!$A$1:$J$488,10,FALSE),"")</f>
        <v/>
      </c>
    </row>
    <row r="7992" spans="18:23">
      <c r="R7992" s="127">
        <f t="shared" si="325"/>
        <v>0</v>
      </c>
      <c r="T7992" s="128">
        <f t="shared" si="324"/>
        <v>0</v>
      </c>
      <c r="U7992" s="129" t="str">
        <f>IFERROR(IF(#REF!="S",VLOOKUP('Raw Data'!A7992,References!#REF!,2,FALSE),(VLOOKUP($S7992,References!$B$3:$C$7,2,FALSE))),"")</f>
        <v/>
      </c>
      <c r="W7992" s="74" t="str">
        <f>IFERROR(VLOOKUP($O7992,'Customer List'!$A$1:$J$488,10,FALSE),"")</f>
        <v/>
      </c>
    </row>
    <row r="7993" spans="18:23">
      <c r="R7993" s="127">
        <f t="shared" si="325"/>
        <v>0</v>
      </c>
      <c r="T7993" s="128">
        <f t="shared" si="324"/>
        <v>0</v>
      </c>
      <c r="U7993" s="129" t="str">
        <f>IFERROR(IF(#REF!="S",VLOOKUP('Raw Data'!A7993,References!#REF!,2,FALSE),(VLOOKUP($S7993,References!$B$3:$C$7,2,FALSE))),"")</f>
        <v/>
      </c>
      <c r="W7993" s="74" t="str">
        <f>IFERROR(VLOOKUP($O7993,'Customer List'!$A$1:$J$488,10,FALSE),"")</f>
        <v/>
      </c>
    </row>
    <row r="7994" spans="18:23">
      <c r="R7994" s="127">
        <f t="shared" si="325"/>
        <v>0</v>
      </c>
      <c r="T7994" s="128">
        <f t="shared" si="324"/>
        <v>0</v>
      </c>
      <c r="U7994" s="129" t="str">
        <f>IFERROR(IF(#REF!="S",VLOOKUP('Raw Data'!A7994,References!#REF!,2,FALSE),(VLOOKUP($S7994,References!$B$3:$C$7,2,FALSE))),"")</f>
        <v/>
      </c>
      <c r="W7994" s="74" t="str">
        <f>IFERROR(VLOOKUP($O7994,'Customer List'!$A$1:$J$488,10,FALSE),"")</f>
        <v/>
      </c>
    </row>
    <row r="7995" spans="18:23">
      <c r="R7995" s="127">
        <f t="shared" si="325"/>
        <v>0</v>
      </c>
      <c r="T7995" s="128">
        <f t="shared" si="324"/>
        <v>0</v>
      </c>
      <c r="U7995" s="129" t="str">
        <f>IFERROR(IF(#REF!="S",VLOOKUP('Raw Data'!A7995,References!#REF!,2,FALSE),(VLOOKUP($S7995,References!$B$3:$C$7,2,FALSE))),"")</f>
        <v/>
      </c>
      <c r="W7995" s="74" t="str">
        <f>IFERROR(VLOOKUP($O7995,'Customer List'!$A$1:$J$488,10,FALSE),"")</f>
        <v/>
      </c>
    </row>
    <row r="7996" spans="18:23">
      <c r="R7996" s="127">
        <f t="shared" si="325"/>
        <v>0</v>
      </c>
      <c r="T7996" s="128">
        <f t="shared" si="324"/>
        <v>0</v>
      </c>
      <c r="U7996" s="129" t="str">
        <f>IFERROR(IF(#REF!="S",VLOOKUP('Raw Data'!A7996,References!#REF!,2,FALSE),(VLOOKUP($S7996,References!$B$3:$C$7,2,FALSE))),"")</f>
        <v/>
      </c>
      <c r="W7996" s="74" t="str">
        <f>IFERROR(VLOOKUP($O7996,'Customer List'!$A$1:$J$488,10,FALSE),"")</f>
        <v/>
      </c>
    </row>
    <row r="7997" spans="18:23">
      <c r="R7997" s="127">
        <f t="shared" si="325"/>
        <v>0</v>
      </c>
      <c r="T7997" s="128">
        <f t="shared" si="324"/>
        <v>0</v>
      </c>
      <c r="U7997" s="129" t="str">
        <f>IFERROR(IF(#REF!="S",VLOOKUP('Raw Data'!A7997,References!#REF!,2,FALSE),(VLOOKUP($S7997,References!$B$3:$C$7,2,FALSE))),"")</f>
        <v/>
      </c>
      <c r="W7997" s="74" t="str">
        <f>IFERROR(VLOOKUP($O7997,'Customer List'!$A$1:$J$488,10,FALSE),"")</f>
        <v/>
      </c>
    </row>
    <row r="7998" spans="18:23">
      <c r="R7998" s="127">
        <f t="shared" si="325"/>
        <v>0</v>
      </c>
      <c r="T7998" s="128">
        <f t="shared" si="324"/>
        <v>0</v>
      </c>
      <c r="U7998" s="129" t="str">
        <f>IFERROR(IF(#REF!="S",VLOOKUP('Raw Data'!A7998,References!#REF!,2,FALSE),(VLOOKUP($S7998,References!$B$3:$C$7,2,FALSE))),"")</f>
        <v/>
      </c>
      <c r="W7998" s="74" t="str">
        <f>IFERROR(VLOOKUP($O7998,'Customer List'!$A$1:$J$488,10,FALSE),"")</f>
        <v/>
      </c>
    </row>
    <row r="7999" spans="18:23">
      <c r="R7999" s="127">
        <f t="shared" si="325"/>
        <v>0</v>
      </c>
      <c r="T7999" s="128">
        <f t="shared" si="324"/>
        <v>0</v>
      </c>
      <c r="U7999" s="129" t="str">
        <f>IFERROR(IF(#REF!="S",VLOOKUP('Raw Data'!A7999,References!#REF!,2,FALSE),(VLOOKUP($S7999,References!$B$3:$C$7,2,FALSE))),"")</f>
        <v/>
      </c>
      <c r="W7999" s="74" t="str">
        <f>IFERROR(VLOOKUP($O7999,'Customer List'!$A$1:$J$488,10,FALSE),"")</f>
        <v/>
      </c>
    </row>
    <row r="8000" spans="18:23">
      <c r="R8000" s="127">
        <f t="shared" si="325"/>
        <v>0</v>
      </c>
      <c r="T8000" s="128">
        <f t="shared" si="324"/>
        <v>0</v>
      </c>
      <c r="U8000" s="129" t="str">
        <f>IFERROR(IF(#REF!="S",VLOOKUP('Raw Data'!A8000,References!#REF!,2,FALSE),(VLOOKUP($S8000,References!$B$3:$C$7,2,FALSE))),"")</f>
        <v/>
      </c>
      <c r="W8000" s="74" t="str">
        <f>IFERROR(VLOOKUP($O8000,'Customer List'!$A$1:$J$488,10,FALSE),"")</f>
        <v/>
      </c>
    </row>
    <row r="8001" spans="18:23">
      <c r="R8001" s="127">
        <f t="shared" si="325"/>
        <v>0</v>
      </c>
      <c r="T8001" s="128">
        <f t="shared" si="324"/>
        <v>0</v>
      </c>
      <c r="U8001" s="129" t="str">
        <f>IFERROR(IF(#REF!="S",VLOOKUP('Raw Data'!A8001,References!#REF!,2,FALSE),(VLOOKUP($S8001,References!$B$3:$C$7,2,FALSE))),"")</f>
        <v/>
      </c>
      <c r="W8001" s="74" t="str">
        <f>IFERROR(VLOOKUP($O8001,'Customer List'!$A$1:$J$488,10,FALSE),"")</f>
        <v/>
      </c>
    </row>
    <row r="8002" spans="18:23">
      <c r="R8002" s="127">
        <f t="shared" si="325"/>
        <v>0</v>
      </c>
      <c r="T8002" s="128">
        <f t="shared" si="324"/>
        <v>0</v>
      </c>
      <c r="U8002" s="129" t="str">
        <f>IFERROR(IF(#REF!="S",VLOOKUP('Raw Data'!A8002,References!#REF!,2,FALSE),(VLOOKUP($S8002,References!$B$3:$C$7,2,FALSE))),"")</f>
        <v/>
      </c>
      <c r="W8002" s="74" t="str">
        <f>IFERROR(VLOOKUP($O8002,'Customer List'!$A$1:$J$488,10,FALSE),"")</f>
        <v/>
      </c>
    </row>
    <row r="8003" spans="18:23">
      <c r="R8003" s="127">
        <f t="shared" si="325"/>
        <v>0</v>
      </c>
      <c r="T8003" s="128">
        <f t="shared" si="324"/>
        <v>0</v>
      </c>
      <c r="U8003" s="129" t="str">
        <f>IFERROR(IF(#REF!="S",VLOOKUP('Raw Data'!A8003,References!#REF!,2,FALSE),(VLOOKUP($S8003,References!$B$3:$C$7,2,FALSE))),"")</f>
        <v/>
      </c>
      <c r="W8003" s="74" t="str">
        <f>IFERROR(VLOOKUP($O8003,'Customer List'!$A$1:$J$488,10,FALSE),"")</f>
        <v/>
      </c>
    </row>
    <row r="8004" spans="18:23">
      <c r="R8004" s="127">
        <f t="shared" si="325"/>
        <v>0</v>
      </c>
      <c r="T8004" s="128">
        <f t="shared" si="324"/>
        <v>0</v>
      </c>
      <c r="U8004" s="129" t="str">
        <f>IFERROR(IF(#REF!="S",VLOOKUP('Raw Data'!A8004,References!#REF!,2,FALSE),(VLOOKUP($S8004,References!$B$3:$C$7,2,FALSE))),"")</f>
        <v/>
      </c>
      <c r="W8004" s="74" t="str">
        <f>IFERROR(VLOOKUP($O8004,'Customer List'!$A$1:$J$488,10,FALSE),"")</f>
        <v/>
      </c>
    </row>
    <row r="8005" spans="18:23">
      <c r="R8005" s="127">
        <f t="shared" si="325"/>
        <v>0</v>
      </c>
      <c r="T8005" s="128">
        <f t="shared" si="324"/>
        <v>0</v>
      </c>
      <c r="U8005" s="129" t="str">
        <f>IFERROR(IF(#REF!="S",VLOOKUP('Raw Data'!A8005,References!#REF!,2,FALSE),(VLOOKUP($S8005,References!$B$3:$C$7,2,FALSE))),"")</f>
        <v/>
      </c>
      <c r="W8005" s="74" t="str">
        <f>IFERROR(VLOOKUP($O8005,'Customer List'!$A$1:$J$488,10,FALSE),"")</f>
        <v/>
      </c>
    </row>
    <row r="8006" spans="18:23">
      <c r="R8006" s="127">
        <f t="shared" si="325"/>
        <v>0</v>
      </c>
      <c r="T8006" s="128">
        <f t="shared" si="324"/>
        <v>0</v>
      </c>
      <c r="U8006" s="129" t="str">
        <f>IFERROR(IF(#REF!="S",VLOOKUP('Raw Data'!A8006,References!#REF!,2,FALSE),(VLOOKUP($S8006,References!$B$3:$C$7,2,FALSE))),"")</f>
        <v/>
      </c>
      <c r="W8006" s="74" t="str">
        <f>IFERROR(VLOOKUP($O8006,'Customer List'!$A$1:$J$488,10,FALSE),"")</f>
        <v/>
      </c>
    </row>
    <row r="8007" spans="18:23">
      <c r="R8007" s="127">
        <f t="shared" si="325"/>
        <v>0</v>
      </c>
      <c r="T8007" s="128">
        <f t="shared" si="324"/>
        <v>0</v>
      </c>
      <c r="U8007" s="129" t="str">
        <f>IFERROR(IF(#REF!="S",VLOOKUP('Raw Data'!A8007,References!#REF!,2,FALSE),(VLOOKUP($S8007,References!$B$3:$C$7,2,FALSE))),"")</f>
        <v/>
      </c>
      <c r="W8007" s="74" t="str">
        <f>IFERROR(VLOOKUP($O8007,'Customer List'!$A$1:$J$488,10,FALSE),"")</f>
        <v/>
      </c>
    </row>
    <row r="8008" spans="18:23">
      <c r="R8008" s="127">
        <f t="shared" si="325"/>
        <v>0</v>
      </c>
      <c r="T8008" s="128">
        <f t="shared" si="324"/>
        <v>0</v>
      </c>
      <c r="U8008" s="129" t="str">
        <f>IFERROR(IF(#REF!="S",VLOOKUP('Raw Data'!A8008,References!#REF!,2,FALSE),(VLOOKUP($S8008,References!$B$3:$C$7,2,FALSE))),"")</f>
        <v/>
      </c>
      <c r="W8008" s="74" t="str">
        <f>IFERROR(VLOOKUP($O8008,'Customer List'!$A$1:$J$488,10,FALSE),"")</f>
        <v/>
      </c>
    </row>
    <row r="8009" spans="18:23">
      <c r="R8009" s="127">
        <f t="shared" si="325"/>
        <v>0</v>
      </c>
      <c r="T8009" s="128">
        <f t="shared" si="324"/>
        <v>0</v>
      </c>
      <c r="U8009" s="129" t="str">
        <f>IFERROR(IF(#REF!="S",VLOOKUP('Raw Data'!A8009,References!#REF!,2,FALSE),(VLOOKUP($S8009,References!$B$3:$C$7,2,FALSE))),"")</f>
        <v/>
      </c>
      <c r="W8009" s="74" t="str">
        <f>IFERROR(VLOOKUP($O8009,'Customer List'!$A$1:$J$488,10,FALSE),"")</f>
        <v/>
      </c>
    </row>
    <row r="8010" spans="18:23">
      <c r="R8010" s="127">
        <f t="shared" si="325"/>
        <v>0</v>
      </c>
      <c r="T8010" s="128">
        <f t="shared" ref="T8010:T8073" si="326">IF(S8010="50 - Cleaning Fee",1,HOUR($R8010)+MINUTE(R8010)/60)</f>
        <v>0</v>
      </c>
      <c r="U8010" s="129" t="str">
        <f>IFERROR(IF(#REF!="S",VLOOKUP('Raw Data'!A8010,References!#REF!,2,FALSE),(VLOOKUP($S8010,References!$B$3:$C$7,2,FALSE))),"")</f>
        <v/>
      </c>
      <c r="W8010" s="74" t="str">
        <f>IFERROR(VLOOKUP($O8010,'Customer List'!$A$1:$J$488,10,FALSE),"")</f>
        <v/>
      </c>
    </row>
    <row r="8011" spans="18:23">
      <c r="R8011" s="127">
        <f t="shared" si="325"/>
        <v>0</v>
      </c>
      <c r="T8011" s="128">
        <f t="shared" si="326"/>
        <v>0</v>
      </c>
      <c r="U8011" s="129" t="str">
        <f>IFERROR(IF(#REF!="S",VLOOKUP('Raw Data'!A8011,References!#REF!,2,FALSE),(VLOOKUP($S8011,References!$B$3:$C$7,2,FALSE))),"")</f>
        <v/>
      </c>
      <c r="W8011" s="74" t="str">
        <f>IFERROR(VLOOKUP($O8011,'Customer List'!$A$1:$J$488,10,FALSE),"")</f>
        <v/>
      </c>
    </row>
    <row r="8012" spans="18:23">
      <c r="R8012" s="127">
        <f t="shared" si="325"/>
        <v>0</v>
      </c>
      <c r="T8012" s="128">
        <f t="shared" si="326"/>
        <v>0</v>
      </c>
      <c r="U8012" s="129" t="str">
        <f>IFERROR(IF(#REF!="S",VLOOKUP('Raw Data'!A8012,References!#REF!,2,FALSE),(VLOOKUP($S8012,References!$B$3:$C$7,2,FALSE))),"")</f>
        <v/>
      </c>
      <c r="W8012" s="74" t="str">
        <f>IFERROR(VLOOKUP($O8012,'Customer List'!$A$1:$J$488,10,FALSE),"")</f>
        <v/>
      </c>
    </row>
    <row r="8013" spans="18:23">
      <c r="R8013" s="127">
        <f t="shared" si="325"/>
        <v>0</v>
      </c>
      <c r="T8013" s="128">
        <f t="shared" si="326"/>
        <v>0</v>
      </c>
      <c r="U8013" s="129" t="str">
        <f>IFERROR(IF(#REF!="S",VLOOKUP('Raw Data'!A8013,References!#REF!,2,FALSE),(VLOOKUP($S8013,References!$B$3:$C$7,2,FALSE))),"")</f>
        <v/>
      </c>
      <c r="W8013" s="74" t="str">
        <f>IFERROR(VLOOKUP($O8013,'Customer List'!$A$1:$J$488,10,FALSE),"")</f>
        <v/>
      </c>
    </row>
    <row r="8014" spans="18:23">
      <c r="R8014" s="127">
        <f t="shared" si="325"/>
        <v>0</v>
      </c>
      <c r="T8014" s="128">
        <f t="shared" si="326"/>
        <v>0</v>
      </c>
      <c r="U8014" s="129" t="str">
        <f>IFERROR(IF(#REF!="S",VLOOKUP('Raw Data'!A8014,References!#REF!,2,FALSE),(VLOOKUP($S8014,References!$B$3:$C$7,2,FALSE))),"")</f>
        <v/>
      </c>
      <c r="W8014" s="74" t="str">
        <f>IFERROR(VLOOKUP($O8014,'Customer List'!$A$1:$J$488,10,FALSE),"")</f>
        <v/>
      </c>
    </row>
    <row r="8015" spans="18:23">
      <c r="R8015" s="127">
        <f t="shared" si="325"/>
        <v>0</v>
      </c>
      <c r="T8015" s="128">
        <f t="shared" si="326"/>
        <v>0</v>
      </c>
      <c r="U8015" s="129" t="str">
        <f>IFERROR(IF(#REF!="S",VLOOKUP('Raw Data'!A8015,References!#REF!,2,FALSE),(VLOOKUP($S8015,References!$B$3:$C$7,2,FALSE))),"")</f>
        <v/>
      </c>
      <c r="W8015" s="74" t="str">
        <f>IFERROR(VLOOKUP($O8015,'Customer List'!$A$1:$J$488,10,FALSE),"")</f>
        <v/>
      </c>
    </row>
    <row r="8016" spans="18:23">
      <c r="R8016" s="127">
        <f t="shared" si="325"/>
        <v>0</v>
      </c>
      <c r="T8016" s="128">
        <f t="shared" si="326"/>
        <v>0</v>
      </c>
      <c r="U8016" s="129" t="str">
        <f>IFERROR(IF(#REF!="S",VLOOKUP('Raw Data'!A8016,References!#REF!,2,FALSE),(VLOOKUP($S8016,References!$B$3:$C$7,2,FALSE))),"")</f>
        <v/>
      </c>
      <c r="W8016" s="74" t="str">
        <f>IFERROR(VLOOKUP($O8016,'Customer List'!$A$1:$J$488,10,FALSE),"")</f>
        <v/>
      </c>
    </row>
    <row r="8017" spans="18:23">
      <c r="R8017" s="127">
        <f t="shared" si="325"/>
        <v>0</v>
      </c>
      <c r="T8017" s="128">
        <f t="shared" si="326"/>
        <v>0</v>
      </c>
      <c r="U8017" s="129" t="str">
        <f>IFERROR(IF(#REF!="S",VLOOKUP('Raw Data'!A8017,References!#REF!,2,FALSE),(VLOOKUP($S8017,References!$B$3:$C$7,2,FALSE))),"")</f>
        <v/>
      </c>
      <c r="W8017" s="74" t="str">
        <f>IFERROR(VLOOKUP($O8017,'Customer List'!$A$1:$J$488,10,FALSE),"")</f>
        <v/>
      </c>
    </row>
    <row r="8018" spans="18:23">
      <c r="R8018" s="127">
        <f t="shared" si="325"/>
        <v>0</v>
      </c>
      <c r="T8018" s="128">
        <f t="shared" si="326"/>
        <v>0</v>
      </c>
      <c r="U8018" s="129" t="str">
        <f>IFERROR(IF(#REF!="S",VLOOKUP('Raw Data'!A8018,References!#REF!,2,FALSE),(VLOOKUP($S8018,References!$B$3:$C$7,2,FALSE))),"")</f>
        <v/>
      </c>
      <c r="W8018" s="74" t="str">
        <f>IFERROR(VLOOKUP($O8018,'Customer List'!$A$1:$J$488,10,FALSE),"")</f>
        <v/>
      </c>
    </row>
    <row r="8019" spans="18:23">
      <c r="R8019" s="127">
        <f t="shared" si="325"/>
        <v>0</v>
      </c>
      <c r="T8019" s="128">
        <f t="shared" si="326"/>
        <v>0</v>
      </c>
      <c r="U8019" s="129" t="str">
        <f>IFERROR(IF(#REF!="S",VLOOKUP('Raw Data'!A8019,References!#REF!,2,FALSE),(VLOOKUP($S8019,References!$B$3:$C$7,2,FALSE))),"")</f>
        <v/>
      </c>
      <c r="W8019" s="74" t="str">
        <f>IFERROR(VLOOKUP($O8019,'Customer List'!$A$1:$J$488,10,FALSE),"")</f>
        <v/>
      </c>
    </row>
    <row r="8020" spans="18:23">
      <c r="R8020" s="127">
        <f t="shared" si="325"/>
        <v>0</v>
      </c>
      <c r="T8020" s="128">
        <f t="shared" si="326"/>
        <v>0</v>
      </c>
      <c r="U8020" s="129" t="str">
        <f>IFERROR(IF(#REF!="S",VLOOKUP('Raw Data'!A8020,References!#REF!,2,FALSE),(VLOOKUP($S8020,References!$B$3:$C$7,2,FALSE))),"")</f>
        <v/>
      </c>
      <c r="W8020" s="74" t="str">
        <f>IFERROR(VLOOKUP($O8020,'Customer List'!$A$1:$J$488,10,FALSE),"")</f>
        <v/>
      </c>
    </row>
    <row r="8021" spans="18:23">
      <c r="R8021" s="127">
        <f t="shared" si="325"/>
        <v>0</v>
      </c>
      <c r="T8021" s="128">
        <f t="shared" si="326"/>
        <v>0</v>
      </c>
      <c r="U8021" s="129" t="str">
        <f>IFERROR(IF(#REF!="S",VLOOKUP('Raw Data'!A8021,References!#REF!,2,FALSE),(VLOOKUP($S8021,References!$B$3:$C$7,2,FALSE))),"")</f>
        <v/>
      </c>
      <c r="W8021" s="74" t="str">
        <f>IFERROR(VLOOKUP($O8021,'Customer List'!$A$1:$J$488,10,FALSE),"")</f>
        <v/>
      </c>
    </row>
    <row r="8022" spans="18:23">
      <c r="R8022" s="127">
        <f t="shared" si="325"/>
        <v>0</v>
      </c>
      <c r="T8022" s="128">
        <f t="shared" si="326"/>
        <v>0</v>
      </c>
      <c r="U8022" s="129" t="str">
        <f>IFERROR(IF(#REF!="S",VLOOKUP('Raw Data'!A8022,References!#REF!,2,FALSE),(VLOOKUP($S8022,References!$B$3:$C$7,2,FALSE))),"")</f>
        <v/>
      </c>
      <c r="W8022" s="74" t="str">
        <f>IFERROR(VLOOKUP($O8022,'Customer List'!$A$1:$J$488,10,FALSE),"")</f>
        <v/>
      </c>
    </row>
    <row r="8023" spans="18:23">
      <c r="R8023" s="127">
        <f t="shared" si="325"/>
        <v>0</v>
      </c>
      <c r="T8023" s="128">
        <f t="shared" si="326"/>
        <v>0</v>
      </c>
      <c r="U8023" s="129" t="str">
        <f>IFERROR(IF(#REF!="S",VLOOKUP('Raw Data'!A8023,References!#REF!,2,FALSE),(VLOOKUP($S8023,References!$B$3:$C$7,2,FALSE))),"")</f>
        <v/>
      </c>
      <c r="W8023" s="74" t="str">
        <f>IFERROR(VLOOKUP($O8023,'Customer List'!$A$1:$J$488,10,FALSE),"")</f>
        <v/>
      </c>
    </row>
    <row r="8024" spans="18:23">
      <c r="R8024" s="127">
        <f t="shared" si="325"/>
        <v>0</v>
      </c>
      <c r="T8024" s="128">
        <f t="shared" si="326"/>
        <v>0</v>
      </c>
      <c r="U8024" s="129" t="str">
        <f>IFERROR(IF(#REF!="S",VLOOKUP('Raw Data'!A8024,References!#REF!,2,FALSE),(VLOOKUP($S8024,References!$B$3:$C$7,2,FALSE))),"")</f>
        <v/>
      </c>
      <c r="W8024" s="74" t="str">
        <f>IFERROR(VLOOKUP($O8024,'Customer List'!$A$1:$J$488,10,FALSE),"")</f>
        <v/>
      </c>
    </row>
    <row r="8025" spans="18:23">
      <c r="R8025" s="127">
        <f t="shared" si="325"/>
        <v>0</v>
      </c>
      <c r="T8025" s="128">
        <f t="shared" si="326"/>
        <v>0</v>
      </c>
      <c r="U8025" s="129" t="str">
        <f>IFERROR(IF(#REF!="S",VLOOKUP('Raw Data'!A8025,References!#REF!,2,FALSE),(VLOOKUP($S8025,References!$B$3:$C$7,2,FALSE))),"")</f>
        <v/>
      </c>
      <c r="W8025" s="74" t="str">
        <f>IFERROR(VLOOKUP($O8025,'Customer List'!$A$1:$J$488,10,FALSE),"")</f>
        <v/>
      </c>
    </row>
    <row r="8026" spans="18:23">
      <c r="R8026" s="127">
        <f t="shared" si="325"/>
        <v>0</v>
      </c>
      <c r="T8026" s="128">
        <f t="shared" si="326"/>
        <v>0</v>
      </c>
      <c r="U8026" s="129" t="str">
        <f>IFERROR(IF(#REF!="S",VLOOKUP('Raw Data'!A8026,References!#REF!,2,FALSE),(VLOOKUP($S8026,References!$B$3:$C$7,2,FALSE))),"")</f>
        <v/>
      </c>
      <c r="W8026" s="74" t="str">
        <f>IFERROR(VLOOKUP($O8026,'Customer List'!$A$1:$J$488,10,FALSE),"")</f>
        <v/>
      </c>
    </row>
    <row r="8027" spans="18:23">
      <c r="R8027" s="127">
        <f t="shared" si="325"/>
        <v>0</v>
      </c>
      <c r="T8027" s="128">
        <f t="shared" si="326"/>
        <v>0</v>
      </c>
      <c r="U8027" s="129" t="str">
        <f>IFERROR(IF(#REF!="S",VLOOKUP('Raw Data'!A8027,References!#REF!,2,FALSE),(VLOOKUP($S8027,References!$B$3:$C$7,2,FALSE))),"")</f>
        <v/>
      </c>
      <c r="W8027" s="74" t="str">
        <f>IFERROR(VLOOKUP($O8027,'Customer List'!$A$1:$J$488,10,FALSE),"")</f>
        <v/>
      </c>
    </row>
    <row r="8028" spans="18:23">
      <c r="R8028" s="127">
        <f t="shared" si="325"/>
        <v>0</v>
      </c>
      <c r="T8028" s="128">
        <f t="shared" si="326"/>
        <v>0</v>
      </c>
      <c r="U8028" s="129" t="str">
        <f>IFERROR(IF(#REF!="S",VLOOKUP('Raw Data'!A8028,References!#REF!,2,FALSE),(VLOOKUP($S8028,References!$B$3:$C$7,2,FALSE))),"")</f>
        <v/>
      </c>
      <c r="W8028" s="74" t="str">
        <f>IFERROR(VLOOKUP($O8028,'Customer List'!$A$1:$J$488,10,FALSE),"")</f>
        <v/>
      </c>
    </row>
    <row r="8029" spans="18:23">
      <c r="R8029" s="127">
        <f t="shared" si="325"/>
        <v>0</v>
      </c>
      <c r="T8029" s="128">
        <f t="shared" si="326"/>
        <v>0</v>
      </c>
      <c r="U8029" s="129" t="str">
        <f>IFERROR(IF(#REF!="S",VLOOKUP('Raw Data'!A8029,References!#REF!,2,FALSE),(VLOOKUP($S8029,References!$B$3:$C$7,2,FALSE))),"")</f>
        <v/>
      </c>
      <c r="W8029" s="74" t="str">
        <f>IFERROR(VLOOKUP($O8029,'Customer List'!$A$1:$J$488,10,FALSE),"")</f>
        <v/>
      </c>
    </row>
    <row r="8030" spans="18:23">
      <c r="R8030" s="127">
        <f t="shared" si="325"/>
        <v>0</v>
      </c>
      <c r="T8030" s="128">
        <f t="shared" si="326"/>
        <v>0</v>
      </c>
      <c r="U8030" s="129" t="str">
        <f>IFERROR(IF(#REF!="S",VLOOKUP('Raw Data'!A8030,References!#REF!,2,FALSE),(VLOOKUP($S8030,References!$B$3:$C$7,2,FALSE))),"")</f>
        <v/>
      </c>
      <c r="W8030" s="74" t="str">
        <f>IFERROR(VLOOKUP($O8030,'Customer List'!$A$1:$J$488,10,FALSE),"")</f>
        <v/>
      </c>
    </row>
    <row r="8031" spans="18:23">
      <c r="R8031" s="127">
        <f t="shared" si="325"/>
        <v>0</v>
      </c>
      <c r="T8031" s="128">
        <f t="shared" si="326"/>
        <v>0</v>
      </c>
      <c r="U8031" s="129" t="str">
        <f>IFERROR(IF(#REF!="S",VLOOKUP('Raw Data'!A8031,References!#REF!,2,FALSE),(VLOOKUP($S8031,References!$B$3:$C$7,2,FALSE))),"")</f>
        <v/>
      </c>
      <c r="W8031" s="74" t="str">
        <f>IFERROR(VLOOKUP($O8031,'Customer List'!$A$1:$J$488,10,FALSE),"")</f>
        <v/>
      </c>
    </row>
    <row r="8032" spans="18:23">
      <c r="R8032" s="127">
        <f t="shared" si="325"/>
        <v>0</v>
      </c>
      <c r="T8032" s="128">
        <f t="shared" si="326"/>
        <v>0</v>
      </c>
      <c r="U8032" s="129" t="str">
        <f>IFERROR(IF(#REF!="S",VLOOKUP('Raw Data'!A8032,References!#REF!,2,FALSE),(VLOOKUP($S8032,References!$B$3:$C$7,2,FALSE))),"")</f>
        <v/>
      </c>
      <c r="W8032" s="74" t="str">
        <f>IFERROR(VLOOKUP($O8032,'Customer List'!$A$1:$J$488,10,FALSE),"")</f>
        <v/>
      </c>
    </row>
    <row r="8033" spans="18:23">
      <c r="R8033" s="127">
        <f t="shared" si="325"/>
        <v>0</v>
      </c>
      <c r="T8033" s="128">
        <f t="shared" si="326"/>
        <v>0</v>
      </c>
      <c r="U8033" s="129" t="str">
        <f>IFERROR(IF(#REF!="S",VLOOKUP('Raw Data'!A8033,References!#REF!,2,FALSE),(VLOOKUP($S8033,References!$B$3:$C$7,2,FALSE))),"")</f>
        <v/>
      </c>
      <c r="W8033" s="74" t="str">
        <f>IFERROR(VLOOKUP($O8033,'Customer List'!$A$1:$J$488,10,FALSE),"")</f>
        <v/>
      </c>
    </row>
    <row r="8034" spans="18:23">
      <c r="R8034" s="127">
        <f t="shared" ref="R8034:R8097" si="327">L8034-K8034</f>
        <v>0</v>
      </c>
      <c r="T8034" s="128">
        <f t="shared" si="326"/>
        <v>0</v>
      </c>
      <c r="U8034" s="129" t="str">
        <f>IFERROR(IF(#REF!="S",VLOOKUP('Raw Data'!A8034,References!#REF!,2,FALSE),(VLOOKUP($S8034,References!$B$3:$C$7,2,FALSE))),"")</f>
        <v/>
      </c>
      <c r="W8034" s="74" t="str">
        <f>IFERROR(VLOOKUP($O8034,'Customer List'!$A$1:$J$488,10,FALSE),"")</f>
        <v/>
      </c>
    </row>
    <row r="8035" spans="18:23">
      <c r="R8035" s="127">
        <f t="shared" si="327"/>
        <v>0</v>
      </c>
      <c r="T8035" s="128">
        <f t="shared" si="326"/>
        <v>0</v>
      </c>
      <c r="U8035" s="129" t="str">
        <f>IFERROR(IF(#REF!="S",VLOOKUP('Raw Data'!A8035,References!#REF!,2,FALSE),(VLOOKUP($S8035,References!$B$3:$C$7,2,FALSE))),"")</f>
        <v/>
      </c>
      <c r="W8035" s="74" t="str">
        <f>IFERROR(VLOOKUP($O8035,'Customer List'!$A$1:$J$488,10,FALSE),"")</f>
        <v/>
      </c>
    </row>
    <row r="8036" spans="18:23">
      <c r="R8036" s="127">
        <f t="shared" si="327"/>
        <v>0</v>
      </c>
      <c r="T8036" s="128">
        <f t="shared" si="326"/>
        <v>0</v>
      </c>
      <c r="U8036" s="129" t="str">
        <f>IFERROR(IF(#REF!="S",VLOOKUP('Raw Data'!A8036,References!#REF!,2,FALSE),(VLOOKUP($S8036,References!$B$3:$C$7,2,FALSE))),"")</f>
        <v/>
      </c>
      <c r="W8036" s="74" t="str">
        <f>IFERROR(VLOOKUP($O8036,'Customer List'!$A$1:$J$488,10,FALSE),"")</f>
        <v/>
      </c>
    </row>
    <row r="8037" spans="18:23">
      <c r="R8037" s="127">
        <f t="shared" si="327"/>
        <v>0</v>
      </c>
      <c r="T8037" s="128">
        <f t="shared" si="326"/>
        <v>0</v>
      </c>
      <c r="U8037" s="129" t="str">
        <f>IFERROR(IF(#REF!="S",VLOOKUP('Raw Data'!A8037,References!#REF!,2,FALSE),(VLOOKUP($S8037,References!$B$3:$C$7,2,FALSE))),"")</f>
        <v/>
      </c>
      <c r="W8037" s="74" t="str">
        <f>IFERROR(VLOOKUP($O8037,'Customer List'!$A$1:$J$488,10,FALSE),"")</f>
        <v/>
      </c>
    </row>
    <row r="8038" spans="18:23">
      <c r="R8038" s="127">
        <f t="shared" si="327"/>
        <v>0</v>
      </c>
      <c r="T8038" s="128">
        <f t="shared" si="326"/>
        <v>0</v>
      </c>
      <c r="U8038" s="129" t="str">
        <f>IFERROR(IF(#REF!="S",VLOOKUP('Raw Data'!A8038,References!#REF!,2,FALSE),(VLOOKUP($S8038,References!$B$3:$C$7,2,FALSE))),"")</f>
        <v/>
      </c>
      <c r="W8038" s="74" t="str">
        <f>IFERROR(VLOOKUP($O8038,'Customer List'!$A$1:$J$488,10,FALSE),"")</f>
        <v/>
      </c>
    </row>
    <row r="8039" spans="18:23">
      <c r="R8039" s="127">
        <f t="shared" si="327"/>
        <v>0</v>
      </c>
      <c r="T8039" s="128">
        <f t="shared" si="326"/>
        <v>0</v>
      </c>
      <c r="U8039" s="129" t="str">
        <f>IFERROR(IF(#REF!="S",VLOOKUP('Raw Data'!A8039,References!#REF!,2,FALSE),(VLOOKUP($S8039,References!$B$3:$C$7,2,FALSE))),"")</f>
        <v/>
      </c>
      <c r="W8039" s="74" t="str">
        <f>IFERROR(VLOOKUP($O8039,'Customer List'!$A$1:$J$488,10,FALSE),"")</f>
        <v/>
      </c>
    </row>
    <row r="8040" spans="18:23">
      <c r="R8040" s="127">
        <f t="shared" si="327"/>
        <v>0</v>
      </c>
      <c r="T8040" s="128">
        <f t="shared" si="326"/>
        <v>0</v>
      </c>
      <c r="U8040" s="129" t="str">
        <f>IFERROR(IF(#REF!="S",VLOOKUP('Raw Data'!A8040,References!#REF!,2,FALSE),(VLOOKUP($S8040,References!$B$3:$C$7,2,FALSE))),"")</f>
        <v/>
      </c>
      <c r="W8040" s="74" t="str">
        <f>IFERROR(VLOOKUP($O8040,'Customer List'!$A$1:$J$488,10,FALSE),"")</f>
        <v/>
      </c>
    </row>
    <row r="8041" spans="18:23">
      <c r="R8041" s="127">
        <f t="shared" si="327"/>
        <v>0</v>
      </c>
      <c r="T8041" s="128">
        <f t="shared" si="326"/>
        <v>0</v>
      </c>
      <c r="U8041" s="129" t="str">
        <f>IFERROR(IF(#REF!="S",VLOOKUP('Raw Data'!A8041,References!#REF!,2,FALSE),(VLOOKUP($S8041,References!$B$3:$C$7,2,FALSE))),"")</f>
        <v/>
      </c>
      <c r="W8041" s="74" t="str">
        <f>IFERROR(VLOOKUP($O8041,'Customer List'!$A$1:$J$488,10,FALSE),"")</f>
        <v/>
      </c>
    </row>
    <row r="8042" spans="18:23">
      <c r="R8042" s="127">
        <f t="shared" si="327"/>
        <v>0</v>
      </c>
      <c r="T8042" s="128">
        <f t="shared" si="326"/>
        <v>0</v>
      </c>
      <c r="U8042" s="129" t="str">
        <f>IFERROR(IF(#REF!="S",VLOOKUP('Raw Data'!A8042,References!#REF!,2,FALSE),(VLOOKUP($S8042,References!$B$3:$C$7,2,FALSE))),"")</f>
        <v/>
      </c>
      <c r="W8042" s="74" t="str">
        <f>IFERROR(VLOOKUP($O8042,'Customer List'!$A$1:$J$488,10,FALSE),"")</f>
        <v/>
      </c>
    </row>
    <row r="8043" spans="18:23">
      <c r="R8043" s="127">
        <f t="shared" si="327"/>
        <v>0</v>
      </c>
      <c r="T8043" s="128">
        <f t="shared" si="326"/>
        <v>0</v>
      </c>
      <c r="U8043" s="129" t="str">
        <f>IFERROR(IF(#REF!="S",VLOOKUP('Raw Data'!A8043,References!#REF!,2,FALSE),(VLOOKUP($S8043,References!$B$3:$C$7,2,FALSE))),"")</f>
        <v/>
      </c>
      <c r="W8043" s="74" t="str">
        <f>IFERROR(VLOOKUP($O8043,'Customer List'!$A$1:$J$488,10,FALSE),"")</f>
        <v/>
      </c>
    </row>
    <row r="8044" spans="18:23">
      <c r="R8044" s="127">
        <f t="shared" si="327"/>
        <v>0</v>
      </c>
      <c r="T8044" s="128">
        <f t="shared" si="326"/>
        <v>0</v>
      </c>
      <c r="U8044" s="129" t="str">
        <f>IFERROR(IF(#REF!="S",VLOOKUP('Raw Data'!A8044,References!#REF!,2,FALSE),(VLOOKUP($S8044,References!$B$3:$C$7,2,FALSE))),"")</f>
        <v/>
      </c>
      <c r="W8044" s="74" t="str">
        <f>IFERROR(VLOOKUP($O8044,'Customer List'!$A$1:$J$488,10,FALSE),"")</f>
        <v/>
      </c>
    </row>
    <row r="8045" spans="18:23">
      <c r="R8045" s="127">
        <f t="shared" si="327"/>
        <v>0</v>
      </c>
      <c r="T8045" s="128">
        <f t="shared" si="326"/>
        <v>0</v>
      </c>
      <c r="U8045" s="129" t="str">
        <f>IFERROR(IF(#REF!="S",VLOOKUP('Raw Data'!A8045,References!#REF!,2,FALSE),(VLOOKUP($S8045,References!$B$3:$C$7,2,FALSE))),"")</f>
        <v/>
      </c>
      <c r="W8045" s="74" t="str">
        <f>IFERROR(VLOOKUP($O8045,'Customer List'!$A$1:$J$488,10,FALSE),"")</f>
        <v/>
      </c>
    </row>
    <row r="8046" spans="18:23">
      <c r="R8046" s="127">
        <f t="shared" si="327"/>
        <v>0</v>
      </c>
      <c r="T8046" s="128">
        <f t="shared" si="326"/>
        <v>0</v>
      </c>
      <c r="U8046" s="129" t="str">
        <f>IFERROR(IF(#REF!="S",VLOOKUP('Raw Data'!A8046,References!#REF!,2,FALSE),(VLOOKUP($S8046,References!$B$3:$C$7,2,FALSE))),"")</f>
        <v/>
      </c>
      <c r="W8046" s="74" t="str">
        <f>IFERROR(VLOOKUP($O8046,'Customer List'!$A$1:$J$488,10,FALSE),"")</f>
        <v/>
      </c>
    </row>
    <row r="8047" spans="18:23">
      <c r="R8047" s="127">
        <f t="shared" si="327"/>
        <v>0</v>
      </c>
      <c r="T8047" s="128">
        <f t="shared" si="326"/>
        <v>0</v>
      </c>
      <c r="U8047" s="129" t="str">
        <f>IFERROR(IF(#REF!="S",VLOOKUP('Raw Data'!A8047,References!#REF!,2,FALSE),(VLOOKUP($S8047,References!$B$3:$C$7,2,FALSE))),"")</f>
        <v/>
      </c>
      <c r="W8047" s="74" t="str">
        <f>IFERROR(VLOOKUP($O8047,'Customer List'!$A$1:$J$488,10,FALSE),"")</f>
        <v/>
      </c>
    </row>
    <row r="8048" spans="18:23">
      <c r="R8048" s="127">
        <f t="shared" si="327"/>
        <v>0</v>
      </c>
      <c r="T8048" s="128">
        <f t="shared" si="326"/>
        <v>0</v>
      </c>
      <c r="U8048" s="129" t="str">
        <f>IFERROR(IF(#REF!="S",VLOOKUP('Raw Data'!A8048,References!#REF!,2,FALSE),(VLOOKUP($S8048,References!$B$3:$C$7,2,FALSE))),"")</f>
        <v/>
      </c>
      <c r="W8048" s="74" t="str">
        <f>IFERROR(VLOOKUP($O8048,'Customer List'!$A$1:$J$488,10,FALSE),"")</f>
        <v/>
      </c>
    </row>
    <row r="8049" spans="18:23">
      <c r="R8049" s="127">
        <f t="shared" si="327"/>
        <v>0</v>
      </c>
      <c r="T8049" s="128">
        <f t="shared" si="326"/>
        <v>0</v>
      </c>
      <c r="U8049" s="129" t="str">
        <f>IFERROR(IF(#REF!="S",VLOOKUP('Raw Data'!A8049,References!#REF!,2,FALSE),(VLOOKUP($S8049,References!$B$3:$C$7,2,FALSE))),"")</f>
        <v/>
      </c>
      <c r="W8049" s="74" t="str">
        <f>IFERROR(VLOOKUP($O8049,'Customer List'!$A$1:$J$488,10,FALSE),"")</f>
        <v/>
      </c>
    </row>
    <row r="8050" spans="18:23">
      <c r="R8050" s="127">
        <f t="shared" si="327"/>
        <v>0</v>
      </c>
      <c r="T8050" s="128">
        <f t="shared" si="326"/>
        <v>0</v>
      </c>
      <c r="U8050" s="129" t="str">
        <f>IFERROR(IF(#REF!="S",VLOOKUP('Raw Data'!A8050,References!#REF!,2,FALSE),(VLOOKUP($S8050,References!$B$3:$C$7,2,FALSE))),"")</f>
        <v/>
      </c>
      <c r="W8050" s="74" t="str">
        <f>IFERROR(VLOOKUP($O8050,'Customer List'!$A$1:$J$488,10,FALSE),"")</f>
        <v/>
      </c>
    </row>
    <row r="8051" spans="18:23">
      <c r="R8051" s="127">
        <f t="shared" si="327"/>
        <v>0</v>
      </c>
      <c r="T8051" s="128">
        <f t="shared" si="326"/>
        <v>0</v>
      </c>
      <c r="U8051" s="129" t="str">
        <f>IFERROR(IF(#REF!="S",VLOOKUP('Raw Data'!A8051,References!#REF!,2,FALSE),(VLOOKUP($S8051,References!$B$3:$C$7,2,FALSE))),"")</f>
        <v/>
      </c>
      <c r="W8051" s="74" t="str">
        <f>IFERROR(VLOOKUP($O8051,'Customer List'!$A$1:$J$488,10,FALSE),"")</f>
        <v/>
      </c>
    </row>
    <row r="8052" spans="18:23">
      <c r="R8052" s="127">
        <f t="shared" si="327"/>
        <v>0</v>
      </c>
      <c r="T8052" s="128">
        <f t="shared" si="326"/>
        <v>0</v>
      </c>
      <c r="U8052" s="129" t="str">
        <f>IFERROR(IF(#REF!="S",VLOOKUP('Raw Data'!A8052,References!#REF!,2,FALSE),(VLOOKUP($S8052,References!$B$3:$C$7,2,FALSE))),"")</f>
        <v/>
      </c>
      <c r="W8052" s="74" t="str">
        <f>IFERROR(VLOOKUP($O8052,'Customer List'!$A$1:$J$488,10,FALSE),"")</f>
        <v/>
      </c>
    </row>
    <row r="8053" spans="18:23">
      <c r="R8053" s="127">
        <f t="shared" si="327"/>
        <v>0</v>
      </c>
      <c r="T8053" s="128">
        <f t="shared" si="326"/>
        <v>0</v>
      </c>
      <c r="U8053" s="129" t="str">
        <f>IFERROR(IF(#REF!="S",VLOOKUP('Raw Data'!A8053,References!#REF!,2,FALSE),(VLOOKUP($S8053,References!$B$3:$C$7,2,FALSE))),"")</f>
        <v/>
      </c>
      <c r="W8053" s="74" t="str">
        <f>IFERROR(VLOOKUP($O8053,'Customer List'!$A$1:$J$488,10,FALSE),"")</f>
        <v/>
      </c>
    </row>
    <row r="8054" spans="18:23">
      <c r="R8054" s="127">
        <f t="shared" si="327"/>
        <v>0</v>
      </c>
      <c r="T8054" s="128">
        <f t="shared" si="326"/>
        <v>0</v>
      </c>
      <c r="U8054" s="129" t="str">
        <f>IFERROR(IF(#REF!="S",VLOOKUP('Raw Data'!A8054,References!#REF!,2,FALSE),(VLOOKUP($S8054,References!$B$3:$C$7,2,FALSE))),"")</f>
        <v/>
      </c>
      <c r="W8054" s="74" t="str">
        <f>IFERROR(VLOOKUP($O8054,'Customer List'!$A$1:$J$488,10,FALSE),"")</f>
        <v/>
      </c>
    </row>
    <row r="8055" spans="18:23">
      <c r="R8055" s="127">
        <f t="shared" si="327"/>
        <v>0</v>
      </c>
      <c r="T8055" s="128">
        <f t="shared" si="326"/>
        <v>0</v>
      </c>
      <c r="U8055" s="129" t="str">
        <f>IFERROR(IF(#REF!="S",VLOOKUP('Raw Data'!A8055,References!#REF!,2,FALSE),(VLOOKUP($S8055,References!$B$3:$C$7,2,FALSE))),"")</f>
        <v/>
      </c>
      <c r="W8055" s="74" t="str">
        <f>IFERROR(VLOOKUP($O8055,'Customer List'!$A$1:$J$488,10,FALSE),"")</f>
        <v/>
      </c>
    </row>
    <row r="8056" spans="18:23">
      <c r="R8056" s="127">
        <f t="shared" si="327"/>
        <v>0</v>
      </c>
      <c r="T8056" s="128">
        <f t="shared" si="326"/>
        <v>0</v>
      </c>
      <c r="U8056" s="129" t="str">
        <f>IFERROR(IF(#REF!="S",VLOOKUP('Raw Data'!A8056,References!#REF!,2,FALSE),(VLOOKUP($S8056,References!$B$3:$C$7,2,FALSE))),"")</f>
        <v/>
      </c>
      <c r="W8056" s="74" t="str">
        <f>IFERROR(VLOOKUP($O8056,'Customer List'!$A$1:$J$488,10,FALSE),"")</f>
        <v/>
      </c>
    </row>
    <row r="8057" spans="18:23">
      <c r="R8057" s="127">
        <f t="shared" si="327"/>
        <v>0</v>
      </c>
      <c r="T8057" s="128">
        <f t="shared" si="326"/>
        <v>0</v>
      </c>
      <c r="U8057" s="129" t="str">
        <f>IFERROR(IF(#REF!="S",VLOOKUP('Raw Data'!A8057,References!#REF!,2,FALSE),(VLOOKUP($S8057,References!$B$3:$C$7,2,FALSE))),"")</f>
        <v/>
      </c>
      <c r="W8057" s="74" t="str">
        <f>IFERROR(VLOOKUP($O8057,'Customer List'!$A$1:$J$488,10,FALSE),"")</f>
        <v/>
      </c>
    </row>
    <row r="8058" spans="18:23">
      <c r="R8058" s="127">
        <f t="shared" si="327"/>
        <v>0</v>
      </c>
      <c r="T8058" s="128">
        <f t="shared" si="326"/>
        <v>0</v>
      </c>
      <c r="U8058" s="129" t="str">
        <f>IFERROR(IF(#REF!="S",VLOOKUP('Raw Data'!A8058,References!#REF!,2,FALSE),(VLOOKUP($S8058,References!$B$3:$C$7,2,FALSE))),"")</f>
        <v/>
      </c>
      <c r="W8058" s="74" t="str">
        <f>IFERROR(VLOOKUP($O8058,'Customer List'!$A$1:$J$488,10,FALSE),"")</f>
        <v/>
      </c>
    </row>
    <row r="8059" spans="18:23">
      <c r="R8059" s="127">
        <f t="shared" si="327"/>
        <v>0</v>
      </c>
      <c r="T8059" s="128">
        <f t="shared" si="326"/>
        <v>0</v>
      </c>
      <c r="U8059" s="129" t="str">
        <f>IFERROR(IF(#REF!="S",VLOOKUP('Raw Data'!A8059,References!#REF!,2,FALSE),(VLOOKUP($S8059,References!$B$3:$C$7,2,FALSE))),"")</f>
        <v/>
      </c>
      <c r="W8059" s="74" t="str">
        <f>IFERROR(VLOOKUP($O8059,'Customer List'!$A$1:$J$488,10,FALSE),"")</f>
        <v/>
      </c>
    </row>
    <row r="8060" spans="18:23">
      <c r="R8060" s="127">
        <f t="shared" si="327"/>
        <v>0</v>
      </c>
      <c r="T8060" s="128">
        <f t="shared" si="326"/>
        <v>0</v>
      </c>
      <c r="U8060" s="129" t="str">
        <f>IFERROR(IF(#REF!="S",VLOOKUP('Raw Data'!A8060,References!#REF!,2,FALSE),(VLOOKUP($S8060,References!$B$3:$C$7,2,FALSE))),"")</f>
        <v/>
      </c>
      <c r="W8060" s="74" t="str">
        <f>IFERROR(VLOOKUP($O8060,'Customer List'!$A$1:$J$488,10,FALSE),"")</f>
        <v/>
      </c>
    </row>
    <row r="8061" spans="18:23">
      <c r="R8061" s="127">
        <f t="shared" si="327"/>
        <v>0</v>
      </c>
      <c r="T8061" s="128">
        <f t="shared" si="326"/>
        <v>0</v>
      </c>
      <c r="U8061" s="129" t="str">
        <f>IFERROR(IF(#REF!="S",VLOOKUP('Raw Data'!A8061,References!#REF!,2,FALSE),(VLOOKUP($S8061,References!$B$3:$C$7,2,FALSE))),"")</f>
        <v/>
      </c>
      <c r="W8061" s="74" t="str">
        <f>IFERROR(VLOOKUP($O8061,'Customer List'!$A$1:$J$488,10,FALSE),"")</f>
        <v/>
      </c>
    </row>
    <row r="8062" spans="18:23">
      <c r="R8062" s="127">
        <f t="shared" si="327"/>
        <v>0</v>
      </c>
      <c r="T8062" s="128">
        <f t="shared" si="326"/>
        <v>0</v>
      </c>
      <c r="U8062" s="129" t="str">
        <f>IFERROR(IF(#REF!="S",VLOOKUP('Raw Data'!A8062,References!#REF!,2,FALSE),(VLOOKUP($S8062,References!$B$3:$C$7,2,FALSE))),"")</f>
        <v/>
      </c>
      <c r="W8062" s="74" t="str">
        <f>IFERROR(VLOOKUP($O8062,'Customer List'!$A$1:$J$488,10,FALSE),"")</f>
        <v/>
      </c>
    </row>
    <row r="8063" spans="18:23">
      <c r="R8063" s="127">
        <f t="shared" si="327"/>
        <v>0</v>
      </c>
      <c r="T8063" s="128">
        <f t="shared" si="326"/>
        <v>0</v>
      </c>
      <c r="U8063" s="129" t="str">
        <f>IFERROR(IF(#REF!="S",VLOOKUP('Raw Data'!A8063,References!#REF!,2,FALSE),(VLOOKUP($S8063,References!$B$3:$C$7,2,FALSE))),"")</f>
        <v/>
      </c>
      <c r="W8063" s="74" t="str">
        <f>IFERROR(VLOOKUP($O8063,'Customer List'!$A$1:$J$488,10,FALSE),"")</f>
        <v/>
      </c>
    </row>
    <row r="8064" spans="18:23">
      <c r="R8064" s="127">
        <f t="shared" si="327"/>
        <v>0</v>
      </c>
      <c r="T8064" s="128">
        <f t="shared" si="326"/>
        <v>0</v>
      </c>
      <c r="U8064" s="129" t="str">
        <f>IFERROR(IF(#REF!="S",VLOOKUP('Raw Data'!A8064,References!#REF!,2,FALSE),(VLOOKUP($S8064,References!$B$3:$C$7,2,FALSE))),"")</f>
        <v/>
      </c>
      <c r="W8064" s="74" t="str">
        <f>IFERROR(VLOOKUP($O8064,'Customer List'!$A$1:$J$488,10,FALSE),"")</f>
        <v/>
      </c>
    </row>
    <row r="8065" spans="18:23">
      <c r="R8065" s="127">
        <f t="shared" si="327"/>
        <v>0</v>
      </c>
      <c r="T8065" s="128">
        <f t="shared" si="326"/>
        <v>0</v>
      </c>
      <c r="U8065" s="129" t="str">
        <f>IFERROR(IF(#REF!="S",VLOOKUP('Raw Data'!A8065,References!#REF!,2,FALSE),(VLOOKUP($S8065,References!$B$3:$C$7,2,FALSE))),"")</f>
        <v/>
      </c>
      <c r="W8065" s="74" t="str">
        <f>IFERROR(VLOOKUP($O8065,'Customer List'!$A$1:$J$488,10,FALSE),"")</f>
        <v/>
      </c>
    </row>
    <row r="8066" spans="18:23">
      <c r="R8066" s="127">
        <f t="shared" si="327"/>
        <v>0</v>
      </c>
      <c r="T8066" s="128">
        <f t="shared" si="326"/>
        <v>0</v>
      </c>
      <c r="U8066" s="129" t="str">
        <f>IFERROR(IF(#REF!="S",VLOOKUP('Raw Data'!A8066,References!#REF!,2,FALSE),(VLOOKUP($S8066,References!$B$3:$C$7,2,FALSE))),"")</f>
        <v/>
      </c>
      <c r="W8066" s="74" t="str">
        <f>IFERROR(VLOOKUP($O8066,'Customer List'!$A$1:$J$488,10,FALSE),"")</f>
        <v/>
      </c>
    </row>
    <row r="8067" spans="18:23">
      <c r="R8067" s="127">
        <f t="shared" si="327"/>
        <v>0</v>
      </c>
      <c r="T8067" s="128">
        <f t="shared" si="326"/>
        <v>0</v>
      </c>
      <c r="U8067" s="129" t="str">
        <f>IFERROR(IF(#REF!="S",VLOOKUP('Raw Data'!A8067,References!#REF!,2,FALSE),(VLOOKUP($S8067,References!$B$3:$C$7,2,FALSE))),"")</f>
        <v/>
      </c>
      <c r="W8067" s="74" t="str">
        <f>IFERROR(VLOOKUP($O8067,'Customer List'!$A$1:$J$488,10,FALSE),"")</f>
        <v/>
      </c>
    </row>
    <row r="8068" spans="18:23">
      <c r="R8068" s="127">
        <f t="shared" si="327"/>
        <v>0</v>
      </c>
      <c r="T8068" s="128">
        <f t="shared" si="326"/>
        <v>0</v>
      </c>
      <c r="U8068" s="129" t="str">
        <f>IFERROR(IF(#REF!="S",VLOOKUP('Raw Data'!A8068,References!#REF!,2,FALSE),(VLOOKUP($S8068,References!$B$3:$C$7,2,FALSE))),"")</f>
        <v/>
      </c>
      <c r="W8068" s="74" t="str">
        <f>IFERROR(VLOOKUP($O8068,'Customer List'!$A$1:$J$488,10,FALSE),"")</f>
        <v/>
      </c>
    </row>
    <row r="8069" spans="18:23">
      <c r="R8069" s="127">
        <f t="shared" si="327"/>
        <v>0</v>
      </c>
      <c r="T8069" s="128">
        <f t="shared" si="326"/>
        <v>0</v>
      </c>
      <c r="U8069" s="129" t="str">
        <f>IFERROR(IF(#REF!="S",VLOOKUP('Raw Data'!A8069,References!#REF!,2,FALSE),(VLOOKUP($S8069,References!$B$3:$C$7,2,FALSE))),"")</f>
        <v/>
      </c>
      <c r="W8069" s="74" t="str">
        <f>IFERROR(VLOOKUP($O8069,'Customer List'!$A$1:$J$488,10,FALSE),"")</f>
        <v/>
      </c>
    </row>
    <row r="8070" spans="18:23">
      <c r="R8070" s="127">
        <f t="shared" si="327"/>
        <v>0</v>
      </c>
      <c r="T8070" s="128">
        <f t="shared" si="326"/>
        <v>0</v>
      </c>
      <c r="U8070" s="129" t="str">
        <f>IFERROR(IF(#REF!="S",VLOOKUP('Raw Data'!A8070,References!#REF!,2,FALSE),(VLOOKUP($S8070,References!$B$3:$C$7,2,FALSE))),"")</f>
        <v/>
      </c>
      <c r="W8070" s="74" t="str">
        <f>IFERROR(VLOOKUP($O8070,'Customer List'!$A$1:$J$488,10,FALSE),"")</f>
        <v/>
      </c>
    </row>
    <row r="8071" spans="18:23">
      <c r="R8071" s="127">
        <f t="shared" si="327"/>
        <v>0</v>
      </c>
      <c r="T8071" s="128">
        <f t="shared" si="326"/>
        <v>0</v>
      </c>
      <c r="U8071" s="129" t="str">
        <f>IFERROR(IF(#REF!="S",VLOOKUP('Raw Data'!A8071,References!#REF!,2,FALSE),(VLOOKUP($S8071,References!$B$3:$C$7,2,FALSE))),"")</f>
        <v/>
      </c>
      <c r="W8071" s="74" t="str">
        <f>IFERROR(VLOOKUP($O8071,'Customer List'!$A$1:$J$488,10,FALSE),"")</f>
        <v/>
      </c>
    </row>
    <row r="8072" spans="18:23">
      <c r="R8072" s="127">
        <f t="shared" si="327"/>
        <v>0</v>
      </c>
      <c r="T8072" s="128">
        <f t="shared" si="326"/>
        <v>0</v>
      </c>
      <c r="U8072" s="129" t="str">
        <f>IFERROR(IF(#REF!="S",VLOOKUP('Raw Data'!A8072,References!#REF!,2,FALSE),(VLOOKUP($S8072,References!$B$3:$C$7,2,FALSE))),"")</f>
        <v/>
      </c>
      <c r="W8072" s="74" t="str">
        <f>IFERROR(VLOOKUP($O8072,'Customer List'!$A$1:$J$488,10,FALSE),"")</f>
        <v/>
      </c>
    </row>
    <row r="8073" spans="18:23">
      <c r="R8073" s="127">
        <f t="shared" si="327"/>
        <v>0</v>
      </c>
      <c r="T8073" s="128">
        <f t="shared" si="326"/>
        <v>0</v>
      </c>
      <c r="U8073" s="129" t="str">
        <f>IFERROR(IF(#REF!="S",VLOOKUP('Raw Data'!A8073,References!#REF!,2,FALSE),(VLOOKUP($S8073,References!$B$3:$C$7,2,FALSE))),"")</f>
        <v/>
      </c>
      <c r="W8073" s="74" t="str">
        <f>IFERROR(VLOOKUP($O8073,'Customer List'!$A$1:$J$488,10,FALSE),"")</f>
        <v/>
      </c>
    </row>
    <row r="8074" spans="18:23">
      <c r="R8074" s="127">
        <f t="shared" si="327"/>
        <v>0</v>
      </c>
      <c r="T8074" s="128">
        <f t="shared" ref="T8074:T8137" si="328">IF(S8074="50 - Cleaning Fee",1,HOUR($R8074)+MINUTE(R8074)/60)</f>
        <v>0</v>
      </c>
      <c r="U8074" s="129" t="str">
        <f>IFERROR(IF(#REF!="S",VLOOKUP('Raw Data'!A8074,References!#REF!,2,FALSE),(VLOOKUP($S8074,References!$B$3:$C$7,2,FALSE))),"")</f>
        <v/>
      </c>
      <c r="W8074" s="74" t="str">
        <f>IFERROR(VLOOKUP($O8074,'Customer List'!$A$1:$J$488,10,FALSE),"")</f>
        <v/>
      </c>
    </row>
    <row r="8075" spans="18:23">
      <c r="R8075" s="127">
        <f t="shared" si="327"/>
        <v>0</v>
      </c>
      <c r="T8075" s="128">
        <f t="shared" si="328"/>
        <v>0</v>
      </c>
      <c r="U8075" s="129" t="str">
        <f>IFERROR(IF(#REF!="S",VLOOKUP('Raw Data'!A8075,References!#REF!,2,FALSE),(VLOOKUP($S8075,References!$B$3:$C$7,2,FALSE))),"")</f>
        <v/>
      </c>
      <c r="W8075" s="74" t="str">
        <f>IFERROR(VLOOKUP($O8075,'Customer List'!$A$1:$J$488,10,FALSE),"")</f>
        <v/>
      </c>
    </row>
    <row r="8076" spans="18:23">
      <c r="R8076" s="127">
        <f t="shared" si="327"/>
        <v>0</v>
      </c>
      <c r="T8076" s="128">
        <f t="shared" si="328"/>
        <v>0</v>
      </c>
      <c r="U8076" s="129" t="str">
        <f>IFERROR(IF(#REF!="S",VLOOKUP('Raw Data'!A8076,References!#REF!,2,FALSE),(VLOOKUP($S8076,References!$B$3:$C$7,2,FALSE))),"")</f>
        <v/>
      </c>
      <c r="W8076" s="74" t="str">
        <f>IFERROR(VLOOKUP($O8076,'Customer List'!$A$1:$J$488,10,FALSE),"")</f>
        <v/>
      </c>
    </row>
    <row r="8077" spans="18:23">
      <c r="R8077" s="127">
        <f t="shared" si="327"/>
        <v>0</v>
      </c>
      <c r="T8077" s="128">
        <f t="shared" si="328"/>
        <v>0</v>
      </c>
      <c r="U8077" s="129" t="str">
        <f>IFERROR(IF(#REF!="S",VLOOKUP('Raw Data'!A8077,References!#REF!,2,FALSE),(VLOOKUP($S8077,References!$B$3:$C$7,2,FALSE))),"")</f>
        <v/>
      </c>
      <c r="W8077" s="74" t="str">
        <f>IFERROR(VLOOKUP($O8077,'Customer List'!$A$1:$J$488,10,FALSE),"")</f>
        <v/>
      </c>
    </row>
    <row r="8078" spans="18:23">
      <c r="R8078" s="127">
        <f t="shared" si="327"/>
        <v>0</v>
      </c>
      <c r="T8078" s="128">
        <f t="shared" si="328"/>
        <v>0</v>
      </c>
      <c r="U8078" s="129" t="str">
        <f>IFERROR(IF(#REF!="S",VLOOKUP('Raw Data'!A8078,References!#REF!,2,FALSE),(VLOOKUP($S8078,References!$B$3:$C$7,2,FALSE))),"")</f>
        <v/>
      </c>
      <c r="W8078" s="74" t="str">
        <f>IFERROR(VLOOKUP($O8078,'Customer List'!$A$1:$J$488,10,FALSE),"")</f>
        <v/>
      </c>
    </row>
    <row r="8079" spans="18:23">
      <c r="R8079" s="127">
        <f t="shared" si="327"/>
        <v>0</v>
      </c>
      <c r="T8079" s="128">
        <f t="shared" si="328"/>
        <v>0</v>
      </c>
      <c r="U8079" s="129" t="str">
        <f>IFERROR(IF(#REF!="S",VLOOKUP('Raw Data'!A8079,References!#REF!,2,FALSE),(VLOOKUP($S8079,References!$B$3:$C$7,2,FALSE))),"")</f>
        <v/>
      </c>
      <c r="W8079" s="74" t="str">
        <f>IFERROR(VLOOKUP($O8079,'Customer List'!$A$1:$J$488,10,FALSE),"")</f>
        <v/>
      </c>
    </row>
    <row r="8080" spans="18:23">
      <c r="R8080" s="127">
        <f t="shared" si="327"/>
        <v>0</v>
      </c>
      <c r="T8080" s="128">
        <f t="shared" si="328"/>
        <v>0</v>
      </c>
      <c r="U8080" s="129" t="str">
        <f>IFERROR(IF(#REF!="S",VLOOKUP('Raw Data'!A8080,References!#REF!,2,FALSE),(VLOOKUP($S8080,References!$B$3:$C$7,2,FALSE))),"")</f>
        <v/>
      </c>
      <c r="W8080" s="74" t="str">
        <f>IFERROR(VLOOKUP($O8080,'Customer List'!$A$1:$J$488,10,FALSE),"")</f>
        <v/>
      </c>
    </row>
    <row r="8081" spans="18:23">
      <c r="R8081" s="127">
        <f t="shared" si="327"/>
        <v>0</v>
      </c>
      <c r="T8081" s="128">
        <f t="shared" si="328"/>
        <v>0</v>
      </c>
      <c r="U8081" s="129" t="str">
        <f>IFERROR(IF(#REF!="S",VLOOKUP('Raw Data'!A8081,References!#REF!,2,FALSE),(VLOOKUP($S8081,References!$B$3:$C$7,2,FALSE))),"")</f>
        <v/>
      </c>
      <c r="W8081" s="74" t="str">
        <f>IFERROR(VLOOKUP($O8081,'Customer List'!$A$1:$J$488,10,FALSE),"")</f>
        <v/>
      </c>
    </row>
    <row r="8082" spans="18:23">
      <c r="R8082" s="127">
        <f t="shared" si="327"/>
        <v>0</v>
      </c>
      <c r="T8082" s="128">
        <f t="shared" si="328"/>
        <v>0</v>
      </c>
      <c r="U8082" s="129" t="str">
        <f>IFERROR(IF(#REF!="S",VLOOKUP('Raw Data'!A8082,References!#REF!,2,FALSE),(VLOOKUP($S8082,References!$B$3:$C$7,2,FALSE))),"")</f>
        <v/>
      </c>
      <c r="W8082" s="74" t="str">
        <f>IFERROR(VLOOKUP($O8082,'Customer List'!$A$1:$J$488,10,FALSE),"")</f>
        <v/>
      </c>
    </row>
    <row r="8083" spans="18:23">
      <c r="R8083" s="127">
        <f t="shared" si="327"/>
        <v>0</v>
      </c>
      <c r="T8083" s="128">
        <f t="shared" si="328"/>
        <v>0</v>
      </c>
      <c r="U8083" s="129" t="str">
        <f>IFERROR(IF(#REF!="S",VLOOKUP('Raw Data'!A8083,References!#REF!,2,FALSE),(VLOOKUP($S8083,References!$B$3:$C$7,2,FALSE))),"")</f>
        <v/>
      </c>
      <c r="W8083" s="74" t="str">
        <f>IFERROR(VLOOKUP($O8083,'Customer List'!$A$1:$J$488,10,FALSE),"")</f>
        <v/>
      </c>
    </row>
    <row r="8084" spans="18:23">
      <c r="R8084" s="127">
        <f t="shared" si="327"/>
        <v>0</v>
      </c>
      <c r="T8084" s="128">
        <f t="shared" si="328"/>
        <v>0</v>
      </c>
      <c r="U8084" s="129" t="str">
        <f>IFERROR(IF(#REF!="S",VLOOKUP('Raw Data'!A8084,References!#REF!,2,FALSE),(VLOOKUP($S8084,References!$B$3:$C$7,2,FALSE))),"")</f>
        <v/>
      </c>
      <c r="W8084" s="74" t="str">
        <f>IFERROR(VLOOKUP($O8084,'Customer List'!$A$1:$J$488,10,FALSE),"")</f>
        <v/>
      </c>
    </row>
    <row r="8085" spans="18:23">
      <c r="R8085" s="127">
        <f t="shared" si="327"/>
        <v>0</v>
      </c>
      <c r="T8085" s="128">
        <f t="shared" si="328"/>
        <v>0</v>
      </c>
      <c r="U8085" s="129" t="str">
        <f>IFERROR(IF(#REF!="S",VLOOKUP('Raw Data'!A8085,References!#REF!,2,FALSE),(VLOOKUP($S8085,References!$B$3:$C$7,2,FALSE))),"")</f>
        <v/>
      </c>
      <c r="W8085" s="74" t="str">
        <f>IFERROR(VLOOKUP($O8085,'Customer List'!$A$1:$J$488,10,FALSE),"")</f>
        <v/>
      </c>
    </row>
    <row r="8086" spans="18:23">
      <c r="R8086" s="127">
        <f t="shared" si="327"/>
        <v>0</v>
      </c>
      <c r="T8086" s="128">
        <f t="shared" si="328"/>
        <v>0</v>
      </c>
      <c r="U8086" s="129" t="str">
        <f>IFERROR(IF(#REF!="S",VLOOKUP('Raw Data'!A8086,References!#REF!,2,FALSE),(VLOOKUP($S8086,References!$B$3:$C$7,2,FALSE))),"")</f>
        <v/>
      </c>
      <c r="W8086" s="74" t="str">
        <f>IFERROR(VLOOKUP($O8086,'Customer List'!$A$1:$J$488,10,FALSE),"")</f>
        <v/>
      </c>
    </row>
    <row r="8087" spans="18:23">
      <c r="R8087" s="127">
        <f t="shared" si="327"/>
        <v>0</v>
      </c>
      <c r="T8087" s="128">
        <f t="shared" si="328"/>
        <v>0</v>
      </c>
      <c r="U8087" s="129" t="str">
        <f>IFERROR(IF(#REF!="S",VLOOKUP('Raw Data'!A8087,References!#REF!,2,FALSE),(VLOOKUP($S8087,References!$B$3:$C$7,2,FALSE))),"")</f>
        <v/>
      </c>
      <c r="W8087" s="74" t="str">
        <f>IFERROR(VLOOKUP($O8087,'Customer List'!$A$1:$J$488,10,FALSE),"")</f>
        <v/>
      </c>
    </row>
    <row r="8088" spans="18:23">
      <c r="R8088" s="127">
        <f t="shared" si="327"/>
        <v>0</v>
      </c>
      <c r="T8088" s="128">
        <f t="shared" si="328"/>
        <v>0</v>
      </c>
      <c r="U8088" s="129" t="str">
        <f>IFERROR(IF(#REF!="S",VLOOKUP('Raw Data'!A8088,References!#REF!,2,FALSE),(VLOOKUP($S8088,References!$B$3:$C$7,2,FALSE))),"")</f>
        <v/>
      </c>
      <c r="W8088" s="74" t="str">
        <f>IFERROR(VLOOKUP($O8088,'Customer List'!$A$1:$J$488,10,FALSE),"")</f>
        <v/>
      </c>
    </row>
    <row r="8089" spans="18:23">
      <c r="R8089" s="127">
        <f t="shared" si="327"/>
        <v>0</v>
      </c>
      <c r="T8089" s="128">
        <f t="shared" si="328"/>
        <v>0</v>
      </c>
      <c r="U8089" s="129" t="str">
        <f>IFERROR(IF(#REF!="S",VLOOKUP('Raw Data'!A8089,References!#REF!,2,FALSE),(VLOOKUP($S8089,References!$B$3:$C$7,2,FALSE))),"")</f>
        <v/>
      </c>
      <c r="W8089" s="74" t="str">
        <f>IFERROR(VLOOKUP($O8089,'Customer List'!$A$1:$J$488,10,FALSE),"")</f>
        <v/>
      </c>
    </row>
    <row r="8090" spans="18:23">
      <c r="R8090" s="127">
        <f t="shared" si="327"/>
        <v>0</v>
      </c>
      <c r="T8090" s="128">
        <f t="shared" si="328"/>
        <v>0</v>
      </c>
      <c r="U8090" s="129" t="str">
        <f>IFERROR(IF(#REF!="S",VLOOKUP('Raw Data'!A8090,References!#REF!,2,FALSE),(VLOOKUP($S8090,References!$B$3:$C$7,2,FALSE))),"")</f>
        <v/>
      </c>
      <c r="W8090" s="74" t="str">
        <f>IFERROR(VLOOKUP($O8090,'Customer List'!$A$1:$J$488,10,FALSE),"")</f>
        <v/>
      </c>
    </row>
    <row r="8091" spans="18:23">
      <c r="R8091" s="127">
        <f t="shared" si="327"/>
        <v>0</v>
      </c>
      <c r="T8091" s="128">
        <f t="shared" si="328"/>
        <v>0</v>
      </c>
      <c r="U8091" s="129" t="str">
        <f>IFERROR(IF(#REF!="S",VLOOKUP('Raw Data'!A8091,References!#REF!,2,FALSE),(VLOOKUP($S8091,References!$B$3:$C$7,2,FALSE))),"")</f>
        <v/>
      </c>
      <c r="W8091" s="74" t="str">
        <f>IFERROR(VLOOKUP($O8091,'Customer List'!$A$1:$J$488,10,FALSE),"")</f>
        <v/>
      </c>
    </row>
    <row r="8092" spans="18:23">
      <c r="R8092" s="127">
        <f t="shared" si="327"/>
        <v>0</v>
      </c>
      <c r="T8092" s="128">
        <f t="shared" si="328"/>
        <v>0</v>
      </c>
      <c r="U8092" s="129" t="str">
        <f>IFERROR(IF(#REF!="S",VLOOKUP('Raw Data'!A8092,References!#REF!,2,FALSE),(VLOOKUP($S8092,References!$B$3:$C$7,2,FALSE))),"")</f>
        <v/>
      </c>
      <c r="W8092" s="74" t="str">
        <f>IFERROR(VLOOKUP($O8092,'Customer List'!$A$1:$J$488,10,FALSE),"")</f>
        <v/>
      </c>
    </row>
    <row r="8093" spans="18:23">
      <c r="R8093" s="127">
        <f t="shared" si="327"/>
        <v>0</v>
      </c>
      <c r="T8093" s="128">
        <f t="shared" si="328"/>
        <v>0</v>
      </c>
      <c r="U8093" s="129" t="str">
        <f>IFERROR(IF(#REF!="S",VLOOKUP('Raw Data'!A8093,References!#REF!,2,FALSE),(VLOOKUP($S8093,References!$B$3:$C$7,2,FALSE))),"")</f>
        <v/>
      </c>
      <c r="W8093" s="74" t="str">
        <f>IFERROR(VLOOKUP($O8093,'Customer List'!$A$1:$J$488,10,FALSE),"")</f>
        <v/>
      </c>
    </row>
    <row r="8094" spans="18:23">
      <c r="R8094" s="127">
        <f t="shared" si="327"/>
        <v>0</v>
      </c>
      <c r="T8094" s="128">
        <f t="shared" si="328"/>
        <v>0</v>
      </c>
      <c r="U8094" s="129" t="str">
        <f>IFERROR(IF(#REF!="S",VLOOKUP('Raw Data'!A8094,References!#REF!,2,FALSE),(VLOOKUP($S8094,References!$B$3:$C$7,2,FALSE))),"")</f>
        <v/>
      </c>
      <c r="W8094" s="74" t="str">
        <f>IFERROR(VLOOKUP($O8094,'Customer List'!$A$1:$J$488,10,FALSE),"")</f>
        <v/>
      </c>
    </row>
    <row r="8095" spans="18:23">
      <c r="R8095" s="127">
        <f t="shared" si="327"/>
        <v>0</v>
      </c>
      <c r="T8095" s="128">
        <f t="shared" si="328"/>
        <v>0</v>
      </c>
      <c r="U8095" s="129" t="str">
        <f>IFERROR(IF(#REF!="S",VLOOKUP('Raw Data'!A8095,References!#REF!,2,FALSE),(VLOOKUP($S8095,References!$B$3:$C$7,2,FALSE))),"")</f>
        <v/>
      </c>
      <c r="W8095" s="74" t="str">
        <f>IFERROR(VLOOKUP($O8095,'Customer List'!$A$1:$J$488,10,FALSE),"")</f>
        <v/>
      </c>
    </row>
    <row r="8096" spans="18:23">
      <c r="R8096" s="127">
        <f t="shared" si="327"/>
        <v>0</v>
      </c>
      <c r="T8096" s="128">
        <f t="shared" si="328"/>
        <v>0</v>
      </c>
      <c r="U8096" s="129" t="str">
        <f>IFERROR(IF(#REF!="S",VLOOKUP('Raw Data'!A8096,References!#REF!,2,FALSE),(VLOOKUP($S8096,References!$B$3:$C$7,2,FALSE))),"")</f>
        <v/>
      </c>
      <c r="W8096" s="74" t="str">
        <f>IFERROR(VLOOKUP($O8096,'Customer List'!$A$1:$J$488,10,FALSE),"")</f>
        <v/>
      </c>
    </row>
    <row r="8097" spans="18:23">
      <c r="R8097" s="127">
        <f t="shared" si="327"/>
        <v>0</v>
      </c>
      <c r="T8097" s="128">
        <f t="shared" si="328"/>
        <v>0</v>
      </c>
      <c r="U8097" s="129" t="str">
        <f>IFERROR(IF(#REF!="S",VLOOKUP('Raw Data'!A8097,References!#REF!,2,FALSE),(VLOOKUP($S8097,References!$B$3:$C$7,2,FALSE))),"")</f>
        <v/>
      </c>
      <c r="W8097" s="74" t="str">
        <f>IFERROR(VLOOKUP($O8097,'Customer List'!$A$1:$J$488,10,FALSE),"")</f>
        <v/>
      </c>
    </row>
    <row r="8098" spans="18:23">
      <c r="R8098" s="127">
        <f t="shared" ref="R8098:R8161" si="329">L8098-K8098</f>
        <v>0</v>
      </c>
      <c r="T8098" s="128">
        <f t="shared" si="328"/>
        <v>0</v>
      </c>
      <c r="U8098" s="129" t="str">
        <f>IFERROR(IF(#REF!="S",VLOOKUP('Raw Data'!A8098,References!#REF!,2,FALSE),(VLOOKUP($S8098,References!$B$3:$C$7,2,FALSE))),"")</f>
        <v/>
      </c>
      <c r="W8098" s="74" t="str">
        <f>IFERROR(VLOOKUP($O8098,'Customer List'!$A$1:$J$488,10,FALSE),"")</f>
        <v/>
      </c>
    </row>
    <row r="8099" spans="18:23">
      <c r="R8099" s="127">
        <f t="shared" si="329"/>
        <v>0</v>
      </c>
      <c r="T8099" s="128">
        <f t="shared" si="328"/>
        <v>0</v>
      </c>
      <c r="U8099" s="129" t="str">
        <f>IFERROR(IF(#REF!="S",VLOOKUP('Raw Data'!A8099,References!#REF!,2,FALSE),(VLOOKUP($S8099,References!$B$3:$C$7,2,FALSE))),"")</f>
        <v/>
      </c>
      <c r="W8099" s="74" t="str">
        <f>IFERROR(VLOOKUP($O8099,'Customer List'!$A$1:$J$488,10,FALSE),"")</f>
        <v/>
      </c>
    </row>
    <row r="8100" spans="18:23">
      <c r="R8100" s="127">
        <f t="shared" si="329"/>
        <v>0</v>
      </c>
      <c r="T8100" s="128">
        <f t="shared" si="328"/>
        <v>0</v>
      </c>
      <c r="U8100" s="129" t="str">
        <f>IFERROR(IF(#REF!="S",VLOOKUP('Raw Data'!A8100,References!#REF!,2,FALSE),(VLOOKUP($S8100,References!$B$3:$C$7,2,FALSE))),"")</f>
        <v/>
      </c>
      <c r="W8100" s="74" t="str">
        <f>IFERROR(VLOOKUP($O8100,'Customer List'!$A$1:$J$488,10,FALSE),"")</f>
        <v/>
      </c>
    </row>
    <row r="8101" spans="18:23">
      <c r="R8101" s="127">
        <f t="shared" si="329"/>
        <v>0</v>
      </c>
      <c r="T8101" s="128">
        <f t="shared" si="328"/>
        <v>0</v>
      </c>
      <c r="U8101" s="129" t="str">
        <f>IFERROR(IF(#REF!="S",VLOOKUP('Raw Data'!A8101,References!#REF!,2,FALSE),(VLOOKUP($S8101,References!$B$3:$C$7,2,FALSE))),"")</f>
        <v/>
      </c>
      <c r="W8101" s="74" t="str">
        <f>IFERROR(VLOOKUP($O8101,'Customer List'!$A$1:$J$488,10,FALSE),"")</f>
        <v/>
      </c>
    </row>
    <row r="8102" spans="18:23">
      <c r="R8102" s="127">
        <f t="shared" si="329"/>
        <v>0</v>
      </c>
      <c r="T8102" s="128">
        <f t="shared" si="328"/>
        <v>0</v>
      </c>
      <c r="U8102" s="129" t="str">
        <f>IFERROR(IF(#REF!="S",VLOOKUP('Raw Data'!A8102,References!#REF!,2,FALSE),(VLOOKUP($S8102,References!$B$3:$C$7,2,FALSE))),"")</f>
        <v/>
      </c>
      <c r="W8102" s="74" t="str">
        <f>IFERROR(VLOOKUP($O8102,'Customer List'!$A$1:$J$488,10,FALSE),"")</f>
        <v/>
      </c>
    </row>
    <row r="8103" spans="18:23">
      <c r="R8103" s="127">
        <f t="shared" si="329"/>
        <v>0</v>
      </c>
      <c r="T8103" s="128">
        <f t="shared" si="328"/>
        <v>0</v>
      </c>
      <c r="U8103" s="129" t="str">
        <f>IFERROR(IF(#REF!="S",VLOOKUP('Raw Data'!A8103,References!#REF!,2,FALSE),(VLOOKUP($S8103,References!$B$3:$C$7,2,FALSE))),"")</f>
        <v/>
      </c>
      <c r="W8103" s="74" t="str">
        <f>IFERROR(VLOOKUP($O8103,'Customer List'!$A$1:$J$488,10,FALSE),"")</f>
        <v/>
      </c>
    </row>
    <row r="8104" spans="18:23">
      <c r="R8104" s="127">
        <f t="shared" si="329"/>
        <v>0</v>
      </c>
      <c r="T8104" s="128">
        <f t="shared" si="328"/>
        <v>0</v>
      </c>
      <c r="U8104" s="129" t="str">
        <f>IFERROR(IF(#REF!="S",VLOOKUP('Raw Data'!A8104,References!#REF!,2,FALSE),(VLOOKUP($S8104,References!$B$3:$C$7,2,FALSE))),"")</f>
        <v/>
      </c>
      <c r="W8104" s="74" t="str">
        <f>IFERROR(VLOOKUP($O8104,'Customer List'!$A$1:$J$488,10,FALSE),"")</f>
        <v/>
      </c>
    </row>
    <row r="8105" spans="18:23">
      <c r="R8105" s="127">
        <f t="shared" si="329"/>
        <v>0</v>
      </c>
      <c r="T8105" s="128">
        <f t="shared" si="328"/>
        <v>0</v>
      </c>
      <c r="U8105" s="129" t="str">
        <f>IFERROR(IF(#REF!="S",VLOOKUP('Raw Data'!A8105,References!#REF!,2,FALSE),(VLOOKUP($S8105,References!$B$3:$C$7,2,FALSE))),"")</f>
        <v/>
      </c>
      <c r="W8105" s="74" t="str">
        <f>IFERROR(VLOOKUP($O8105,'Customer List'!$A$1:$J$488,10,FALSE),"")</f>
        <v/>
      </c>
    </row>
    <row r="8106" spans="18:23">
      <c r="R8106" s="127">
        <f t="shared" si="329"/>
        <v>0</v>
      </c>
      <c r="T8106" s="128">
        <f t="shared" si="328"/>
        <v>0</v>
      </c>
      <c r="U8106" s="129" t="str">
        <f>IFERROR(IF(#REF!="S",VLOOKUP('Raw Data'!A8106,References!#REF!,2,FALSE),(VLOOKUP($S8106,References!$B$3:$C$7,2,FALSE))),"")</f>
        <v/>
      </c>
      <c r="W8106" s="74" t="str">
        <f>IFERROR(VLOOKUP($O8106,'Customer List'!$A$1:$J$488,10,FALSE),"")</f>
        <v/>
      </c>
    </row>
    <row r="8107" spans="18:23">
      <c r="R8107" s="127">
        <f t="shared" si="329"/>
        <v>0</v>
      </c>
      <c r="T8107" s="128">
        <f t="shared" si="328"/>
        <v>0</v>
      </c>
      <c r="U8107" s="129" t="str">
        <f>IFERROR(IF(#REF!="S",VLOOKUP('Raw Data'!A8107,References!#REF!,2,FALSE),(VLOOKUP($S8107,References!$B$3:$C$7,2,FALSE))),"")</f>
        <v/>
      </c>
      <c r="W8107" s="74" t="str">
        <f>IFERROR(VLOOKUP($O8107,'Customer List'!$A$1:$J$488,10,FALSE),"")</f>
        <v/>
      </c>
    </row>
    <row r="8108" spans="18:23">
      <c r="R8108" s="127">
        <f t="shared" si="329"/>
        <v>0</v>
      </c>
      <c r="T8108" s="128">
        <f t="shared" si="328"/>
        <v>0</v>
      </c>
      <c r="U8108" s="129" t="str">
        <f>IFERROR(IF(#REF!="S",VLOOKUP('Raw Data'!A8108,References!#REF!,2,FALSE),(VLOOKUP($S8108,References!$B$3:$C$7,2,FALSE))),"")</f>
        <v/>
      </c>
      <c r="W8108" s="74" t="str">
        <f>IFERROR(VLOOKUP($O8108,'Customer List'!$A$1:$J$488,10,FALSE),"")</f>
        <v/>
      </c>
    </row>
    <row r="8109" spans="18:23">
      <c r="R8109" s="127">
        <f t="shared" si="329"/>
        <v>0</v>
      </c>
      <c r="T8109" s="128">
        <f t="shared" si="328"/>
        <v>0</v>
      </c>
      <c r="U8109" s="129" t="str">
        <f>IFERROR(IF(#REF!="S",VLOOKUP('Raw Data'!A8109,References!#REF!,2,FALSE),(VLOOKUP($S8109,References!$B$3:$C$7,2,FALSE))),"")</f>
        <v/>
      </c>
      <c r="W8109" s="74" t="str">
        <f>IFERROR(VLOOKUP($O8109,'Customer List'!$A$1:$J$488,10,FALSE),"")</f>
        <v/>
      </c>
    </row>
    <row r="8110" spans="18:23">
      <c r="R8110" s="127">
        <f t="shared" si="329"/>
        <v>0</v>
      </c>
      <c r="T8110" s="128">
        <f t="shared" si="328"/>
        <v>0</v>
      </c>
      <c r="U8110" s="129" t="str">
        <f>IFERROR(IF(#REF!="S",VLOOKUP('Raw Data'!A8110,References!#REF!,2,FALSE),(VLOOKUP($S8110,References!$B$3:$C$7,2,FALSE))),"")</f>
        <v/>
      </c>
      <c r="W8110" s="74" t="str">
        <f>IFERROR(VLOOKUP($O8110,'Customer List'!$A$1:$J$488,10,FALSE),"")</f>
        <v/>
      </c>
    </row>
    <row r="8111" spans="18:23">
      <c r="R8111" s="127">
        <f t="shared" si="329"/>
        <v>0</v>
      </c>
      <c r="T8111" s="128">
        <f t="shared" si="328"/>
        <v>0</v>
      </c>
      <c r="U8111" s="129" t="str">
        <f>IFERROR(IF(#REF!="S",VLOOKUP('Raw Data'!A8111,References!#REF!,2,FALSE),(VLOOKUP($S8111,References!$B$3:$C$7,2,FALSE))),"")</f>
        <v/>
      </c>
      <c r="W8111" s="74" t="str">
        <f>IFERROR(VLOOKUP($O8111,'Customer List'!$A$1:$J$488,10,FALSE),"")</f>
        <v/>
      </c>
    </row>
    <row r="8112" spans="18:23">
      <c r="R8112" s="127">
        <f t="shared" si="329"/>
        <v>0</v>
      </c>
      <c r="T8112" s="128">
        <f t="shared" si="328"/>
        <v>0</v>
      </c>
      <c r="U8112" s="129" t="str">
        <f>IFERROR(IF(#REF!="S",VLOOKUP('Raw Data'!A8112,References!#REF!,2,FALSE),(VLOOKUP($S8112,References!$B$3:$C$7,2,FALSE))),"")</f>
        <v/>
      </c>
      <c r="W8112" s="74" t="str">
        <f>IFERROR(VLOOKUP($O8112,'Customer List'!$A$1:$J$488,10,FALSE),"")</f>
        <v/>
      </c>
    </row>
    <row r="8113" spans="18:23">
      <c r="R8113" s="127">
        <f t="shared" si="329"/>
        <v>0</v>
      </c>
      <c r="T8113" s="128">
        <f t="shared" si="328"/>
        <v>0</v>
      </c>
      <c r="U8113" s="129" t="str">
        <f>IFERROR(IF(#REF!="S",VLOOKUP('Raw Data'!A8113,References!#REF!,2,FALSE),(VLOOKUP($S8113,References!$B$3:$C$7,2,FALSE))),"")</f>
        <v/>
      </c>
      <c r="W8113" s="74" t="str">
        <f>IFERROR(VLOOKUP($O8113,'Customer List'!$A$1:$J$488,10,FALSE),"")</f>
        <v/>
      </c>
    </row>
    <row r="8114" spans="18:23">
      <c r="R8114" s="127">
        <f t="shared" si="329"/>
        <v>0</v>
      </c>
      <c r="T8114" s="128">
        <f t="shared" si="328"/>
        <v>0</v>
      </c>
      <c r="U8114" s="129" t="str">
        <f>IFERROR(IF(#REF!="S",VLOOKUP('Raw Data'!A8114,References!#REF!,2,FALSE),(VLOOKUP($S8114,References!$B$3:$C$7,2,FALSE))),"")</f>
        <v/>
      </c>
      <c r="W8114" s="74" t="str">
        <f>IFERROR(VLOOKUP($O8114,'Customer List'!$A$1:$J$488,10,FALSE),"")</f>
        <v/>
      </c>
    </row>
    <row r="8115" spans="18:23">
      <c r="R8115" s="127">
        <f t="shared" si="329"/>
        <v>0</v>
      </c>
      <c r="T8115" s="128">
        <f t="shared" si="328"/>
        <v>0</v>
      </c>
      <c r="U8115" s="129" t="str">
        <f>IFERROR(IF(#REF!="S",VLOOKUP('Raw Data'!A8115,References!#REF!,2,FALSE),(VLOOKUP($S8115,References!$B$3:$C$7,2,FALSE))),"")</f>
        <v/>
      </c>
      <c r="W8115" s="74" t="str">
        <f>IFERROR(VLOOKUP($O8115,'Customer List'!$A$1:$J$488,10,FALSE),"")</f>
        <v/>
      </c>
    </row>
    <row r="8116" spans="18:23">
      <c r="R8116" s="127">
        <f t="shared" si="329"/>
        <v>0</v>
      </c>
      <c r="T8116" s="128">
        <f t="shared" si="328"/>
        <v>0</v>
      </c>
      <c r="U8116" s="129" t="str">
        <f>IFERROR(IF(#REF!="S",VLOOKUP('Raw Data'!A8116,References!#REF!,2,FALSE),(VLOOKUP($S8116,References!$B$3:$C$7,2,FALSE))),"")</f>
        <v/>
      </c>
      <c r="W8116" s="74" t="str">
        <f>IFERROR(VLOOKUP($O8116,'Customer List'!$A$1:$J$488,10,FALSE),"")</f>
        <v/>
      </c>
    </row>
    <row r="8117" spans="18:23">
      <c r="R8117" s="127">
        <f t="shared" si="329"/>
        <v>0</v>
      </c>
      <c r="T8117" s="128">
        <f t="shared" si="328"/>
        <v>0</v>
      </c>
      <c r="U8117" s="129" t="str">
        <f>IFERROR(IF(#REF!="S",VLOOKUP('Raw Data'!A8117,References!#REF!,2,FALSE),(VLOOKUP($S8117,References!$B$3:$C$7,2,FALSE))),"")</f>
        <v/>
      </c>
      <c r="W8117" s="74" t="str">
        <f>IFERROR(VLOOKUP($O8117,'Customer List'!$A$1:$J$488,10,FALSE),"")</f>
        <v/>
      </c>
    </row>
    <row r="8118" spans="18:23">
      <c r="R8118" s="127">
        <f t="shared" si="329"/>
        <v>0</v>
      </c>
      <c r="T8118" s="128">
        <f t="shared" si="328"/>
        <v>0</v>
      </c>
      <c r="U8118" s="129" t="str">
        <f>IFERROR(IF(#REF!="S",VLOOKUP('Raw Data'!A8118,References!#REF!,2,FALSE),(VLOOKUP($S8118,References!$B$3:$C$7,2,FALSE))),"")</f>
        <v/>
      </c>
      <c r="W8118" s="74" t="str">
        <f>IFERROR(VLOOKUP($O8118,'Customer List'!$A$1:$J$488,10,FALSE),"")</f>
        <v/>
      </c>
    </row>
    <row r="8119" spans="18:23">
      <c r="R8119" s="127">
        <f t="shared" si="329"/>
        <v>0</v>
      </c>
      <c r="T8119" s="128">
        <f t="shared" si="328"/>
        <v>0</v>
      </c>
      <c r="U8119" s="129" t="str">
        <f>IFERROR(IF(#REF!="S",VLOOKUP('Raw Data'!A8119,References!#REF!,2,FALSE),(VLOOKUP($S8119,References!$B$3:$C$7,2,FALSE))),"")</f>
        <v/>
      </c>
      <c r="W8119" s="74" t="str">
        <f>IFERROR(VLOOKUP($O8119,'Customer List'!$A$1:$J$488,10,FALSE),"")</f>
        <v/>
      </c>
    </row>
    <row r="8120" spans="18:23">
      <c r="R8120" s="127">
        <f t="shared" si="329"/>
        <v>0</v>
      </c>
      <c r="T8120" s="128">
        <f t="shared" si="328"/>
        <v>0</v>
      </c>
      <c r="U8120" s="129" t="str">
        <f>IFERROR(IF(#REF!="S",VLOOKUP('Raw Data'!A8120,References!#REF!,2,FALSE),(VLOOKUP($S8120,References!$B$3:$C$7,2,FALSE))),"")</f>
        <v/>
      </c>
      <c r="W8120" s="74" t="str">
        <f>IFERROR(VLOOKUP($O8120,'Customer List'!$A$1:$J$488,10,FALSE),"")</f>
        <v/>
      </c>
    </row>
    <row r="8121" spans="18:23">
      <c r="R8121" s="127">
        <f t="shared" si="329"/>
        <v>0</v>
      </c>
      <c r="T8121" s="128">
        <f t="shared" si="328"/>
        <v>0</v>
      </c>
      <c r="U8121" s="129" t="str">
        <f>IFERROR(IF(#REF!="S",VLOOKUP('Raw Data'!A8121,References!#REF!,2,FALSE),(VLOOKUP($S8121,References!$B$3:$C$7,2,FALSE))),"")</f>
        <v/>
      </c>
      <c r="W8121" s="74" t="str">
        <f>IFERROR(VLOOKUP($O8121,'Customer List'!$A$1:$J$488,10,FALSE),"")</f>
        <v/>
      </c>
    </row>
    <row r="8122" spans="18:23">
      <c r="R8122" s="127">
        <f t="shared" si="329"/>
        <v>0</v>
      </c>
      <c r="T8122" s="128">
        <f t="shared" si="328"/>
        <v>0</v>
      </c>
      <c r="U8122" s="129" t="str">
        <f>IFERROR(IF(#REF!="S",VLOOKUP('Raw Data'!A8122,References!#REF!,2,FALSE),(VLOOKUP($S8122,References!$B$3:$C$7,2,FALSE))),"")</f>
        <v/>
      </c>
      <c r="W8122" s="74" t="str">
        <f>IFERROR(VLOOKUP($O8122,'Customer List'!$A$1:$J$488,10,FALSE),"")</f>
        <v/>
      </c>
    </row>
    <row r="8123" spans="18:23">
      <c r="R8123" s="127">
        <f t="shared" si="329"/>
        <v>0</v>
      </c>
      <c r="T8123" s="128">
        <f t="shared" si="328"/>
        <v>0</v>
      </c>
      <c r="U8123" s="129" t="str">
        <f>IFERROR(IF(#REF!="S",VLOOKUP('Raw Data'!A8123,References!#REF!,2,FALSE),(VLOOKUP($S8123,References!$B$3:$C$7,2,FALSE))),"")</f>
        <v/>
      </c>
      <c r="W8123" s="74" t="str">
        <f>IFERROR(VLOOKUP($O8123,'Customer List'!$A$1:$J$488,10,FALSE),"")</f>
        <v/>
      </c>
    </row>
    <row r="8124" spans="18:23">
      <c r="R8124" s="127">
        <f t="shared" si="329"/>
        <v>0</v>
      </c>
      <c r="T8124" s="128">
        <f t="shared" si="328"/>
        <v>0</v>
      </c>
      <c r="U8124" s="129" t="str">
        <f>IFERROR(IF(#REF!="S",VLOOKUP('Raw Data'!A8124,References!#REF!,2,FALSE),(VLOOKUP($S8124,References!$B$3:$C$7,2,FALSE))),"")</f>
        <v/>
      </c>
      <c r="W8124" s="74" t="str">
        <f>IFERROR(VLOOKUP($O8124,'Customer List'!$A$1:$J$488,10,FALSE),"")</f>
        <v/>
      </c>
    </row>
    <row r="8125" spans="18:23">
      <c r="R8125" s="127">
        <f t="shared" si="329"/>
        <v>0</v>
      </c>
      <c r="T8125" s="128">
        <f t="shared" si="328"/>
        <v>0</v>
      </c>
      <c r="U8125" s="129" t="str">
        <f>IFERROR(IF(#REF!="S",VLOOKUP('Raw Data'!A8125,References!#REF!,2,FALSE),(VLOOKUP($S8125,References!$B$3:$C$7,2,FALSE))),"")</f>
        <v/>
      </c>
      <c r="W8125" s="74" t="str">
        <f>IFERROR(VLOOKUP($O8125,'Customer List'!$A$1:$J$488,10,FALSE),"")</f>
        <v/>
      </c>
    </row>
    <row r="8126" spans="18:23">
      <c r="R8126" s="127">
        <f t="shared" si="329"/>
        <v>0</v>
      </c>
      <c r="T8126" s="128">
        <f t="shared" si="328"/>
        <v>0</v>
      </c>
      <c r="U8126" s="129" t="str">
        <f>IFERROR(IF(#REF!="S",VLOOKUP('Raw Data'!A8126,References!#REF!,2,FALSE),(VLOOKUP($S8126,References!$B$3:$C$7,2,FALSE))),"")</f>
        <v/>
      </c>
      <c r="W8126" s="74" t="str">
        <f>IFERROR(VLOOKUP($O8126,'Customer List'!$A$1:$J$488,10,FALSE),"")</f>
        <v/>
      </c>
    </row>
    <row r="8127" spans="18:23">
      <c r="R8127" s="127">
        <f t="shared" si="329"/>
        <v>0</v>
      </c>
      <c r="T8127" s="128">
        <f t="shared" si="328"/>
        <v>0</v>
      </c>
      <c r="U8127" s="129" t="str">
        <f>IFERROR(IF(#REF!="S",VLOOKUP('Raw Data'!A8127,References!#REF!,2,FALSE),(VLOOKUP($S8127,References!$B$3:$C$7,2,FALSE))),"")</f>
        <v/>
      </c>
      <c r="W8127" s="74" t="str">
        <f>IFERROR(VLOOKUP($O8127,'Customer List'!$A$1:$J$488,10,FALSE),"")</f>
        <v/>
      </c>
    </row>
    <row r="8128" spans="18:23">
      <c r="R8128" s="127">
        <f t="shared" si="329"/>
        <v>0</v>
      </c>
      <c r="T8128" s="128">
        <f t="shared" si="328"/>
        <v>0</v>
      </c>
      <c r="U8128" s="129" t="str">
        <f>IFERROR(IF(#REF!="S",VLOOKUP('Raw Data'!A8128,References!#REF!,2,FALSE),(VLOOKUP($S8128,References!$B$3:$C$7,2,FALSE))),"")</f>
        <v/>
      </c>
      <c r="W8128" s="74" t="str">
        <f>IFERROR(VLOOKUP($O8128,'Customer List'!$A$1:$J$488,10,FALSE),"")</f>
        <v/>
      </c>
    </row>
    <row r="8129" spans="18:23">
      <c r="R8129" s="127">
        <f t="shared" si="329"/>
        <v>0</v>
      </c>
      <c r="T8129" s="128">
        <f t="shared" si="328"/>
        <v>0</v>
      </c>
      <c r="U8129" s="129" t="str">
        <f>IFERROR(IF(#REF!="S",VLOOKUP('Raw Data'!A8129,References!#REF!,2,FALSE),(VLOOKUP($S8129,References!$B$3:$C$7,2,FALSE))),"")</f>
        <v/>
      </c>
      <c r="W8129" s="74" t="str">
        <f>IFERROR(VLOOKUP($O8129,'Customer List'!$A$1:$J$488,10,FALSE),"")</f>
        <v/>
      </c>
    </row>
    <row r="8130" spans="18:23">
      <c r="R8130" s="127">
        <f t="shared" si="329"/>
        <v>0</v>
      </c>
      <c r="T8130" s="128">
        <f t="shared" si="328"/>
        <v>0</v>
      </c>
      <c r="U8130" s="129" t="str">
        <f>IFERROR(IF(#REF!="S",VLOOKUP('Raw Data'!A8130,References!#REF!,2,FALSE),(VLOOKUP($S8130,References!$B$3:$C$7,2,FALSE))),"")</f>
        <v/>
      </c>
      <c r="W8130" s="74" t="str">
        <f>IFERROR(VLOOKUP($O8130,'Customer List'!$A$1:$J$488,10,FALSE),"")</f>
        <v/>
      </c>
    </row>
    <row r="8131" spans="18:23">
      <c r="R8131" s="127">
        <f t="shared" si="329"/>
        <v>0</v>
      </c>
      <c r="T8131" s="128">
        <f t="shared" si="328"/>
        <v>0</v>
      </c>
      <c r="U8131" s="129" t="str">
        <f>IFERROR(IF(#REF!="S",VLOOKUP('Raw Data'!A8131,References!#REF!,2,FALSE),(VLOOKUP($S8131,References!$B$3:$C$7,2,FALSE))),"")</f>
        <v/>
      </c>
      <c r="W8131" s="74" t="str">
        <f>IFERROR(VLOOKUP($O8131,'Customer List'!$A$1:$J$488,10,FALSE),"")</f>
        <v/>
      </c>
    </row>
    <row r="8132" spans="18:23">
      <c r="R8132" s="127">
        <f t="shared" si="329"/>
        <v>0</v>
      </c>
      <c r="T8132" s="128">
        <f t="shared" si="328"/>
        <v>0</v>
      </c>
      <c r="U8132" s="129" t="str">
        <f>IFERROR(IF(#REF!="S",VLOOKUP('Raw Data'!A8132,References!#REF!,2,FALSE),(VLOOKUP($S8132,References!$B$3:$C$7,2,FALSE))),"")</f>
        <v/>
      </c>
      <c r="W8132" s="74" t="str">
        <f>IFERROR(VLOOKUP($O8132,'Customer List'!$A$1:$J$488,10,FALSE),"")</f>
        <v/>
      </c>
    </row>
    <row r="8133" spans="18:23">
      <c r="R8133" s="127">
        <f t="shared" si="329"/>
        <v>0</v>
      </c>
      <c r="T8133" s="128">
        <f t="shared" si="328"/>
        <v>0</v>
      </c>
      <c r="U8133" s="129" t="str">
        <f>IFERROR(IF(#REF!="S",VLOOKUP('Raw Data'!A8133,References!#REF!,2,FALSE),(VLOOKUP($S8133,References!$B$3:$C$7,2,FALSE))),"")</f>
        <v/>
      </c>
      <c r="W8133" s="74" t="str">
        <f>IFERROR(VLOOKUP($O8133,'Customer List'!$A$1:$J$488,10,FALSE),"")</f>
        <v/>
      </c>
    </row>
    <row r="8134" spans="18:23">
      <c r="R8134" s="127">
        <f t="shared" si="329"/>
        <v>0</v>
      </c>
      <c r="T8134" s="128">
        <f t="shared" si="328"/>
        <v>0</v>
      </c>
      <c r="U8134" s="129" t="str">
        <f>IFERROR(IF(#REF!="S",VLOOKUP('Raw Data'!A8134,References!#REF!,2,FALSE),(VLOOKUP($S8134,References!$B$3:$C$7,2,FALSE))),"")</f>
        <v/>
      </c>
      <c r="W8134" s="74" t="str">
        <f>IFERROR(VLOOKUP($O8134,'Customer List'!$A$1:$J$488,10,FALSE),"")</f>
        <v/>
      </c>
    </row>
    <row r="8135" spans="18:23">
      <c r="R8135" s="127">
        <f t="shared" si="329"/>
        <v>0</v>
      </c>
      <c r="T8135" s="128">
        <f t="shared" si="328"/>
        <v>0</v>
      </c>
      <c r="U8135" s="129" t="str">
        <f>IFERROR(IF(#REF!="S",VLOOKUP('Raw Data'!A8135,References!#REF!,2,FALSE),(VLOOKUP($S8135,References!$B$3:$C$7,2,FALSE))),"")</f>
        <v/>
      </c>
      <c r="W8135" s="74" t="str">
        <f>IFERROR(VLOOKUP($O8135,'Customer List'!$A$1:$J$488,10,FALSE),"")</f>
        <v/>
      </c>
    </row>
    <row r="8136" spans="18:23">
      <c r="R8136" s="127">
        <f t="shared" si="329"/>
        <v>0</v>
      </c>
      <c r="T8136" s="128">
        <f t="shared" si="328"/>
        <v>0</v>
      </c>
      <c r="U8136" s="129" t="str">
        <f>IFERROR(IF(#REF!="S",VLOOKUP('Raw Data'!A8136,References!#REF!,2,FALSE),(VLOOKUP($S8136,References!$B$3:$C$7,2,FALSE))),"")</f>
        <v/>
      </c>
      <c r="W8136" s="74" t="str">
        <f>IFERROR(VLOOKUP($O8136,'Customer List'!$A$1:$J$488,10,FALSE),"")</f>
        <v/>
      </c>
    </row>
    <row r="8137" spans="18:23">
      <c r="R8137" s="127">
        <f t="shared" si="329"/>
        <v>0</v>
      </c>
      <c r="T8137" s="128">
        <f t="shared" si="328"/>
        <v>0</v>
      </c>
      <c r="U8137" s="129" t="str">
        <f>IFERROR(IF(#REF!="S",VLOOKUP('Raw Data'!A8137,References!#REF!,2,FALSE),(VLOOKUP($S8137,References!$B$3:$C$7,2,FALSE))),"")</f>
        <v/>
      </c>
      <c r="W8137" s="74" t="str">
        <f>IFERROR(VLOOKUP($O8137,'Customer List'!$A$1:$J$488,10,FALSE),"")</f>
        <v/>
      </c>
    </row>
    <row r="8138" spans="18:23">
      <c r="R8138" s="127">
        <f t="shared" si="329"/>
        <v>0</v>
      </c>
      <c r="T8138" s="128">
        <f t="shared" ref="T8138:T8201" si="330">IF(S8138="50 - Cleaning Fee",1,HOUR($R8138)+MINUTE(R8138)/60)</f>
        <v>0</v>
      </c>
      <c r="U8138" s="129" t="str">
        <f>IFERROR(IF(#REF!="S",VLOOKUP('Raw Data'!A8138,References!#REF!,2,FALSE),(VLOOKUP($S8138,References!$B$3:$C$7,2,FALSE))),"")</f>
        <v/>
      </c>
      <c r="W8138" s="74" t="str">
        <f>IFERROR(VLOOKUP($O8138,'Customer List'!$A$1:$J$488,10,FALSE),"")</f>
        <v/>
      </c>
    </row>
    <row r="8139" spans="18:23">
      <c r="R8139" s="127">
        <f t="shared" si="329"/>
        <v>0</v>
      </c>
      <c r="T8139" s="128">
        <f t="shared" si="330"/>
        <v>0</v>
      </c>
      <c r="U8139" s="129" t="str">
        <f>IFERROR(IF(#REF!="S",VLOOKUP('Raw Data'!A8139,References!#REF!,2,FALSE),(VLOOKUP($S8139,References!$B$3:$C$7,2,FALSE))),"")</f>
        <v/>
      </c>
      <c r="W8139" s="74" t="str">
        <f>IFERROR(VLOOKUP($O8139,'Customer List'!$A$1:$J$488,10,FALSE),"")</f>
        <v/>
      </c>
    </row>
    <row r="8140" spans="18:23">
      <c r="R8140" s="127">
        <f t="shared" si="329"/>
        <v>0</v>
      </c>
      <c r="T8140" s="128">
        <f t="shared" si="330"/>
        <v>0</v>
      </c>
      <c r="U8140" s="129" t="str">
        <f>IFERROR(IF(#REF!="S",VLOOKUP('Raw Data'!A8140,References!#REF!,2,FALSE),(VLOOKUP($S8140,References!$B$3:$C$7,2,FALSE))),"")</f>
        <v/>
      </c>
      <c r="W8140" s="74" t="str">
        <f>IFERROR(VLOOKUP($O8140,'Customer List'!$A$1:$J$488,10,FALSE),"")</f>
        <v/>
      </c>
    </row>
    <row r="8141" spans="18:23">
      <c r="R8141" s="127">
        <f t="shared" si="329"/>
        <v>0</v>
      </c>
      <c r="T8141" s="128">
        <f t="shared" si="330"/>
        <v>0</v>
      </c>
      <c r="U8141" s="129" t="str">
        <f>IFERROR(IF(#REF!="S",VLOOKUP('Raw Data'!A8141,References!#REF!,2,FALSE),(VLOOKUP($S8141,References!$B$3:$C$7,2,FALSE))),"")</f>
        <v/>
      </c>
      <c r="W8141" s="74" t="str">
        <f>IFERROR(VLOOKUP($O8141,'Customer List'!$A$1:$J$488,10,FALSE),"")</f>
        <v/>
      </c>
    </row>
    <row r="8142" spans="18:23">
      <c r="R8142" s="127">
        <f t="shared" si="329"/>
        <v>0</v>
      </c>
      <c r="T8142" s="128">
        <f t="shared" si="330"/>
        <v>0</v>
      </c>
      <c r="U8142" s="129" t="str">
        <f>IFERROR(IF(#REF!="S",VLOOKUP('Raw Data'!A8142,References!#REF!,2,FALSE),(VLOOKUP($S8142,References!$B$3:$C$7,2,FALSE))),"")</f>
        <v/>
      </c>
      <c r="W8142" s="74" t="str">
        <f>IFERROR(VLOOKUP($O8142,'Customer List'!$A$1:$J$488,10,FALSE),"")</f>
        <v/>
      </c>
    </row>
    <row r="8143" spans="18:23">
      <c r="R8143" s="127">
        <f t="shared" si="329"/>
        <v>0</v>
      </c>
      <c r="T8143" s="128">
        <f t="shared" si="330"/>
        <v>0</v>
      </c>
      <c r="U8143" s="129" t="str">
        <f>IFERROR(IF(#REF!="S",VLOOKUP('Raw Data'!A8143,References!#REF!,2,FALSE),(VLOOKUP($S8143,References!$B$3:$C$7,2,FALSE))),"")</f>
        <v/>
      </c>
      <c r="W8143" s="74" t="str">
        <f>IFERROR(VLOOKUP($O8143,'Customer List'!$A$1:$J$488,10,FALSE),"")</f>
        <v/>
      </c>
    </row>
    <row r="8144" spans="18:23">
      <c r="R8144" s="127">
        <f t="shared" si="329"/>
        <v>0</v>
      </c>
      <c r="T8144" s="128">
        <f t="shared" si="330"/>
        <v>0</v>
      </c>
      <c r="U8144" s="129" t="str">
        <f>IFERROR(IF(#REF!="S",VLOOKUP('Raw Data'!A8144,References!#REF!,2,FALSE),(VLOOKUP($S8144,References!$B$3:$C$7,2,FALSE))),"")</f>
        <v/>
      </c>
      <c r="W8144" s="74" t="str">
        <f>IFERROR(VLOOKUP($O8144,'Customer List'!$A$1:$J$488,10,FALSE),"")</f>
        <v/>
      </c>
    </row>
    <row r="8145" spans="18:23">
      <c r="R8145" s="127">
        <f t="shared" si="329"/>
        <v>0</v>
      </c>
      <c r="T8145" s="128">
        <f t="shared" si="330"/>
        <v>0</v>
      </c>
      <c r="U8145" s="129" t="str">
        <f>IFERROR(IF(#REF!="S",VLOOKUP('Raw Data'!A8145,References!#REF!,2,FALSE),(VLOOKUP($S8145,References!$B$3:$C$7,2,FALSE))),"")</f>
        <v/>
      </c>
      <c r="W8145" s="74" t="str">
        <f>IFERROR(VLOOKUP($O8145,'Customer List'!$A$1:$J$488,10,FALSE),"")</f>
        <v/>
      </c>
    </row>
    <row r="8146" spans="18:23">
      <c r="R8146" s="127">
        <f t="shared" si="329"/>
        <v>0</v>
      </c>
      <c r="T8146" s="128">
        <f t="shared" si="330"/>
        <v>0</v>
      </c>
      <c r="U8146" s="129" t="str">
        <f>IFERROR(IF(#REF!="S",VLOOKUP('Raw Data'!A8146,References!#REF!,2,FALSE),(VLOOKUP($S8146,References!$B$3:$C$7,2,FALSE))),"")</f>
        <v/>
      </c>
      <c r="W8146" s="74" t="str">
        <f>IFERROR(VLOOKUP($O8146,'Customer List'!$A$1:$J$488,10,FALSE),"")</f>
        <v/>
      </c>
    </row>
    <row r="8147" spans="18:23">
      <c r="R8147" s="127">
        <f t="shared" si="329"/>
        <v>0</v>
      </c>
      <c r="T8147" s="128">
        <f t="shared" si="330"/>
        <v>0</v>
      </c>
      <c r="U8147" s="129" t="str">
        <f>IFERROR(IF(#REF!="S",VLOOKUP('Raw Data'!A8147,References!#REF!,2,FALSE),(VLOOKUP($S8147,References!$B$3:$C$7,2,FALSE))),"")</f>
        <v/>
      </c>
      <c r="W8147" s="74" t="str">
        <f>IFERROR(VLOOKUP($O8147,'Customer List'!$A$1:$J$488,10,FALSE),"")</f>
        <v/>
      </c>
    </row>
    <row r="8148" spans="18:23">
      <c r="R8148" s="127">
        <f t="shared" si="329"/>
        <v>0</v>
      </c>
      <c r="T8148" s="128">
        <f t="shared" si="330"/>
        <v>0</v>
      </c>
      <c r="U8148" s="129" t="str">
        <f>IFERROR(IF(#REF!="S",VLOOKUP('Raw Data'!A8148,References!#REF!,2,FALSE),(VLOOKUP($S8148,References!$B$3:$C$7,2,FALSE))),"")</f>
        <v/>
      </c>
      <c r="W8148" s="74" t="str">
        <f>IFERROR(VLOOKUP($O8148,'Customer List'!$A$1:$J$488,10,FALSE),"")</f>
        <v/>
      </c>
    </row>
    <row r="8149" spans="18:23">
      <c r="R8149" s="127">
        <f t="shared" si="329"/>
        <v>0</v>
      </c>
      <c r="T8149" s="128">
        <f t="shared" si="330"/>
        <v>0</v>
      </c>
      <c r="U8149" s="129" t="str">
        <f>IFERROR(IF(#REF!="S",VLOOKUP('Raw Data'!A8149,References!#REF!,2,FALSE),(VLOOKUP($S8149,References!$B$3:$C$7,2,FALSE))),"")</f>
        <v/>
      </c>
      <c r="W8149" s="74" t="str">
        <f>IFERROR(VLOOKUP($O8149,'Customer List'!$A$1:$J$488,10,FALSE),"")</f>
        <v/>
      </c>
    </row>
    <row r="8150" spans="18:23">
      <c r="R8150" s="127">
        <f t="shared" si="329"/>
        <v>0</v>
      </c>
      <c r="T8150" s="128">
        <f t="shared" si="330"/>
        <v>0</v>
      </c>
      <c r="U8150" s="129" t="str">
        <f>IFERROR(IF(#REF!="S",VLOOKUP('Raw Data'!A8150,References!#REF!,2,FALSE),(VLOOKUP($S8150,References!$B$3:$C$7,2,FALSE))),"")</f>
        <v/>
      </c>
      <c r="W8150" s="74" t="str">
        <f>IFERROR(VLOOKUP($O8150,'Customer List'!$A$1:$J$488,10,FALSE),"")</f>
        <v/>
      </c>
    </row>
    <row r="8151" spans="18:23">
      <c r="R8151" s="127">
        <f t="shared" si="329"/>
        <v>0</v>
      </c>
      <c r="T8151" s="128">
        <f t="shared" si="330"/>
        <v>0</v>
      </c>
      <c r="U8151" s="129" t="str">
        <f>IFERROR(IF(#REF!="S",VLOOKUP('Raw Data'!A8151,References!#REF!,2,FALSE),(VLOOKUP($S8151,References!$B$3:$C$7,2,FALSE))),"")</f>
        <v/>
      </c>
      <c r="W8151" s="74" t="str">
        <f>IFERROR(VLOOKUP($O8151,'Customer List'!$A$1:$J$488,10,FALSE),"")</f>
        <v/>
      </c>
    </row>
    <row r="8152" spans="18:23">
      <c r="R8152" s="127">
        <f t="shared" si="329"/>
        <v>0</v>
      </c>
      <c r="T8152" s="128">
        <f t="shared" si="330"/>
        <v>0</v>
      </c>
      <c r="U8152" s="129" t="str">
        <f>IFERROR(IF(#REF!="S",VLOOKUP('Raw Data'!A8152,References!#REF!,2,FALSE),(VLOOKUP($S8152,References!$B$3:$C$7,2,FALSE))),"")</f>
        <v/>
      </c>
      <c r="W8152" s="74" t="str">
        <f>IFERROR(VLOOKUP($O8152,'Customer List'!$A$1:$J$488,10,FALSE),"")</f>
        <v/>
      </c>
    </row>
    <row r="8153" spans="18:23">
      <c r="R8153" s="127">
        <f t="shared" si="329"/>
        <v>0</v>
      </c>
      <c r="T8153" s="128">
        <f t="shared" si="330"/>
        <v>0</v>
      </c>
      <c r="U8153" s="129" t="str">
        <f>IFERROR(IF(#REF!="S",VLOOKUP('Raw Data'!A8153,References!#REF!,2,FALSE),(VLOOKUP($S8153,References!$B$3:$C$7,2,FALSE))),"")</f>
        <v/>
      </c>
      <c r="W8153" s="74" t="str">
        <f>IFERROR(VLOOKUP($O8153,'Customer List'!$A$1:$J$488,10,FALSE),"")</f>
        <v/>
      </c>
    </row>
    <row r="8154" spans="18:23">
      <c r="R8154" s="127">
        <f t="shared" si="329"/>
        <v>0</v>
      </c>
      <c r="T8154" s="128">
        <f t="shared" si="330"/>
        <v>0</v>
      </c>
      <c r="U8154" s="129" t="str">
        <f>IFERROR(IF(#REF!="S",VLOOKUP('Raw Data'!A8154,References!#REF!,2,FALSE),(VLOOKUP($S8154,References!$B$3:$C$7,2,FALSE))),"")</f>
        <v/>
      </c>
      <c r="W8154" s="74" t="str">
        <f>IFERROR(VLOOKUP($O8154,'Customer List'!$A$1:$J$488,10,FALSE),"")</f>
        <v/>
      </c>
    </row>
    <row r="8155" spans="18:23">
      <c r="R8155" s="127">
        <f t="shared" si="329"/>
        <v>0</v>
      </c>
      <c r="T8155" s="128">
        <f t="shared" si="330"/>
        <v>0</v>
      </c>
      <c r="U8155" s="129" t="str">
        <f>IFERROR(IF(#REF!="S",VLOOKUP('Raw Data'!A8155,References!#REF!,2,FALSE),(VLOOKUP($S8155,References!$B$3:$C$7,2,FALSE))),"")</f>
        <v/>
      </c>
      <c r="W8155" s="74" t="str">
        <f>IFERROR(VLOOKUP($O8155,'Customer List'!$A$1:$J$488,10,FALSE),"")</f>
        <v/>
      </c>
    </row>
    <row r="8156" spans="18:23">
      <c r="R8156" s="127">
        <f t="shared" si="329"/>
        <v>0</v>
      </c>
      <c r="T8156" s="128">
        <f t="shared" si="330"/>
        <v>0</v>
      </c>
      <c r="U8156" s="129" t="str">
        <f>IFERROR(IF(#REF!="S",VLOOKUP('Raw Data'!A8156,References!#REF!,2,FALSE),(VLOOKUP($S8156,References!$B$3:$C$7,2,FALSE))),"")</f>
        <v/>
      </c>
      <c r="W8156" s="74" t="str">
        <f>IFERROR(VLOOKUP($O8156,'Customer List'!$A$1:$J$488,10,FALSE),"")</f>
        <v/>
      </c>
    </row>
    <row r="8157" spans="18:23">
      <c r="R8157" s="127">
        <f t="shared" si="329"/>
        <v>0</v>
      </c>
      <c r="T8157" s="128">
        <f t="shared" si="330"/>
        <v>0</v>
      </c>
      <c r="U8157" s="129" t="str">
        <f>IFERROR(IF(#REF!="S",VLOOKUP('Raw Data'!A8157,References!#REF!,2,FALSE),(VLOOKUP($S8157,References!$B$3:$C$7,2,FALSE))),"")</f>
        <v/>
      </c>
      <c r="W8157" s="74" t="str">
        <f>IFERROR(VLOOKUP($O8157,'Customer List'!$A$1:$J$488,10,FALSE),"")</f>
        <v/>
      </c>
    </row>
    <row r="8158" spans="18:23">
      <c r="R8158" s="127">
        <f t="shared" si="329"/>
        <v>0</v>
      </c>
      <c r="T8158" s="128">
        <f t="shared" si="330"/>
        <v>0</v>
      </c>
      <c r="U8158" s="129" t="str">
        <f>IFERROR(IF(#REF!="S",VLOOKUP('Raw Data'!A8158,References!#REF!,2,FALSE),(VLOOKUP($S8158,References!$B$3:$C$7,2,FALSE))),"")</f>
        <v/>
      </c>
      <c r="W8158" s="74" t="str">
        <f>IFERROR(VLOOKUP($O8158,'Customer List'!$A$1:$J$488,10,FALSE),"")</f>
        <v/>
      </c>
    </row>
    <row r="8159" spans="18:23">
      <c r="R8159" s="127">
        <f t="shared" si="329"/>
        <v>0</v>
      </c>
      <c r="T8159" s="128">
        <f t="shared" si="330"/>
        <v>0</v>
      </c>
      <c r="U8159" s="129" t="str">
        <f>IFERROR(IF(#REF!="S",VLOOKUP('Raw Data'!A8159,References!#REF!,2,FALSE),(VLOOKUP($S8159,References!$B$3:$C$7,2,FALSE))),"")</f>
        <v/>
      </c>
      <c r="W8159" s="74" t="str">
        <f>IFERROR(VLOOKUP($O8159,'Customer List'!$A$1:$J$488,10,FALSE),"")</f>
        <v/>
      </c>
    </row>
    <row r="8160" spans="18:23">
      <c r="R8160" s="127">
        <f t="shared" si="329"/>
        <v>0</v>
      </c>
      <c r="T8160" s="128">
        <f t="shared" si="330"/>
        <v>0</v>
      </c>
      <c r="U8160" s="129" t="str">
        <f>IFERROR(IF(#REF!="S",VLOOKUP('Raw Data'!A8160,References!#REF!,2,FALSE),(VLOOKUP($S8160,References!$B$3:$C$7,2,FALSE))),"")</f>
        <v/>
      </c>
      <c r="W8160" s="74" t="str">
        <f>IFERROR(VLOOKUP($O8160,'Customer List'!$A$1:$J$488,10,FALSE),"")</f>
        <v/>
      </c>
    </row>
    <row r="8161" spans="18:23">
      <c r="R8161" s="127">
        <f t="shared" si="329"/>
        <v>0</v>
      </c>
      <c r="T8161" s="128">
        <f t="shared" si="330"/>
        <v>0</v>
      </c>
      <c r="U8161" s="129" t="str">
        <f>IFERROR(IF(#REF!="S",VLOOKUP('Raw Data'!A8161,References!#REF!,2,FALSE),(VLOOKUP($S8161,References!$B$3:$C$7,2,FALSE))),"")</f>
        <v/>
      </c>
      <c r="W8161" s="74" t="str">
        <f>IFERROR(VLOOKUP($O8161,'Customer List'!$A$1:$J$488,10,FALSE),"")</f>
        <v/>
      </c>
    </row>
    <row r="8162" spans="18:23">
      <c r="R8162" s="127">
        <f t="shared" ref="R8162:R8225" si="331">L8162-K8162</f>
        <v>0</v>
      </c>
      <c r="T8162" s="128">
        <f t="shared" si="330"/>
        <v>0</v>
      </c>
      <c r="U8162" s="129" t="str">
        <f>IFERROR(IF(#REF!="S",VLOOKUP('Raw Data'!A8162,References!#REF!,2,FALSE),(VLOOKUP($S8162,References!$B$3:$C$7,2,FALSE))),"")</f>
        <v/>
      </c>
      <c r="W8162" s="74" t="str">
        <f>IFERROR(VLOOKUP($O8162,'Customer List'!$A$1:$J$488,10,FALSE),"")</f>
        <v/>
      </c>
    </row>
    <row r="8163" spans="18:23">
      <c r="R8163" s="127">
        <f t="shared" si="331"/>
        <v>0</v>
      </c>
      <c r="T8163" s="128">
        <f t="shared" si="330"/>
        <v>0</v>
      </c>
      <c r="U8163" s="129" t="str">
        <f>IFERROR(IF(#REF!="S",VLOOKUP('Raw Data'!A8163,References!#REF!,2,FALSE),(VLOOKUP($S8163,References!$B$3:$C$7,2,FALSE))),"")</f>
        <v/>
      </c>
      <c r="W8163" s="74" t="str">
        <f>IFERROR(VLOOKUP($O8163,'Customer List'!$A$1:$J$488,10,FALSE),"")</f>
        <v/>
      </c>
    </row>
    <row r="8164" spans="18:23">
      <c r="R8164" s="127">
        <f t="shared" si="331"/>
        <v>0</v>
      </c>
      <c r="T8164" s="128">
        <f t="shared" si="330"/>
        <v>0</v>
      </c>
      <c r="U8164" s="129" t="str">
        <f>IFERROR(IF(#REF!="S",VLOOKUP('Raw Data'!A8164,References!#REF!,2,FALSE),(VLOOKUP($S8164,References!$B$3:$C$7,2,FALSE))),"")</f>
        <v/>
      </c>
      <c r="W8164" s="74" t="str">
        <f>IFERROR(VLOOKUP($O8164,'Customer List'!$A$1:$J$488,10,FALSE),"")</f>
        <v/>
      </c>
    </row>
    <row r="8165" spans="18:23">
      <c r="R8165" s="127">
        <f t="shared" si="331"/>
        <v>0</v>
      </c>
      <c r="T8165" s="128">
        <f t="shared" si="330"/>
        <v>0</v>
      </c>
      <c r="U8165" s="129" t="str">
        <f>IFERROR(IF(#REF!="S",VLOOKUP('Raw Data'!A8165,References!#REF!,2,FALSE),(VLOOKUP($S8165,References!$B$3:$C$7,2,FALSE))),"")</f>
        <v/>
      </c>
      <c r="W8165" s="74" t="str">
        <f>IFERROR(VLOOKUP($O8165,'Customer List'!$A$1:$J$488,10,FALSE),"")</f>
        <v/>
      </c>
    </row>
    <row r="8166" spans="18:23">
      <c r="R8166" s="127">
        <f t="shared" si="331"/>
        <v>0</v>
      </c>
      <c r="T8166" s="128">
        <f t="shared" si="330"/>
        <v>0</v>
      </c>
      <c r="U8166" s="129" t="str">
        <f>IFERROR(IF(#REF!="S",VLOOKUP('Raw Data'!A8166,References!#REF!,2,FALSE),(VLOOKUP($S8166,References!$B$3:$C$7,2,FALSE))),"")</f>
        <v/>
      </c>
      <c r="W8166" s="74" t="str">
        <f>IFERROR(VLOOKUP($O8166,'Customer List'!$A$1:$J$488,10,FALSE),"")</f>
        <v/>
      </c>
    </row>
    <row r="8167" spans="18:23">
      <c r="R8167" s="127">
        <f t="shared" si="331"/>
        <v>0</v>
      </c>
      <c r="T8167" s="128">
        <f t="shared" si="330"/>
        <v>0</v>
      </c>
      <c r="U8167" s="129" t="str">
        <f>IFERROR(IF(#REF!="S",VLOOKUP('Raw Data'!A8167,References!#REF!,2,FALSE),(VLOOKUP($S8167,References!$B$3:$C$7,2,FALSE))),"")</f>
        <v/>
      </c>
      <c r="W8167" s="74" t="str">
        <f>IFERROR(VLOOKUP($O8167,'Customer List'!$A$1:$J$488,10,FALSE),"")</f>
        <v/>
      </c>
    </row>
    <row r="8168" spans="18:23">
      <c r="R8168" s="127">
        <f t="shared" si="331"/>
        <v>0</v>
      </c>
      <c r="T8168" s="128">
        <f t="shared" si="330"/>
        <v>0</v>
      </c>
      <c r="U8168" s="129" t="str">
        <f>IFERROR(IF(#REF!="S",VLOOKUP('Raw Data'!A8168,References!#REF!,2,FALSE),(VLOOKUP($S8168,References!$B$3:$C$7,2,FALSE))),"")</f>
        <v/>
      </c>
      <c r="W8168" s="74" t="str">
        <f>IFERROR(VLOOKUP($O8168,'Customer List'!$A$1:$J$488,10,FALSE),"")</f>
        <v/>
      </c>
    </row>
    <row r="8169" spans="18:23">
      <c r="R8169" s="127">
        <f t="shared" si="331"/>
        <v>0</v>
      </c>
      <c r="T8169" s="128">
        <f t="shared" si="330"/>
        <v>0</v>
      </c>
      <c r="U8169" s="129" t="str">
        <f>IFERROR(IF(#REF!="S",VLOOKUP('Raw Data'!A8169,References!#REF!,2,FALSE),(VLOOKUP($S8169,References!$B$3:$C$7,2,FALSE))),"")</f>
        <v/>
      </c>
      <c r="W8169" s="74" t="str">
        <f>IFERROR(VLOOKUP($O8169,'Customer List'!$A$1:$J$488,10,FALSE),"")</f>
        <v/>
      </c>
    </row>
    <row r="8170" spans="18:23">
      <c r="R8170" s="127">
        <f t="shared" si="331"/>
        <v>0</v>
      </c>
      <c r="T8170" s="128">
        <f t="shared" si="330"/>
        <v>0</v>
      </c>
      <c r="U8170" s="129" t="str">
        <f>IFERROR(IF(#REF!="S",VLOOKUP('Raw Data'!A8170,References!#REF!,2,FALSE),(VLOOKUP($S8170,References!$B$3:$C$7,2,FALSE))),"")</f>
        <v/>
      </c>
      <c r="W8170" s="74" t="str">
        <f>IFERROR(VLOOKUP($O8170,'Customer List'!$A$1:$J$488,10,FALSE),"")</f>
        <v/>
      </c>
    </row>
    <row r="8171" spans="18:23">
      <c r="R8171" s="127">
        <f t="shared" si="331"/>
        <v>0</v>
      </c>
      <c r="T8171" s="128">
        <f t="shared" si="330"/>
        <v>0</v>
      </c>
      <c r="U8171" s="129" t="str">
        <f>IFERROR(IF(#REF!="S",VLOOKUP('Raw Data'!A8171,References!#REF!,2,FALSE),(VLOOKUP($S8171,References!$B$3:$C$7,2,FALSE))),"")</f>
        <v/>
      </c>
      <c r="W8171" s="74" t="str">
        <f>IFERROR(VLOOKUP($O8171,'Customer List'!$A$1:$J$488,10,FALSE),"")</f>
        <v/>
      </c>
    </row>
    <row r="8172" spans="18:23">
      <c r="R8172" s="127">
        <f t="shared" si="331"/>
        <v>0</v>
      </c>
      <c r="T8172" s="128">
        <f t="shared" si="330"/>
        <v>0</v>
      </c>
      <c r="U8172" s="129" t="str">
        <f>IFERROR(IF(#REF!="S",VLOOKUP('Raw Data'!A8172,References!#REF!,2,FALSE),(VLOOKUP($S8172,References!$B$3:$C$7,2,FALSE))),"")</f>
        <v/>
      </c>
      <c r="W8172" s="74" t="str">
        <f>IFERROR(VLOOKUP($O8172,'Customer List'!$A$1:$J$488,10,FALSE),"")</f>
        <v/>
      </c>
    </row>
    <row r="8173" spans="18:23">
      <c r="R8173" s="127">
        <f t="shared" si="331"/>
        <v>0</v>
      </c>
      <c r="T8173" s="128">
        <f t="shared" si="330"/>
        <v>0</v>
      </c>
      <c r="U8173" s="129" t="str">
        <f>IFERROR(IF(#REF!="S",VLOOKUP('Raw Data'!A8173,References!#REF!,2,FALSE),(VLOOKUP($S8173,References!$B$3:$C$7,2,FALSE))),"")</f>
        <v/>
      </c>
      <c r="W8173" s="74" t="str">
        <f>IFERROR(VLOOKUP($O8173,'Customer List'!$A$1:$J$488,10,FALSE),"")</f>
        <v/>
      </c>
    </row>
    <row r="8174" spans="18:23">
      <c r="R8174" s="127">
        <f t="shared" si="331"/>
        <v>0</v>
      </c>
      <c r="T8174" s="128">
        <f t="shared" si="330"/>
        <v>0</v>
      </c>
      <c r="U8174" s="129" t="str">
        <f>IFERROR(IF(#REF!="S",VLOOKUP('Raw Data'!A8174,References!#REF!,2,FALSE),(VLOOKUP($S8174,References!$B$3:$C$7,2,FALSE))),"")</f>
        <v/>
      </c>
      <c r="W8174" s="74" t="str">
        <f>IFERROR(VLOOKUP($O8174,'Customer List'!$A$1:$J$488,10,FALSE),"")</f>
        <v/>
      </c>
    </row>
    <row r="8175" spans="18:23">
      <c r="R8175" s="127">
        <f t="shared" si="331"/>
        <v>0</v>
      </c>
      <c r="T8175" s="128">
        <f t="shared" si="330"/>
        <v>0</v>
      </c>
      <c r="U8175" s="129" t="str">
        <f>IFERROR(IF(#REF!="S",VLOOKUP('Raw Data'!A8175,References!#REF!,2,FALSE),(VLOOKUP($S8175,References!$B$3:$C$7,2,FALSE))),"")</f>
        <v/>
      </c>
      <c r="W8175" s="74" t="str">
        <f>IFERROR(VLOOKUP($O8175,'Customer List'!$A$1:$J$488,10,FALSE),"")</f>
        <v/>
      </c>
    </row>
    <row r="8176" spans="18:23">
      <c r="R8176" s="127">
        <f t="shared" si="331"/>
        <v>0</v>
      </c>
      <c r="T8176" s="128">
        <f t="shared" si="330"/>
        <v>0</v>
      </c>
      <c r="U8176" s="129" t="str">
        <f>IFERROR(IF(#REF!="S",VLOOKUP('Raw Data'!A8176,References!#REF!,2,FALSE),(VLOOKUP($S8176,References!$B$3:$C$7,2,FALSE))),"")</f>
        <v/>
      </c>
      <c r="W8176" s="74" t="str">
        <f>IFERROR(VLOOKUP($O8176,'Customer List'!$A$1:$J$488,10,FALSE),"")</f>
        <v/>
      </c>
    </row>
    <row r="8177" spans="18:23">
      <c r="R8177" s="127">
        <f t="shared" si="331"/>
        <v>0</v>
      </c>
      <c r="T8177" s="128">
        <f t="shared" si="330"/>
        <v>0</v>
      </c>
      <c r="U8177" s="129" t="str">
        <f>IFERROR(IF(#REF!="S",VLOOKUP('Raw Data'!A8177,References!#REF!,2,FALSE),(VLOOKUP($S8177,References!$B$3:$C$7,2,FALSE))),"")</f>
        <v/>
      </c>
      <c r="W8177" s="74" t="str">
        <f>IFERROR(VLOOKUP($O8177,'Customer List'!$A$1:$J$488,10,FALSE),"")</f>
        <v/>
      </c>
    </row>
    <row r="8178" spans="18:23">
      <c r="R8178" s="127">
        <f t="shared" si="331"/>
        <v>0</v>
      </c>
      <c r="T8178" s="128">
        <f t="shared" si="330"/>
        <v>0</v>
      </c>
      <c r="U8178" s="129" t="str">
        <f>IFERROR(IF(#REF!="S",VLOOKUP('Raw Data'!A8178,References!#REF!,2,FALSE),(VLOOKUP($S8178,References!$B$3:$C$7,2,FALSE))),"")</f>
        <v/>
      </c>
      <c r="W8178" s="74" t="str">
        <f>IFERROR(VLOOKUP($O8178,'Customer List'!$A$1:$J$488,10,FALSE),"")</f>
        <v/>
      </c>
    </row>
    <row r="8179" spans="18:23">
      <c r="R8179" s="127">
        <f t="shared" si="331"/>
        <v>0</v>
      </c>
      <c r="T8179" s="128">
        <f t="shared" si="330"/>
        <v>0</v>
      </c>
      <c r="U8179" s="129" t="str">
        <f>IFERROR(IF(#REF!="S",VLOOKUP('Raw Data'!A8179,References!#REF!,2,FALSE),(VLOOKUP($S8179,References!$B$3:$C$7,2,FALSE))),"")</f>
        <v/>
      </c>
      <c r="W8179" s="74" t="str">
        <f>IFERROR(VLOOKUP($O8179,'Customer List'!$A$1:$J$488,10,FALSE),"")</f>
        <v/>
      </c>
    </row>
    <row r="8180" spans="18:23">
      <c r="R8180" s="127">
        <f t="shared" si="331"/>
        <v>0</v>
      </c>
      <c r="T8180" s="128">
        <f t="shared" si="330"/>
        <v>0</v>
      </c>
      <c r="U8180" s="129" t="str">
        <f>IFERROR(IF(#REF!="S",VLOOKUP('Raw Data'!A8180,References!#REF!,2,FALSE),(VLOOKUP($S8180,References!$B$3:$C$7,2,FALSE))),"")</f>
        <v/>
      </c>
      <c r="W8180" s="74" t="str">
        <f>IFERROR(VLOOKUP($O8180,'Customer List'!$A$1:$J$488,10,FALSE),"")</f>
        <v/>
      </c>
    </row>
    <row r="8181" spans="18:23">
      <c r="R8181" s="127">
        <f t="shared" si="331"/>
        <v>0</v>
      </c>
      <c r="T8181" s="128">
        <f t="shared" si="330"/>
        <v>0</v>
      </c>
      <c r="U8181" s="129" t="str">
        <f>IFERROR(IF(#REF!="S",VLOOKUP('Raw Data'!A8181,References!#REF!,2,FALSE),(VLOOKUP($S8181,References!$B$3:$C$7,2,FALSE))),"")</f>
        <v/>
      </c>
      <c r="W8181" s="74" t="str">
        <f>IFERROR(VLOOKUP($O8181,'Customer List'!$A$1:$J$488,10,FALSE),"")</f>
        <v/>
      </c>
    </row>
    <row r="8182" spans="18:23">
      <c r="R8182" s="127">
        <f t="shared" si="331"/>
        <v>0</v>
      </c>
      <c r="T8182" s="128">
        <f t="shared" si="330"/>
        <v>0</v>
      </c>
      <c r="U8182" s="129" t="str">
        <f>IFERROR(IF(#REF!="S",VLOOKUP('Raw Data'!A8182,References!#REF!,2,FALSE),(VLOOKUP($S8182,References!$B$3:$C$7,2,FALSE))),"")</f>
        <v/>
      </c>
      <c r="W8182" s="74" t="str">
        <f>IFERROR(VLOOKUP($O8182,'Customer List'!$A$1:$J$488,10,FALSE),"")</f>
        <v/>
      </c>
    </row>
    <row r="8183" spans="18:23">
      <c r="R8183" s="127">
        <f t="shared" si="331"/>
        <v>0</v>
      </c>
      <c r="T8183" s="128">
        <f t="shared" si="330"/>
        <v>0</v>
      </c>
      <c r="U8183" s="129" t="str">
        <f>IFERROR(IF(#REF!="S",VLOOKUP('Raw Data'!A8183,References!#REF!,2,FALSE),(VLOOKUP($S8183,References!$B$3:$C$7,2,FALSE))),"")</f>
        <v/>
      </c>
      <c r="W8183" s="74" t="str">
        <f>IFERROR(VLOOKUP($O8183,'Customer List'!$A$1:$J$488,10,FALSE),"")</f>
        <v/>
      </c>
    </row>
    <row r="8184" spans="18:23">
      <c r="R8184" s="127">
        <f t="shared" si="331"/>
        <v>0</v>
      </c>
      <c r="T8184" s="128">
        <f t="shared" si="330"/>
        <v>0</v>
      </c>
      <c r="U8184" s="129" t="str">
        <f>IFERROR(IF(#REF!="S",VLOOKUP('Raw Data'!A8184,References!#REF!,2,FALSE),(VLOOKUP($S8184,References!$B$3:$C$7,2,FALSE))),"")</f>
        <v/>
      </c>
      <c r="W8184" s="74" t="str">
        <f>IFERROR(VLOOKUP($O8184,'Customer List'!$A$1:$J$488,10,FALSE),"")</f>
        <v/>
      </c>
    </row>
    <row r="8185" spans="18:23">
      <c r="R8185" s="127">
        <f t="shared" si="331"/>
        <v>0</v>
      </c>
      <c r="T8185" s="128">
        <f t="shared" si="330"/>
        <v>0</v>
      </c>
      <c r="U8185" s="129" t="str">
        <f>IFERROR(IF(#REF!="S",VLOOKUP('Raw Data'!A8185,References!#REF!,2,FALSE),(VLOOKUP($S8185,References!$B$3:$C$7,2,FALSE))),"")</f>
        <v/>
      </c>
      <c r="W8185" s="74" t="str">
        <f>IFERROR(VLOOKUP($O8185,'Customer List'!$A$1:$J$488,10,FALSE),"")</f>
        <v/>
      </c>
    </row>
    <row r="8186" spans="18:23">
      <c r="R8186" s="127">
        <f t="shared" si="331"/>
        <v>0</v>
      </c>
      <c r="T8186" s="128">
        <f t="shared" si="330"/>
        <v>0</v>
      </c>
      <c r="U8186" s="129" t="str">
        <f>IFERROR(IF(#REF!="S",VLOOKUP('Raw Data'!A8186,References!#REF!,2,FALSE),(VLOOKUP($S8186,References!$B$3:$C$7,2,FALSE))),"")</f>
        <v/>
      </c>
      <c r="W8186" s="74" t="str">
        <f>IFERROR(VLOOKUP($O8186,'Customer List'!$A$1:$J$488,10,FALSE),"")</f>
        <v/>
      </c>
    </row>
    <row r="8187" spans="18:23">
      <c r="R8187" s="127">
        <f t="shared" si="331"/>
        <v>0</v>
      </c>
      <c r="T8187" s="128">
        <f t="shared" si="330"/>
        <v>0</v>
      </c>
      <c r="U8187" s="129" t="str">
        <f>IFERROR(IF(#REF!="S",VLOOKUP('Raw Data'!A8187,References!#REF!,2,FALSE),(VLOOKUP($S8187,References!$B$3:$C$7,2,FALSE))),"")</f>
        <v/>
      </c>
      <c r="W8187" s="74" t="str">
        <f>IFERROR(VLOOKUP($O8187,'Customer List'!$A$1:$J$488,10,FALSE),"")</f>
        <v/>
      </c>
    </row>
    <row r="8188" spans="18:23">
      <c r="R8188" s="127">
        <f t="shared" si="331"/>
        <v>0</v>
      </c>
      <c r="T8188" s="128">
        <f t="shared" si="330"/>
        <v>0</v>
      </c>
      <c r="U8188" s="129" t="str">
        <f>IFERROR(IF(#REF!="S",VLOOKUP('Raw Data'!A8188,References!#REF!,2,FALSE),(VLOOKUP($S8188,References!$B$3:$C$7,2,FALSE))),"")</f>
        <v/>
      </c>
      <c r="W8188" s="74" t="str">
        <f>IFERROR(VLOOKUP($O8188,'Customer List'!$A$1:$J$488,10,FALSE),"")</f>
        <v/>
      </c>
    </row>
    <row r="8189" spans="18:23">
      <c r="R8189" s="127">
        <f t="shared" si="331"/>
        <v>0</v>
      </c>
      <c r="T8189" s="128">
        <f t="shared" si="330"/>
        <v>0</v>
      </c>
      <c r="U8189" s="129" t="str">
        <f>IFERROR(IF(#REF!="S",VLOOKUP('Raw Data'!A8189,References!#REF!,2,FALSE),(VLOOKUP($S8189,References!$B$3:$C$7,2,FALSE))),"")</f>
        <v/>
      </c>
      <c r="W8189" s="74" t="str">
        <f>IFERROR(VLOOKUP($O8189,'Customer List'!$A$1:$J$488,10,FALSE),"")</f>
        <v/>
      </c>
    </row>
    <row r="8190" spans="18:23">
      <c r="R8190" s="127">
        <f t="shared" si="331"/>
        <v>0</v>
      </c>
      <c r="T8190" s="128">
        <f t="shared" si="330"/>
        <v>0</v>
      </c>
      <c r="U8190" s="129" t="str">
        <f>IFERROR(IF(#REF!="S",VLOOKUP('Raw Data'!A8190,References!#REF!,2,FALSE),(VLOOKUP($S8190,References!$B$3:$C$7,2,FALSE))),"")</f>
        <v/>
      </c>
      <c r="W8190" s="74" t="str">
        <f>IFERROR(VLOOKUP($O8190,'Customer List'!$A$1:$J$488,10,FALSE),"")</f>
        <v/>
      </c>
    </row>
    <row r="8191" spans="18:23">
      <c r="R8191" s="127">
        <f t="shared" si="331"/>
        <v>0</v>
      </c>
      <c r="T8191" s="128">
        <f t="shared" si="330"/>
        <v>0</v>
      </c>
      <c r="U8191" s="129" t="str">
        <f>IFERROR(IF(#REF!="S",VLOOKUP('Raw Data'!A8191,References!#REF!,2,FALSE),(VLOOKUP($S8191,References!$B$3:$C$7,2,FALSE))),"")</f>
        <v/>
      </c>
      <c r="W8191" s="74" t="str">
        <f>IFERROR(VLOOKUP($O8191,'Customer List'!$A$1:$J$488,10,FALSE),"")</f>
        <v/>
      </c>
    </row>
    <row r="8192" spans="18:23">
      <c r="R8192" s="127">
        <f t="shared" si="331"/>
        <v>0</v>
      </c>
      <c r="T8192" s="128">
        <f t="shared" si="330"/>
        <v>0</v>
      </c>
      <c r="U8192" s="129" t="str">
        <f>IFERROR(IF(#REF!="S",VLOOKUP('Raw Data'!A8192,References!#REF!,2,FALSE),(VLOOKUP($S8192,References!$B$3:$C$7,2,FALSE))),"")</f>
        <v/>
      </c>
      <c r="W8192" s="74" t="str">
        <f>IFERROR(VLOOKUP($O8192,'Customer List'!$A$1:$J$488,10,FALSE),"")</f>
        <v/>
      </c>
    </row>
    <row r="8193" spans="18:23">
      <c r="R8193" s="127">
        <f t="shared" si="331"/>
        <v>0</v>
      </c>
      <c r="T8193" s="128">
        <f t="shared" si="330"/>
        <v>0</v>
      </c>
      <c r="U8193" s="129" t="str">
        <f>IFERROR(IF(#REF!="S",VLOOKUP('Raw Data'!A8193,References!#REF!,2,FALSE),(VLOOKUP($S8193,References!$B$3:$C$7,2,FALSE))),"")</f>
        <v/>
      </c>
      <c r="W8193" s="74" t="str">
        <f>IFERROR(VLOOKUP($O8193,'Customer List'!$A$1:$J$488,10,FALSE),"")</f>
        <v/>
      </c>
    </row>
    <row r="8194" spans="18:23">
      <c r="R8194" s="127">
        <f t="shared" si="331"/>
        <v>0</v>
      </c>
      <c r="T8194" s="128">
        <f t="shared" si="330"/>
        <v>0</v>
      </c>
      <c r="U8194" s="129" t="str">
        <f>IFERROR(IF(#REF!="S",VLOOKUP('Raw Data'!A8194,References!#REF!,2,FALSE),(VLOOKUP($S8194,References!$B$3:$C$7,2,FALSE))),"")</f>
        <v/>
      </c>
      <c r="W8194" s="74" t="str">
        <f>IFERROR(VLOOKUP($O8194,'Customer List'!$A$1:$J$488,10,FALSE),"")</f>
        <v/>
      </c>
    </row>
    <row r="8195" spans="18:23">
      <c r="R8195" s="127">
        <f t="shared" si="331"/>
        <v>0</v>
      </c>
      <c r="T8195" s="128">
        <f t="shared" si="330"/>
        <v>0</v>
      </c>
      <c r="U8195" s="129" t="str">
        <f>IFERROR(IF(#REF!="S",VLOOKUP('Raw Data'!A8195,References!#REF!,2,FALSE),(VLOOKUP($S8195,References!$B$3:$C$7,2,FALSE))),"")</f>
        <v/>
      </c>
      <c r="W8195" s="74" t="str">
        <f>IFERROR(VLOOKUP($O8195,'Customer List'!$A$1:$J$488,10,FALSE),"")</f>
        <v/>
      </c>
    </row>
    <row r="8196" spans="18:23">
      <c r="R8196" s="127">
        <f t="shared" si="331"/>
        <v>0</v>
      </c>
      <c r="T8196" s="128">
        <f t="shared" si="330"/>
        <v>0</v>
      </c>
      <c r="U8196" s="129" t="str">
        <f>IFERROR(IF(#REF!="S",VLOOKUP('Raw Data'!A8196,References!#REF!,2,FALSE),(VLOOKUP($S8196,References!$B$3:$C$7,2,FALSE))),"")</f>
        <v/>
      </c>
      <c r="W8196" s="74" t="str">
        <f>IFERROR(VLOOKUP($O8196,'Customer List'!$A$1:$J$488,10,FALSE),"")</f>
        <v/>
      </c>
    </row>
    <row r="8197" spans="18:23">
      <c r="R8197" s="127">
        <f t="shared" si="331"/>
        <v>0</v>
      </c>
      <c r="T8197" s="128">
        <f t="shared" si="330"/>
        <v>0</v>
      </c>
      <c r="U8197" s="129" t="str">
        <f>IFERROR(IF(#REF!="S",VLOOKUP('Raw Data'!A8197,References!#REF!,2,FALSE),(VLOOKUP($S8197,References!$B$3:$C$7,2,FALSE))),"")</f>
        <v/>
      </c>
      <c r="W8197" s="74" t="str">
        <f>IFERROR(VLOOKUP($O8197,'Customer List'!$A$1:$J$488,10,FALSE),"")</f>
        <v/>
      </c>
    </row>
    <row r="8198" spans="18:23">
      <c r="R8198" s="127">
        <f t="shared" si="331"/>
        <v>0</v>
      </c>
      <c r="T8198" s="128">
        <f t="shared" si="330"/>
        <v>0</v>
      </c>
      <c r="U8198" s="129" t="str">
        <f>IFERROR(IF(#REF!="S",VLOOKUP('Raw Data'!A8198,References!#REF!,2,FALSE),(VLOOKUP($S8198,References!$B$3:$C$7,2,FALSE))),"")</f>
        <v/>
      </c>
      <c r="W8198" s="74" t="str">
        <f>IFERROR(VLOOKUP($O8198,'Customer List'!$A$1:$J$488,10,FALSE),"")</f>
        <v/>
      </c>
    </row>
    <row r="8199" spans="18:23">
      <c r="R8199" s="127">
        <f t="shared" si="331"/>
        <v>0</v>
      </c>
      <c r="T8199" s="128">
        <f t="shared" si="330"/>
        <v>0</v>
      </c>
      <c r="U8199" s="129" t="str">
        <f>IFERROR(IF(#REF!="S",VLOOKUP('Raw Data'!A8199,References!#REF!,2,FALSE),(VLOOKUP($S8199,References!$B$3:$C$7,2,FALSE))),"")</f>
        <v/>
      </c>
      <c r="W8199" s="74" t="str">
        <f>IFERROR(VLOOKUP($O8199,'Customer List'!$A$1:$J$488,10,FALSE),"")</f>
        <v/>
      </c>
    </row>
    <row r="8200" spans="18:23">
      <c r="R8200" s="127">
        <f t="shared" si="331"/>
        <v>0</v>
      </c>
      <c r="T8200" s="128">
        <f t="shared" si="330"/>
        <v>0</v>
      </c>
      <c r="U8200" s="129" t="str">
        <f>IFERROR(IF(#REF!="S",VLOOKUP('Raw Data'!A8200,References!#REF!,2,FALSE),(VLOOKUP($S8200,References!$B$3:$C$7,2,FALSE))),"")</f>
        <v/>
      </c>
      <c r="W8200" s="74" t="str">
        <f>IFERROR(VLOOKUP($O8200,'Customer List'!$A$1:$J$488,10,FALSE),"")</f>
        <v/>
      </c>
    </row>
    <row r="8201" spans="18:23">
      <c r="R8201" s="127">
        <f t="shared" si="331"/>
        <v>0</v>
      </c>
      <c r="T8201" s="128">
        <f t="shared" si="330"/>
        <v>0</v>
      </c>
      <c r="U8201" s="129" t="str">
        <f>IFERROR(IF(#REF!="S",VLOOKUP('Raw Data'!A8201,References!#REF!,2,FALSE),(VLOOKUP($S8201,References!$B$3:$C$7,2,FALSE))),"")</f>
        <v/>
      </c>
      <c r="W8201" s="74" t="str">
        <f>IFERROR(VLOOKUP($O8201,'Customer List'!$A$1:$J$488,10,FALSE),"")</f>
        <v/>
      </c>
    </row>
    <row r="8202" spans="18:23">
      <c r="R8202" s="127">
        <f t="shared" si="331"/>
        <v>0</v>
      </c>
      <c r="T8202" s="128">
        <f t="shared" ref="T8202:T8265" si="332">IF(S8202="50 - Cleaning Fee",1,HOUR($R8202)+MINUTE(R8202)/60)</f>
        <v>0</v>
      </c>
      <c r="U8202" s="129" t="str">
        <f>IFERROR(IF(#REF!="S",VLOOKUP('Raw Data'!A8202,References!#REF!,2,FALSE),(VLOOKUP($S8202,References!$B$3:$C$7,2,FALSE))),"")</f>
        <v/>
      </c>
      <c r="W8202" s="74" t="str">
        <f>IFERROR(VLOOKUP($O8202,'Customer List'!$A$1:$J$488,10,FALSE),"")</f>
        <v/>
      </c>
    </row>
    <row r="8203" spans="18:23">
      <c r="R8203" s="127">
        <f t="shared" si="331"/>
        <v>0</v>
      </c>
      <c r="T8203" s="128">
        <f t="shared" si="332"/>
        <v>0</v>
      </c>
      <c r="U8203" s="129" t="str">
        <f>IFERROR(IF(#REF!="S",VLOOKUP('Raw Data'!A8203,References!#REF!,2,FALSE),(VLOOKUP($S8203,References!$B$3:$C$7,2,FALSE))),"")</f>
        <v/>
      </c>
      <c r="W8203" s="74" t="str">
        <f>IFERROR(VLOOKUP($O8203,'Customer List'!$A$1:$J$488,10,FALSE),"")</f>
        <v/>
      </c>
    </row>
    <row r="8204" spans="18:23">
      <c r="R8204" s="127">
        <f t="shared" si="331"/>
        <v>0</v>
      </c>
      <c r="T8204" s="128">
        <f t="shared" si="332"/>
        <v>0</v>
      </c>
      <c r="U8204" s="129" t="str">
        <f>IFERROR(IF(#REF!="S",VLOOKUP('Raw Data'!A8204,References!#REF!,2,FALSE),(VLOOKUP($S8204,References!$B$3:$C$7,2,FALSE))),"")</f>
        <v/>
      </c>
      <c r="W8204" s="74" t="str">
        <f>IFERROR(VLOOKUP($O8204,'Customer List'!$A$1:$J$488,10,FALSE),"")</f>
        <v/>
      </c>
    </row>
    <row r="8205" spans="18:23">
      <c r="R8205" s="127">
        <f t="shared" si="331"/>
        <v>0</v>
      </c>
      <c r="T8205" s="128">
        <f t="shared" si="332"/>
        <v>0</v>
      </c>
      <c r="U8205" s="129" t="str">
        <f>IFERROR(IF(#REF!="S",VLOOKUP('Raw Data'!A8205,References!#REF!,2,FALSE),(VLOOKUP($S8205,References!$B$3:$C$7,2,FALSE))),"")</f>
        <v/>
      </c>
      <c r="W8205" s="74" t="str">
        <f>IFERROR(VLOOKUP($O8205,'Customer List'!$A$1:$J$488,10,FALSE),"")</f>
        <v/>
      </c>
    </row>
    <row r="8206" spans="18:23">
      <c r="R8206" s="127">
        <f t="shared" si="331"/>
        <v>0</v>
      </c>
      <c r="T8206" s="128">
        <f t="shared" si="332"/>
        <v>0</v>
      </c>
      <c r="U8206" s="129" t="str">
        <f>IFERROR(IF(#REF!="S",VLOOKUP('Raw Data'!A8206,References!#REF!,2,FALSE),(VLOOKUP($S8206,References!$B$3:$C$7,2,FALSE))),"")</f>
        <v/>
      </c>
      <c r="W8206" s="74" t="str">
        <f>IFERROR(VLOOKUP($O8206,'Customer List'!$A$1:$J$488,10,FALSE),"")</f>
        <v/>
      </c>
    </row>
    <row r="8207" spans="18:23">
      <c r="R8207" s="127">
        <f t="shared" si="331"/>
        <v>0</v>
      </c>
      <c r="T8207" s="128">
        <f t="shared" si="332"/>
        <v>0</v>
      </c>
      <c r="U8207" s="129" t="str">
        <f>IFERROR(IF(#REF!="S",VLOOKUP('Raw Data'!A8207,References!#REF!,2,FALSE),(VLOOKUP($S8207,References!$B$3:$C$7,2,FALSE))),"")</f>
        <v/>
      </c>
      <c r="W8207" s="74" t="str">
        <f>IFERROR(VLOOKUP($O8207,'Customer List'!$A$1:$J$488,10,FALSE),"")</f>
        <v/>
      </c>
    </row>
    <row r="8208" spans="18:23">
      <c r="R8208" s="127">
        <f t="shared" si="331"/>
        <v>0</v>
      </c>
      <c r="T8208" s="128">
        <f t="shared" si="332"/>
        <v>0</v>
      </c>
      <c r="U8208" s="129" t="str">
        <f>IFERROR(IF(#REF!="S",VLOOKUP('Raw Data'!A8208,References!#REF!,2,FALSE),(VLOOKUP($S8208,References!$B$3:$C$7,2,FALSE))),"")</f>
        <v/>
      </c>
      <c r="W8208" s="74" t="str">
        <f>IFERROR(VLOOKUP($O8208,'Customer List'!$A$1:$J$488,10,FALSE),"")</f>
        <v/>
      </c>
    </row>
    <row r="8209" spans="18:23">
      <c r="R8209" s="127">
        <f t="shared" si="331"/>
        <v>0</v>
      </c>
      <c r="T8209" s="128">
        <f t="shared" si="332"/>
        <v>0</v>
      </c>
      <c r="U8209" s="129" t="str">
        <f>IFERROR(IF(#REF!="S",VLOOKUP('Raw Data'!A8209,References!#REF!,2,FALSE),(VLOOKUP($S8209,References!$B$3:$C$7,2,FALSE))),"")</f>
        <v/>
      </c>
      <c r="W8209" s="74" t="str">
        <f>IFERROR(VLOOKUP($O8209,'Customer List'!$A$1:$J$488,10,FALSE),"")</f>
        <v/>
      </c>
    </row>
    <row r="8210" spans="18:23">
      <c r="R8210" s="127">
        <f t="shared" si="331"/>
        <v>0</v>
      </c>
      <c r="T8210" s="128">
        <f t="shared" si="332"/>
        <v>0</v>
      </c>
      <c r="U8210" s="129" t="str">
        <f>IFERROR(IF(#REF!="S",VLOOKUP('Raw Data'!A8210,References!#REF!,2,FALSE),(VLOOKUP($S8210,References!$B$3:$C$7,2,FALSE))),"")</f>
        <v/>
      </c>
      <c r="W8210" s="74" t="str">
        <f>IFERROR(VLOOKUP($O8210,'Customer List'!$A$1:$J$488,10,FALSE),"")</f>
        <v/>
      </c>
    </row>
    <row r="8211" spans="18:23">
      <c r="R8211" s="127">
        <f t="shared" si="331"/>
        <v>0</v>
      </c>
      <c r="T8211" s="128">
        <f t="shared" si="332"/>
        <v>0</v>
      </c>
      <c r="U8211" s="129" t="str">
        <f>IFERROR(IF(#REF!="S",VLOOKUP('Raw Data'!A8211,References!#REF!,2,FALSE),(VLOOKUP($S8211,References!$B$3:$C$7,2,FALSE))),"")</f>
        <v/>
      </c>
      <c r="W8211" s="74" t="str">
        <f>IFERROR(VLOOKUP($O8211,'Customer List'!$A$1:$J$488,10,FALSE),"")</f>
        <v/>
      </c>
    </row>
    <row r="8212" spans="18:23">
      <c r="R8212" s="127">
        <f t="shared" si="331"/>
        <v>0</v>
      </c>
      <c r="T8212" s="128">
        <f t="shared" si="332"/>
        <v>0</v>
      </c>
      <c r="U8212" s="129" t="str">
        <f>IFERROR(IF(#REF!="S",VLOOKUP('Raw Data'!A8212,References!#REF!,2,FALSE),(VLOOKUP($S8212,References!$B$3:$C$7,2,FALSE))),"")</f>
        <v/>
      </c>
      <c r="W8212" s="74" t="str">
        <f>IFERROR(VLOOKUP($O8212,'Customer List'!$A$1:$J$488,10,FALSE),"")</f>
        <v/>
      </c>
    </row>
    <row r="8213" spans="18:23">
      <c r="R8213" s="127">
        <f t="shared" si="331"/>
        <v>0</v>
      </c>
      <c r="T8213" s="128">
        <f t="shared" si="332"/>
        <v>0</v>
      </c>
      <c r="U8213" s="129" t="str">
        <f>IFERROR(IF(#REF!="S",VLOOKUP('Raw Data'!A8213,References!#REF!,2,FALSE),(VLOOKUP($S8213,References!$B$3:$C$7,2,FALSE))),"")</f>
        <v/>
      </c>
      <c r="W8213" s="74" t="str">
        <f>IFERROR(VLOOKUP($O8213,'Customer List'!$A$1:$J$488,10,FALSE),"")</f>
        <v/>
      </c>
    </row>
    <row r="8214" spans="18:23">
      <c r="R8214" s="127">
        <f t="shared" si="331"/>
        <v>0</v>
      </c>
      <c r="T8214" s="128">
        <f t="shared" si="332"/>
        <v>0</v>
      </c>
      <c r="U8214" s="129" t="str">
        <f>IFERROR(IF(#REF!="S",VLOOKUP('Raw Data'!A8214,References!#REF!,2,FALSE),(VLOOKUP($S8214,References!$B$3:$C$7,2,FALSE))),"")</f>
        <v/>
      </c>
      <c r="W8214" s="74" t="str">
        <f>IFERROR(VLOOKUP($O8214,'Customer List'!$A$1:$J$488,10,FALSE),"")</f>
        <v/>
      </c>
    </row>
    <row r="8215" spans="18:23">
      <c r="R8215" s="127">
        <f t="shared" si="331"/>
        <v>0</v>
      </c>
      <c r="T8215" s="128">
        <f t="shared" si="332"/>
        <v>0</v>
      </c>
      <c r="U8215" s="129" t="str">
        <f>IFERROR(IF(#REF!="S",VLOOKUP('Raw Data'!A8215,References!#REF!,2,FALSE),(VLOOKUP($S8215,References!$B$3:$C$7,2,FALSE))),"")</f>
        <v/>
      </c>
      <c r="W8215" s="74" t="str">
        <f>IFERROR(VLOOKUP($O8215,'Customer List'!$A$1:$J$488,10,FALSE),"")</f>
        <v/>
      </c>
    </row>
    <row r="8216" spans="18:23">
      <c r="R8216" s="127">
        <f t="shared" si="331"/>
        <v>0</v>
      </c>
      <c r="T8216" s="128">
        <f t="shared" si="332"/>
        <v>0</v>
      </c>
      <c r="U8216" s="129" t="str">
        <f>IFERROR(IF(#REF!="S",VLOOKUP('Raw Data'!A8216,References!#REF!,2,FALSE),(VLOOKUP($S8216,References!$B$3:$C$7,2,FALSE))),"")</f>
        <v/>
      </c>
      <c r="W8216" s="74" t="str">
        <f>IFERROR(VLOOKUP($O8216,'Customer List'!$A$1:$J$488,10,FALSE),"")</f>
        <v/>
      </c>
    </row>
    <row r="8217" spans="18:23">
      <c r="R8217" s="127">
        <f t="shared" si="331"/>
        <v>0</v>
      </c>
      <c r="T8217" s="128">
        <f t="shared" si="332"/>
        <v>0</v>
      </c>
      <c r="U8217" s="129" t="str">
        <f>IFERROR(IF(#REF!="S",VLOOKUP('Raw Data'!A8217,References!#REF!,2,FALSE),(VLOOKUP($S8217,References!$B$3:$C$7,2,FALSE))),"")</f>
        <v/>
      </c>
      <c r="W8217" s="74" t="str">
        <f>IFERROR(VLOOKUP($O8217,'Customer List'!$A$1:$J$488,10,FALSE),"")</f>
        <v/>
      </c>
    </row>
    <row r="8218" spans="18:23">
      <c r="R8218" s="127">
        <f t="shared" si="331"/>
        <v>0</v>
      </c>
      <c r="T8218" s="128">
        <f t="shared" si="332"/>
        <v>0</v>
      </c>
      <c r="U8218" s="129" t="str">
        <f>IFERROR(IF(#REF!="S",VLOOKUP('Raw Data'!A8218,References!#REF!,2,FALSE),(VLOOKUP($S8218,References!$B$3:$C$7,2,FALSE))),"")</f>
        <v/>
      </c>
      <c r="W8218" s="74" t="str">
        <f>IFERROR(VLOOKUP($O8218,'Customer List'!$A$1:$J$488,10,FALSE),"")</f>
        <v/>
      </c>
    </row>
    <row r="8219" spans="18:23">
      <c r="R8219" s="127">
        <f t="shared" si="331"/>
        <v>0</v>
      </c>
      <c r="T8219" s="128">
        <f t="shared" si="332"/>
        <v>0</v>
      </c>
      <c r="U8219" s="129" t="str">
        <f>IFERROR(IF(#REF!="S",VLOOKUP('Raw Data'!A8219,References!#REF!,2,FALSE),(VLOOKUP($S8219,References!$B$3:$C$7,2,FALSE))),"")</f>
        <v/>
      </c>
      <c r="W8219" s="74" t="str">
        <f>IFERROR(VLOOKUP($O8219,'Customer List'!$A$1:$J$488,10,FALSE),"")</f>
        <v/>
      </c>
    </row>
    <row r="8220" spans="18:23">
      <c r="R8220" s="127">
        <f t="shared" si="331"/>
        <v>0</v>
      </c>
      <c r="T8220" s="128">
        <f t="shared" si="332"/>
        <v>0</v>
      </c>
      <c r="U8220" s="129" t="str">
        <f>IFERROR(IF(#REF!="S",VLOOKUP('Raw Data'!A8220,References!#REF!,2,FALSE),(VLOOKUP($S8220,References!$B$3:$C$7,2,FALSE))),"")</f>
        <v/>
      </c>
      <c r="W8220" s="74" t="str">
        <f>IFERROR(VLOOKUP($O8220,'Customer List'!$A$1:$J$488,10,FALSE),"")</f>
        <v/>
      </c>
    </row>
    <row r="8221" spans="18:23">
      <c r="R8221" s="127">
        <f t="shared" si="331"/>
        <v>0</v>
      </c>
      <c r="T8221" s="128">
        <f t="shared" si="332"/>
        <v>0</v>
      </c>
      <c r="U8221" s="129" t="str">
        <f>IFERROR(IF(#REF!="S",VLOOKUP('Raw Data'!A8221,References!#REF!,2,FALSE),(VLOOKUP($S8221,References!$B$3:$C$7,2,FALSE))),"")</f>
        <v/>
      </c>
      <c r="W8221" s="74" t="str">
        <f>IFERROR(VLOOKUP($O8221,'Customer List'!$A$1:$J$488,10,FALSE),"")</f>
        <v/>
      </c>
    </row>
    <row r="8222" spans="18:23">
      <c r="R8222" s="127">
        <f t="shared" si="331"/>
        <v>0</v>
      </c>
      <c r="T8222" s="128">
        <f t="shared" si="332"/>
        <v>0</v>
      </c>
      <c r="U8222" s="129" t="str">
        <f>IFERROR(IF(#REF!="S",VLOOKUP('Raw Data'!A8222,References!#REF!,2,FALSE),(VLOOKUP($S8222,References!$B$3:$C$7,2,FALSE))),"")</f>
        <v/>
      </c>
      <c r="W8222" s="74" t="str">
        <f>IFERROR(VLOOKUP($O8222,'Customer List'!$A$1:$J$488,10,FALSE),"")</f>
        <v/>
      </c>
    </row>
    <row r="8223" spans="18:23">
      <c r="R8223" s="127">
        <f t="shared" si="331"/>
        <v>0</v>
      </c>
      <c r="T8223" s="128">
        <f t="shared" si="332"/>
        <v>0</v>
      </c>
      <c r="U8223" s="129" t="str">
        <f>IFERROR(IF(#REF!="S",VLOOKUP('Raw Data'!A8223,References!#REF!,2,FALSE),(VLOOKUP($S8223,References!$B$3:$C$7,2,FALSE))),"")</f>
        <v/>
      </c>
      <c r="W8223" s="74" t="str">
        <f>IFERROR(VLOOKUP($O8223,'Customer List'!$A$1:$J$488,10,FALSE),"")</f>
        <v/>
      </c>
    </row>
    <row r="8224" spans="18:23">
      <c r="R8224" s="127">
        <f t="shared" si="331"/>
        <v>0</v>
      </c>
      <c r="T8224" s="128">
        <f t="shared" si="332"/>
        <v>0</v>
      </c>
      <c r="U8224" s="129" t="str">
        <f>IFERROR(IF(#REF!="S",VLOOKUP('Raw Data'!A8224,References!#REF!,2,FALSE),(VLOOKUP($S8224,References!$B$3:$C$7,2,FALSE))),"")</f>
        <v/>
      </c>
      <c r="W8224" s="74" t="str">
        <f>IFERROR(VLOOKUP($O8224,'Customer List'!$A$1:$J$488,10,FALSE),"")</f>
        <v/>
      </c>
    </row>
    <row r="8225" spans="18:23">
      <c r="R8225" s="127">
        <f t="shared" si="331"/>
        <v>0</v>
      </c>
      <c r="T8225" s="128">
        <f t="shared" si="332"/>
        <v>0</v>
      </c>
      <c r="U8225" s="129" t="str">
        <f>IFERROR(IF(#REF!="S",VLOOKUP('Raw Data'!A8225,References!#REF!,2,FALSE),(VLOOKUP($S8225,References!$B$3:$C$7,2,FALSE))),"")</f>
        <v/>
      </c>
      <c r="W8225" s="74" t="str">
        <f>IFERROR(VLOOKUP($O8225,'Customer List'!$A$1:$J$488,10,FALSE),"")</f>
        <v/>
      </c>
    </row>
    <row r="8226" spans="18:23">
      <c r="R8226" s="127">
        <f t="shared" ref="R8226:R8289" si="333">L8226-K8226</f>
        <v>0</v>
      </c>
      <c r="T8226" s="128">
        <f t="shared" si="332"/>
        <v>0</v>
      </c>
      <c r="U8226" s="129" t="str">
        <f>IFERROR(IF(#REF!="S",VLOOKUP('Raw Data'!A8226,References!#REF!,2,FALSE),(VLOOKUP($S8226,References!$B$3:$C$7,2,FALSE))),"")</f>
        <v/>
      </c>
      <c r="W8226" s="74" t="str">
        <f>IFERROR(VLOOKUP($O8226,'Customer List'!$A$1:$J$488,10,FALSE),"")</f>
        <v/>
      </c>
    </row>
    <row r="8227" spans="18:23">
      <c r="R8227" s="127">
        <f t="shared" si="333"/>
        <v>0</v>
      </c>
      <c r="T8227" s="128">
        <f t="shared" si="332"/>
        <v>0</v>
      </c>
      <c r="U8227" s="129" t="str">
        <f>IFERROR(IF(#REF!="S",VLOOKUP('Raw Data'!A8227,References!#REF!,2,FALSE),(VLOOKUP($S8227,References!$B$3:$C$7,2,FALSE))),"")</f>
        <v/>
      </c>
      <c r="W8227" s="74" t="str">
        <f>IFERROR(VLOOKUP($O8227,'Customer List'!$A$1:$J$488,10,FALSE),"")</f>
        <v/>
      </c>
    </row>
    <row r="8228" spans="18:23">
      <c r="R8228" s="127">
        <f t="shared" si="333"/>
        <v>0</v>
      </c>
      <c r="T8228" s="128">
        <f t="shared" si="332"/>
        <v>0</v>
      </c>
      <c r="U8228" s="129" t="str">
        <f>IFERROR(IF(#REF!="S",VLOOKUP('Raw Data'!A8228,References!#REF!,2,FALSE),(VLOOKUP($S8228,References!$B$3:$C$7,2,FALSE))),"")</f>
        <v/>
      </c>
      <c r="W8228" s="74" t="str">
        <f>IFERROR(VLOOKUP($O8228,'Customer List'!$A$1:$J$488,10,FALSE),"")</f>
        <v/>
      </c>
    </row>
    <row r="8229" spans="18:23">
      <c r="R8229" s="127">
        <f t="shared" si="333"/>
        <v>0</v>
      </c>
      <c r="T8229" s="128">
        <f t="shared" si="332"/>
        <v>0</v>
      </c>
      <c r="U8229" s="129" t="str">
        <f>IFERROR(IF(#REF!="S",VLOOKUP('Raw Data'!A8229,References!#REF!,2,FALSE),(VLOOKUP($S8229,References!$B$3:$C$7,2,FALSE))),"")</f>
        <v/>
      </c>
      <c r="W8229" s="74" t="str">
        <f>IFERROR(VLOOKUP($O8229,'Customer List'!$A$1:$J$488,10,FALSE),"")</f>
        <v/>
      </c>
    </row>
    <row r="8230" spans="18:23">
      <c r="R8230" s="127">
        <f t="shared" si="333"/>
        <v>0</v>
      </c>
      <c r="T8230" s="128">
        <f t="shared" si="332"/>
        <v>0</v>
      </c>
      <c r="U8230" s="129" t="str">
        <f>IFERROR(IF(#REF!="S",VLOOKUP('Raw Data'!A8230,References!#REF!,2,FALSE),(VLOOKUP($S8230,References!$B$3:$C$7,2,FALSE))),"")</f>
        <v/>
      </c>
      <c r="W8230" s="74" t="str">
        <f>IFERROR(VLOOKUP($O8230,'Customer List'!$A$1:$J$488,10,FALSE),"")</f>
        <v/>
      </c>
    </row>
    <row r="8231" spans="18:23">
      <c r="R8231" s="127">
        <f t="shared" si="333"/>
        <v>0</v>
      </c>
      <c r="T8231" s="128">
        <f t="shared" si="332"/>
        <v>0</v>
      </c>
      <c r="U8231" s="129" t="str">
        <f>IFERROR(IF(#REF!="S",VLOOKUP('Raw Data'!A8231,References!#REF!,2,FALSE),(VLOOKUP($S8231,References!$B$3:$C$7,2,FALSE))),"")</f>
        <v/>
      </c>
      <c r="W8231" s="74" t="str">
        <f>IFERROR(VLOOKUP($O8231,'Customer List'!$A$1:$J$488,10,FALSE),"")</f>
        <v/>
      </c>
    </row>
    <row r="8232" spans="18:23">
      <c r="R8232" s="127">
        <f t="shared" si="333"/>
        <v>0</v>
      </c>
      <c r="T8232" s="128">
        <f t="shared" si="332"/>
        <v>0</v>
      </c>
      <c r="U8232" s="129" t="str">
        <f>IFERROR(IF(#REF!="S",VLOOKUP('Raw Data'!A8232,References!#REF!,2,FALSE),(VLOOKUP($S8232,References!$B$3:$C$7,2,FALSE))),"")</f>
        <v/>
      </c>
      <c r="W8232" s="74" t="str">
        <f>IFERROR(VLOOKUP($O8232,'Customer List'!$A$1:$J$488,10,FALSE),"")</f>
        <v/>
      </c>
    </row>
    <row r="8233" spans="18:23">
      <c r="R8233" s="127">
        <f t="shared" si="333"/>
        <v>0</v>
      </c>
      <c r="T8233" s="128">
        <f t="shared" si="332"/>
        <v>0</v>
      </c>
      <c r="U8233" s="129" t="str">
        <f>IFERROR(IF(#REF!="S",VLOOKUP('Raw Data'!A8233,References!#REF!,2,FALSE),(VLOOKUP($S8233,References!$B$3:$C$7,2,FALSE))),"")</f>
        <v/>
      </c>
      <c r="W8233" s="74" t="str">
        <f>IFERROR(VLOOKUP($O8233,'Customer List'!$A$1:$J$488,10,FALSE),"")</f>
        <v/>
      </c>
    </row>
    <row r="8234" spans="18:23">
      <c r="R8234" s="127">
        <f t="shared" si="333"/>
        <v>0</v>
      </c>
      <c r="T8234" s="128">
        <f t="shared" si="332"/>
        <v>0</v>
      </c>
      <c r="U8234" s="129" t="str">
        <f>IFERROR(IF(#REF!="S",VLOOKUP('Raw Data'!A8234,References!#REF!,2,FALSE),(VLOOKUP($S8234,References!$B$3:$C$7,2,FALSE))),"")</f>
        <v/>
      </c>
      <c r="W8234" s="74" t="str">
        <f>IFERROR(VLOOKUP($O8234,'Customer List'!$A$1:$J$488,10,FALSE),"")</f>
        <v/>
      </c>
    </row>
    <row r="8235" spans="18:23">
      <c r="R8235" s="127">
        <f t="shared" si="333"/>
        <v>0</v>
      </c>
      <c r="T8235" s="128">
        <f t="shared" si="332"/>
        <v>0</v>
      </c>
      <c r="U8235" s="129" t="str">
        <f>IFERROR(IF(#REF!="S",VLOOKUP('Raw Data'!A8235,References!#REF!,2,FALSE),(VLOOKUP($S8235,References!$B$3:$C$7,2,FALSE))),"")</f>
        <v/>
      </c>
      <c r="W8235" s="74" t="str">
        <f>IFERROR(VLOOKUP($O8235,'Customer List'!$A$1:$J$488,10,FALSE),"")</f>
        <v/>
      </c>
    </row>
    <row r="8236" spans="18:23">
      <c r="R8236" s="127">
        <f t="shared" si="333"/>
        <v>0</v>
      </c>
      <c r="T8236" s="128">
        <f t="shared" si="332"/>
        <v>0</v>
      </c>
      <c r="U8236" s="129" t="str">
        <f>IFERROR(IF(#REF!="S",VLOOKUP('Raw Data'!A8236,References!#REF!,2,FALSE),(VLOOKUP($S8236,References!$B$3:$C$7,2,FALSE))),"")</f>
        <v/>
      </c>
      <c r="W8236" s="74" t="str">
        <f>IFERROR(VLOOKUP($O8236,'Customer List'!$A$1:$J$488,10,FALSE),"")</f>
        <v/>
      </c>
    </row>
    <row r="8237" spans="18:23">
      <c r="R8237" s="127">
        <f t="shared" si="333"/>
        <v>0</v>
      </c>
      <c r="T8237" s="128">
        <f t="shared" si="332"/>
        <v>0</v>
      </c>
      <c r="U8237" s="129" t="str">
        <f>IFERROR(IF(#REF!="S",VLOOKUP('Raw Data'!A8237,References!#REF!,2,FALSE),(VLOOKUP($S8237,References!$B$3:$C$7,2,FALSE))),"")</f>
        <v/>
      </c>
      <c r="W8237" s="74" t="str">
        <f>IFERROR(VLOOKUP($O8237,'Customer List'!$A$1:$J$488,10,FALSE),"")</f>
        <v/>
      </c>
    </row>
    <row r="8238" spans="18:23">
      <c r="R8238" s="127">
        <f t="shared" si="333"/>
        <v>0</v>
      </c>
      <c r="T8238" s="128">
        <f t="shared" si="332"/>
        <v>0</v>
      </c>
      <c r="U8238" s="129" t="str">
        <f>IFERROR(IF(#REF!="S",VLOOKUP('Raw Data'!A8238,References!#REF!,2,FALSE),(VLOOKUP($S8238,References!$B$3:$C$7,2,FALSE))),"")</f>
        <v/>
      </c>
      <c r="W8238" s="74" t="str">
        <f>IFERROR(VLOOKUP($O8238,'Customer List'!$A$1:$J$488,10,FALSE),"")</f>
        <v/>
      </c>
    </row>
    <row r="8239" spans="18:23">
      <c r="R8239" s="127">
        <f t="shared" si="333"/>
        <v>0</v>
      </c>
      <c r="T8239" s="128">
        <f t="shared" si="332"/>
        <v>0</v>
      </c>
      <c r="U8239" s="129" t="str">
        <f>IFERROR(IF(#REF!="S",VLOOKUP('Raw Data'!A8239,References!#REF!,2,FALSE),(VLOOKUP($S8239,References!$B$3:$C$7,2,FALSE))),"")</f>
        <v/>
      </c>
      <c r="W8239" s="74" t="str">
        <f>IFERROR(VLOOKUP($O8239,'Customer List'!$A$1:$J$488,10,FALSE),"")</f>
        <v/>
      </c>
    </row>
    <row r="8240" spans="18:23">
      <c r="R8240" s="127">
        <f t="shared" si="333"/>
        <v>0</v>
      </c>
      <c r="T8240" s="128">
        <f t="shared" si="332"/>
        <v>0</v>
      </c>
      <c r="U8240" s="129" t="str">
        <f>IFERROR(IF(#REF!="S",VLOOKUP('Raw Data'!A8240,References!#REF!,2,FALSE),(VLOOKUP($S8240,References!$B$3:$C$7,2,FALSE))),"")</f>
        <v/>
      </c>
      <c r="W8240" s="74" t="str">
        <f>IFERROR(VLOOKUP($O8240,'Customer List'!$A$1:$J$488,10,FALSE),"")</f>
        <v/>
      </c>
    </row>
    <row r="8241" spans="18:23">
      <c r="R8241" s="127">
        <f t="shared" si="333"/>
        <v>0</v>
      </c>
      <c r="T8241" s="128">
        <f t="shared" si="332"/>
        <v>0</v>
      </c>
      <c r="U8241" s="129" t="str">
        <f>IFERROR(IF(#REF!="S",VLOOKUP('Raw Data'!A8241,References!#REF!,2,FALSE),(VLOOKUP($S8241,References!$B$3:$C$7,2,FALSE))),"")</f>
        <v/>
      </c>
      <c r="W8241" s="74" t="str">
        <f>IFERROR(VLOOKUP($O8241,'Customer List'!$A$1:$J$488,10,FALSE),"")</f>
        <v/>
      </c>
    </row>
    <row r="8242" spans="18:23">
      <c r="R8242" s="127">
        <f t="shared" si="333"/>
        <v>0</v>
      </c>
      <c r="T8242" s="128">
        <f t="shared" si="332"/>
        <v>0</v>
      </c>
      <c r="U8242" s="129" t="str">
        <f>IFERROR(IF(#REF!="S",VLOOKUP('Raw Data'!A8242,References!#REF!,2,FALSE),(VLOOKUP($S8242,References!$B$3:$C$7,2,FALSE))),"")</f>
        <v/>
      </c>
      <c r="W8242" s="74" t="str">
        <f>IFERROR(VLOOKUP($O8242,'Customer List'!$A$1:$J$488,10,FALSE),"")</f>
        <v/>
      </c>
    </row>
    <row r="8243" spans="18:23">
      <c r="R8243" s="127">
        <f t="shared" si="333"/>
        <v>0</v>
      </c>
      <c r="T8243" s="128">
        <f t="shared" si="332"/>
        <v>0</v>
      </c>
      <c r="U8243" s="129" t="str">
        <f>IFERROR(IF(#REF!="S",VLOOKUP('Raw Data'!A8243,References!#REF!,2,FALSE),(VLOOKUP($S8243,References!$B$3:$C$7,2,FALSE))),"")</f>
        <v/>
      </c>
      <c r="W8243" s="74" t="str">
        <f>IFERROR(VLOOKUP($O8243,'Customer List'!$A$1:$J$488,10,FALSE),"")</f>
        <v/>
      </c>
    </row>
    <row r="8244" spans="18:23">
      <c r="R8244" s="127">
        <f t="shared" si="333"/>
        <v>0</v>
      </c>
      <c r="T8244" s="128">
        <f t="shared" si="332"/>
        <v>0</v>
      </c>
      <c r="U8244" s="129" t="str">
        <f>IFERROR(IF(#REF!="S",VLOOKUP('Raw Data'!A8244,References!#REF!,2,FALSE),(VLOOKUP($S8244,References!$B$3:$C$7,2,FALSE))),"")</f>
        <v/>
      </c>
      <c r="W8244" s="74" t="str">
        <f>IFERROR(VLOOKUP($O8244,'Customer List'!$A$1:$J$488,10,FALSE),"")</f>
        <v/>
      </c>
    </row>
    <row r="8245" spans="18:23">
      <c r="R8245" s="127">
        <f t="shared" si="333"/>
        <v>0</v>
      </c>
      <c r="T8245" s="128">
        <f t="shared" si="332"/>
        <v>0</v>
      </c>
      <c r="U8245" s="129" t="str">
        <f>IFERROR(IF(#REF!="S",VLOOKUP('Raw Data'!A8245,References!#REF!,2,FALSE),(VLOOKUP($S8245,References!$B$3:$C$7,2,FALSE))),"")</f>
        <v/>
      </c>
      <c r="W8245" s="74" t="str">
        <f>IFERROR(VLOOKUP($O8245,'Customer List'!$A$1:$J$488,10,FALSE),"")</f>
        <v/>
      </c>
    </row>
    <row r="8246" spans="18:23">
      <c r="R8246" s="127">
        <f t="shared" si="333"/>
        <v>0</v>
      </c>
      <c r="T8246" s="128">
        <f t="shared" si="332"/>
        <v>0</v>
      </c>
      <c r="U8246" s="129" t="str">
        <f>IFERROR(IF(#REF!="S",VLOOKUP('Raw Data'!A8246,References!#REF!,2,FALSE),(VLOOKUP($S8246,References!$B$3:$C$7,2,FALSE))),"")</f>
        <v/>
      </c>
      <c r="W8246" s="74" t="str">
        <f>IFERROR(VLOOKUP($O8246,'Customer List'!$A$1:$J$488,10,FALSE),"")</f>
        <v/>
      </c>
    </row>
    <row r="8247" spans="18:23">
      <c r="R8247" s="127">
        <f t="shared" si="333"/>
        <v>0</v>
      </c>
      <c r="T8247" s="128">
        <f t="shared" si="332"/>
        <v>0</v>
      </c>
      <c r="U8247" s="129" t="str">
        <f>IFERROR(IF(#REF!="S",VLOOKUP('Raw Data'!A8247,References!#REF!,2,FALSE),(VLOOKUP($S8247,References!$B$3:$C$7,2,FALSE))),"")</f>
        <v/>
      </c>
      <c r="W8247" s="74" t="str">
        <f>IFERROR(VLOOKUP($O8247,'Customer List'!$A$1:$J$488,10,FALSE),"")</f>
        <v/>
      </c>
    </row>
    <row r="8248" spans="18:23">
      <c r="R8248" s="127">
        <f t="shared" si="333"/>
        <v>0</v>
      </c>
      <c r="T8248" s="128">
        <f t="shared" si="332"/>
        <v>0</v>
      </c>
      <c r="U8248" s="129" t="str">
        <f>IFERROR(IF(#REF!="S",VLOOKUP('Raw Data'!A8248,References!#REF!,2,FALSE),(VLOOKUP($S8248,References!$B$3:$C$7,2,FALSE))),"")</f>
        <v/>
      </c>
      <c r="W8248" s="74" t="str">
        <f>IFERROR(VLOOKUP($O8248,'Customer List'!$A$1:$J$488,10,FALSE),"")</f>
        <v/>
      </c>
    </row>
    <row r="8249" spans="18:23">
      <c r="R8249" s="127">
        <f t="shared" si="333"/>
        <v>0</v>
      </c>
      <c r="T8249" s="128">
        <f t="shared" si="332"/>
        <v>0</v>
      </c>
      <c r="U8249" s="129" t="str">
        <f>IFERROR(IF(#REF!="S",VLOOKUP('Raw Data'!A8249,References!#REF!,2,FALSE),(VLOOKUP($S8249,References!$B$3:$C$7,2,FALSE))),"")</f>
        <v/>
      </c>
      <c r="W8249" s="74" t="str">
        <f>IFERROR(VLOOKUP($O8249,'Customer List'!$A$1:$J$488,10,FALSE),"")</f>
        <v/>
      </c>
    </row>
    <row r="8250" spans="18:23">
      <c r="R8250" s="127">
        <f t="shared" si="333"/>
        <v>0</v>
      </c>
      <c r="T8250" s="128">
        <f t="shared" si="332"/>
        <v>0</v>
      </c>
      <c r="U8250" s="129" t="str">
        <f>IFERROR(IF(#REF!="S",VLOOKUP('Raw Data'!A8250,References!#REF!,2,FALSE),(VLOOKUP($S8250,References!$B$3:$C$7,2,FALSE))),"")</f>
        <v/>
      </c>
      <c r="W8250" s="74" t="str">
        <f>IFERROR(VLOOKUP($O8250,'Customer List'!$A$1:$J$488,10,FALSE),"")</f>
        <v/>
      </c>
    </row>
    <row r="8251" spans="18:23">
      <c r="R8251" s="127">
        <f t="shared" si="333"/>
        <v>0</v>
      </c>
      <c r="T8251" s="128">
        <f t="shared" si="332"/>
        <v>0</v>
      </c>
      <c r="U8251" s="129" t="str">
        <f>IFERROR(IF(#REF!="S",VLOOKUP('Raw Data'!A8251,References!#REF!,2,FALSE),(VLOOKUP($S8251,References!$B$3:$C$7,2,FALSE))),"")</f>
        <v/>
      </c>
      <c r="W8251" s="74" t="str">
        <f>IFERROR(VLOOKUP($O8251,'Customer List'!$A$1:$J$488,10,FALSE),"")</f>
        <v/>
      </c>
    </row>
    <row r="8252" spans="18:23">
      <c r="R8252" s="127">
        <f t="shared" si="333"/>
        <v>0</v>
      </c>
      <c r="T8252" s="128">
        <f t="shared" si="332"/>
        <v>0</v>
      </c>
      <c r="U8252" s="129" t="str">
        <f>IFERROR(IF(#REF!="S",VLOOKUP('Raw Data'!A8252,References!#REF!,2,FALSE),(VLOOKUP($S8252,References!$B$3:$C$7,2,FALSE))),"")</f>
        <v/>
      </c>
      <c r="W8252" s="74" t="str">
        <f>IFERROR(VLOOKUP($O8252,'Customer List'!$A$1:$J$488,10,FALSE),"")</f>
        <v/>
      </c>
    </row>
    <row r="8253" spans="18:23">
      <c r="R8253" s="127">
        <f t="shared" si="333"/>
        <v>0</v>
      </c>
      <c r="T8253" s="128">
        <f t="shared" si="332"/>
        <v>0</v>
      </c>
      <c r="U8253" s="129" t="str">
        <f>IFERROR(IF(#REF!="S",VLOOKUP('Raw Data'!A8253,References!#REF!,2,FALSE),(VLOOKUP($S8253,References!$B$3:$C$7,2,FALSE))),"")</f>
        <v/>
      </c>
      <c r="W8253" s="74" t="str">
        <f>IFERROR(VLOOKUP($O8253,'Customer List'!$A$1:$J$488,10,FALSE),"")</f>
        <v/>
      </c>
    </row>
    <row r="8254" spans="18:23">
      <c r="R8254" s="127">
        <f t="shared" si="333"/>
        <v>0</v>
      </c>
      <c r="T8254" s="128">
        <f t="shared" si="332"/>
        <v>0</v>
      </c>
      <c r="U8254" s="129" t="str">
        <f>IFERROR(IF(#REF!="S",VLOOKUP('Raw Data'!A8254,References!#REF!,2,FALSE),(VLOOKUP($S8254,References!$B$3:$C$7,2,FALSE))),"")</f>
        <v/>
      </c>
      <c r="W8254" s="74" t="str">
        <f>IFERROR(VLOOKUP($O8254,'Customer List'!$A$1:$J$488,10,FALSE),"")</f>
        <v/>
      </c>
    </row>
    <row r="8255" spans="18:23">
      <c r="R8255" s="127">
        <f t="shared" si="333"/>
        <v>0</v>
      </c>
      <c r="T8255" s="128">
        <f t="shared" si="332"/>
        <v>0</v>
      </c>
      <c r="U8255" s="129" t="str">
        <f>IFERROR(IF(#REF!="S",VLOOKUP('Raw Data'!A8255,References!#REF!,2,FALSE),(VLOOKUP($S8255,References!$B$3:$C$7,2,FALSE))),"")</f>
        <v/>
      </c>
      <c r="W8255" s="74" t="str">
        <f>IFERROR(VLOOKUP($O8255,'Customer List'!$A$1:$J$488,10,FALSE),"")</f>
        <v/>
      </c>
    </row>
    <row r="8256" spans="18:23">
      <c r="R8256" s="127">
        <f t="shared" si="333"/>
        <v>0</v>
      </c>
      <c r="T8256" s="128">
        <f t="shared" si="332"/>
        <v>0</v>
      </c>
      <c r="U8256" s="129" t="str">
        <f>IFERROR(IF(#REF!="S",VLOOKUP('Raw Data'!A8256,References!#REF!,2,FALSE),(VLOOKUP($S8256,References!$B$3:$C$7,2,FALSE))),"")</f>
        <v/>
      </c>
      <c r="W8256" s="74" t="str">
        <f>IFERROR(VLOOKUP($O8256,'Customer List'!$A$1:$J$488,10,FALSE),"")</f>
        <v/>
      </c>
    </row>
    <row r="8257" spans="18:23">
      <c r="R8257" s="127">
        <f t="shared" si="333"/>
        <v>0</v>
      </c>
      <c r="T8257" s="128">
        <f t="shared" si="332"/>
        <v>0</v>
      </c>
      <c r="U8257" s="129" t="str">
        <f>IFERROR(IF(#REF!="S",VLOOKUP('Raw Data'!A8257,References!#REF!,2,FALSE),(VLOOKUP($S8257,References!$B$3:$C$7,2,FALSE))),"")</f>
        <v/>
      </c>
      <c r="W8257" s="74" t="str">
        <f>IFERROR(VLOOKUP($O8257,'Customer List'!$A$1:$J$488,10,FALSE),"")</f>
        <v/>
      </c>
    </row>
    <row r="8258" spans="18:23">
      <c r="R8258" s="127">
        <f t="shared" si="333"/>
        <v>0</v>
      </c>
      <c r="T8258" s="128">
        <f t="shared" si="332"/>
        <v>0</v>
      </c>
      <c r="U8258" s="129" t="str">
        <f>IFERROR(IF(#REF!="S",VLOOKUP('Raw Data'!A8258,References!#REF!,2,FALSE),(VLOOKUP($S8258,References!$B$3:$C$7,2,FALSE))),"")</f>
        <v/>
      </c>
      <c r="W8258" s="74" t="str">
        <f>IFERROR(VLOOKUP($O8258,'Customer List'!$A$1:$J$488,10,FALSE),"")</f>
        <v/>
      </c>
    </row>
    <row r="8259" spans="18:23">
      <c r="R8259" s="127">
        <f t="shared" si="333"/>
        <v>0</v>
      </c>
      <c r="T8259" s="128">
        <f t="shared" si="332"/>
        <v>0</v>
      </c>
      <c r="U8259" s="129" t="str">
        <f>IFERROR(IF(#REF!="S",VLOOKUP('Raw Data'!A8259,References!#REF!,2,FALSE),(VLOOKUP($S8259,References!$B$3:$C$7,2,FALSE))),"")</f>
        <v/>
      </c>
      <c r="W8259" s="74" t="str">
        <f>IFERROR(VLOOKUP($O8259,'Customer List'!$A$1:$J$488,10,FALSE),"")</f>
        <v/>
      </c>
    </row>
    <row r="8260" spans="18:23">
      <c r="R8260" s="127">
        <f t="shared" si="333"/>
        <v>0</v>
      </c>
      <c r="T8260" s="128">
        <f t="shared" si="332"/>
        <v>0</v>
      </c>
      <c r="U8260" s="129" t="str">
        <f>IFERROR(IF(#REF!="S",VLOOKUP('Raw Data'!A8260,References!#REF!,2,FALSE),(VLOOKUP($S8260,References!$B$3:$C$7,2,FALSE))),"")</f>
        <v/>
      </c>
      <c r="W8260" s="74" t="str">
        <f>IFERROR(VLOOKUP($O8260,'Customer List'!$A$1:$J$488,10,FALSE),"")</f>
        <v/>
      </c>
    </row>
    <row r="8261" spans="18:23">
      <c r="R8261" s="127">
        <f t="shared" si="333"/>
        <v>0</v>
      </c>
      <c r="T8261" s="128">
        <f t="shared" si="332"/>
        <v>0</v>
      </c>
      <c r="U8261" s="129" t="str">
        <f>IFERROR(IF(#REF!="S",VLOOKUP('Raw Data'!A8261,References!#REF!,2,FALSE),(VLOOKUP($S8261,References!$B$3:$C$7,2,FALSE))),"")</f>
        <v/>
      </c>
      <c r="W8261" s="74" t="str">
        <f>IFERROR(VLOOKUP($O8261,'Customer List'!$A$1:$J$488,10,FALSE),"")</f>
        <v/>
      </c>
    </row>
    <row r="8262" spans="18:23">
      <c r="R8262" s="127">
        <f t="shared" si="333"/>
        <v>0</v>
      </c>
      <c r="T8262" s="128">
        <f t="shared" si="332"/>
        <v>0</v>
      </c>
      <c r="U8262" s="129" t="str">
        <f>IFERROR(IF(#REF!="S",VLOOKUP('Raw Data'!A8262,References!#REF!,2,FALSE),(VLOOKUP($S8262,References!$B$3:$C$7,2,FALSE))),"")</f>
        <v/>
      </c>
      <c r="W8262" s="74" t="str">
        <f>IFERROR(VLOOKUP($O8262,'Customer List'!$A$1:$J$488,10,FALSE),"")</f>
        <v/>
      </c>
    </row>
    <row r="8263" spans="18:23">
      <c r="R8263" s="127">
        <f t="shared" si="333"/>
        <v>0</v>
      </c>
      <c r="T8263" s="128">
        <f t="shared" si="332"/>
        <v>0</v>
      </c>
      <c r="U8263" s="129" t="str">
        <f>IFERROR(IF(#REF!="S",VLOOKUP('Raw Data'!A8263,References!#REF!,2,FALSE),(VLOOKUP($S8263,References!$B$3:$C$7,2,FALSE))),"")</f>
        <v/>
      </c>
      <c r="W8263" s="74" t="str">
        <f>IFERROR(VLOOKUP($O8263,'Customer List'!$A$1:$J$488,10,FALSE),"")</f>
        <v/>
      </c>
    </row>
    <row r="8264" spans="18:23">
      <c r="R8264" s="127">
        <f t="shared" si="333"/>
        <v>0</v>
      </c>
      <c r="T8264" s="128">
        <f t="shared" si="332"/>
        <v>0</v>
      </c>
      <c r="U8264" s="129" t="str">
        <f>IFERROR(IF(#REF!="S",VLOOKUP('Raw Data'!A8264,References!#REF!,2,FALSE),(VLOOKUP($S8264,References!$B$3:$C$7,2,FALSE))),"")</f>
        <v/>
      </c>
      <c r="W8264" s="74" t="str">
        <f>IFERROR(VLOOKUP($O8264,'Customer List'!$A$1:$J$488,10,FALSE),"")</f>
        <v/>
      </c>
    </row>
    <row r="8265" spans="18:23">
      <c r="R8265" s="127">
        <f t="shared" si="333"/>
        <v>0</v>
      </c>
      <c r="T8265" s="128">
        <f t="shared" si="332"/>
        <v>0</v>
      </c>
      <c r="U8265" s="129" t="str">
        <f>IFERROR(IF(#REF!="S",VLOOKUP('Raw Data'!A8265,References!#REF!,2,FALSE),(VLOOKUP($S8265,References!$B$3:$C$7,2,FALSE))),"")</f>
        <v/>
      </c>
      <c r="W8265" s="74" t="str">
        <f>IFERROR(VLOOKUP($O8265,'Customer List'!$A$1:$J$488,10,FALSE),"")</f>
        <v/>
      </c>
    </row>
    <row r="8266" spans="18:23">
      <c r="R8266" s="127">
        <f t="shared" si="333"/>
        <v>0</v>
      </c>
      <c r="T8266" s="128">
        <f t="shared" ref="T8266:T8329" si="334">IF(S8266="50 - Cleaning Fee",1,HOUR($R8266)+MINUTE(R8266)/60)</f>
        <v>0</v>
      </c>
      <c r="U8266" s="129" t="str">
        <f>IFERROR(IF(#REF!="S",VLOOKUP('Raw Data'!A8266,References!#REF!,2,FALSE),(VLOOKUP($S8266,References!$B$3:$C$7,2,FALSE))),"")</f>
        <v/>
      </c>
      <c r="W8266" s="74" t="str">
        <f>IFERROR(VLOOKUP($O8266,'Customer List'!$A$1:$J$488,10,FALSE),"")</f>
        <v/>
      </c>
    </row>
    <row r="8267" spans="18:23">
      <c r="R8267" s="127">
        <f t="shared" si="333"/>
        <v>0</v>
      </c>
      <c r="T8267" s="128">
        <f t="shared" si="334"/>
        <v>0</v>
      </c>
      <c r="U8267" s="129" t="str">
        <f>IFERROR(IF(#REF!="S",VLOOKUP('Raw Data'!A8267,References!#REF!,2,FALSE),(VLOOKUP($S8267,References!$B$3:$C$7,2,FALSE))),"")</f>
        <v/>
      </c>
      <c r="W8267" s="74" t="str">
        <f>IFERROR(VLOOKUP($O8267,'Customer List'!$A$1:$J$488,10,FALSE),"")</f>
        <v/>
      </c>
    </row>
    <row r="8268" spans="18:23">
      <c r="R8268" s="127">
        <f t="shared" si="333"/>
        <v>0</v>
      </c>
      <c r="T8268" s="128">
        <f t="shared" si="334"/>
        <v>0</v>
      </c>
      <c r="U8268" s="129" t="str">
        <f>IFERROR(IF(#REF!="S",VLOOKUP('Raw Data'!A8268,References!#REF!,2,FALSE),(VLOOKUP($S8268,References!$B$3:$C$7,2,FALSE))),"")</f>
        <v/>
      </c>
      <c r="W8268" s="74" t="str">
        <f>IFERROR(VLOOKUP($O8268,'Customer List'!$A$1:$J$488,10,FALSE),"")</f>
        <v/>
      </c>
    </row>
    <row r="8269" spans="18:23">
      <c r="R8269" s="127">
        <f t="shared" si="333"/>
        <v>0</v>
      </c>
      <c r="T8269" s="128">
        <f t="shared" si="334"/>
        <v>0</v>
      </c>
      <c r="U8269" s="129" t="str">
        <f>IFERROR(IF(#REF!="S",VLOOKUP('Raw Data'!A8269,References!#REF!,2,FALSE),(VLOOKUP($S8269,References!$B$3:$C$7,2,FALSE))),"")</f>
        <v/>
      </c>
      <c r="W8269" s="74" t="str">
        <f>IFERROR(VLOOKUP($O8269,'Customer List'!$A$1:$J$488,10,FALSE),"")</f>
        <v/>
      </c>
    </row>
    <row r="8270" spans="18:23">
      <c r="R8270" s="127">
        <f t="shared" si="333"/>
        <v>0</v>
      </c>
      <c r="T8270" s="128">
        <f t="shared" si="334"/>
        <v>0</v>
      </c>
      <c r="U8270" s="129" t="str">
        <f>IFERROR(IF(#REF!="S",VLOOKUP('Raw Data'!A8270,References!#REF!,2,FALSE),(VLOOKUP($S8270,References!$B$3:$C$7,2,FALSE))),"")</f>
        <v/>
      </c>
      <c r="W8270" s="74" t="str">
        <f>IFERROR(VLOOKUP($O8270,'Customer List'!$A$1:$J$488,10,FALSE),"")</f>
        <v/>
      </c>
    </row>
    <row r="8271" spans="18:23">
      <c r="R8271" s="127">
        <f t="shared" si="333"/>
        <v>0</v>
      </c>
      <c r="T8271" s="128">
        <f t="shared" si="334"/>
        <v>0</v>
      </c>
      <c r="U8271" s="129" t="str">
        <f>IFERROR(IF(#REF!="S",VLOOKUP('Raw Data'!A8271,References!#REF!,2,FALSE),(VLOOKUP($S8271,References!$B$3:$C$7,2,FALSE))),"")</f>
        <v/>
      </c>
      <c r="W8271" s="74" t="str">
        <f>IFERROR(VLOOKUP($O8271,'Customer List'!$A$1:$J$488,10,FALSE),"")</f>
        <v/>
      </c>
    </row>
    <row r="8272" spans="18:23">
      <c r="R8272" s="127">
        <f t="shared" si="333"/>
        <v>0</v>
      </c>
      <c r="T8272" s="128">
        <f t="shared" si="334"/>
        <v>0</v>
      </c>
      <c r="U8272" s="129" t="str">
        <f>IFERROR(IF(#REF!="S",VLOOKUP('Raw Data'!A8272,References!#REF!,2,FALSE),(VLOOKUP($S8272,References!$B$3:$C$7,2,FALSE))),"")</f>
        <v/>
      </c>
      <c r="W8272" s="74" t="str">
        <f>IFERROR(VLOOKUP($O8272,'Customer List'!$A$1:$J$488,10,FALSE),"")</f>
        <v/>
      </c>
    </row>
    <row r="8273" spans="18:23">
      <c r="R8273" s="127">
        <f t="shared" si="333"/>
        <v>0</v>
      </c>
      <c r="T8273" s="128">
        <f t="shared" si="334"/>
        <v>0</v>
      </c>
      <c r="U8273" s="129" t="str">
        <f>IFERROR(IF(#REF!="S",VLOOKUP('Raw Data'!A8273,References!#REF!,2,FALSE),(VLOOKUP($S8273,References!$B$3:$C$7,2,FALSE))),"")</f>
        <v/>
      </c>
      <c r="W8273" s="74" t="str">
        <f>IFERROR(VLOOKUP($O8273,'Customer List'!$A$1:$J$488,10,FALSE),"")</f>
        <v/>
      </c>
    </row>
    <row r="8274" spans="18:23">
      <c r="R8274" s="127">
        <f t="shared" si="333"/>
        <v>0</v>
      </c>
      <c r="T8274" s="128">
        <f t="shared" si="334"/>
        <v>0</v>
      </c>
      <c r="U8274" s="129" t="str">
        <f>IFERROR(IF(#REF!="S",VLOOKUP('Raw Data'!A8274,References!#REF!,2,FALSE),(VLOOKUP($S8274,References!$B$3:$C$7,2,FALSE))),"")</f>
        <v/>
      </c>
      <c r="W8274" s="74" t="str">
        <f>IFERROR(VLOOKUP($O8274,'Customer List'!$A$1:$J$488,10,FALSE),"")</f>
        <v/>
      </c>
    </row>
    <row r="8275" spans="18:23">
      <c r="R8275" s="127">
        <f t="shared" si="333"/>
        <v>0</v>
      </c>
      <c r="T8275" s="128">
        <f t="shared" si="334"/>
        <v>0</v>
      </c>
      <c r="U8275" s="129" t="str">
        <f>IFERROR(IF(#REF!="S",VLOOKUP('Raw Data'!A8275,References!#REF!,2,FALSE),(VLOOKUP($S8275,References!$B$3:$C$7,2,FALSE))),"")</f>
        <v/>
      </c>
      <c r="W8275" s="74" t="str">
        <f>IFERROR(VLOOKUP($O8275,'Customer List'!$A$1:$J$488,10,FALSE),"")</f>
        <v/>
      </c>
    </row>
    <row r="8276" spans="18:23">
      <c r="R8276" s="127">
        <f t="shared" si="333"/>
        <v>0</v>
      </c>
      <c r="T8276" s="128">
        <f t="shared" si="334"/>
        <v>0</v>
      </c>
      <c r="U8276" s="129" t="str">
        <f>IFERROR(IF(#REF!="S",VLOOKUP('Raw Data'!A8276,References!#REF!,2,FALSE),(VLOOKUP($S8276,References!$B$3:$C$7,2,FALSE))),"")</f>
        <v/>
      </c>
      <c r="W8276" s="74" t="str">
        <f>IFERROR(VLOOKUP($O8276,'Customer List'!$A$1:$J$488,10,FALSE),"")</f>
        <v/>
      </c>
    </row>
    <row r="8277" spans="18:23">
      <c r="R8277" s="127">
        <f t="shared" si="333"/>
        <v>0</v>
      </c>
      <c r="T8277" s="128">
        <f t="shared" si="334"/>
        <v>0</v>
      </c>
      <c r="U8277" s="129" t="str">
        <f>IFERROR(IF(#REF!="S",VLOOKUP('Raw Data'!A8277,References!#REF!,2,FALSE),(VLOOKUP($S8277,References!$B$3:$C$7,2,FALSE))),"")</f>
        <v/>
      </c>
      <c r="W8277" s="74" t="str">
        <f>IFERROR(VLOOKUP($O8277,'Customer List'!$A$1:$J$488,10,FALSE),"")</f>
        <v/>
      </c>
    </row>
    <row r="8278" spans="18:23">
      <c r="R8278" s="127">
        <f t="shared" si="333"/>
        <v>0</v>
      </c>
      <c r="T8278" s="128">
        <f t="shared" si="334"/>
        <v>0</v>
      </c>
      <c r="U8278" s="129" t="str">
        <f>IFERROR(IF(#REF!="S",VLOOKUP('Raw Data'!A8278,References!#REF!,2,FALSE),(VLOOKUP($S8278,References!$B$3:$C$7,2,FALSE))),"")</f>
        <v/>
      </c>
      <c r="W8278" s="74" t="str">
        <f>IFERROR(VLOOKUP($O8278,'Customer List'!$A$1:$J$488,10,FALSE),"")</f>
        <v/>
      </c>
    </row>
    <row r="8279" spans="18:23">
      <c r="R8279" s="127">
        <f t="shared" si="333"/>
        <v>0</v>
      </c>
      <c r="T8279" s="128">
        <f t="shared" si="334"/>
        <v>0</v>
      </c>
      <c r="U8279" s="129" t="str">
        <f>IFERROR(IF(#REF!="S",VLOOKUP('Raw Data'!A8279,References!#REF!,2,FALSE),(VLOOKUP($S8279,References!$B$3:$C$7,2,FALSE))),"")</f>
        <v/>
      </c>
      <c r="W8279" s="74" t="str">
        <f>IFERROR(VLOOKUP($O8279,'Customer List'!$A$1:$J$488,10,FALSE),"")</f>
        <v/>
      </c>
    </row>
    <row r="8280" spans="18:23">
      <c r="R8280" s="127">
        <f t="shared" si="333"/>
        <v>0</v>
      </c>
      <c r="T8280" s="128">
        <f t="shared" si="334"/>
        <v>0</v>
      </c>
      <c r="U8280" s="129" t="str">
        <f>IFERROR(IF(#REF!="S",VLOOKUP('Raw Data'!A8280,References!#REF!,2,FALSE),(VLOOKUP($S8280,References!$B$3:$C$7,2,FALSE))),"")</f>
        <v/>
      </c>
      <c r="W8280" s="74" t="str">
        <f>IFERROR(VLOOKUP($O8280,'Customer List'!$A$1:$J$488,10,FALSE),"")</f>
        <v/>
      </c>
    </row>
    <row r="8281" spans="18:23">
      <c r="R8281" s="127">
        <f t="shared" si="333"/>
        <v>0</v>
      </c>
      <c r="T8281" s="128">
        <f t="shared" si="334"/>
        <v>0</v>
      </c>
      <c r="U8281" s="129" t="str">
        <f>IFERROR(IF(#REF!="S",VLOOKUP('Raw Data'!A8281,References!#REF!,2,FALSE),(VLOOKUP($S8281,References!$B$3:$C$7,2,FALSE))),"")</f>
        <v/>
      </c>
      <c r="W8281" s="74" t="str">
        <f>IFERROR(VLOOKUP($O8281,'Customer List'!$A$1:$J$488,10,FALSE),"")</f>
        <v/>
      </c>
    </row>
    <row r="8282" spans="18:23">
      <c r="R8282" s="127">
        <f t="shared" si="333"/>
        <v>0</v>
      </c>
      <c r="T8282" s="128">
        <f t="shared" si="334"/>
        <v>0</v>
      </c>
      <c r="U8282" s="129" t="str">
        <f>IFERROR(IF(#REF!="S",VLOOKUP('Raw Data'!A8282,References!#REF!,2,FALSE),(VLOOKUP($S8282,References!$B$3:$C$7,2,FALSE))),"")</f>
        <v/>
      </c>
      <c r="W8282" s="74" t="str">
        <f>IFERROR(VLOOKUP($O8282,'Customer List'!$A$1:$J$488,10,FALSE),"")</f>
        <v/>
      </c>
    </row>
    <row r="8283" spans="18:23">
      <c r="R8283" s="127">
        <f t="shared" si="333"/>
        <v>0</v>
      </c>
      <c r="T8283" s="128">
        <f t="shared" si="334"/>
        <v>0</v>
      </c>
      <c r="U8283" s="129" t="str">
        <f>IFERROR(IF(#REF!="S",VLOOKUP('Raw Data'!A8283,References!#REF!,2,FALSE),(VLOOKUP($S8283,References!$B$3:$C$7,2,FALSE))),"")</f>
        <v/>
      </c>
      <c r="W8283" s="74" t="str">
        <f>IFERROR(VLOOKUP($O8283,'Customer List'!$A$1:$J$488,10,FALSE),"")</f>
        <v/>
      </c>
    </row>
    <row r="8284" spans="18:23">
      <c r="R8284" s="127">
        <f t="shared" si="333"/>
        <v>0</v>
      </c>
      <c r="T8284" s="128">
        <f t="shared" si="334"/>
        <v>0</v>
      </c>
      <c r="U8284" s="129" t="str">
        <f>IFERROR(IF(#REF!="S",VLOOKUP('Raw Data'!A8284,References!#REF!,2,FALSE),(VLOOKUP($S8284,References!$B$3:$C$7,2,FALSE))),"")</f>
        <v/>
      </c>
      <c r="W8284" s="74" t="str">
        <f>IFERROR(VLOOKUP($O8284,'Customer List'!$A$1:$J$488,10,FALSE),"")</f>
        <v/>
      </c>
    </row>
    <row r="8285" spans="18:23">
      <c r="R8285" s="127">
        <f t="shared" si="333"/>
        <v>0</v>
      </c>
      <c r="T8285" s="128">
        <f t="shared" si="334"/>
        <v>0</v>
      </c>
      <c r="U8285" s="129" t="str">
        <f>IFERROR(IF(#REF!="S",VLOOKUP('Raw Data'!A8285,References!#REF!,2,FALSE),(VLOOKUP($S8285,References!$B$3:$C$7,2,FALSE))),"")</f>
        <v/>
      </c>
      <c r="W8285" s="74" t="str">
        <f>IFERROR(VLOOKUP($O8285,'Customer List'!$A$1:$J$488,10,FALSE),"")</f>
        <v/>
      </c>
    </row>
    <row r="8286" spans="18:23">
      <c r="R8286" s="127">
        <f t="shared" si="333"/>
        <v>0</v>
      </c>
      <c r="T8286" s="128">
        <f t="shared" si="334"/>
        <v>0</v>
      </c>
      <c r="U8286" s="129" t="str">
        <f>IFERROR(IF(#REF!="S",VLOOKUP('Raw Data'!A8286,References!#REF!,2,FALSE),(VLOOKUP($S8286,References!$B$3:$C$7,2,FALSE))),"")</f>
        <v/>
      </c>
      <c r="W8286" s="74" t="str">
        <f>IFERROR(VLOOKUP($O8286,'Customer List'!$A$1:$J$488,10,FALSE),"")</f>
        <v/>
      </c>
    </row>
    <row r="8287" spans="18:23">
      <c r="R8287" s="127">
        <f t="shared" si="333"/>
        <v>0</v>
      </c>
      <c r="T8287" s="128">
        <f t="shared" si="334"/>
        <v>0</v>
      </c>
      <c r="U8287" s="129" t="str">
        <f>IFERROR(IF(#REF!="S",VLOOKUP('Raw Data'!A8287,References!#REF!,2,FALSE),(VLOOKUP($S8287,References!$B$3:$C$7,2,FALSE))),"")</f>
        <v/>
      </c>
      <c r="W8287" s="74" t="str">
        <f>IFERROR(VLOOKUP($O8287,'Customer List'!$A$1:$J$488,10,FALSE),"")</f>
        <v/>
      </c>
    </row>
    <row r="8288" spans="18:23">
      <c r="R8288" s="127">
        <f t="shared" si="333"/>
        <v>0</v>
      </c>
      <c r="T8288" s="128">
        <f t="shared" si="334"/>
        <v>0</v>
      </c>
      <c r="U8288" s="129" t="str">
        <f>IFERROR(IF(#REF!="S",VLOOKUP('Raw Data'!A8288,References!#REF!,2,FALSE),(VLOOKUP($S8288,References!$B$3:$C$7,2,FALSE))),"")</f>
        <v/>
      </c>
      <c r="W8288" s="74" t="str">
        <f>IFERROR(VLOOKUP($O8288,'Customer List'!$A$1:$J$488,10,FALSE),"")</f>
        <v/>
      </c>
    </row>
    <row r="8289" spans="18:23">
      <c r="R8289" s="127">
        <f t="shared" si="333"/>
        <v>0</v>
      </c>
      <c r="T8289" s="128">
        <f t="shared" si="334"/>
        <v>0</v>
      </c>
      <c r="U8289" s="129" t="str">
        <f>IFERROR(IF(#REF!="S",VLOOKUP('Raw Data'!A8289,References!#REF!,2,FALSE),(VLOOKUP($S8289,References!$B$3:$C$7,2,FALSE))),"")</f>
        <v/>
      </c>
      <c r="W8289" s="74" t="str">
        <f>IFERROR(VLOOKUP($O8289,'Customer List'!$A$1:$J$488,10,FALSE),"")</f>
        <v/>
      </c>
    </row>
    <row r="8290" spans="18:23">
      <c r="R8290" s="127">
        <f t="shared" ref="R8290:R8353" si="335">L8290-K8290</f>
        <v>0</v>
      </c>
      <c r="T8290" s="128">
        <f t="shared" si="334"/>
        <v>0</v>
      </c>
      <c r="U8290" s="129" t="str">
        <f>IFERROR(IF(#REF!="S",VLOOKUP('Raw Data'!A8290,References!#REF!,2,FALSE),(VLOOKUP($S8290,References!$B$3:$C$7,2,FALSE))),"")</f>
        <v/>
      </c>
      <c r="W8290" s="74" t="str">
        <f>IFERROR(VLOOKUP($O8290,'Customer List'!$A$1:$J$488,10,FALSE),"")</f>
        <v/>
      </c>
    </row>
    <row r="8291" spans="18:23">
      <c r="R8291" s="127">
        <f t="shared" si="335"/>
        <v>0</v>
      </c>
      <c r="T8291" s="128">
        <f t="shared" si="334"/>
        <v>0</v>
      </c>
      <c r="U8291" s="129" t="str">
        <f>IFERROR(IF(#REF!="S",VLOOKUP('Raw Data'!A8291,References!#REF!,2,FALSE),(VLOOKUP($S8291,References!$B$3:$C$7,2,FALSE))),"")</f>
        <v/>
      </c>
      <c r="W8291" s="74" t="str">
        <f>IFERROR(VLOOKUP($O8291,'Customer List'!$A$1:$J$488,10,FALSE),"")</f>
        <v/>
      </c>
    </row>
    <row r="8292" spans="18:23">
      <c r="R8292" s="127">
        <f t="shared" si="335"/>
        <v>0</v>
      </c>
      <c r="T8292" s="128">
        <f t="shared" si="334"/>
        <v>0</v>
      </c>
      <c r="U8292" s="129" t="str">
        <f>IFERROR(IF(#REF!="S",VLOOKUP('Raw Data'!A8292,References!#REF!,2,FALSE),(VLOOKUP($S8292,References!$B$3:$C$7,2,FALSE))),"")</f>
        <v/>
      </c>
      <c r="W8292" s="74" t="str">
        <f>IFERROR(VLOOKUP($O8292,'Customer List'!$A$1:$J$488,10,FALSE),"")</f>
        <v/>
      </c>
    </row>
    <row r="8293" spans="18:23">
      <c r="R8293" s="127">
        <f t="shared" si="335"/>
        <v>0</v>
      </c>
      <c r="T8293" s="128">
        <f t="shared" si="334"/>
        <v>0</v>
      </c>
      <c r="U8293" s="129" t="str">
        <f>IFERROR(IF(#REF!="S",VLOOKUP('Raw Data'!A8293,References!#REF!,2,FALSE),(VLOOKUP($S8293,References!$B$3:$C$7,2,FALSE))),"")</f>
        <v/>
      </c>
      <c r="W8293" s="74" t="str">
        <f>IFERROR(VLOOKUP($O8293,'Customer List'!$A$1:$J$488,10,FALSE),"")</f>
        <v/>
      </c>
    </row>
    <row r="8294" spans="18:23">
      <c r="R8294" s="127">
        <f t="shared" si="335"/>
        <v>0</v>
      </c>
      <c r="T8294" s="128">
        <f t="shared" si="334"/>
        <v>0</v>
      </c>
      <c r="U8294" s="129" t="str">
        <f>IFERROR(IF(#REF!="S",VLOOKUP('Raw Data'!A8294,References!#REF!,2,FALSE),(VLOOKUP($S8294,References!$B$3:$C$7,2,FALSE))),"")</f>
        <v/>
      </c>
      <c r="W8294" s="74" t="str">
        <f>IFERROR(VLOOKUP($O8294,'Customer List'!$A$1:$J$488,10,FALSE),"")</f>
        <v/>
      </c>
    </row>
    <row r="8295" spans="18:23">
      <c r="R8295" s="127">
        <f t="shared" si="335"/>
        <v>0</v>
      </c>
      <c r="T8295" s="128">
        <f t="shared" si="334"/>
        <v>0</v>
      </c>
      <c r="U8295" s="129" t="str">
        <f>IFERROR(IF(#REF!="S",VLOOKUP('Raw Data'!A8295,References!#REF!,2,FALSE),(VLOOKUP($S8295,References!$B$3:$C$7,2,FALSE))),"")</f>
        <v/>
      </c>
      <c r="W8295" s="74" t="str">
        <f>IFERROR(VLOOKUP($O8295,'Customer List'!$A$1:$J$488,10,FALSE),"")</f>
        <v/>
      </c>
    </row>
    <row r="8296" spans="18:23">
      <c r="R8296" s="127">
        <f t="shared" si="335"/>
        <v>0</v>
      </c>
      <c r="T8296" s="128">
        <f t="shared" si="334"/>
        <v>0</v>
      </c>
      <c r="U8296" s="129" t="str">
        <f>IFERROR(IF(#REF!="S",VLOOKUP('Raw Data'!A8296,References!#REF!,2,FALSE),(VLOOKUP($S8296,References!$B$3:$C$7,2,FALSE))),"")</f>
        <v/>
      </c>
      <c r="W8296" s="74" t="str">
        <f>IFERROR(VLOOKUP($O8296,'Customer List'!$A$1:$J$488,10,FALSE),"")</f>
        <v/>
      </c>
    </row>
    <row r="8297" spans="18:23">
      <c r="R8297" s="127">
        <f t="shared" si="335"/>
        <v>0</v>
      </c>
      <c r="T8297" s="128">
        <f t="shared" si="334"/>
        <v>0</v>
      </c>
      <c r="U8297" s="129" t="str">
        <f>IFERROR(IF(#REF!="S",VLOOKUP('Raw Data'!A8297,References!#REF!,2,FALSE),(VLOOKUP($S8297,References!$B$3:$C$7,2,FALSE))),"")</f>
        <v/>
      </c>
      <c r="W8297" s="74" t="str">
        <f>IFERROR(VLOOKUP($O8297,'Customer List'!$A$1:$J$488,10,FALSE),"")</f>
        <v/>
      </c>
    </row>
    <row r="8298" spans="18:23">
      <c r="R8298" s="127">
        <f t="shared" si="335"/>
        <v>0</v>
      </c>
      <c r="T8298" s="128">
        <f t="shared" si="334"/>
        <v>0</v>
      </c>
      <c r="U8298" s="129" t="str">
        <f>IFERROR(IF(#REF!="S",VLOOKUP('Raw Data'!A8298,References!#REF!,2,FALSE),(VLOOKUP($S8298,References!$B$3:$C$7,2,FALSE))),"")</f>
        <v/>
      </c>
      <c r="W8298" s="74" t="str">
        <f>IFERROR(VLOOKUP($O8298,'Customer List'!$A$1:$J$488,10,FALSE),"")</f>
        <v/>
      </c>
    </row>
    <row r="8299" spans="18:23">
      <c r="R8299" s="127">
        <f t="shared" si="335"/>
        <v>0</v>
      </c>
      <c r="T8299" s="128">
        <f t="shared" si="334"/>
        <v>0</v>
      </c>
      <c r="U8299" s="129" t="str">
        <f>IFERROR(IF(#REF!="S",VLOOKUP('Raw Data'!A8299,References!#REF!,2,FALSE),(VLOOKUP($S8299,References!$B$3:$C$7,2,FALSE))),"")</f>
        <v/>
      </c>
      <c r="W8299" s="74" t="str">
        <f>IFERROR(VLOOKUP($O8299,'Customer List'!$A$1:$J$488,10,FALSE),"")</f>
        <v/>
      </c>
    </row>
    <row r="8300" spans="18:23">
      <c r="R8300" s="127">
        <f t="shared" si="335"/>
        <v>0</v>
      </c>
      <c r="T8300" s="128">
        <f t="shared" si="334"/>
        <v>0</v>
      </c>
      <c r="U8300" s="129" t="str">
        <f>IFERROR(IF(#REF!="S",VLOOKUP('Raw Data'!A8300,References!#REF!,2,FALSE),(VLOOKUP($S8300,References!$B$3:$C$7,2,FALSE))),"")</f>
        <v/>
      </c>
      <c r="W8300" s="74" t="str">
        <f>IFERROR(VLOOKUP($O8300,'Customer List'!$A$1:$J$488,10,FALSE),"")</f>
        <v/>
      </c>
    </row>
    <row r="8301" spans="18:23">
      <c r="R8301" s="127">
        <f t="shared" si="335"/>
        <v>0</v>
      </c>
      <c r="T8301" s="128">
        <f t="shared" si="334"/>
        <v>0</v>
      </c>
      <c r="U8301" s="129" t="str">
        <f>IFERROR(IF(#REF!="S",VLOOKUP('Raw Data'!A8301,References!#REF!,2,FALSE),(VLOOKUP($S8301,References!$B$3:$C$7,2,FALSE))),"")</f>
        <v/>
      </c>
      <c r="W8301" s="74" t="str">
        <f>IFERROR(VLOOKUP($O8301,'Customer List'!$A$1:$J$488,10,FALSE),"")</f>
        <v/>
      </c>
    </row>
    <row r="8302" spans="18:23">
      <c r="R8302" s="127">
        <f t="shared" si="335"/>
        <v>0</v>
      </c>
      <c r="T8302" s="128">
        <f t="shared" si="334"/>
        <v>0</v>
      </c>
      <c r="U8302" s="129" t="str">
        <f>IFERROR(IF(#REF!="S",VLOOKUP('Raw Data'!A8302,References!#REF!,2,FALSE),(VLOOKUP($S8302,References!$B$3:$C$7,2,FALSE))),"")</f>
        <v/>
      </c>
      <c r="W8302" s="74" t="str">
        <f>IFERROR(VLOOKUP($O8302,'Customer List'!$A$1:$J$488,10,FALSE),"")</f>
        <v/>
      </c>
    </row>
    <row r="8303" spans="18:23">
      <c r="R8303" s="127">
        <f t="shared" si="335"/>
        <v>0</v>
      </c>
      <c r="T8303" s="128">
        <f t="shared" si="334"/>
        <v>0</v>
      </c>
      <c r="U8303" s="129" t="str">
        <f>IFERROR(IF(#REF!="S",VLOOKUP('Raw Data'!A8303,References!#REF!,2,FALSE),(VLOOKUP($S8303,References!$B$3:$C$7,2,FALSE))),"")</f>
        <v/>
      </c>
      <c r="W8303" s="74" t="str">
        <f>IFERROR(VLOOKUP($O8303,'Customer List'!$A$1:$J$488,10,FALSE),"")</f>
        <v/>
      </c>
    </row>
    <row r="8304" spans="18:23">
      <c r="R8304" s="127">
        <f t="shared" si="335"/>
        <v>0</v>
      </c>
      <c r="T8304" s="128">
        <f t="shared" si="334"/>
        <v>0</v>
      </c>
      <c r="U8304" s="129" t="str">
        <f>IFERROR(IF(#REF!="S",VLOOKUP('Raw Data'!A8304,References!#REF!,2,FALSE),(VLOOKUP($S8304,References!$B$3:$C$7,2,FALSE))),"")</f>
        <v/>
      </c>
      <c r="W8304" s="74" t="str">
        <f>IFERROR(VLOOKUP($O8304,'Customer List'!$A$1:$J$488,10,FALSE),"")</f>
        <v/>
      </c>
    </row>
    <row r="8305" spans="18:23">
      <c r="R8305" s="127">
        <f t="shared" si="335"/>
        <v>0</v>
      </c>
      <c r="T8305" s="128">
        <f t="shared" si="334"/>
        <v>0</v>
      </c>
      <c r="U8305" s="129" t="str">
        <f>IFERROR(IF(#REF!="S",VLOOKUP('Raw Data'!A8305,References!#REF!,2,FALSE),(VLOOKUP($S8305,References!$B$3:$C$7,2,FALSE))),"")</f>
        <v/>
      </c>
      <c r="W8305" s="74" t="str">
        <f>IFERROR(VLOOKUP($O8305,'Customer List'!$A$1:$J$488,10,FALSE),"")</f>
        <v/>
      </c>
    </row>
    <row r="8306" spans="18:23">
      <c r="R8306" s="127">
        <f t="shared" si="335"/>
        <v>0</v>
      </c>
      <c r="T8306" s="128">
        <f t="shared" si="334"/>
        <v>0</v>
      </c>
      <c r="U8306" s="129" t="str">
        <f>IFERROR(IF(#REF!="S",VLOOKUP('Raw Data'!A8306,References!#REF!,2,FALSE),(VLOOKUP($S8306,References!$B$3:$C$7,2,FALSE))),"")</f>
        <v/>
      </c>
      <c r="W8306" s="74" t="str">
        <f>IFERROR(VLOOKUP($O8306,'Customer List'!$A$1:$J$488,10,FALSE),"")</f>
        <v/>
      </c>
    </row>
    <row r="8307" spans="18:23">
      <c r="R8307" s="127">
        <f t="shared" si="335"/>
        <v>0</v>
      </c>
      <c r="T8307" s="128">
        <f t="shared" si="334"/>
        <v>0</v>
      </c>
      <c r="U8307" s="129" t="str">
        <f>IFERROR(IF(#REF!="S",VLOOKUP('Raw Data'!A8307,References!#REF!,2,FALSE),(VLOOKUP($S8307,References!$B$3:$C$7,2,FALSE))),"")</f>
        <v/>
      </c>
      <c r="W8307" s="74" t="str">
        <f>IFERROR(VLOOKUP($O8307,'Customer List'!$A$1:$J$488,10,FALSE),"")</f>
        <v/>
      </c>
    </row>
    <row r="8308" spans="18:23">
      <c r="R8308" s="127">
        <f t="shared" si="335"/>
        <v>0</v>
      </c>
      <c r="T8308" s="128">
        <f t="shared" si="334"/>
        <v>0</v>
      </c>
      <c r="U8308" s="129" t="str">
        <f>IFERROR(IF(#REF!="S",VLOOKUP('Raw Data'!A8308,References!#REF!,2,FALSE),(VLOOKUP($S8308,References!$B$3:$C$7,2,FALSE))),"")</f>
        <v/>
      </c>
      <c r="W8308" s="74" t="str">
        <f>IFERROR(VLOOKUP($O8308,'Customer List'!$A$1:$J$488,10,FALSE),"")</f>
        <v/>
      </c>
    </row>
    <row r="8309" spans="18:23">
      <c r="R8309" s="127">
        <f t="shared" si="335"/>
        <v>0</v>
      </c>
      <c r="T8309" s="128">
        <f t="shared" si="334"/>
        <v>0</v>
      </c>
      <c r="U8309" s="129" t="str">
        <f>IFERROR(IF(#REF!="S",VLOOKUP('Raw Data'!A8309,References!#REF!,2,FALSE),(VLOOKUP($S8309,References!$B$3:$C$7,2,FALSE))),"")</f>
        <v/>
      </c>
      <c r="W8309" s="74" t="str">
        <f>IFERROR(VLOOKUP($O8309,'Customer List'!$A$1:$J$488,10,FALSE),"")</f>
        <v/>
      </c>
    </row>
    <row r="8310" spans="18:23">
      <c r="R8310" s="127">
        <f t="shared" si="335"/>
        <v>0</v>
      </c>
      <c r="T8310" s="128">
        <f t="shared" si="334"/>
        <v>0</v>
      </c>
      <c r="U8310" s="129" t="str">
        <f>IFERROR(IF(#REF!="S",VLOOKUP('Raw Data'!A8310,References!#REF!,2,FALSE),(VLOOKUP($S8310,References!$B$3:$C$7,2,FALSE))),"")</f>
        <v/>
      </c>
      <c r="W8310" s="74" t="str">
        <f>IFERROR(VLOOKUP($O8310,'Customer List'!$A$1:$J$488,10,FALSE),"")</f>
        <v/>
      </c>
    </row>
    <row r="8311" spans="18:23">
      <c r="R8311" s="127">
        <f t="shared" si="335"/>
        <v>0</v>
      </c>
      <c r="T8311" s="128">
        <f t="shared" si="334"/>
        <v>0</v>
      </c>
      <c r="U8311" s="129" t="str">
        <f>IFERROR(IF(#REF!="S",VLOOKUP('Raw Data'!A8311,References!#REF!,2,FALSE),(VLOOKUP($S8311,References!$B$3:$C$7,2,FALSE))),"")</f>
        <v/>
      </c>
      <c r="W8311" s="74" t="str">
        <f>IFERROR(VLOOKUP($O8311,'Customer List'!$A$1:$J$488,10,FALSE),"")</f>
        <v/>
      </c>
    </row>
    <row r="8312" spans="18:23">
      <c r="R8312" s="127">
        <f t="shared" si="335"/>
        <v>0</v>
      </c>
      <c r="T8312" s="128">
        <f t="shared" si="334"/>
        <v>0</v>
      </c>
      <c r="U8312" s="129" t="str">
        <f>IFERROR(IF(#REF!="S",VLOOKUP('Raw Data'!A8312,References!#REF!,2,FALSE),(VLOOKUP($S8312,References!$B$3:$C$7,2,FALSE))),"")</f>
        <v/>
      </c>
      <c r="W8312" s="74" t="str">
        <f>IFERROR(VLOOKUP($O8312,'Customer List'!$A$1:$J$488,10,FALSE),"")</f>
        <v/>
      </c>
    </row>
    <row r="8313" spans="18:23">
      <c r="R8313" s="127">
        <f t="shared" si="335"/>
        <v>0</v>
      </c>
      <c r="T8313" s="128">
        <f t="shared" si="334"/>
        <v>0</v>
      </c>
      <c r="U8313" s="129" t="str">
        <f>IFERROR(IF(#REF!="S",VLOOKUP('Raw Data'!A8313,References!#REF!,2,FALSE),(VLOOKUP($S8313,References!$B$3:$C$7,2,FALSE))),"")</f>
        <v/>
      </c>
      <c r="W8313" s="74" t="str">
        <f>IFERROR(VLOOKUP($O8313,'Customer List'!$A$1:$J$488,10,FALSE),"")</f>
        <v/>
      </c>
    </row>
    <row r="8314" spans="18:23">
      <c r="R8314" s="127">
        <f t="shared" si="335"/>
        <v>0</v>
      </c>
      <c r="T8314" s="128">
        <f t="shared" si="334"/>
        <v>0</v>
      </c>
      <c r="U8314" s="129" t="str">
        <f>IFERROR(IF(#REF!="S",VLOOKUP('Raw Data'!A8314,References!#REF!,2,FALSE),(VLOOKUP($S8314,References!$B$3:$C$7,2,FALSE))),"")</f>
        <v/>
      </c>
      <c r="W8314" s="74" t="str">
        <f>IFERROR(VLOOKUP($O8314,'Customer List'!$A$1:$J$488,10,FALSE),"")</f>
        <v/>
      </c>
    </row>
    <row r="8315" spans="18:23">
      <c r="R8315" s="127">
        <f t="shared" si="335"/>
        <v>0</v>
      </c>
      <c r="T8315" s="128">
        <f t="shared" si="334"/>
        <v>0</v>
      </c>
      <c r="U8315" s="129" t="str">
        <f>IFERROR(IF(#REF!="S",VLOOKUP('Raw Data'!A8315,References!#REF!,2,FALSE),(VLOOKUP($S8315,References!$B$3:$C$7,2,FALSE))),"")</f>
        <v/>
      </c>
      <c r="W8315" s="74" t="str">
        <f>IFERROR(VLOOKUP($O8315,'Customer List'!$A$1:$J$488,10,FALSE),"")</f>
        <v/>
      </c>
    </row>
    <row r="8316" spans="18:23">
      <c r="R8316" s="127">
        <f t="shared" si="335"/>
        <v>0</v>
      </c>
      <c r="T8316" s="128">
        <f t="shared" si="334"/>
        <v>0</v>
      </c>
      <c r="U8316" s="129" t="str">
        <f>IFERROR(IF(#REF!="S",VLOOKUP('Raw Data'!A8316,References!#REF!,2,FALSE),(VLOOKUP($S8316,References!$B$3:$C$7,2,FALSE))),"")</f>
        <v/>
      </c>
      <c r="W8316" s="74" t="str">
        <f>IFERROR(VLOOKUP($O8316,'Customer List'!$A$1:$J$488,10,FALSE),"")</f>
        <v/>
      </c>
    </row>
    <row r="8317" spans="18:23">
      <c r="R8317" s="127">
        <f t="shared" si="335"/>
        <v>0</v>
      </c>
      <c r="T8317" s="128">
        <f t="shared" si="334"/>
        <v>0</v>
      </c>
      <c r="U8317" s="129" t="str">
        <f>IFERROR(IF(#REF!="S",VLOOKUP('Raw Data'!A8317,References!#REF!,2,FALSE),(VLOOKUP($S8317,References!$B$3:$C$7,2,FALSE))),"")</f>
        <v/>
      </c>
      <c r="W8317" s="74" t="str">
        <f>IFERROR(VLOOKUP($O8317,'Customer List'!$A$1:$J$488,10,FALSE),"")</f>
        <v/>
      </c>
    </row>
    <row r="8318" spans="18:23">
      <c r="R8318" s="127">
        <f t="shared" si="335"/>
        <v>0</v>
      </c>
      <c r="T8318" s="128">
        <f t="shared" si="334"/>
        <v>0</v>
      </c>
      <c r="U8318" s="129" t="str">
        <f>IFERROR(IF(#REF!="S",VLOOKUP('Raw Data'!A8318,References!#REF!,2,FALSE),(VLOOKUP($S8318,References!$B$3:$C$7,2,FALSE))),"")</f>
        <v/>
      </c>
      <c r="W8318" s="74" t="str">
        <f>IFERROR(VLOOKUP($O8318,'Customer List'!$A$1:$J$488,10,FALSE),"")</f>
        <v/>
      </c>
    </row>
    <row r="8319" spans="18:23">
      <c r="R8319" s="127">
        <f t="shared" si="335"/>
        <v>0</v>
      </c>
      <c r="T8319" s="128">
        <f t="shared" si="334"/>
        <v>0</v>
      </c>
      <c r="U8319" s="129" t="str">
        <f>IFERROR(IF(#REF!="S",VLOOKUP('Raw Data'!A8319,References!#REF!,2,FALSE),(VLOOKUP($S8319,References!$B$3:$C$7,2,FALSE))),"")</f>
        <v/>
      </c>
      <c r="W8319" s="74" t="str">
        <f>IFERROR(VLOOKUP($O8319,'Customer List'!$A$1:$J$488,10,FALSE),"")</f>
        <v/>
      </c>
    </row>
    <row r="8320" spans="18:23">
      <c r="R8320" s="127">
        <f t="shared" si="335"/>
        <v>0</v>
      </c>
      <c r="T8320" s="128">
        <f t="shared" si="334"/>
        <v>0</v>
      </c>
      <c r="U8320" s="129" t="str">
        <f>IFERROR(IF(#REF!="S",VLOOKUP('Raw Data'!A8320,References!#REF!,2,FALSE),(VLOOKUP($S8320,References!$B$3:$C$7,2,FALSE))),"")</f>
        <v/>
      </c>
      <c r="W8320" s="74" t="str">
        <f>IFERROR(VLOOKUP($O8320,'Customer List'!$A$1:$J$488,10,FALSE),"")</f>
        <v/>
      </c>
    </row>
    <row r="8321" spans="18:23">
      <c r="R8321" s="127">
        <f t="shared" si="335"/>
        <v>0</v>
      </c>
      <c r="T8321" s="128">
        <f t="shared" si="334"/>
        <v>0</v>
      </c>
      <c r="U8321" s="129" t="str">
        <f>IFERROR(IF(#REF!="S",VLOOKUP('Raw Data'!A8321,References!#REF!,2,FALSE),(VLOOKUP($S8321,References!$B$3:$C$7,2,FALSE))),"")</f>
        <v/>
      </c>
      <c r="W8321" s="74" t="str">
        <f>IFERROR(VLOOKUP($O8321,'Customer List'!$A$1:$J$488,10,FALSE),"")</f>
        <v/>
      </c>
    </row>
    <row r="8322" spans="18:23">
      <c r="R8322" s="127">
        <f t="shared" si="335"/>
        <v>0</v>
      </c>
      <c r="T8322" s="128">
        <f t="shared" si="334"/>
        <v>0</v>
      </c>
      <c r="U8322" s="129" t="str">
        <f>IFERROR(IF(#REF!="S",VLOOKUP('Raw Data'!A8322,References!#REF!,2,FALSE),(VLOOKUP($S8322,References!$B$3:$C$7,2,FALSE))),"")</f>
        <v/>
      </c>
      <c r="W8322" s="74" t="str">
        <f>IFERROR(VLOOKUP($O8322,'Customer List'!$A$1:$J$488,10,FALSE),"")</f>
        <v/>
      </c>
    </row>
    <row r="8323" spans="18:23">
      <c r="R8323" s="127">
        <f t="shared" si="335"/>
        <v>0</v>
      </c>
      <c r="T8323" s="128">
        <f t="shared" si="334"/>
        <v>0</v>
      </c>
      <c r="U8323" s="129" t="str">
        <f>IFERROR(IF(#REF!="S",VLOOKUP('Raw Data'!A8323,References!#REF!,2,FALSE),(VLOOKUP($S8323,References!$B$3:$C$7,2,FALSE))),"")</f>
        <v/>
      </c>
      <c r="W8323" s="74" t="str">
        <f>IFERROR(VLOOKUP($O8323,'Customer List'!$A$1:$J$488,10,FALSE),"")</f>
        <v/>
      </c>
    </row>
    <row r="8324" spans="18:23">
      <c r="R8324" s="127">
        <f t="shared" si="335"/>
        <v>0</v>
      </c>
      <c r="T8324" s="128">
        <f t="shared" si="334"/>
        <v>0</v>
      </c>
      <c r="U8324" s="129" t="str">
        <f>IFERROR(IF(#REF!="S",VLOOKUP('Raw Data'!A8324,References!#REF!,2,FALSE),(VLOOKUP($S8324,References!$B$3:$C$7,2,FALSE))),"")</f>
        <v/>
      </c>
      <c r="W8324" s="74" t="str">
        <f>IFERROR(VLOOKUP($O8324,'Customer List'!$A$1:$J$488,10,FALSE),"")</f>
        <v/>
      </c>
    </row>
    <row r="8325" spans="18:23">
      <c r="R8325" s="127">
        <f t="shared" si="335"/>
        <v>0</v>
      </c>
      <c r="T8325" s="128">
        <f t="shared" si="334"/>
        <v>0</v>
      </c>
      <c r="U8325" s="129" t="str">
        <f>IFERROR(IF(#REF!="S",VLOOKUP('Raw Data'!A8325,References!#REF!,2,FALSE),(VLOOKUP($S8325,References!$B$3:$C$7,2,FALSE))),"")</f>
        <v/>
      </c>
      <c r="W8325" s="74" t="str">
        <f>IFERROR(VLOOKUP($O8325,'Customer List'!$A$1:$J$488,10,FALSE),"")</f>
        <v/>
      </c>
    </row>
    <row r="8326" spans="18:23">
      <c r="R8326" s="127">
        <f t="shared" si="335"/>
        <v>0</v>
      </c>
      <c r="T8326" s="128">
        <f t="shared" si="334"/>
        <v>0</v>
      </c>
      <c r="U8326" s="129" t="str">
        <f>IFERROR(IF(#REF!="S",VLOOKUP('Raw Data'!A8326,References!#REF!,2,FALSE),(VLOOKUP($S8326,References!$B$3:$C$7,2,FALSE))),"")</f>
        <v/>
      </c>
      <c r="W8326" s="74" t="str">
        <f>IFERROR(VLOOKUP($O8326,'Customer List'!$A$1:$J$488,10,FALSE),"")</f>
        <v/>
      </c>
    </row>
    <row r="8327" spans="18:23">
      <c r="R8327" s="127">
        <f t="shared" si="335"/>
        <v>0</v>
      </c>
      <c r="T8327" s="128">
        <f t="shared" si="334"/>
        <v>0</v>
      </c>
      <c r="U8327" s="129" t="str">
        <f>IFERROR(IF(#REF!="S",VLOOKUP('Raw Data'!A8327,References!#REF!,2,FALSE),(VLOOKUP($S8327,References!$B$3:$C$7,2,FALSE))),"")</f>
        <v/>
      </c>
      <c r="W8327" s="74" t="str">
        <f>IFERROR(VLOOKUP($O8327,'Customer List'!$A$1:$J$488,10,FALSE),"")</f>
        <v/>
      </c>
    </row>
    <row r="8328" spans="18:23">
      <c r="R8328" s="127">
        <f t="shared" si="335"/>
        <v>0</v>
      </c>
      <c r="T8328" s="128">
        <f t="shared" si="334"/>
        <v>0</v>
      </c>
      <c r="U8328" s="129" t="str">
        <f>IFERROR(IF(#REF!="S",VLOOKUP('Raw Data'!A8328,References!#REF!,2,FALSE),(VLOOKUP($S8328,References!$B$3:$C$7,2,FALSE))),"")</f>
        <v/>
      </c>
      <c r="W8328" s="74" t="str">
        <f>IFERROR(VLOOKUP($O8328,'Customer List'!$A$1:$J$488,10,FALSE),"")</f>
        <v/>
      </c>
    </row>
    <row r="8329" spans="18:23">
      <c r="R8329" s="127">
        <f t="shared" si="335"/>
        <v>0</v>
      </c>
      <c r="T8329" s="128">
        <f t="shared" si="334"/>
        <v>0</v>
      </c>
      <c r="U8329" s="129" t="str">
        <f>IFERROR(IF(#REF!="S",VLOOKUP('Raw Data'!A8329,References!#REF!,2,FALSE),(VLOOKUP($S8329,References!$B$3:$C$7,2,FALSE))),"")</f>
        <v/>
      </c>
      <c r="W8329" s="74" t="str">
        <f>IFERROR(VLOOKUP($O8329,'Customer List'!$A$1:$J$488,10,FALSE),"")</f>
        <v/>
      </c>
    </row>
    <row r="8330" spans="18:23">
      <c r="R8330" s="127">
        <f t="shared" si="335"/>
        <v>0</v>
      </c>
      <c r="T8330" s="128">
        <f t="shared" ref="T8330:T8393" si="336">IF(S8330="50 - Cleaning Fee",1,HOUR($R8330)+MINUTE(R8330)/60)</f>
        <v>0</v>
      </c>
      <c r="U8330" s="129" t="str">
        <f>IFERROR(IF(#REF!="S",VLOOKUP('Raw Data'!A8330,References!#REF!,2,FALSE),(VLOOKUP($S8330,References!$B$3:$C$7,2,FALSE))),"")</f>
        <v/>
      </c>
      <c r="W8330" s="74" t="str">
        <f>IFERROR(VLOOKUP($O8330,'Customer List'!$A$1:$J$488,10,FALSE),"")</f>
        <v/>
      </c>
    </row>
    <row r="8331" spans="18:23">
      <c r="R8331" s="127">
        <f t="shared" si="335"/>
        <v>0</v>
      </c>
      <c r="T8331" s="128">
        <f t="shared" si="336"/>
        <v>0</v>
      </c>
      <c r="U8331" s="129" t="str">
        <f>IFERROR(IF(#REF!="S",VLOOKUP('Raw Data'!A8331,References!#REF!,2,FALSE),(VLOOKUP($S8331,References!$B$3:$C$7,2,FALSE))),"")</f>
        <v/>
      </c>
      <c r="W8331" s="74" t="str">
        <f>IFERROR(VLOOKUP($O8331,'Customer List'!$A$1:$J$488,10,FALSE),"")</f>
        <v/>
      </c>
    </row>
    <row r="8332" spans="18:23">
      <c r="R8332" s="127">
        <f t="shared" si="335"/>
        <v>0</v>
      </c>
      <c r="T8332" s="128">
        <f t="shared" si="336"/>
        <v>0</v>
      </c>
      <c r="U8332" s="129" t="str">
        <f>IFERROR(IF(#REF!="S",VLOOKUP('Raw Data'!A8332,References!#REF!,2,FALSE),(VLOOKUP($S8332,References!$B$3:$C$7,2,FALSE))),"")</f>
        <v/>
      </c>
      <c r="W8332" s="74" t="str">
        <f>IFERROR(VLOOKUP($O8332,'Customer List'!$A$1:$J$488,10,FALSE),"")</f>
        <v/>
      </c>
    </row>
    <row r="8333" spans="18:23">
      <c r="R8333" s="127">
        <f t="shared" si="335"/>
        <v>0</v>
      </c>
      <c r="T8333" s="128">
        <f t="shared" si="336"/>
        <v>0</v>
      </c>
      <c r="U8333" s="129" t="str">
        <f>IFERROR(IF(#REF!="S",VLOOKUP('Raw Data'!A8333,References!#REF!,2,FALSE),(VLOOKUP($S8333,References!$B$3:$C$7,2,FALSE))),"")</f>
        <v/>
      </c>
      <c r="W8333" s="74" t="str">
        <f>IFERROR(VLOOKUP($O8333,'Customer List'!$A$1:$J$488,10,FALSE),"")</f>
        <v/>
      </c>
    </row>
    <row r="8334" spans="18:23">
      <c r="R8334" s="127">
        <f t="shared" si="335"/>
        <v>0</v>
      </c>
      <c r="T8334" s="128">
        <f t="shared" si="336"/>
        <v>0</v>
      </c>
      <c r="U8334" s="129" t="str">
        <f>IFERROR(IF(#REF!="S",VLOOKUP('Raw Data'!A8334,References!#REF!,2,FALSE),(VLOOKUP($S8334,References!$B$3:$C$7,2,FALSE))),"")</f>
        <v/>
      </c>
      <c r="W8334" s="74" t="str">
        <f>IFERROR(VLOOKUP($O8334,'Customer List'!$A$1:$J$488,10,FALSE),"")</f>
        <v/>
      </c>
    </row>
    <row r="8335" spans="18:23">
      <c r="R8335" s="127">
        <f t="shared" si="335"/>
        <v>0</v>
      </c>
      <c r="T8335" s="128">
        <f t="shared" si="336"/>
        <v>0</v>
      </c>
      <c r="U8335" s="129" t="str">
        <f>IFERROR(IF(#REF!="S",VLOOKUP('Raw Data'!A8335,References!#REF!,2,FALSE),(VLOOKUP($S8335,References!$B$3:$C$7,2,FALSE))),"")</f>
        <v/>
      </c>
      <c r="W8335" s="74" t="str">
        <f>IFERROR(VLOOKUP($O8335,'Customer List'!$A$1:$J$488,10,FALSE),"")</f>
        <v/>
      </c>
    </row>
    <row r="8336" spans="18:23">
      <c r="R8336" s="127">
        <f t="shared" si="335"/>
        <v>0</v>
      </c>
      <c r="T8336" s="128">
        <f t="shared" si="336"/>
        <v>0</v>
      </c>
      <c r="U8336" s="129" t="str">
        <f>IFERROR(IF(#REF!="S",VLOOKUP('Raw Data'!A8336,References!#REF!,2,FALSE),(VLOOKUP($S8336,References!$B$3:$C$7,2,FALSE))),"")</f>
        <v/>
      </c>
      <c r="W8336" s="74" t="str">
        <f>IFERROR(VLOOKUP($O8336,'Customer List'!$A$1:$J$488,10,FALSE),"")</f>
        <v/>
      </c>
    </row>
    <row r="8337" spans="18:23">
      <c r="R8337" s="127">
        <f t="shared" si="335"/>
        <v>0</v>
      </c>
      <c r="T8337" s="128">
        <f t="shared" si="336"/>
        <v>0</v>
      </c>
      <c r="U8337" s="129" t="str">
        <f>IFERROR(IF(#REF!="S",VLOOKUP('Raw Data'!A8337,References!#REF!,2,FALSE),(VLOOKUP($S8337,References!$B$3:$C$7,2,FALSE))),"")</f>
        <v/>
      </c>
      <c r="W8337" s="74" t="str">
        <f>IFERROR(VLOOKUP($O8337,'Customer List'!$A$1:$J$488,10,FALSE),"")</f>
        <v/>
      </c>
    </row>
    <row r="8338" spans="18:23">
      <c r="R8338" s="127">
        <f t="shared" si="335"/>
        <v>0</v>
      </c>
      <c r="T8338" s="128">
        <f t="shared" si="336"/>
        <v>0</v>
      </c>
      <c r="U8338" s="129" t="str">
        <f>IFERROR(IF(#REF!="S",VLOOKUP('Raw Data'!A8338,References!#REF!,2,FALSE),(VLOOKUP($S8338,References!$B$3:$C$7,2,FALSE))),"")</f>
        <v/>
      </c>
      <c r="W8338" s="74" t="str">
        <f>IFERROR(VLOOKUP($O8338,'Customer List'!$A$1:$J$488,10,FALSE),"")</f>
        <v/>
      </c>
    </row>
    <row r="8339" spans="18:23">
      <c r="R8339" s="127">
        <f t="shared" si="335"/>
        <v>0</v>
      </c>
      <c r="T8339" s="128">
        <f t="shared" si="336"/>
        <v>0</v>
      </c>
      <c r="U8339" s="129" t="str">
        <f>IFERROR(IF(#REF!="S",VLOOKUP('Raw Data'!A8339,References!#REF!,2,FALSE),(VLOOKUP($S8339,References!$B$3:$C$7,2,FALSE))),"")</f>
        <v/>
      </c>
      <c r="W8339" s="74" t="str">
        <f>IFERROR(VLOOKUP($O8339,'Customer List'!$A$1:$J$488,10,FALSE),"")</f>
        <v/>
      </c>
    </row>
    <row r="8340" spans="18:23">
      <c r="R8340" s="127">
        <f t="shared" si="335"/>
        <v>0</v>
      </c>
      <c r="T8340" s="128">
        <f t="shared" si="336"/>
        <v>0</v>
      </c>
      <c r="U8340" s="129" t="str">
        <f>IFERROR(IF(#REF!="S",VLOOKUP('Raw Data'!A8340,References!#REF!,2,FALSE),(VLOOKUP($S8340,References!$B$3:$C$7,2,FALSE))),"")</f>
        <v/>
      </c>
      <c r="W8340" s="74" t="str">
        <f>IFERROR(VLOOKUP($O8340,'Customer List'!$A$1:$J$488,10,FALSE),"")</f>
        <v/>
      </c>
    </row>
    <row r="8341" spans="18:23">
      <c r="R8341" s="127">
        <f t="shared" si="335"/>
        <v>0</v>
      </c>
      <c r="T8341" s="128">
        <f t="shared" si="336"/>
        <v>0</v>
      </c>
      <c r="U8341" s="129" t="str">
        <f>IFERROR(IF(#REF!="S",VLOOKUP('Raw Data'!A8341,References!#REF!,2,FALSE),(VLOOKUP($S8341,References!$B$3:$C$7,2,FALSE))),"")</f>
        <v/>
      </c>
      <c r="W8341" s="74" t="str">
        <f>IFERROR(VLOOKUP($O8341,'Customer List'!$A$1:$J$488,10,FALSE),"")</f>
        <v/>
      </c>
    </row>
    <row r="8342" spans="18:23">
      <c r="R8342" s="127">
        <f t="shared" si="335"/>
        <v>0</v>
      </c>
      <c r="T8342" s="128">
        <f t="shared" si="336"/>
        <v>0</v>
      </c>
      <c r="U8342" s="129" t="str">
        <f>IFERROR(IF(#REF!="S",VLOOKUP('Raw Data'!A8342,References!#REF!,2,FALSE),(VLOOKUP($S8342,References!$B$3:$C$7,2,FALSE))),"")</f>
        <v/>
      </c>
      <c r="W8342" s="74" t="str">
        <f>IFERROR(VLOOKUP($O8342,'Customer List'!$A$1:$J$488,10,FALSE),"")</f>
        <v/>
      </c>
    </row>
    <row r="8343" spans="18:23">
      <c r="R8343" s="127">
        <f t="shared" si="335"/>
        <v>0</v>
      </c>
      <c r="T8343" s="128">
        <f t="shared" si="336"/>
        <v>0</v>
      </c>
      <c r="U8343" s="129" t="str">
        <f>IFERROR(IF(#REF!="S",VLOOKUP('Raw Data'!A8343,References!#REF!,2,FALSE),(VLOOKUP($S8343,References!$B$3:$C$7,2,FALSE))),"")</f>
        <v/>
      </c>
      <c r="W8343" s="74" t="str">
        <f>IFERROR(VLOOKUP($O8343,'Customer List'!$A$1:$J$488,10,FALSE),"")</f>
        <v/>
      </c>
    </row>
    <row r="8344" spans="18:23">
      <c r="R8344" s="127">
        <f t="shared" si="335"/>
        <v>0</v>
      </c>
      <c r="T8344" s="128">
        <f t="shared" si="336"/>
        <v>0</v>
      </c>
      <c r="U8344" s="129" t="str">
        <f>IFERROR(IF(#REF!="S",VLOOKUP('Raw Data'!A8344,References!#REF!,2,FALSE),(VLOOKUP($S8344,References!$B$3:$C$7,2,FALSE))),"")</f>
        <v/>
      </c>
      <c r="W8344" s="74" t="str">
        <f>IFERROR(VLOOKUP($O8344,'Customer List'!$A$1:$J$488,10,FALSE),"")</f>
        <v/>
      </c>
    </row>
    <row r="8345" spans="18:23">
      <c r="R8345" s="127">
        <f t="shared" si="335"/>
        <v>0</v>
      </c>
      <c r="T8345" s="128">
        <f t="shared" si="336"/>
        <v>0</v>
      </c>
      <c r="U8345" s="129" t="str">
        <f>IFERROR(IF(#REF!="S",VLOOKUP('Raw Data'!A8345,References!#REF!,2,FALSE),(VLOOKUP($S8345,References!$B$3:$C$7,2,FALSE))),"")</f>
        <v/>
      </c>
      <c r="W8345" s="74" t="str">
        <f>IFERROR(VLOOKUP($O8345,'Customer List'!$A$1:$J$488,10,FALSE),"")</f>
        <v/>
      </c>
    </row>
    <row r="8346" spans="18:23">
      <c r="R8346" s="127">
        <f t="shared" si="335"/>
        <v>0</v>
      </c>
      <c r="T8346" s="128">
        <f t="shared" si="336"/>
        <v>0</v>
      </c>
      <c r="U8346" s="129" t="str">
        <f>IFERROR(IF(#REF!="S",VLOOKUP('Raw Data'!A8346,References!#REF!,2,FALSE),(VLOOKUP($S8346,References!$B$3:$C$7,2,FALSE))),"")</f>
        <v/>
      </c>
      <c r="W8346" s="74" t="str">
        <f>IFERROR(VLOOKUP($O8346,'Customer List'!$A$1:$J$488,10,FALSE),"")</f>
        <v/>
      </c>
    </row>
    <row r="8347" spans="18:23">
      <c r="R8347" s="127">
        <f t="shared" si="335"/>
        <v>0</v>
      </c>
      <c r="T8347" s="128">
        <f t="shared" si="336"/>
        <v>0</v>
      </c>
      <c r="U8347" s="129" t="str">
        <f>IFERROR(IF(#REF!="S",VLOOKUP('Raw Data'!A8347,References!#REF!,2,FALSE),(VLOOKUP($S8347,References!$B$3:$C$7,2,FALSE))),"")</f>
        <v/>
      </c>
      <c r="W8347" s="74" t="str">
        <f>IFERROR(VLOOKUP($O8347,'Customer List'!$A$1:$J$488,10,FALSE),"")</f>
        <v/>
      </c>
    </row>
    <row r="8348" spans="18:23">
      <c r="R8348" s="127">
        <f t="shared" si="335"/>
        <v>0</v>
      </c>
      <c r="T8348" s="128">
        <f t="shared" si="336"/>
        <v>0</v>
      </c>
      <c r="U8348" s="129" t="str">
        <f>IFERROR(IF(#REF!="S",VLOOKUP('Raw Data'!A8348,References!#REF!,2,FALSE),(VLOOKUP($S8348,References!$B$3:$C$7,2,FALSE))),"")</f>
        <v/>
      </c>
      <c r="W8348" s="74" t="str">
        <f>IFERROR(VLOOKUP($O8348,'Customer List'!$A$1:$J$488,10,FALSE),"")</f>
        <v/>
      </c>
    </row>
    <row r="8349" spans="18:23">
      <c r="R8349" s="127">
        <f t="shared" si="335"/>
        <v>0</v>
      </c>
      <c r="T8349" s="128">
        <f t="shared" si="336"/>
        <v>0</v>
      </c>
      <c r="U8349" s="129" t="str">
        <f>IFERROR(IF(#REF!="S",VLOOKUP('Raw Data'!A8349,References!#REF!,2,FALSE),(VLOOKUP($S8349,References!$B$3:$C$7,2,FALSE))),"")</f>
        <v/>
      </c>
      <c r="W8349" s="74" t="str">
        <f>IFERROR(VLOOKUP($O8349,'Customer List'!$A$1:$J$488,10,FALSE),"")</f>
        <v/>
      </c>
    </row>
    <row r="8350" spans="18:23">
      <c r="R8350" s="127">
        <f t="shared" si="335"/>
        <v>0</v>
      </c>
      <c r="T8350" s="128">
        <f t="shared" si="336"/>
        <v>0</v>
      </c>
      <c r="U8350" s="129" t="str">
        <f>IFERROR(IF(#REF!="S",VLOOKUP('Raw Data'!A8350,References!#REF!,2,FALSE),(VLOOKUP($S8350,References!$B$3:$C$7,2,FALSE))),"")</f>
        <v/>
      </c>
      <c r="W8350" s="74" t="str">
        <f>IFERROR(VLOOKUP($O8350,'Customer List'!$A$1:$J$488,10,FALSE),"")</f>
        <v/>
      </c>
    </row>
    <row r="8351" spans="18:23">
      <c r="R8351" s="127">
        <f t="shared" si="335"/>
        <v>0</v>
      </c>
      <c r="T8351" s="128">
        <f t="shared" si="336"/>
        <v>0</v>
      </c>
      <c r="U8351" s="129" t="str">
        <f>IFERROR(IF(#REF!="S",VLOOKUP('Raw Data'!A8351,References!#REF!,2,FALSE),(VLOOKUP($S8351,References!$B$3:$C$7,2,FALSE))),"")</f>
        <v/>
      </c>
      <c r="W8351" s="74" t="str">
        <f>IFERROR(VLOOKUP($O8351,'Customer List'!$A$1:$J$488,10,FALSE),"")</f>
        <v/>
      </c>
    </row>
    <row r="8352" spans="18:23">
      <c r="R8352" s="127">
        <f t="shared" si="335"/>
        <v>0</v>
      </c>
      <c r="T8352" s="128">
        <f t="shared" si="336"/>
        <v>0</v>
      </c>
      <c r="U8352" s="129" t="str">
        <f>IFERROR(IF(#REF!="S",VLOOKUP('Raw Data'!A8352,References!#REF!,2,FALSE),(VLOOKUP($S8352,References!$B$3:$C$7,2,FALSE))),"")</f>
        <v/>
      </c>
      <c r="W8352" s="74" t="str">
        <f>IFERROR(VLOOKUP($O8352,'Customer List'!$A$1:$J$488,10,FALSE),"")</f>
        <v/>
      </c>
    </row>
    <row r="8353" spans="18:23">
      <c r="R8353" s="127">
        <f t="shared" si="335"/>
        <v>0</v>
      </c>
      <c r="T8353" s="128">
        <f t="shared" si="336"/>
        <v>0</v>
      </c>
      <c r="U8353" s="129" t="str">
        <f>IFERROR(IF(#REF!="S",VLOOKUP('Raw Data'!A8353,References!#REF!,2,FALSE),(VLOOKUP($S8353,References!$B$3:$C$7,2,FALSE))),"")</f>
        <v/>
      </c>
      <c r="W8353" s="74" t="str">
        <f>IFERROR(VLOOKUP($O8353,'Customer List'!$A$1:$J$488,10,FALSE),"")</f>
        <v/>
      </c>
    </row>
    <row r="8354" spans="18:23">
      <c r="R8354" s="127">
        <f t="shared" ref="R8354:R8417" si="337">L8354-K8354</f>
        <v>0</v>
      </c>
      <c r="T8354" s="128">
        <f t="shared" si="336"/>
        <v>0</v>
      </c>
      <c r="U8354" s="129" t="str">
        <f>IFERROR(IF(#REF!="S",VLOOKUP('Raw Data'!A8354,References!#REF!,2,FALSE),(VLOOKUP($S8354,References!$B$3:$C$7,2,FALSE))),"")</f>
        <v/>
      </c>
      <c r="W8354" s="74" t="str">
        <f>IFERROR(VLOOKUP($O8354,'Customer List'!$A$1:$J$488,10,FALSE),"")</f>
        <v/>
      </c>
    </row>
    <row r="8355" spans="18:23">
      <c r="R8355" s="127">
        <f t="shared" si="337"/>
        <v>0</v>
      </c>
      <c r="T8355" s="128">
        <f t="shared" si="336"/>
        <v>0</v>
      </c>
      <c r="U8355" s="129" t="str">
        <f>IFERROR(IF(#REF!="S",VLOOKUP('Raw Data'!A8355,References!#REF!,2,FALSE),(VLOOKUP($S8355,References!$B$3:$C$7,2,FALSE))),"")</f>
        <v/>
      </c>
      <c r="W8355" s="74" t="str">
        <f>IFERROR(VLOOKUP($O8355,'Customer List'!$A$1:$J$488,10,FALSE),"")</f>
        <v/>
      </c>
    </row>
    <row r="8356" spans="18:23">
      <c r="R8356" s="127">
        <f t="shared" si="337"/>
        <v>0</v>
      </c>
      <c r="T8356" s="128">
        <f t="shared" si="336"/>
        <v>0</v>
      </c>
      <c r="U8356" s="129" t="str">
        <f>IFERROR(IF(#REF!="S",VLOOKUP('Raw Data'!A8356,References!#REF!,2,FALSE),(VLOOKUP($S8356,References!$B$3:$C$7,2,FALSE))),"")</f>
        <v/>
      </c>
      <c r="W8356" s="74" t="str">
        <f>IFERROR(VLOOKUP($O8356,'Customer List'!$A$1:$J$488,10,FALSE),"")</f>
        <v/>
      </c>
    </row>
    <row r="8357" spans="18:23">
      <c r="R8357" s="127">
        <f t="shared" si="337"/>
        <v>0</v>
      </c>
      <c r="T8357" s="128">
        <f t="shared" si="336"/>
        <v>0</v>
      </c>
      <c r="U8357" s="129" t="str">
        <f>IFERROR(IF(#REF!="S",VLOOKUP('Raw Data'!A8357,References!#REF!,2,FALSE),(VLOOKUP($S8357,References!$B$3:$C$7,2,FALSE))),"")</f>
        <v/>
      </c>
      <c r="W8357" s="74" t="str">
        <f>IFERROR(VLOOKUP($O8357,'Customer List'!$A$1:$J$488,10,FALSE),"")</f>
        <v/>
      </c>
    </row>
    <row r="8358" spans="18:23">
      <c r="R8358" s="127">
        <f t="shared" si="337"/>
        <v>0</v>
      </c>
      <c r="T8358" s="128">
        <f t="shared" si="336"/>
        <v>0</v>
      </c>
      <c r="U8358" s="129" t="str">
        <f>IFERROR(IF(#REF!="S",VLOOKUP('Raw Data'!A8358,References!#REF!,2,FALSE),(VLOOKUP($S8358,References!$B$3:$C$7,2,FALSE))),"")</f>
        <v/>
      </c>
      <c r="W8358" s="74" t="str">
        <f>IFERROR(VLOOKUP($O8358,'Customer List'!$A$1:$J$488,10,FALSE),"")</f>
        <v/>
      </c>
    </row>
    <row r="8359" spans="18:23">
      <c r="R8359" s="127">
        <f t="shared" si="337"/>
        <v>0</v>
      </c>
      <c r="T8359" s="128">
        <f t="shared" si="336"/>
        <v>0</v>
      </c>
      <c r="U8359" s="129" t="str">
        <f>IFERROR(IF(#REF!="S",VLOOKUP('Raw Data'!A8359,References!#REF!,2,FALSE),(VLOOKUP($S8359,References!$B$3:$C$7,2,FALSE))),"")</f>
        <v/>
      </c>
      <c r="W8359" s="74" t="str">
        <f>IFERROR(VLOOKUP($O8359,'Customer List'!$A$1:$J$488,10,FALSE),"")</f>
        <v/>
      </c>
    </row>
    <row r="8360" spans="18:23">
      <c r="R8360" s="127">
        <f t="shared" si="337"/>
        <v>0</v>
      </c>
      <c r="T8360" s="128">
        <f t="shared" si="336"/>
        <v>0</v>
      </c>
      <c r="U8360" s="129" t="str">
        <f>IFERROR(IF(#REF!="S",VLOOKUP('Raw Data'!A8360,References!#REF!,2,FALSE),(VLOOKUP($S8360,References!$B$3:$C$7,2,FALSE))),"")</f>
        <v/>
      </c>
      <c r="W8360" s="74" t="str">
        <f>IFERROR(VLOOKUP($O8360,'Customer List'!$A$1:$J$488,10,FALSE),"")</f>
        <v/>
      </c>
    </row>
    <row r="8361" spans="18:23">
      <c r="R8361" s="127">
        <f t="shared" si="337"/>
        <v>0</v>
      </c>
      <c r="T8361" s="128">
        <f t="shared" si="336"/>
        <v>0</v>
      </c>
      <c r="U8361" s="129" t="str">
        <f>IFERROR(IF(#REF!="S",VLOOKUP('Raw Data'!A8361,References!#REF!,2,FALSE),(VLOOKUP($S8361,References!$B$3:$C$7,2,FALSE))),"")</f>
        <v/>
      </c>
      <c r="W8361" s="74" t="str">
        <f>IFERROR(VLOOKUP($O8361,'Customer List'!$A$1:$J$488,10,FALSE),"")</f>
        <v/>
      </c>
    </row>
    <row r="8362" spans="18:23">
      <c r="R8362" s="127">
        <f t="shared" si="337"/>
        <v>0</v>
      </c>
      <c r="T8362" s="128">
        <f t="shared" si="336"/>
        <v>0</v>
      </c>
      <c r="U8362" s="129" t="str">
        <f>IFERROR(IF(#REF!="S",VLOOKUP('Raw Data'!A8362,References!#REF!,2,FALSE),(VLOOKUP($S8362,References!$B$3:$C$7,2,FALSE))),"")</f>
        <v/>
      </c>
      <c r="W8362" s="74" t="str">
        <f>IFERROR(VLOOKUP($O8362,'Customer List'!$A$1:$J$488,10,FALSE),"")</f>
        <v/>
      </c>
    </row>
    <row r="8363" spans="18:23">
      <c r="R8363" s="127">
        <f t="shared" si="337"/>
        <v>0</v>
      </c>
      <c r="T8363" s="128">
        <f t="shared" si="336"/>
        <v>0</v>
      </c>
      <c r="U8363" s="129" t="str">
        <f>IFERROR(IF(#REF!="S",VLOOKUP('Raw Data'!A8363,References!#REF!,2,FALSE),(VLOOKUP($S8363,References!$B$3:$C$7,2,FALSE))),"")</f>
        <v/>
      </c>
      <c r="W8363" s="74" t="str">
        <f>IFERROR(VLOOKUP($O8363,'Customer List'!$A$1:$J$488,10,FALSE),"")</f>
        <v/>
      </c>
    </row>
    <row r="8364" spans="18:23">
      <c r="R8364" s="127">
        <f t="shared" si="337"/>
        <v>0</v>
      </c>
      <c r="T8364" s="128">
        <f t="shared" si="336"/>
        <v>0</v>
      </c>
      <c r="U8364" s="129" t="str">
        <f>IFERROR(IF(#REF!="S",VLOOKUP('Raw Data'!A8364,References!#REF!,2,FALSE),(VLOOKUP($S8364,References!$B$3:$C$7,2,FALSE))),"")</f>
        <v/>
      </c>
      <c r="W8364" s="74" t="str">
        <f>IFERROR(VLOOKUP($O8364,'Customer List'!$A$1:$J$488,10,FALSE),"")</f>
        <v/>
      </c>
    </row>
    <row r="8365" spans="18:23">
      <c r="R8365" s="127">
        <f t="shared" si="337"/>
        <v>0</v>
      </c>
      <c r="T8365" s="128">
        <f t="shared" si="336"/>
        <v>0</v>
      </c>
      <c r="U8365" s="129" t="str">
        <f>IFERROR(IF(#REF!="S",VLOOKUP('Raw Data'!A8365,References!#REF!,2,FALSE),(VLOOKUP($S8365,References!$B$3:$C$7,2,FALSE))),"")</f>
        <v/>
      </c>
      <c r="W8365" s="74" t="str">
        <f>IFERROR(VLOOKUP($O8365,'Customer List'!$A$1:$J$488,10,FALSE),"")</f>
        <v/>
      </c>
    </row>
    <row r="8366" spans="18:23">
      <c r="R8366" s="127">
        <f t="shared" si="337"/>
        <v>0</v>
      </c>
      <c r="T8366" s="128">
        <f t="shared" si="336"/>
        <v>0</v>
      </c>
      <c r="U8366" s="129" t="str">
        <f>IFERROR(IF(#REF!="S",VLOOKUP('Raw Data'!A8366,References!#REF!,2,FALSE),(VLOOKUP($S8366,References!$B$3:$C$7,2,FALSE))),"")</f>
        <v/>
      </c>
      <c r="W8366" s="74" t="str">
        <f>IFERROR(VLOOKUP($O8366,'Customer List'!$A$1:$J$488,10,FALSE),"")</f>
        <v/>
      </c>
    </row>
    <row r="8367" spans="18:23">
      <c r="R8367" s="127">
        <f t="shared" si="337"/>
        <v>0</v>
      </c>
      <c r="T8367" s="128">
        <f t="shared" si="336"/>
        <v>0</v>
      </c>
      <c r="U8367" s="129" t="str">
        <f>IFERROR(IF(#REF!="S",VLOOKUP('Raw Data'!A8367,References!#REF!,2,FALSE),(VLOOKUP($S8367,References!$B$3:$C$7,2,FALSE))),"")</f>
        <v/>
      </c>
      <c r="W8367" s="74" t="str">
        <f>IFERROR(VLOOKUP($O8367,'Customer List'!$A$1:$J$488,10,FALSE),"")</f>
        <v/>
      </c>
    </row>
    <row r="8368" spans="18:23">
      <c r="R8368" s="127">
        <f t="shared" si="337"/>
        <v>0</v>
      </c>
      <c r="T8368" s="128">
        <f t="shared" si="336"/>
        <v>0</v>
      </c>
      <c r="U8368" s="129" t="str">
        <f>IFERROR(IF(#REF!="S",VLOOKUP('Raw Data'!A8368,References!#REF!,2,FALSE),(VLOOKUP($S8368,References!$B$3:$C$7,2,FALSE))),"")</f>
        <v/>
      </c>
      <c r="W8368" s="74" t="str">
        <f>IFERROR(VLOOKUP($O8368,'Customer List'!$A$1:$J$488,10,FALSE),"")</f>
        <v/>
      </c>
    </row>
    <row r="8369" spans="18:23">
      <c r="R8369" s="127">
        <f t="shared" si="337"/>
        <v>0</v>
      </c>
      <c r="T8369" s="128">
        <f t="shared" si="336"/>
        <v>0</v>
      </c>
      <c r="U8369" s="129" t="str">
        <f>IFERROR(IF(#REF!="S",VLOOKUP('Raw Data'!A8369,References!#REF!,2,FALSE),(VLOOKUP($S8369,References!$B$3:$C$7,2,FALSE))),"")</f>
        <v/>
      </c>
      <c r="W8369" s="74" t="str">
        <f>IFERROR(VLOOKUP($O8369,'Customer List'!$A$1:$J$488,10,FALSE),"")</f>
        <v/>
      </c>
    </row>
    <row r="8370" spans="18:23">
      <c r="R8370" s="127">
        <f t="shared" si="337"/>
        <v>0</v>
      </c>
      <c r="T8370" s="128">
        <f t="shared" si="336"/>
        <v>0</v>
      </c>
      <c r="U8370" s="129" t="str">
        <f>IFERROR(IF(#REF!="S",VLOOKUP('Raw Data'!A8370,References!#REF!,2,FALSE),(VLOOKUP($S8370,References!$B$3:$C$7,2,FALSE))),"")</f>
        <v/>
      </c>
      <c r="W8370" s="74" t="str">
        <f>IFERROR(VLOOKUP($O8370,'Customer List'!$A$1:$J$488,10,FALSE),"")</f>
        <v/>
      </c>
    </row>
    <row r="8371" spans="18:23">
      <c r="R8371" s="127">
        <f t="shared" si="337"/>
        <v>0</v>
      </c>
      <c r="T8371" s="128">
        <f t="shared" si="336"/>
        <v>0</v>
      </c>
      <c r="U8371" s="129" t="str">
        <f>IFERROR(IF(#REF!="S",VLOOKUP('Raw Data'!A8371,References!#REF!,2,FALSE),(VLOOKUP($S8371,References!$B$3:$C$7,2,FALSE))),"")</f>
        <v/>
      </c>
      <c r="W8371" s="74" t="str">
        <f>IFERROR(VLOOKUP($O8371,'Customer List'!$A$1:$J$488,10,FALSE),"")</f>
        <v/>
      </c>
    </row>
    <row r="8372" spans="18:23">
      <c r="R8372" s="127">
        <f t="shared" si="337"/>
        <v>0</v>
      </c>
      <c r="T8372" s="128">
        <f t="shared" si="336"/>
        <v>0</v>
      </c>
      <c r="U8372" s="129" t="str">
        <f>IFERROR(IF(#REF!="S",VLOOKUP('Raw Data'!A8372,References!#REF!,2,FALSE),(VLOOKUP($S8372,References!$B$3:$C$7,2,FALSE))),"")</f>
        <v/>
      </c>
      <c r="W8372" s="74" t="str">
        <f>IFERROR(VLOOKUP($O8372,'Customer List'!$A$1:$J$488,10,FALSE),"")</f>
        <v/>
      </c>
    </row>
    <row r="8373" spans="18:23">
      <c r="R8373" s="127">
        <f t="shared" si="337"/>
        <v>0</v>
      </c>
      <c r="T8373" s="128">
        <f t="shared" si="336"/>
        <v>0</v>
      </c>
      <c r="U8373" s="129" t="str">
        <f>IFERROR(IF(#REF!="S",VLOOKUP('Raw Data'!A8373,References!#REF!,2,FALSE),(VLOOKUP($S8373,References!$B$3:$C$7,2,FALSE))),"")</f>
        <v/>
      </c>
      <c r="W8373" s="74" t="str">
        <f>IFERROR(VLOOKUP($O8373,'Customer List'!$A$1:$J$488,10,FALSE),"")</f>
        <v/>
      </c>
    </row>
    <row r="8374" spans="18:23">
      <c r="R8374" s="127">
        <f t="shared" si="337"/>
        <v>0</v>
      </c>
      <c r="T8374" s="128">
        <f t="shared" si="336"/>
        <v>0</v>
      </c>
      <c r="U8374" s="129" t="str">
        <f>IFERROR(IF(#REF!="S",VLOOKUP('Raw Data'!A8374,References!#REF!,2,FALSE),(VLOOKUP($S8374,References!$B$3:$C$7,2,FALSE))),"")</f>
        <v/>
      </c>
      <c r="W8374" s="74" t="str">
        <f>IFERROR(VLOOKUP($O8374,'Customer List'!$A$1:$J$488,10,FALSE),"")</f>
        <v/>
      </c>
    </row>
    <row r="8375" spans="18:23">
      <c r="R8375" s="127">
        <f t="shared" si="337"/>
        <v>0</v>
      </c>
      <c r="T8375" s="128">
        <f t="shared" si="336"/>
        <v>0</v>
      </c>
      <c r="U8375" s="129" t="str">
        <f>IFERROR(IF(#REF!="S",VLOOKUP('Raw Data'!A8375,References!#REF!,2,FALSE),(VLOOKUP($S8375,References!$B$3:$C$7,2,FALSE))),"")</f>
        <v/>
      </c>
      <c r="W8375" s="74" t="str">
        <f>IFERROR(VLOOKUP($O8375,'Customer List'!$A$1:$J$488,10,FALSE),"")</f>
        <v/>
      </c>
    </row>
    <row r="8376" spans="18:23">
      <c r="R8376" s="127">
        <f t="shared" si="337"/>
        <v>0</v>
      </c>
      <c r="T8376" s="128">
        <f t="shared" si="336"/>
        <v>0</v>
      </c>
      <c r="U8376" s="129" t="str">
        <f>IFERROR(IF(#REF!="S",VLOOKUP('Raw Data'!A8376,References!#REF!,2,FALSE),(VLOOKUP($S8376,References!$B$3:$C$7,2,FALSE))),"")</f>
        <v/>
      </c>
      <c r="W8376" s="74" t="str">
        <f>IFERROR(VLOOKUP($O8376,'Customer List'!$A$1:$J$488,10,FALSE),"")</f>
        <v/>
      </c>
    </row>
    <row r="8377" spans="18:23">
      <c r="R8377" s="127">
        <f t="shared" si="337"/>
        <v>0</v>
      </c>
      <c r="T8377" s="128">
        <f t="shared" si="336"/>
        <v>0</v>
      </c>
      <c r="U8377" s="129" t="str">
        <f>IFERROR(IF(#REF!="S",VLOOKUP('Raw Data'!A8377,References!#REF!,2,FALSE),(VLOOKUP($S8377,References!$B$3:$C$7,2,FALSE))),"")</f>
        <v/>
      </c>
      <c r="W8377" s="74" t="str">
        <f>IFERROR(VLOOKUP($O8377,'Customer List'!$A$1:$J$488,10,FALSE),"")</f>
        <v/>
      </c>
    </row>
    <row r="8378" spans="18:23">
      <c r="R8378" s="127">
        <f t="shared" si="337"/>
        <v>0</v>
      </c>
      <c r="T8378" s="128">
        <f t="shared" si="336"/>
        <v>0</v>
      </c>
      <c r="U8378" s="129" t="str">
        <f>IFERROR(IF(#REF!="S",VLOOKUP('Raw Data'!A8378,References!#REF!,2,FALSE),(VLOOKUP($S8378,References!$B$3:$C$7,2,FALSE))),"")</f>
        <v/>
      </c>
      <c r="W8378" s="74" t="str">
        <f>IFERROR(VLOOKUP($O8378,'Customer List'!$A$1:$J$488,10,FALSE),"")</f>
        <v/>
      </c>
    </row>
    <row r="8379" spans="18:23">
      <c r="R8379" s="127">
        <f t="shared" si="337"/>
        <v>0</v>
      </c>
      <c r="T8379" s="128">
        <f t="shared" si="336"/>
        <v>0</v>
      </c>
      <c r="U8379" s="129" t="str">
        <f>IFERROR(IF(#REF!="S",VLOOKUP('Raw Data'!A8379,References!#REF!,2,FALSE),(VLOOKUP($S8379,References!$B$3:$C$7,2,FALSE))),"")</f>
        <v/>
      </c>
      <c r="W8379" s="74" t="str">
        <f>IFERROR(VLOOKUP($O8379,'Customer List'!$A$1:$J$488,10,FALSE),"")</f>
        <v/>
      </c>
    </row>
    <row r="8380" spans="18:23">
      <c r="R8380" s="127">
        <f t="shared" si="337"/>
        <v>0</v>
      </c>
      <c r="T8380" s="128">
        <f t="shared" si="336"/>
        <v>0</v>
      </c>
      <c r="U8380" s="129" t="str">
        <f>IFERROR(IF(#REF!="S",VLOOKUP('Raw Data'!A8380,References!#REF!,2,FALSE),(VLOOKUP($S8380,References!$B$3:$C$7,2,FALSE))),"")</f>
        <v/>
      </c>
      <c r="W8380" s="74" t="str">
        <f>IFERROR(VLOOKUP($O8380,'Customer List'!$A$1:$J$488,10,FALSE),"")</f>
        <v/>
      </c>
    </row>
    <row r="8381" spans="18:23">
      <c r="R8381" s="127">
        <f t="shared" si="337"/>
        <v>0</v>
      </c>
      <c r="T8381" s="128">
        <f t="shared" si="336"/>
        <v>0</v>
      </c>
      <c r="U8381" s="129" t="str">
        <f>IFERROR(IF(#REF!="S",VLOOKUP('Raw Data'!A8381,References!#REF!,2,FALSE),(VLOOKUP($S8381,References!$B$3:$C$7,2,FALSE))),"")</f>
        <v/>
      </c>
      <c r="W8381" s="74" t="str">
        <f>IFERROR(VLOOKUP($O8381,'Customer List'!$A$1:$J$488,10,FALSE),"")</f>
        <v/>
      </c>
    </row>
    <row r="8382" spans="18:23">
      <c r="R8382" s="127">
        <f t="shared" si="337"/>
        <v>0</v>
      </c>
      <c r="T8382" s="128">
        <f t="shared" si="336"/>
        <v>0</v>
      </c>
      <c r="U8382" s="129" t="str">
        <f>IFERROR(IF(#REF!="S",VLOOKUP('Raw Data'!A8382,References!#REF!,2,FALSE),(VLOOKUP($S8382,References!$B$3:$C$7,2,FALSE))),"")</f>
        <v/>
      </c>
      <c r="W8382" s="74" t="str">
        <f>IFERROR(VLOOKUP($O8382,'Customer List'!$A$1:$J$488,10,FALSE),"")</f>
        <v/>
      </c>
    </row>
    <row r="8383" spans="18:23">
      <c r="R8383" s="127">
        <f t="shared" si="337"/>
        <v>0</v>
      </c>
      <c r="T8383" s="128">
        <f t="shared" si="336"/>
        <v>0</v>
      </c>
      <c r="U8383" s="129" t="str">
        <f>IFERROR(IF(#REF!="S",VLOOKUP('Raw Data'!A8383,References!#REF!,2,FALSE),(VLOOKUP($S8383,References!$B$3:$C$7,2,FALSE))),"")</f>
        <v/>
      </c>
      <c r="W8383" s="74" t="str">
        <f>IFERROR(VLOOKUP($O8383,'Customer List'!$A$1:$J$488,10,FALSE),"")</f>
        <v/>
      </c>
    </row>
    <row r="8384" spans="18:23">
      <c r="R8384" s="127">
        <f t="shared" si="337"/>
        <v>0</v>
      </c>
      <c r="T8384" s="128">
        <f t="shared" si="336"/>
        <v>0</v>
      </c>
      <c r="U8384" s="129" t="str">
        <f>IFERROR(IF(#REF!="S",VLOOKUP('Raw Data'!A8384,References!#REF!,2,FALSE),(VLOOKUP($S8384,References!$B$3:$C$7,2,FALSE))),"")</f>
        <v/>
      </c>
      <c r="W8384" s="74" t="str">
        <f>IFERROR(VLOOKUP($O8384,'Customer List'!$A$1:$J$488,10,FALSE),"")</f>
        <v/>
      </c>
    </row>
    <row r="8385" spans="18:23">
      <c r="R8385" s="127">
        <f t="shared" si="337"/>
        <v>0</v>
      </c>
      <c r="T8385" s="128">
        <f t="shared" si="336"/>
        <v>0</v>
      </c>
      <c r="U8385" s="129" t="str">
        <f>IFERROR(IF(#REF!="S",VLOOKUP('Raw Data'!A8385,References!#REF!,2,FALSE),(VLOOKUP($S8385,References!$B$3:$C$7,2,FALSE))),"")</f>
        <v/>
      </c>
      <c r="W8385" s="74" t="str">
        <f>IFERROR(VLOOKUP($O8385,'Customer List'!$A$1:$J$488,10,FALSE),"")</f>
        <v/>
      </c>
    </row>
    <row r="8386" spans="18:23">
      <c r="R8386" s="127">
        <f t="shared" si="337"/>
        <v>0</v>
      </c>
      <c r="T8386" s="128">
        <f t="shared" si="336"/>
        <v>0</v>
      </c>
      <c r="U8386" s="129" t="str">
        <f>IFERROR(IF(#REF!="S",VLOOKUP('Raw Data'!A8386,References!#REF!,2,FALSE),(VLOOKUP($S8386,References!$B$3:$C$7,2,FALSE))),"")</f>
        <v/>
      </c>
      <c r="W8386" s="74" t="str">
        <f>IFERROR(VLOOKUP($O8386,'Customer List'!$A$1:$J$488,10,FALSE),"")</f>
        <v/>
      </c>
    </row>
    <row r="8387" spans="18:23">
      <c r="R8387" s="127">
        <f t="shared" si="337"/>
        <v>0</v>
      </c>
      <c r="T8387" s="128">
        <f t="shared" si="336"/>
        <v>0</v>
      </c>
      <c r="U8387" s="129" t="str">
        <f>IFERROR(IF(#REF!="S",VLOOKUP('Raw Data'!A8387,References!#REF!,2,FALSE),(VLOOKUP($S8387,References!$B$3:$C$7,2,FALSE))),"")</f>
        <v/>
      </c>
      <c r="W8387" s="74" t="str">
        <f>IFERROR(VLOOKUP($O8387,'Customer List'!$A$1:$J$488,10,FALSE),"")</f>
        <v/>
      </c>
    </row>
    <row r="8388" spans="18:23">
      <c r="R8388" s="127">
        <f t="shared" si="337"/>
        <v>0</v>
      </c>
      <c r="T8388" s="128">
        <f t="shared" si="336"/>
        <v>0</v>
      </c>
      <c r="U8388" s="129" t="str">
        <f>IFERROR(IF(#REF!="S",VLOOKUP('Raw Data'!A8388,References!#REF!,2,FALSE),(VLOOKUP($S8388,References!$B$3:$C$7,2,FALSE))),"")</f>
        <v/>
      </c>
      <c r="W8388" s="74" t="str">
        <f>IFERROR(VLOOKUP($O8388,'Customer List'!$A$1:$J$488,10,FALSE),"")</f>
        <v/>
      </c>
    </row>
    <row r="8389" spans="18:23">
      <c r="R8389" s="127">
        <f t="shared" si="337"/>
        <v>0</v>
      </c>
      <c r="T8389" s="128">
        <f t="shared" si="336"/>
        <v>0</v>
      </c>
      <c r="U8389" s="129" t="str">
        <f>IFERROR(IF(#REF!="S",VLOOKUP('Raw Data'!A8389,References!#REF!,2,FALSE),(VLOOKUP($S8389,References!$B$3:$C$7,2,FALSE))),"")</f>
        <v/>
      </c>
      <c r="W8389" s="74" t="str">
        <f>IFERROR(VLOOKUP($O8389,'Customer List'!$A$1:$J$488,10,FALSE),"")</f>
        <v/>
      </c>
    </row>
    <row r="8390" spans="18:23">
      <c r="R8390" s="127">
        <f t="shared" si="337"/>
        <v>0</v>
      </c>
      <c r="T8390" s="128">
        <f t="shared" si="336"/>
        <v>0</v>
      </c>
      <c r="U8390" s="129" t="str">
        <f>IFERROR(IF(#REF!="S",VLOOKUP('Raw Data'!A8390,References!#REF!,2,FALSE),(VLOOKUP($S8390,References!$B$3:$C$7,2,FALSE))),"")</f>
        <v/>
      </c>
      <c r="W8390" s="74" t="str">
        <f>IFERROR(VLOOKUP($O8390,'Customer List'!$A$1:$J$488,10,FALSE),"")</f>
        <v/>
      </c>
    </row>
    <row r="8391" spans="18:23">
      <c r="R8391" s="127">
        <f t="shared" si="337"/>
        <v>0</v>
      </c>
      <c r="T8391" s="128">
        <f t="shared" si="336"/>
        <v>0</v>
      </c>
      <c r="U8391" s="129" t="str">
        <f>IFERROR(IF(#REF!="S",VLOOKUP('Raw Data'!A8391,References!#REF!,2,FALSE),(VLOOKUP($S8391,References!$B$3:$C$7,2,FALSE))),"")</f>
        <v/>
      </c>
      <c r="W8391" s="74" t="str">
        <f>IFERROR(VLOOKUP($O8391,'Customer List'!$A$1:$J$488,10,FALSE),"")</f>
        <v/>
      </c>
    </row>
    <row r="8392" spans="18:23">
      <c r="R8392" s="127">
        <f t="shared" si="337"/>
        <v>0</v>
      </c>
      <c r="T8392" s="128">
        <f t="shared" si="336"/>
        <v>0</v>
      </c>
      <c r="U8392" s="129" t="str">
        <f>IFERROR(IF(#REF!="S",VLOOKUP('Raw Data'!A8392,References!#REF!,2,FALSE),(VLOOKUP($S8392,References!$B$3:$C$7,2,FALSE))),"")</f>
        <v/>
      </c>
      <c r="W8392" s="74" t="str">
        <f>IFERROR(VLOOKUP($O8392,'Customer List'!$A$1:$J$488,10,FALSE),"")</f>
        <v/>
      </c>
    </row>
    <row r="8393" spans="18:23">
      <c r="R8393" s="127">
        <f t="shared" si="337"/>
        <v>0</v>
      </c>
      <c r="T8393" s="128">
        <f t="shared" si="336"/>
        <v>0</v>
      </c>
      <c r="U8393" s="129" t="str">
        <f>IFERROR(IF(#REF!="S",VLOOKUP('Raw Data'!A8393,References!#REF!,2,FALSE),(VLOOKUP($S8393,References!$B$3:$C$7,2,FALSE))),"")</f>
        <v/>
      </c>
      <c r="W8393" s="74" t="str">
        <f>IFERROR(VLOOKUP($O8393,'Customer List'!$A$1:$J$488,10,FALSE),"")</f>
        <v/>
      </c>
    </row>
    <row r="8394" spans="18:23">
      <c r="R8394" s="127">
        <f t="shared" si="337"/>
        <v>0</v>
      </c>
      <c r="T8394" s="128">
        <f t="shared" ref="T8394:T8457" si="338">IF(S8394="50 - Cleaning Fee",1,HOUR($R8394)+MINUTE(R8394)/60)</f>
        <v>0</v>
      </c>
      <c r="U8394" s="129" t="str">
        <f>IFERROR(IF(#REF!="S",VLOOKUP('Raw Data'!A8394,References!#REF!,2,FALSE),(VLOOKUP($S8394,References!$B$3:$C$7,2,FALSE))),"")</f>
        <v/>
      </c>
      <c r="W8394" s="74" t="str">
        <f>IFERROR(VLOOKUP($O8394,'Customer List'!$A$1:$J$488,10,FALSE),"")</f>
        <v/>
      </c>
    </row>
    <row r="8395" spans="18:23">
      <c r="R8395" s="127">
        <f t="shared" si="337"/>
        <v>0</v>
      </c>
      <c r="T8395" s="128">
        <f t="shared" si="338"/>
        <v>0</v>
      </c>
      <c r="U8395" s="129" t="str">
        <f>IFERROR(IF(#REF!="S",VLOOKUP('Raw Data'!A8395,References!#REF!,2,FALSE),(VLOOKUP($S8395,References!$B$3:$C$7,2,FALSE))),"")</f>
        <v/>
      </c>
      <c r="W8395" s="74" t="str">
        <f>IFERROR(VLOOKUP($O8395,'Customer List'!$A$1:$J$488,10,FALSE),"")</f>
        <v/>
      </c>
    </row>
    <row r="8396" spans="18:23">
      <c r="R8396" s="127">
        <f t="shared" si="337"/>
        <v>0</v>
      </c>
      <c r="T8396" s="128">
        <f t="shared" si="338"/>
        <v>0</v>
      </c>
      <c r="U8396" s="129" t="str">
        <f>IFERROR(IF(#REF!="S",VLOOKUP('Raw Data'!A8396,References!#REF!,2,FALSE),(VLOOKUP($S8396,References!$B$3:$C$7,2,FALSE))),"")</f>
        <v/>
      </c>
      <c r="W8396" s="74" t="str">
        <f>IFERROR(VLOOKUP($O8396,'Customer List'!$A$1:$J$488,10,FALSE),"")</f>
        <v/>
      </c>
    </row>
    <row r="8397" spans="18:23">
      <c r="R8397" s="127">
        <f t="shared" si="337"/>
        <v>0</v>
      </c>
      <c r="T8397" s="128">
        <f t="shared" si="338"/>
        <v>0</v>
      </c>
      <c r="U8397" s="129" t="str">
        <f>IFERROR(IF(#REF!="S",VLOOKUP('Raw Data'!A8397,References!#REF!,2,FALSE),(VLOOKUP($S8397,References!$B$3:$C$7,2,FALSE))),"")</f>
        <v/>
      </c>
      <c r="W8397" s="74" t="str">
        <f>IFERROR(VLOOKUP($O8397,'Customer List'!$A$1:$J$488,10,FALSE),"")</f>
        <v/>
      </c>
    </row>
    <row r="8398" spans="18:23">
      <c r="R8398" s="127">
        <f t="shared" si="337"/>
        <v>0</v>
      </c>
      <c r="T8398" s="128">
        <f t="shared" si="338"/>
        <v>0</v>
      </c>
      <c r="U8398" s="129" t="str">
        <f>IFERROR(IF(#REF!="S",VLOOKUP('Raw Data'!A8398,References!#REF!,2,FALSE),(VLOOKUP($S8398,References!$B$3:$C$7,2,FALSE))),"")</f>
        <v/>
      </c>
      <c r="W8398" s="74" t="str">
        <f>IFERROR(VLOOKUP($O8398,'Customer List'!$A$1:$J$488,10,FALSE),"")</f>
        <v/>
      </c>
    </row>
    <row r="8399" spans="18:23">
      <c r="R8399" s="127">
        <f t="shared" si="337"/>
        <v>0</v>
      </c>
      <c r="T8399" s="128">
        <f t="shared" si="338"/>
        <v>0</v>
      </c>
      <c r="U8399" s="129" t="str">
        <f>IFERROR(IF(#REF!="S",VLOOKUP('Raw Data'!A8399,References!#REF!,2,FALSE),(VLOOKUP($S8399,References!$B$3:$C$7,2,FALSE))),"")</f>
        <v/>
      </c>
      <c r="W8399" s="74" t="str">
        <f>IFERROR(VLOOKUP($O8399,'Customer List'!$A$1:$J$488,10,FALSE),"")</f>
        <v/>
      </c>
    </row>
    <row r="8400" spans="18:23">
      <c r="R8400" s="127">
        <f t="shared" si="337"/>
        <v>0</v>
      </c>
      <c r="T8400" s="128">
        <f t="shared" si="338"/>
        <v>0</v>
      </c>
      <c r="U8400" s="129" t="str">
        <f>IFERROR(IF(#REF!="S",VLOOKUP('Raw Data'!A8400,References!#REF!,2,FALSE),(VLOOKUP($S8400,References!$B$3:$C$7,2,FALSE))),"")</f>
        <v/>
      </c>
      <c r="W8400" s="74" t="str">
        <f>IFERROR(VLOOKUP($O8400,'Customer List'!$A$1:$J$488,10,FALSE),"")</f>
        <v/>
      </c>
    </row>
    <row r="8401" spans="18:23">
      <c r="R8401" s="127">
        <f t="shared" si="337"/>
        <v>0</v>
      </c>
      <c r="T8401" s="128">
        <f t="shared" si="338"/>
        <v>0</v>
      </c>
      <c r="U8401" s="129" t="str">
        <f>IFERROR(IF(#REF!="S",VLOOKUP('Raw Data'!A8401,References!#REF!,2,FALSE),(VLOOKUP($S8401,References!$B$3:$C$7,2,FALSE))),"")</f>
        <v/>
      </c>
      <c r="W8401" s="74" t="str">
        <f>IFERROR(VLOOKUP($O8401,'Customer List'!$A$1:$J$488,10,FALSE),"")</f>
        <v/>
      </c>
    </row>
    <row r="8402" spans="18:23">
      <c r="R8402" s="127">
        <f t="shared" si="337"/>
        <v>0</v>
      </c>
      <c r="T8402" s="128">
        <f t="shared" si="338"/>
        <v>0</v>
      </c>
      <c r="U8402" s="129" t="str">
        <f>IFERROR(IF(#REF!="S",VLOOKUP('Raw Data'!A8402,References!#REF!,2,FALSE),(VLOOKUP($S8402,References!$B$3:$C$7,2,FALSE))),"")</f>
        <v/>
      </c>
      <c r="W8402" s="74" t="str">
        <f>IFERROR(VLOOKUP($O8402,'Customer List'!$A$1:$J$488,10,FALSE),"")</f>
        <v/>
      </c>
    </row>
    <row r="8403" spans="18:23">
      <c r="R8403" s="127">
        <f t="shared" si="337"/>
        <v>0</v>
      </c>
      <c r="T8403" s="128">
        <f t="shared" si="338"/>
        <v>0</v>
      </c>
      <c r="U8403" s="129" t="str">
        <f>IFERROR(IF(#REF!="S",VLOOKUP('Raw Data'!A8403,References!#REF!,2,FALSE),(VLOOKUP($S8403,References!$B$3:$C$7,2,FALSE))),"")</f>
        <v/>
      </c>
      <c r="W8403" s="74" t="str">
        <f>IFERROR(VLOOKUP($O8403,'Customer List'!$A$1:$J$488,10,FALSE),"")</f>
        <v/>
      </c>
    </row>
    <row r="8404" spans="18:23">
      <c r="R8404" s="127">
        <f t="shared" si="337"/>
        <v>0</v>
      </c>
      <c r="T8404" s="128">
        <f t="shared" si="338"/>
        <v>0</v>
      </c>
      <c r="U8404" s="129" t="str">
        <f>IFERROR(IF(#REF!="S",VLOOKUP('Raw Data'!A8404,References!#REF!,2,FALSE),(VLOOKUP($S8404,References!$B$3:$C$7,2,FALSE))),"")</f>
        <v/>
      </c>
      <c r="W8404" s="74" t="str">
        <f>IFERROR(VLOOKUP($O8404,'Customer List'!$A$1:$J$488,10,FALSE),"")</f>
        <v/>
      </c>
    </row>
    <row r="8405" spans="18:23">
      <c r="R8405" s="127">
        <f t="shared" si="337"/>
        <v>0</v>
      </c>
      <c r="T8405" s="128">
        <f t="shared" si="338"/>
        <v>0</v>
      </c>
      <c r="U8405" s="129" t="str">
        <f>IFERROR(IF(#REF!="S",VLOOKUP('Raw Data'!A8405,References!#REF!,2,FALSE),(VLOOKUP($S8405,References!$B$3:$C$7,2,FALSE))),"")</f>
        <v/>
      </c>
      <c r="W8405" s="74" t="str">
        <f>IFERROR(VLOOKUP($O8405,'Customer List'!$A$1:$J$488,10,FALSE),"")</f>
        <v/>
      </c>
    </row>
    <row r="8406" spans="18:23">
      <c r="R8406" s="127">
        <f t="shared" si="337"/>
        <v>0</v>
      </c>
      <c r="T8406" s="128">
        <f t="shared" si="338"/>
        <v>0</v>
      </c>
      <c r="U8406" s="129" t="str">
        <f>IFERROR(IF(#REF!="S",VLOOKUP('Raw Data'!A8406,References!#REF!,2,FALSE),(VLOOKUP($S8406,References!$B$3:$C$7,2,FALSE))),"")</f>
        <v/>
      </c>
      <c r="W8406" s="74" t="str">
        <f>IFERROR(VLOOKUP($O8406,'Customer List'!$A$1:$J$488,10,FALSE),"")</f>
        <v/>
      </c>
    </row>
    <row r="8407" spans="18:23">
      <c r="R8407" s="127">
        <f t="shared" si="337"/>
        <v>0</v>
      </c>
      <c r="T8407" s="128">
        <f t="shared" si="338"/>
        <v>0</v>
      </c>
      <c r="U8407" s="129" t="str">
        <f>IFERROR(IF(#REF!="S",VLOOKUP('Raw Data'!A8407,References!#REF!,2,FALSE),(VLOOKUP($S8407,References!$B$3:$C$7,2,FALSE))),"")</f>
        <v/>
      </c>
      <c r="W8407" s="74" t="str">
        <f>IFERROR(VLOOKUP($O8407,'Customer List'!$A$1:$J$488,10,FALSE),"")</f>
        <v/>
      </c>
    </row>
    <row r="8408" spans="18:23">
      <c r="R8408" s="127">
        <f t="shared" si="337"/>
        <v>0</v>
      </c>
      <c r="T8408" s="128">
        <f t="shared" si="338"/>
        <v>0</v>
      </c>
      <c r="U8408" s="129" t="str">
        <f>IFERROR(IF(#REF!="S",VLOOKUP('Raw Data'!A8408,References!#REF!,2,FALSE),(VLOOKUP($S8408,References!$B$3:$C$7,2,FALSE))),"")</f>
        <v/>
      </c>
      <c r="W8408" s="74" t="str">
        <f>IFERROR(VLOOKUP($O8408,'Customer List'!$A$1:$J$488,10,FALSE),"")</f>
        <v/>
      </c>
    </row>
    <row r="8409" spans="18:23">
      <c r="R8409" s="127">
        <f t="shared" si="337"/>
        <v>0</v>
      </c>
      <c r="T8409" s="128">
        <f t="shared" si="338"/>
        <v>0</v>
      </c>
      <c r="U8409" s="129" t="str">
        <f>IFERROR(IF(#REF!="S",VLOOKUP('Raw Data'!A8409,References!#REF!,2,FALSE),(VLOOKUP($S8409,References!$B$3:$C$7,2,FALSE))),"")</f>
        <v/>
      </c>
      <c r="W8409" s="74" t="str">
        <f>IFERROR(VLOOKUP($O8409,'Customer List'!$A$1:$J$488,10,FALSE),"")</f>
        <v/>
      </c>
    </row>
    <row r="8410" spans="18:23">
      <c r="R8410" s="127">
        <f t="shared" si="337"/>
        <v>0</v>
      </c>
      <c r="T8410" s="128">
        <f t="shared" si="338"/>
        <v>0</v>
      </c>
      <c r="U8410" s="129" t="str">
        <f>IFERROR(IF(#REF!="S",VLOOKUP('Raw Data'!A8410,References!#REF!,2,FALSE),(VLOOKUP($S8410,References!$B$3:$C$7,2,FALSE))),"")</f>
        <v/>
      </c>
      <c r="W8410" s="74" t="str">
        <f>IFERROR(VLOOKUP($O8410,'Customer List'!$A$1:$J$488,10,FALSE),"")</f>
        <v/>
      </c>
    </row>
    <row r="8411" spans="18:23">
      <c r="R8411" s="127">
        <f t="shared" si="337"/>
        <v>0</v>
      </c>
      <c r="T8411" s="128">
        <f t="shared" si="338"/>
        <v>0</v>
      </c>
      <c r="U8411" s="129" t="str">
        <f>IFERROR(IF(#REF!="S",VLOOKUP('Raw Data'!A8411,References!#REF!,2,FALSE),(VLOOKUP($S8411,References!$B$3:$C$7,2,FALSE))),"")</f>
        <v/>
      </c>
      <c r="W8411" s="74" t="str">
        <f>IFERROR(VLOOKUP($O8411,'Customer List'!$A$1:$J$488,10,FALSE),"")</f>
        <v/>
      </c>
    </row>
    <row r="8412" spans="18:23">
      <c r="R8412" s="127">
        <f t="shared" si="337"/>
        <v>0</v>
      </c>
      <c r="T8412" s="128">
        <f t="shared" si="338"/>
        <v>0</v>
      </c>
      <c r="U8412" s="129" t="str">
        <f>IFERROR(IF(#REF!="S",VLOOKUP('Raw Data'!A8412,References!#REF!,2,FALSE),(VLOOKUP($S8412,References!$B$3:$C$7,2,FALSE))),"")</f>
        <v/>
      </c>
      <c r="W8412" s="74" t="str">
        <f>IFERROR(VLOOKUP($O8412,'Customer List'!$A$1:$J$488,10,FALSE),"")</f>
        <v/>
      </c>
    </row>
    <row r="8413" spans="18:23">
      <c r="R8413" s="127">
        <f t="shared" si="337"/>
        <v>0</v>
      </c>
      <c r="T8413" s="128">
        <f t="shared" si="338"/>
        <v>0</v>
      </c>
      <c r="U8413" s="129" t="str">
        <f>IFERROR(IF(#REF!="S",VLOOKUP('Raw Data'!A8413,References!#REF!,2,FALSE),(VLOOKUP($S8413,References!$B$3:$C$7,2,FALSE))),"")</f>
        <v/>
      </c>
      <c r="W8413" s="74" t="str">
        <f>IFERROR(VLOOKUP($O8413,'Customer List'!$A$1:$J$488,10,FALSE),"")</f>
        <v/>
      </c>
    </row>
    <row r="8414" spans="18:23">
      <c r="R8414" s="127">
        <f t="shared" si="337"/>
        <v>0</v>
      </c>
      <c r="T8414" s="128">
        <f t="shared" si="338"/>
        <v>0</v>
      </c>
      <c r="U8414" s="129" t="str">
        <f>IFERROR(IF(#REF!="S",VLOOKUP('Raw Data'!A8414,References!#REF!,2,FALSE),(VLOOKUP($S8414,References!$B$3:$C$7,2,FALSE))),"")</f>
        <v/>
      </c>
      <c r="W8414" s="74" t="str">
        <f>IFERROR(VLOOKUP($O8414,'Customer List'!$A$1:$J$488,10,FALSE),"")</f>
        <v/>
      </c>
    </row>
    <row r="8415" spans="18:23">
      <c r="R8415" s="127">
        <f t="shared" si="337"/>
        <v>0</v>
      </c>
      <c r="T8415" s="128">
        <f t="shared" si="338"/>
        <v>0</v>
      </c>
      <c r="U8415" s="129" t="str">
        <f>IFERROR(IF(#REF!="S",VLOOKUP('Raw Data'!A8415,References!#REF!,2,FALSE),(VLOOKUP($S8415,References!$B$3:$C$7,2,FALSE))),"")</f>
        <v/>
      </c>
      <c r="W8415" s="74" t="str">
        <f>IFERROR(VLOOKUP($O8415,'Customer List'!$A$1:$J$488,10,FALSE),"")</f>
        <v/>
      </c>
    </row>
    <row r="8416" spans="18:23">
      <c r="R8416" s="127">
        <f t="shared" si="337"/>
        <v>0</v>
      </c>
      <c r="T8416" s="128">
        <f t="shared" si="338"/>
        <v>0</v>
      </c>
      <c r="U8416" s="129" t="str">
        <f>IFERROR(IF(#REF!="S",VLOOKUP('Raw Data'!A8416,References!#REF!,2,FALSE),(VLOOKUP($S8416,References!$B$3:$C$7,2,FALSE))),"")</f>
        <v/>
      </c>
      <c r="W8416" s="74" t="str">
        <f>IFERROR(VLOOKUP($O8416,'Customer List'!$A$1:$J$488,10,FALSE),"")</f>
        <v/>
      </c>
    </row>
    <row r="8417" spans="18:23">
      <c r="R8417" s="127">
        <f t="shared" si="337"/>
        <v>0</v>
      </c>
      <c r="T8417" s="128">
        <f t="shared" si="338"/>
        <v>0</v>
      </c>
      <c r="U8417" s="129" t="str">
        <f>IFERROR(IF(#REF!="S",VLOOKUP('Raw Data'!A8417,References!#REF!,2,FALSE),(VLOOKUP($S8417,References!$B$3:$C$7,2,FALSE))),"")</f>
        <v/>
      </c>
      <c r="W8417" s="74" t="str">
        <f>IFERROR(VLOOKUP($O8417,'Customer List'!$A$1:$J$488,10,FALSE),"")</f>
        <v/>
      </c>
    </row>
    <row r="8418" spans="18:23">
      <c r="R8418" s="127">
        <f t="shared" ref="R8418:R8481" si="339">L8418-K8418</f>
        <v>0</v>
      </c>
      <c r="T8418" s="128">
        <f t="shared" si="338"/>
        <v>0</v>
      </c>
      <c r="U8418" s="129" t="str">
        <f>IFERROR(IF(#REF!="S",VLOOKUP('Raw Data'!A8418,References!#REF!,2,FALSE),(VLOOKUP($S8418,References!$B$3:$C$7,2,FALSE))),"")</f>
        <v/>
      </c>
      <c r="W8418" s="74" t="str">
        <f>IFERROR(VLOOKUP($O8418,'Customer List'!$A$1:$J$488,10,FALSE),"")</f>
        <v/>
      </c>
    </row>
    <row r="8419" spans="18:23">
      <c r="R8419" s="127">
        <f t="shared" si="339"/>
        <v>0</v>
      </c>
      <c r="T8419" s="128">
        <f t="shared" si="338"/>
        <v>0</v>
      </c>
      <c r="U8419" s="129" t="str">
        <f>IFERROR(IF(#REF!="S",VLOOKUP('Raw Data'!A8419,References!#REF!,2,FALSE),(VLOOKUP($S8419,References!$B$3:$C$7,2,FALSE))),"")</f>
        <v/>
      </c>
      <c r="W8419" s="74" t="str">
        <f>IFERROR(VLOOKUP($O8419,'Customer List'!$A$1:$J$488,10,FALSE),"")</f>
        <v/>
      </c>
    </row>
    <row r="8420" spans="18:23">
      <c r="R8420" s="127">
        <f t="shared" si="339"/>
        <v>0</v>
      </c>
      <c r="T8420" s="128">
        <f t="shared" si="338"/>
        <v>0</v>
      </c>
      <c r="U8420" s="129" t="str">
        <f>IFERROR(IF(#REF!="S",VLOOKUP('Raw Data'!A8420,References!#REF!,2,FALSE),(VLOOKUP($S8420,References!$B$3:$C$7,2,FALSE))),"")</f>
        <v/>
      </c>
      <c r="W8420" s="74" t="str">
        <f>IFERROR(VLOOKUP($O8420,'Customer List'!$A$1:$J$488,10,FALSE),"")</f>
        <v/>
      </c>
    </row>
    <row r="8421" spans="18:23">
      <c r="R8421" s="127">
        <f t="shared" si="339"/>
        <v>0</v>
      </c>
      <c r="T8421" s="128">
        <f t="shared" si="338"/>
        <v>0</v>
      </c>
      <c r="U8421" s="129" t="str">
        <f>IFERROR(IF(#REF!="S",VLOOKUP('Raw Data'!A8421,References!#REF!,2,FALSE),(VLOOKUP($S8421,References!$B$3:$C$7,2,FALSE))),"")</f>
        <v/>
      </c>
      <c r="W8421" s="74" t="str">
        <f>IFERROR(VLOOKUP($O8421,'Customer List'!$A$1:$J$488,10,FALSE),"")</f>
        <v/>
      </c>
    </row>
    <row r="8422" spans="18:23">
      <c r="R8422" s="127">
        <f t="shared" si="339"/>
        <v>0</v>
      </c>
      <c r="T8422" s="128">
        <f t="shared" si="338"/>
        <v>0</v>
      </c>
      <c r="U8422" s="129" t="str">
        <f>IFERROR(IF(#REF!="S",VLOOKUP('Raw Data'!A8422,References!#REF!,2,FALSE),(VLOOKUP($S8422,References!$B$3:$C$7,2,FALSE))),"")</f>
        <v/>
      </c>
      <c r="W8422" s="74" t="str">
        <f>IFERROR(VLOOKUP($O8422,'Customer List'!$A$1:$J$488,10,FALSE),"")</f>
        <v/>
      </c>
    </row>
    <row r="8423" spans="18:23">
      <c r="R8423" s="127">
        <f t="shared" si="339"/>
        <v>0</v>
      </c>
      <c r="T8423" s="128">
        <f t="shared" si="338"/>
        <v>0</v>
      </c>
      <c r="U8423" s="129" t="str">
        <f>IFERROR(IF(#REF!="S",VLOOKUP('Raw Data'!A8423,References!#REF!,2,FALSE),(VLOOKUP($S8423,References!$B$3:$C$7,2,FALSE))),"")</f>
        <v/>
      </c>
      <c r="W8423" s="74" t="str">
        <f>IFERROR(VLOOKUP($O8423,'Customer List'!$A$1:$J$488,10,FALSE),"")</f>
        <v/>
      </c>
    </row>
    <row r="8424" spans="18:23">
      <c r="R8424" s="127">
        <f t="shared" si="339"/>
        <v>0</v>
      </c>
      <c r="T8424" s="128">
        <f t="shared" si="338"/>
        <v>0</v>
      </c>
      <c r="U8424" s="129" t="str">
        <f>IFERROR(IF(#REF!="S",VLOOKUP('Raw Data'!A8424,References!#REF!,2,FALSE),(VLOOKUP($S8424,References!$B$3:$C$7,2,FALSE))),"")</f>
        <v/>
      </c>
      <c r="W8424" s="74" t="str">
        <f>IFERROR(VLOOKUP($O8424,'Customer List'!$A$1:$J$488,10,FALSE),"")</f>
        <v/>
      </c>
    </row>
    <row r="8425" spans="18:23">
      <c r="R8425" s="127">
        <f t="shared" si="339"/>
        <v>0</v>
      </c>
      <c r="T8425" s="128">
        <f t="shared" si="338"/>
        <v>0</v>
      </c>
      <c r="U8425" s="129" t="str">
        <f>IFERROR(IF(#REF!="S",VLOOKUP('Raw Data'!A8425,References!#REF!,2,FALSE),(VLOOKUP($S8425,References!$B$3:$C$7,2,FALSE))),"")</f>
        <v/>
      </c>
      <c r="W8425" s="74" t="str">
        <f>IFERROR(VLOOKUP($O8425,'Customer List'!$A$1:$J$488,10,FALSE),"")</f>
        <v/>
      </c>
    </row>
    <row r="8426" spans="18:23">
      <c r="R8426" s="127">
        <f t="shared" si="339"/>
        <v>0</v>
      </c>
      <c r="T8426" s="128">
        <f t="shared" si="338"/>
        <v>0</v>
      </c>
      <c r="U8426" s="129" t="str">
        <f>IFERROR(IF(#REF!="S",VLOOKUP('Raw Data'!A8426,References!#REF!,2,FALSE),(VLOOKUP($S8426,References!$B$3:$C$7,2,FALSE))),"")</f>
        <v/>
      </c>
      <c r="W8426" s="74" t="str">
        <f>IFERROR(VLOOKUP($O8426,'Customer List'!$A$1:$J$488,10,FALSE),"")</f>
        <v/>
      </c>
    </row>
    <row r="8427" spans="18:23">
      <c r="R8427" s="127">
        <f t="shared" si="339"/>
        <v>0</v>
      </c>
      <c r="T8427" s="128">
        <f t="shared" si="338"/>
        <v>0</v>
      </c>
      <c r="U8427" s="129" t="str">
        <f>IFERROR(IF(#REF!="S",VLOOKUP('Raw Data'!A8427,References!#REF!,2,FALSE),(VLOOKUP($S8427,References!$B$3:$C$7,2,FALSE))),"")</f>
        <v/>
      </c>
      <c r="W8427" s="74" t="str">
        <f>IFERROR(VLOOKUP($O8427,'Customer List'!$A$1:$J$488,10,FALSE),"")</f>
        <v/>
      </c>
    </row>
    <row r="8428" spans="18:23">
      <c r="R8428" s="127">
        <f t="shared" si="339"/>
        <v>0</v>
      </c>
      <c r="T8428" s="128">
        <f t="shared" si="338"/>
        <v>0</v>
      </c>
      <c r="U8428" s="129" t="str">
        <f>IFERROR(IF(#REF!="S",VLOOKUP('Raw Data'!A8428,References!#REF!,2,FALSE),(VLOOKUP($S8428,References!$B$3:$C$7,2,FALSE))),"")</f>
        <v/>
      </c>
      <c r="W8428" s="74" t="str">
        <f>IFERROR(VLOOKUP($O8428,'Customer List'!$A$1:$J$488,10,FALSE),"")</f>
        <v/>
      </c>
    </row>
    <row r="8429" spans="18:23">
      <c r="R8429" s="127">
        <f t="shared" si="339"/>
        <v>0</v>
      </c>
      <c r="T8429" s="128">
        <f t="shared" si="338"/>
        <v>0</v>
      </c>
      <c r="U8429" s="129" t="str">
        <f>IFERROR(IF(#REF!="S",VLOOKUP('Raw Data'!A8429,References!#REF!,2,FALSE),(VLOOKUP($S8429,References!$B$3:$C$7,2,FALSE))),"")</f>
        <v/>
      </c>
      <c r="W8429" s="74" t="str">
        <f>IFERROR(VLOOKUP($O8429,'Customer List'!$A$1:$J$488,10,FALSE),"")</f>
        <v/>
      </c>
    </row>
    <row r="8430" spans="18:23">
      <c r="R8430" s="127">
        <f t="shared" si="339"/>
        <v>0</v>
      </c>
      <c r="T8430" s="128">
        <f t="shared" si="338"/>
        <v>0</v>
      </c>
      <c r="U8430" s="129" t="str">
        <f>IFERROR(IF(#REF!="S",VLOOKUP('Raw Data'!A8430,References!#REF!,2,FALSE),(VLOOKUP($S8430,References!$B$3:$C$7,2,FALSE))),"")</f>
        <v/>
      </c>
      <c r="W8430" s="74" t="str">
        <f>IFERROR(VLOOKUP($O8430,'Customer List'!$A$1:$J$488,10,FALSE),"")</f>
        <v/>
      </c>
    </row>
    <row r="8431" spans="18:23">
      <c r="R8431" s="127">
        <f t="shared" si="339"/>
        <v>0</v>
      </c>
      <c r="T8431" s="128">
        <f t="shared" si="338"/>
        <v>0</v>
      </c>
      <c r="U8431" s="129" t="str">
        <f>IFERROR(IF(#REF!="S",VLOOKUP('Raw Data'!A8431,References!#REF!,2,FALSE),(VLOOKUP($S8431,References!$B$3:$C$7,2,FALSE))),"")</f>
        <v/>
      </c>
      <c r="W8431" s="74" t="str">
        <f>IFERROR(VLOOKUP($O8431,'Customer List'!$A$1:$J$488,10,FALSE),"")</f>
        <v/>
      </c>
    </row>
    <row r="8432" spans="18:23">
      <c r="R8432" s="127">
        <f t="shared" si="339"/>
        <v>0</v>
      </c>
      <c r="T8432" s="128">
        <f t="shared" si="338"/>
        <v>0</v>
      </c>
      <c r="U8432" s="129" t="str">
        <f>IFERROR(IF(#REF!="S",VLOOKUP('Raw Data'!A8432,References!#REF!,2,FALSE),(VLOOKUP($S8432,References!$B$3:$C$7,2,FALSE))),"")</f>
        <v/>
      </c>
      <c r="W8432" s="74" t="str">
        <f>IFERROR(VLOOKUP($O8432,'Customer List'!$A$1:$J$488,10,FALSE),"")</f>
        <v/>
      </c>
    </row>
    <row r="8433" spans="18:23">
      <c r="R8433" s="127">
        <f t="shared" si="339"/>
        <v>0</v>
      </c>
      <c r="T8433" s="128">
        <f t="shared" si="338"/>
        <v>0</v>
      </c>
      <c r="U8433" s="129" t="str">
        <f>IFERROR(IF(#REF!="S",VLOOKUP('Raw Data'!A8433,References!#REF!,2,FALSE),(VLOOKUP($S8433,References!$B$3:$C$7,2,FALSE))),"")</f>
        <v/>
      </c>
      <c r="W8433" s="74" t="str">
        <f>IFERROR(VLOOKUP($O8433,'Customer List'!$A$1:$J$488,10,FALSE),"")</f>
        <v/>
      </c>
    </row>
    <row r="8434" spans="18:23">
      <c r="R8434" s="127">
        <f t="shared" si="339"/>
        <v>0</v>
      </c>
      <c r="T8434" s="128">
        <f t="shared" si="338"/>
        <v>0</v>
      </c>
      <c r="U8434" s="129" t="str">
        <f>IFERROR(IF(#REF!="S",VLOOKUP('Raw Data'!A8434,References!#REF!,2,FALSE),(VLOOKUP($S8434,References!$B$3:$C$7,2,FALSE))),"")</f>
        <v/>
      </c>
      <c r="W8434" s="74" t="str">
        <f>IFERROR(VLOOKUP($O8434,'Customer List'!$A$1:$J$488,10,FALSE),"")</f>
        <v/>
      </c>
    </row>
    <row r="8435" spans="18:23">
      <c r="R8435" s="127">
        <f t="shared" si="339"/>
        <v>0</v>
      </c>
      <c r="T8435" s="128">
        <f t="shared" si="338"/>
        <v>0</v>
      </c>
      <c r="U8435" s="129" t="str">
        <f>IFERROR(IF(#REF!="S",VLOOKUP('Raw Data'!A8435,References!#REF!,2,FALSE),(VLOOKUP($S8435,References!$B$3:$C$7,2,FALSE))),"")</f>
        <v/>
      </c>
      <c r="W8435" s="74" t="str">
        <f>IFERROR(VLOOKUP($O8435,'Customer List'!$A$1:$J$488,10,FALSE),"")</f>
        <v/>
      </c>
    </row>
    <row r="8436" spans="18:23">
      <c r="R8436" s="127">
        <f t="shared" si="339"/>
        <v>0</v>
      </c>
      <c r="T8436" s="128">
        <f t="shared" si="338"/>
        <v>0</v>
      </c>
      <c r="U8436" s="129" t="str">
        <f>IFERROR(IF(#REF!="S",VLOOKUP('Raw Data'!A8436,References!#REF!,2,FALSE),(VLOOKUP($S8436,References!$B$3:$C$7,2,FALSE))),"")</f>
        <v/>
      </c>
      <c r="W8436" s="74" t="str">
        <f>IFERROR(VLOOKUP($O8436,'Customer List'!$A$1:$J$488,10,FALSE),"")</f>
        <v/>
      </c>
    </row>
    <row r="8437" spans="18:23">
      <c r="R8437" s="127">
        <f t="shared" si="339"/>
        <v>0</v>
      </c>
      <c r="T8437" s="128">
        <f t="shared" si="338"/>
        <v>0</v>
      </c>
      <c r="U8437" s="129" t="str">
        <f>IFERROR(IF(#REF!="S",VLOOKUP('Raw Data'!A8437,References!#REF!,2,FALSE),(VLOOKUP($S8437,References!$B$3:$C$7,2,FALSE))),"")</f>
        <v/>
      </c>
      <c r="W8437" s="74" t="str">
        <f>IFERROR(VLOOKUP($O8437,'Customer List'!$A$1:$J$488,10,FALSE),"")</f>
        <v/>
      </c>
    </row>
    <row r="8438" spans="18:23">
      <c r="R8438" s="127">
        <f t="shared" si="339"/>
        <v>0</v>
      </c>
      <c r="T8438" s="128">
        <f t="shared" si="338"/>
        <v>0</v>
      </c>
      <c r="U8438" s="129" t="str">
        <f>IFERROR(IF(#REF!="S",VLOOKUP('Raw Data'!A8438,References!#REF!,2,FALSE),(VLOOKUP($S8438,References!$B$3:$C$7,2,FALSE))),"")</f>
        <v/>
      </c>
      <c r="W8438" s="74" t="str">
        <f>IFERROR(VLOOKUP($O8438,'Customer List'!$A$1:$J$488,10,FALSE),"")</f>
        <v/>
      </c>
    </row>
    <row r="8439" spans="18:23">
      <c r="R8439" s="127">
        <f t="shared" si="339"/>
        <v>0</v>
      </c>
      <c r="T8439" s="128">
        <f t="shared" si="338"/>
        <v>0</v>
      </c>
      <c r="U8439" s="129" t="str">
        <f>IFERROR(IF(#REF!="S",VLOOKUP('Raw Data'!A8439,References!#REF!,2,FALSE),(VLOOKUP($S8439,References!$B$3:$C$7,2,FALSE))),"")</f>
        <v/>
      </c>
      <c r="W8439" s="74" t="str">
        <f>IFERROR(VLOOKUP($O8439,'Customer List'!$A$1:$J$488,10,FALSE),"")</f>
        <v/>
      </c>
    </row>
    <row r="8440" spans="18:23">
      <c r="R8440" s="127">
        <f t="shared" si="339"/>
        <v>0</v>
      </c>
      <c r="T8440" s="128">
        <f t="shared" si="338"/>
        <v>0</v>
      </c>
      <c r="U8440" s="129" t="str">
        <f>IFERROR(IF(#REF!="S",VLOOKUP('Raw Data'!A8440,References!#REF!,2,FALSE),(VLOOKUP($S8440,References!$B$3:$C$7,2,FALSE))),"")</f>
        <v/>
      </c>
      <c r="W8440" s="74" t="str">
        <f>IFERROR(VLOOKUP($O8440,'Customer List'!$A$1:$J$488,10,FALSE),"")</f>
        <v/>
      </c>
    </row>
    <row r="8441" spans="18:23">
      <c r="R8441" s="127">
        <f t="shared" si="339"/>
        <v>0</v>
      </c>
      <c r="T8441" s="128">
        <f t="shared" si="338"/>
        <v>0</v>
      </c>
      <c r="U8441" s="129" t="str">
        <f>IFERROR(IF(#REF!="S",VLOOKUP('Raw Data'!A8441,References!#REF!,2,FALSE),(VLOOKUP($S8441,References!$B$3:$C$7,2,FALSE))),"")</f>
        <v/>
      </c>
      <c r="W8441" s="74" t="str">
        <f>IFERROR(VLOOKUP($O8441,'Customer List'!$A$1:$J$488,10,FALSE),"")</f>
        <v/>
      </c>
    </row>
    <row r="8442" spans="18:23">
      <c r="R8442" s="127">
        <f t="shared" si="339"/>
        <v>0</v>
      </c>
      <c r="T8442" s="128">
        <f t="shared" si="338"/>
        <v>0</v>
      </c>
      <c r="U8442" s="129" t="str">
        <f>IFERROR(IF(#REF!="S",VLOOKUP('Raw Data'!A8442,References!#REF!,2,FALSE),(VLOOKUP($S8442,References!$B$3:$C$7,2,FALSE))),"")</f>
        <v/>
      </c>
      <c r="W8442" s="74" t="str">
        <f>IFERROR(VLOOKUP($O8442,'Customer List'!$A$1:$J$488,10,FALSE),"")</f>
        <v/>
      </c>
    </row>
    <row r="8443" spans="18:23">
      <c r="R8443" s="127">
        <f t="shared" si="339"/>
        <v>0</v>
      </c>
      <c r="T8443" s="128">
        <f t="shared" si="338"/>
        <v>0</v>
      </c>
      <c r="U8443" s="129" t="str">
        <f>IFERROR(IF(#REF!="S",VLOOKUP('Raw Data'!A8443,References!#REF!,2,FALSE),(VLOOKUP($S8443,References!$B$3:$C$7,2,FALSE))),"")</f>
        <v/>
      </c>
      <c r="W8443" s="74" t="str">
        <f>IFERROR(VLOOKUP($O8443,'Customer List'!$A$1:$J$488,10,FALSE),"")</f>
        <v/>
      </c>
    </row>
    <row r="8444" spans="18:23">
      <c r="R8444" s="127">
        <f t="shared" si="339"/>
        <v>0</v>
      </c>
      <c r="T8444" s="128">
        <f t="shared" si="338"/>
        <v>0</v>
      </c>
      <c r="U8444" s="129" t="str">
        <f>IFERROR(IF(#REF!="S",VLOOKUP('Raw Data'!A8444,References!#REF!,2,FALSE),(VLOOKUP($S8444,References!$B$3:$C$7,2,FALSE))),"")</f>
        <v/>
      </c>
      <c r="W8444" s="74" t="str">
        <f>IFERROR(VLOOKUP($O8444,'Customer List'!$A$1:$J$488,10,FALSE),"")</f>
        <v/>
      </c>
    </row>
    <row r="8445" spans="18:23">
      <c r="R8445" s="127">
        <f t="shared" si="339"/>
        <v>0</v>
      </c>
      <c r="T8445" s="128">
        <f t="shared" si="338"/>
        <v>0</v>
      </c>
      <c r="U8445" s="129" t="str">
        <f>IFERROR(IF(#REF!="S",VLOOKUP('Raw Data'!A8445,References!#REF!,2,FALSE),(VLOOKUP($S8445,References!$B$3:$C$7,2,FALSE))),"")</f>
        <v/>
      </c>
      <c r="W8445" s="74" t="str">
        <f>IFERROR(VLOOKUP($O8445,'Customer List'!$A$1:$J$488,10,FALSE),"")</f>
        <v/>
      </c>
    </row>
    <row r="8446" spans="18:23">
      <c r="R8446" s="127">
        <f t="shared" si="339"/>
        <v>0</v>
      </c>
      <c r="T8446" s="128">
        <f t="shared" si="338"/>
        <v>0</v>
      </c>
      <c r="U8446" s="129" t="str">
        <f>IFERROR(IF(#REF!="S",VLOOKUP('Raw Data'!A8446,References!#REF!,2,FALSE),(VLOOKUP($S8446,References!$B$3:$C$7,2,FALSE))),"")</f>
        <v/>
      </c>
      <c r="W8446" s="74" t="str">
        <f>IFERROR(VLOOKUP($O8446,'Customer List'!$A$1:$J$488,10,FALSE),"")</f>
        <v/>
      </c>
    </row>
    <row r="8447" spans="18:23">
      <c r="R8447" s="127">
        <f t="shared" si="339"/>
        <v>0</v>
      </c>
      <c r="T8447" s="128">
        <f t="shared" si="338"/>
        <v>0</v>
      </c>
      <c r="U8447" s="129" t="str">
        <f>IFERROR(IF(#REF!="S",VLOOKUP('Raw Data'!A8447,References!#REF!,2,FALSE),(VLOOKUP($S8447,References!$B$3:$C$7,2,FALSE))),"")</f>
        <v/>
      </c>
      <c r="W8447" s="74" t="str">
        <f>IFERROR(VLOOKUP($O8447,'Customer List'!$A$1:$J$488,10,FALSE),"")</f>
        <v/>
      </c>
    </row>
    <row r="8448" spans="18:23">
      <c r="R8448" s="127">
        <f t="shared" si="339"/>
        <v>0</v>
      </c>
      <c r="T8448" s="128">
        <f t="shared" si="338"/>
        <v>0</v>
      </c>
      <c r="U8448" s="129" t="str">
        <f>IFERROR(IF(#REF!="S",VLOOKUP('Raw Data'!A8448,References!#REF!,2,FALSE),(VLOOKUP($S8448,References!$B$3:$C$7,2,FALSE))),"")</f>
        <v/>
      </c>
      <c r="W8448" s="74" t="str">
        <f>IFERROR(VLOOKUP($O8448,'Customer List'!$A$1:$J$488,10,FALSE),"")</f>
        <v/>
      </c>
    </row>
    <row r="8449" spans="18:23">
      <c r="R8449" s="127">
        <f t="shared" si="339"/>
        <v>0</v>
      </c>
      <c r="T8449" s="128">
        <f t="shared" si="338"/>
        <v>0</v>
      </c>
      <c r="U8449" s="129" t="str">
        <f>IFERROR(IF(#REF!="S",VLOOKUP('Raw Data'!A8449,References!#REF!,2,FALSE),(VLOOKUP($S8449,References!$B$3:$C$7,2,FALSE))),"")</f>
        <v/>
      </c>
      <c r="W8449" s="74" t="str">
        <f>IFERROR(VLOOKUP($O8449,'Customer List'!$A$1:$J$488,10,FALSE),"")</f>
        <v/>
      </c>
    </row>
    <row r="8450" spans="18:23">
      <c r="R8450" s="127">
        <f t="shared" si="339"/>
        <v>0</v>
      </c>
      <c r="T8450" s="128">
        <f t="shared" si="338"/>
        <v>0</v>
      </c>
      <c r="U8450" s="129" t="str">
        <f>IFERROR(IF(#REF!="S",VLOOKUP('Raw Data'!A8450,References!#REF!,2,FALSE),(VLOOKUP($S8450,References!$B$3:$C$7,2,FALSE))),"")</f>
        <v/>
      </c>
      <c r="W8450" s="74" t="str">
        <f>IFERROR(VLOOKUP($O8450,'Customer List'!$A$1:$J$488,10,FALSE),"")</f>
        <v/>
      </c>
    </row>
    <row r="8451" spans="18:23">
      <c r="R8451" s="127">
        <f t="shared" si="339"/>
        <v>0</v>
      </c>
      <c r="T8451" s="128">
        <f t="shared" si="338"/>
        <v>0</v>
      </c>
      <c r="U8451" s="129" t="str">
        <f>IFERROR(IF(#REF!="S",VLOOKUP('Raw Data'!A8451,References!#REF!,2,FALSE),(VLOOKUP($S8451,References!$B$3:$C$7,2,FALSE))),"")</f>
        <v/>
      </c>
      <c r="W8451" s="74" t="str">
        <f>IFERROR(VLOOKUP($O8451,'Customer List'!$A$1:$J$488,10,FALSE),"")</f>
        <v/>
      </c>
    </row>
    <row r="8452" spans="18:23">
      <c r="R8452" s="127">
        <f t="shared" si="339"/>
        <v>0</v>
      </c>
      <c r="T8452" s="128">
        <f t="shared" si="338"/>
        <v>0</v>
      </c>
      <c r="U8452" s="129" t="str">
        <f>IFERROR(IF(#REF!="S",VLOOKUP('Raw Data'!A8452,References!#REF!,2,FALSE),(VLOOKUP($S8452,References!$B$3:$C$7,2,FALSE))),"")</f>
        <v/>
      </c>
      <c r="W8452" s="74" t="str">
        <f>IFERROR(VLOOKUP($O8452,'Customer List'!$A$1:$J$488,10,FALSE),"")</f>
        <v/>
      </c>
    </row>
    <row r="8453" spans="18:23">
      <c r="R8453" s="127">
        <f t="shared" si="339"/>
        <v>0</v>
      </c>
      <c r="T8453" s="128">
        <f t="shared" si="338"/>
        <v>0</v>
      </c>
      <c r="U8453" s="129" t="str">
        <f>IFERROR(IF(#REF!="S",VLOOKUP('Raw Data'!A8453,References!#REF!,2,FALSE),(VLOOKUP($S8453,References!$B$3:$C$7,2,FALSE))),"")</f>
        <v/>
      </c>
      <c r="W8453" s="74" t="str">
        <f>IFERROR(VLOOKUP($O8453,'Customer List'!$A$1:$J$488,10,FALSE),"")</f>
        <v/>
      </c>
    </row>
    <row r="8454" spans="18:23">
      <c r="R8454" s="127">
        <f t="shared" si="339"/>
        <v>0</v>
      </c>
      <c r="T8454" s="128">
        <f t="shared" si="338"/>
        <v>0</v>
      </c>
      <c r="U8454" s="129" t="str">
        <f>IFERROR(IF(#REF!="S",VLOOKUP('Raw Data'!A8454,References!#REF!,2,FALSE),(VLOOKUP($S8454,References!$B$3:$C$7,2,FALSE))),"")</f>
        <v/>
      </c>
      <c r="W8454" s="74" t="str">
        <f>IFERROR(VLOOKUP($O8454,'Customer List'!$A$1:$J$488,10,FALSE),"")</f>
        <v/>
      </c>
    </row>
    <row r="8455" spans="18:23">
      <c r="R8455" s="127">
        <f t="shared" si="339"/>
        <v>0</v>
      </c>
      <c r="T8455" s="128">
        <f t="shared" si="338"/>
        <v>0</v>
      </c>
      <c r="U8455" s="129" t="str">
        <f>IFERROR(IF(#REF!="S",VLOOKUP('Raw Data'!A8455,References!#REF!,2,FALSE),(VLOOKUP($S8455,References!$B$3:$C$7,2,FALSE))),"")</f>
        <v/>
      </c>
      <c r="W8455" s="74" t="str">
        <f>IFERROR(VLOOKUP($O8455,'Customer List'!$A$1:$J$488,10,FALSE),"")</f>
        <v/>
      </c>
    </row>
    <row r="8456" spans="18:23">
      <c r="R8456" s="127">
        <f t="shared" si="339"/>
        <v>0</v>
      </c>
      <c r="T8456" s="128">
        <f t="shared" si="338"/>
        <v>0</v>
      </c>
      <c r="U8456" s="129" t="str">
        <f>IFERROR(IF(#REF!="S",VLOOKUP('Raw Data'!A8456,References!#REF!,2,FALSE),(VLOOKUP($S8456,References!$B$3:$C$7,2,FALSE))),"")</f>
        <v/>
      </c>
      <c r="W8456" s="74" t="str">
        <f>IFERROR(VLOOKUP($O8456,'Customer List'!$A$1:$J$488,10,FALSE),"")</f>
        <v/>
      </c>
    </row>
    <row r="8457" spans="18:23">
      <c r="R8457" s="127">
        <f t="shared" si="339"/>
        <v>0</v>
      </c>
      <c r="T8457" s="128">
        <f t="shared" si="338"/>
        <v>0</v>
      </c>
      <c r="U8457" s="129" t="str">
        <f>IFERROR(IF(#REF!="S",VLOOKUP('Raw Data'!A8457,References!#REF!,2,FALSE),(VLOOKUP($S8457,References!$B$3:$C$7,2,FALSE))),"")</f>
        <v/>
      </c>
      <c r="W8457" s="74" t="str">
        <f>IFERROR(VLOOKUP($O8457,'Customer List'!$A$1:$J$488,10,FALSE),"")</f>
        <v/>
      </c>
    </row>
    <row r="8458" spans="18:23">
      <c r="R8458" s="127">
        <f t="shared" si="339"/>
        <v>0</v>
      </c>
      <c r="T8458" s="128">
        <f t="shared" ref="T8458:T8521" si="340">IF(S8458="50 - Cleaning Fee",1,HOUR($R8458)+MINUTE(R8458)/60)</f>
        <v>0</v>
      </c>
      <c r="U8458" s="129" t="str">
        <f>IFERROR(IF(#REF!="S",VLOOKUP('Raw Data'!A8458,References!#REF!,2,FALSE),(VLOOKUP($S8458,References!$B$3:$C$7,2,FALSE))),"")</f>
        <v/>
      </c>
      <c r="W8458" s="74" t="str">
        <f>IFERROR(VLOOKUP($O8458,'Customer List'!$A$1:$J$488,10,FALSE),"")</f>
        <v/>
      </c>
    </row>
    <row r="8459" spans="18:23">
      <c r="R8459" s="127">
        <f t="shared" si="339"/>
        <v>0</v>
      </c>
      <c r="T8459" s="128">
        <f t="shared" si="340"/>
        <v>0</v>
      </c>
      <c r="U8459" s="129" t="str">
        <f>IFERROR(IF(#REF!="S",VLOOKUP('Raw Data'!A8459,References!#REF!,2,FALSE),(VLOOKUP($S8459,References!$B$3:$C$7,2,FALSE))),"")</f>
        <v/>
      </c>
      <c r="W8459" s="74" t="str">
        <f>IFERROR(VLOOKUP($O8459,'Customer List'!$A$1:$J$488,10,FALSE),"")</f>
        <v/>
      </c>
    </row>
    <row r="8460" spans="18:23">
      <c r="R8460" s="127">
        <f t="shared" si="339"/>
        <v>0</v>
      </c>
      <c r="T8460" s="128">
        <f t="shared" si="340"/>
        <v>0</v>
      </c>
      <c r="U8460" s="129" t="str">
        <f>IFERROR(IF(#REF!="S",VLOOKUP('Raw Data'!A8460,References!#REF!,2,FALSE),(VLOOKUP($S8460,References!$B$3:$C$7,2,FALSE))),"")</f>
        <v/>
      </c>
      <c r="W8460" s="74" t="str">
        <f>IFERROR(VLOOKUP($O8460,'Customer List'!$A$1:$J$488,10,FALSE),"")</f>
        <v/>
      </c>
    </row>
    <row r="8461" spans="18:23">
      <c r="R8461" s="127">
        <f t="shared" si="339"/>
        <v>0</v>
      </c>
      <c r="T8461" s="128">
        <f t="shared" si="340"/>
        <v>0</v>
      </c>
      <c r="U8461" s="129" t="str">
        <f>IFERROR(IF(#REF!="S",VLOOKUP('Raw Data'!A8461,References!#REF!,2,FALSE),(VLOOKUP($S8461,References!$B$3:$C$7,2,FALSE))),"")</f>
        <v/>
      </c>
      <c r="W8461" s="74" t="str">
        <f>IFERROR(VLOOKUP($O8461,'Customer List'!$A$1:$J$488,10,FALSE),"")</f>
        <v/>
      </c>
    </row>
    <row r="8462" spans="18:23">
      <c r="R8462" s="127">
        <f t="shared" si="339"/>
        <v>0</v>
      </c>
      <c r="T8462" s="128">
        <f t="shared" si="340"/>
        <v>0</v>
      </c>
      <c r="U8462" s="129" t="str">
        <f>IFERROR(IF(#REF!="S",VLOOKUP('Raw Data'!A8462,References!#REF!,2,FALSE),(VLOOKUP($S8462,References!$B$3:$C$7,2,FALSE))),"")</f>
        <v/>
      </c>
      <c r="W8462" s="74" t="str">
        <f>IFERROR(VLOOKUP($O8462,'Customer List'!$A$1:$J$488,10,FALSE),"")</f>
        <v/>
      </c>
    </row>
    <row r="8463" spans="18:23">
      <c r="R8463" s="127">
        <f t="shared" si="339"/>
        <v>0</v>
      </c>
      <c r="T8463" s="128">
        <f t="shared" si="340"/>
        <v>0</v>
      </c>
      <c r="U8463" s="129" t="str">
        <f>IFERROR(IF(#REF!="S",VLOOKUP('Raw Data'!A8463,References!#REF!,2,FALSE),(VLOOKUP($S8463,References!$B$3:$C$7,2,FALSE))),"")</f>
        <v/>
      </c>
      <c r="W8463" s="74" t="str">
        <f>IFERROR(VLOOKUP($O8463,'Customer List'!$A$1:$J$488,10,FALSE),"")</f>
        <v/>
      </c>
    </row>
    <row r="8464" spans="18:23">
      <c r="R8464" s="127">
        <f t="shared" si="339"/>
        <v>0</v>
      </c>
      <c r="T8464" s="128">
        <f t="shared" si="340"/>
        <v>0</v>
      </c>
      <c r="U8464" s="129" t="str">
        <f>IFERROR(IF(#REF!="S",VLOOKUP('Raw Data'!A8464,References!#REF!,2,FALSE),(VLOOKUP($S8464,References!$B$3:$C$7,2,FALSE))),"")</f>
        <v/>
      </c>
      <c r="W8464" s="74" t="str">
        <f>IFERROR(VLOOKUP($O8464,'Customer List'!$A$1:$J$488,10,FALSE),"")</f>
        <v/>
      </c>
    </row>
    <row r="8465" spans="18:23">
      <c r="R8465" s="127">
        <f t="shared" si="339"/>
        <v>0</v>
      </c>
      <c r="T8465" s="128">
        <f t="shared" si="340"/>
        <v>0</v>
      </c>
      <c r="U8465" s="129" t="str">
        <f>IFERROR(IF(#REF!="S",VLOOKUP('Raw Data'!A8465,References!#REF!,2,FALSE),(VLOOKUP($S8465,References!$B$3:$C$7,2,FALSE))),"")</f>
        <v/>
      </c>
      <c r="W8465" s="74" t="str">
        <f>IFERROR(VLOOKUP($O8465,'Customer List'!$A$1:$J$488,10,FALSE),"")</f>
        <v/>
      </c>
    </row>
    <row r="8466" spans="18:23">
      <c r="R8466" s="127">
        <f t="shared" si="339"/>
        <v>0</v>
      </c>
      <c r="T8466" s="128">
        <f t="shared" si="340"/>
        <v>0</v>
      </c>
      <c r="U8466" s="129" t="str">
        <f>IFERROR(IF(#REF!="S",VLOOKUP('Raw Data'!A8466,References!#REF!,2,FALSE),(VLOOKUP($S8466,References!$B$3:$C$7,2,FALSE))),"")</f>
        <v/>
      </c>
      <c r="W8466" s="74" t="str">
        <f>IFERROR(VLOOKUP($O8466,'Customer List'!$A$1:$J$488,10,FALSE),"")</f>
        <v/>
      </c>
    </row>
    <row r="8467" spans="18:23">
      <c r="R8467" s="127">
        <f t="shared" si="339"/>
        <v>0</v>
      </c>
      <c r="T8467" s="128">
        <f t="shared" si="340"/>
        <v>0</v>
      </c>
      <c r="U8467" s="129" t="str">
        <f>IFERROR(IF(#REF!="S",VLOOKUP('Raw Data'!A8467,References!#REF!,2,FALSE),(VLOOKUP($S8467,References!$B$3:$C$7,2,FALSE))),"")</f>
        <v/>
      </c>
      <c r="W8467" s="74" t="str">
        <f>IFERROR(VLOOKUP($O8467,'Customer List'!$A$1:$J$488,10,FALSE),"")</f>
        <v/>
      </c>
    </row>
    <row r="8468" spans="18:23">
      <c r="R8468" s="127">
        <f t="shared" si="339"/>
        <v>0</v>
      </c>
      <c r="T8468" s="128">
        <f t="shared" si="340"/>
        <v>0</v>
      </c>
      <c r="U8468" s="129" t="str">
        <f>IFERROR(IF(#REF!="S",VLOOKUP('Raw Data'!A8468,References!#REF!,2,FALSE),(VLOOKUP($S8468,References!$B$3:$C$7,2,FALSE))),"")</f>
        <v/>
      </c>
      <c r="W8468" s="74" t="str">
        <f>IFERROR(VLOOKUP($O8468,'Customer List'!$A$1:$J$488,10,FALSE),"")</f>
        <v/>
      </c>
    </row>
    <row r="8469" spans="18:23">
      <c r="R8469" s="127">
        <f t="shared" si="339"/>
        <v>0</v>
      </c>
      <c r="T8469" s="128">
        <f t="shared" si="340"/>
        <v>0</v>
      </c>
      <c r="U8469" s="129" t="str">
        <f>IFERROR(IF(#REF!="S",VLOOKUP('Raw Data'!A8469,References!#REF!,2,FALSE),(VLOOKUP($S8469,References!$B$3:$C$7,2,FALSE))),"")</f>
        <v/>
      </c>
      <c r="W8469" s="74" t="str">
        <f>IFERROR(VLOOKUP($O8469,'Customer List'!$A$1:$J$488,10,FALSE),"")</f>
        <v/>
      </c>
    </row>
    <row r="8470" spans="18:23">
      <c r="R8470" s="127">
        <f t="shared" si="339"/>
        <v>0</v>
      </c>
      <c r="T8470" s="128">
        <f t="shared" si="340"/>
        <v>0</v>
      </c>
      <c r="U8470" s="129" t="str">
        <f>IFERROR(IF(#REF!="S",VLOOKUP('Raw Data'!A8470,References!#REF!,2,FALSE),(VLOOKUP($S8470,References!$B$3:$C$7,2,FALSE))),"")</f>
        <v/>
      </c>
      <c r="W8470" s="74" t="str">
        <f>IFERROR(VLOOKUP($O8470,'Customer List'!$A$1:$J$488,10,FALSE),"")</f>
        <v/>
      </c>
    </row>
    <row r="8471" spans="18:23">
      <c r="R8471" s="127">
        <f t="shared" si="339"/>
        <v>0</v>
      </c>
      <c r="T8471" s="128">
        <f t="shared" si="340"/>
        <v>0</v>
      </c>
      <c r="U8471" s="129" t="str">
        <f>IFERROR(IF(#REF!="S",VLOOKUP('Raw Data'!A8471,References!#REF!,2,FALSE),(VLOOKUP($S8471,References!$B$3:$C$7,2,FALSE))),"")</f>
        <v/>
      </c>
      <c r="W8471" s="74" t="str">
        <f>IFERROR(VLOOKUP($O8471,'Customer List'!$A$1:$J$488,10,FALSE),"")</f>
        <v/>
      </c>
    </row>
    <row r="8472" spans="18:23">
      <c r="R8472" s="127">
        <f t="shared" si="339"/>
        <v>0</v>
      </c>
      <c r="T8472" s="128">
        <f t="shared" si="340"/>
        <v>0</v>
      </c>
      <c r="U8472" s="129" t="str">
        <f>IFERROR(IF(#REF!="S",VLOOKUP('Raw Data'!A8472,References!#REF!,2,FALSE),(VLOOKUP($S8472,References!$B$3:$C$7,2,FALSE))),"")</f>
        <v/>
      </c>
      <c r="W8472" s="74" t="str">
        <f>IFERROR(VLOOKUP($O8472,'Customer List'!$A$1:$J$488,10,FALSE),"")</f>
        <v/>
      </c>
    </row>
    <row r="8473" spans="18:23">
      <c r="R8473" s="127">
        <f t="shared" si="339"/>
        <v>0</v>
      </c>
      <c r="T8473" s="128">
        <f t="shared" si="340"/>
        <v>0</v>
      </c>
      <c r="U8473" s="129" t="str">
        <f>IFERROR(IF(#REF!="S",VLOOKUP('Raw Data'!A8473,References!#REF!,2,FALSE),(VLOOKUP($S8473,References!$B$3:$C$7,2,FALSE))),"")</f>
        <v/>
      </c>
      <c r="W8473" s="74" t="str">
        <f>IFERROR(VLOOKUP($O8473,'Customer List'!$A$1:$J$488,10,FALSE),"")</f>
        <v/>
      </c>
    </row>
    <row r="8474" spans="18:23">
      <c r="R8474" s="127">
        <f t="shared" si="339"/>
        <v>0</v>
      </c>
      <c r="T8474" s="128">
        <f t="shared" si="340"/>
        <v>0</v>
      </c>
      <c r="U8474" s="129" t="str">
        <f>IFERROR(IF(#REF!="S",VLOOKUP('Raw Data'!A8474,References!#REF!,2,FALSE),(VLOOKUP($S8474,References!$B$3:$C$7,2,FALSE))),"")</f>
        <v/>
      </c>
      <c r="W8474" s="74" t="str">
        <f>IFERROR(VLOOKUP($O8474,'Customer List'!$A$1:$J$488,10,FALSE),"")</f>
        <v/>
      </c>
    </row>
    <row r="8475" spans="18:23">
      <c r="R8475" s="127">
        <f t="shared" si="339"/>
        <v>0</v>
      </c>
      <c r="T8475" s="128">
        <f t="shared" si="340"/>
        <v>0</v>
      </c>
      <c r="U8475" s="129" t="str">
        <f>IFERROR(IF(#REF!="S",VLOOKUP('Raw Data'!A8475,References!#REF!,2,FALSE),(VLOOKUP($S8475,References!$B$3:$C$7,2,FALSE))),"")</f>
        <v/>
      </c>
      <c r="W8475" s="74" t="str">
        <f>IFERROR(VLOOKUP($O8475,'Customer List'!$A$1:$J$488,10,FALSE),"")</f>
        <v/>
      </c>
    </row>
    <row r="8476" spans="18:23">
      <c r="R8476" s="127">
        <f t="shared" si="339"/>
        <v>0</v>
      </c>
      <c r="T8476" s="128">
        <f t="shared" si="340"/>
        <v>0</v>
      </c>
      <c r="U8476" s="129" t="str">
        <f>IFERROR(IF(#REF!="S",VLOOKUP('Raw Data'!A8476,References!#REF!,2,FALSE),(VLOOKUP($S8476,References!$B$3:$C$7,2,FALSE))),"")</f>
        <v/>
      </c>
      <c r="W8476" s="74" t="str">
        <f>IFERROR(VLOOKUP($O8476,'Customer List'!$A$1:$J$488,10,FALSE),"")</f>
        <v/>
      </c>
    </row>
    <row r="8477" spans="18:23">
      <c r="R8477" s="127">
        <f t="shared" si="339"/>
        <v>0</v>
      </c>
      <c r="T8477" s="128">
        <f t="shared" si="340"/>
        <v>0</v>
      </c>
      <c r="U8477" s="129" t="str">
        <f>IFERROR(IF(#REF!="S",VLOOKUP('Raw Data'!A8477,References!#REF!,2,FALSE),(VLOOKUP($S8477,References!$B$3:$C$7,2,FALSE))),"")</f>
        <v/>
      </c>
      <c r="W8477" s="74" t="str">
        <f>IFERROR(VLOOKUP($O8477,'Customer List'!$A$1:$J$488,10,FALSE),"")</f>
        <v/>
      </c>
    </row>
    <row r="8478" spans="18:23">
      <c r="R8478" s="127">
        <f t="shared" si="339"/>
        <v>0</v>
      </c>
      <c r="T8478" s="128">
        <f t="shared" si="340"/>
        <v>0</v>
      </c>
      <c r="U8478" s="129" t="str">
        <f>IFERROR(IF(#REF!="S",VLOOKUP('Raw Data'!A8478,References!#REF!,2,FALSE),(VLOOKUP($S8478,References!$B$3:$C$7,2,FALSE))),"")</f>
        <v/>
      </c>
      <c r="W8478" s="74" t="str">
        <f>IFERROR(VLOOKUP($O8478,'Customer List'!$A$1:$J$488,10,FALSE),"")</f>
        <v/>
      </c>
    </row>
    <row r="8479" spans="18:23">
      <c r="R8479" s="127">
        <f t="shared" si="339"/>
        <v>0</v>
      </c>
      <c r="T8479" s="128">
        <f t="shared" si="340"/>
        <v>0</v>
      </c>
      <c r="U8479" s="129" t="str">
        <f>IFERROR(IF(#REF!="S",VLOOKUP('Raw Data'!A8479,References!#REF!,2,FALSE),(VLOOKUP($S8479,References!$B$3:$C$7,2,FALSE))),"")</f>
        <v/>
      </c>
      <c r="W8479" s="74" t="str">
        <f>IFERROR(VLOOKUP($O8479,'Customer List'!$A$1:$J$488,10,FALSE),"")</f>
        <v/>
      </c>
    </row>
    <row r="8480" spans="18:23">
      <c r="R8480" s="127">
        <f t="shared" si="339"/>
        <v>0</v>
      </c>
      <c r="T8480" s="128">
        <f t="shared" si="340"/>
        <v>0</v>
      </c>
      <c r="U8480" s="129" t="str">
        <f>IFERROR(IF(#REF!="S",VLOOKUP('Raw Data'!A8480,References!#REF!,2,FALSE),(VLOOKUP($S8480,References!$B$3:$C$7,2,FALSE))),"")</f>
        <v/>
      </c>
      <c r="W8480" s="74" t="str">
        <f>IFERROR(VLOOKUP($O8480,'Customer List'!$A$1:$J$488,10,FALSE),"")</f>
        <v/>
      </c>
    </row>
    <row r="8481" spans="18:23">
      <c r="R8481" s="127">
        <f t="shared" si="339"/>
        <v>0</v>
      </c>
      <c r="T8481" s="128">
        <f t="shared" si="340"/>
        <v>0</v>
      </c>
      <c r="U8481" s="129" t="str">
        <f>IFERROR(IF(#REF!="S",VLOOKUP('Raw Data'!A8481,References!#REF!,2,FALSE),(VLOOKUP($S8481,References!$B$3:$C$7,2,FALSE))),"")</f>
        <v/>
      </c>
      <c r="W8481" s="74" t="str">
        <f>IFERROR(VLOOKUP($O8481,'Customer List'!$A$1:$J$488,10,FALSE),"")</f>
        <v/>
      </c>
    </row>
    <row r="8482" spans="18:23">
      <c r="R8482" s="127">
        <f t="shared" ref="R8482:R8545" si="341">L8482-K8482</f>
        <v>0</v>
      </c>
      <c r="T8482" s="128">
        <f t="shared" si="340"/>
        <v>0</v>
      </c>
      <c r="U8482" s="129" t="str">
        <f>IFERROR(IF(#REF!="S",VLOOKUP('Raw Data'!A8482,References!#REF!,2,FALSE),(VLOOKUP($S8482,References!$B$3:$C$7,2,FALSE))),"")</f>
        <v/>
      </c>
      <c r="W8482" s="74" t="str">
        <f>IFERROR(VLOOKUP($O8482,'Customer List'!$A$1:$J$488,10,FALSE),"")</f>
        <v/>
      </c>
    </row>
    <row r="8483" spans="18:23">
      <c r="R8483" s="127">
        <f t="shared" si="341"/>
        <v>0</v>
      </c>
      <c r="T8483" s="128">
        <f t="shared" si="340"/>
        <v>0</v>
      </c>
      <c r="U8483" s="129" t="str">
        <f>IFERROR(IF(#REF!="S",VLOOKUP('Raw Data'!A8483,References!#REF!,2,FALSE),(VLOOKUP($S8483,References!$B$3:$C$7,2,FALSE))),"")</f>
        <v/>
      </c>
      <c r="W8483" s="74" t="str">
        <f>IFERROR(VLOOKUP($O8483,'Customer List'!$A$1:$J$488,10,FALSE),"")</f>
        <v/>
      </c>
    </row>
    <row r="8484" spans="18:23">
      <c r="R8484" s="127">
        <f t="shared" si="341"/>
        <v>0</v>
      </c>
      <c r="T8484" s="128">
        <f t="shared" si="340"/>
        <v>0</v>
      </c>
      <c r="U8484" s="129" t="str">
        <f>IFERROR(IF(#REF!="S",VLOOKUP('Raw Data'!A8484,References!#REF!,2,FALSE),(VLOOKUP($S8484,References!$B$3:$C$7,2,FALSE))),"")</f>
        <v/>
      </c>
      <c r="W8484" s="74" t="str">
        <f>IFERROR(VLOOKUP($O8484,'Customer List'!$A$1:$J$488,10,FALSE),"")</f>
        <v/>
      </c>
    </row>
    <row r="8485" spans="18:23">
      <c r="R8485" s="127">
        <f t="shared" si="341"/>
        <v>0</v>
      </c>
      <c r="T8485" s="128">
        <f t="shared" si="340"/>
        <v>0</v>
      </c>
      <c r="U8485" s="129" t="str">
        <f>IFERROR(IF(#REF!="S",VLOOKUP('Raw Data'!A8485,References!#REF!,2,FALSE),(VLOOKUP($S8485,References!$B$3:$C$7,2,FALSE))),"")</f>
        <v/>
      </c>
      <c r="W8485" s="74" t="str">
        <f>IFERROR(VLOOKUP($O8485,'Customer List'!$A$1:$J$488,10,FALSE),"")</f>
        <v/>
      </c>
    </row>
    <row r="8486" spans="18:23">
      <c r="R8486" s="127">
        <f t="shared" si="341"/>
        <v>0</v>
      </c>
      <c r="T8486" s="128">
        <f t="shared" si="340"/>
        <v>0</v>
      </c>
      <c r="U8486" s="129" t="str">
        <f>IFERROR(IF(#REF!="S",VLOOKUP('Raw Data'!A8486,References!#REF!,2,FALSE),(VLOOKUP($S8486,References!$B$3:$C$7,2,FALSE))),"")</f>
        <v/>
      </c>
      <c r="W8486" s="74" t="str">
        <f>IFERROR(VLOOKUP($O8486,'Customer List'!$A$1:$J$488,10,FALSE),"")</f>
        <v/>
      </c>
    </row>
    <row r="8487" spans="18:23">
      <c r="R8487" s="127">
        <f t="shared" si="341"/>
        <v>0</v>
      </c>
      <c r="T8487" s="128">
        <f t="shared" si="340"/>
        <v>0</v>
      </c>
      <c r="U8487" s="129" t="str">
        <f>IFERROR(IF(#REF!="S",VLOOKUP('Raw Data'!A8487,References!#REF!,2,FALSE),(VLOOKUP($S8487,References!$B$3:$C$7,2,FALSE))),"")</f>
        <v/>
      </c>
      <c r="W8487" s="74" t="str">
        <f>IFERROR(VLOOKUP($O8487,'Customer List'!$A$1:$J$488,10,FALSE),"")</f>
        <v/>
      </c>
    </row>
    <row r="8488" spans="18:23">
      <c r="R8488" s="127">
        <f t="shared" si="341"/>
        <v>0</v>
      </c>
      <c r="T8488" s="128">
        <f t="shared" si="340"/>
        <v>0</v>
      </c>
      <c r="U8488" s="129" t="str">
        <f>IFERROR(IF(#REF!="S",VLOOKUP('Raw Data'!A8488,References!#REF!,2,FALSE),(VLOOKUP($S8488,References!$B$3:$C$7,2,FALSE))),"")</f>
        <v/>
      </c>
      <c r="W8488" s="74" t="str">
        <f>IFERROR(VLOOKUP($O8488,'Customer List'!$A$1:$J$488,10,FALSE),"")</f>
        <v/>
      </c>
    </row>
    <row r="8489" spans="18:23">
      <c r="R8489" s="127">
        <f t="shared" si="341"/>
        <v>0</v>
      </c>
      <c r="T8489" s="128">
        <f t="shared" si="340"/>
        <v>0</v>
      </c>
      <c r="U8489" s="129" t="str">
        <f>IFERROR(IF(#REF!="S",VLOOKUP('Raw Data'!A8489,References!#REF!,2,FALSE),(VLOOKUP($S8489,References!$B$3:$C$7,2,FALSE))),"")</f>
        <v/>
      </c>
      <c r="W8489" s="74" t="str">
        <f>IFERROR(VLOOKUP($O8489,'Customer List'!$A$1:$J$488,10,FALSE),"")</f>
        <v/>
      </c>
    </row>
    <row r="8490" spans="18:23">
      <c r="R8490" s="127">
        <f t="shared" si="341"/>
        <v>0</v>
      </c>
      <c r="T8490" s="128">
        <f t="shared" si="340"/>
        <v>0</v>
      </c>
      <c r="U8490" s="129" t="str">
        <f>IFERROR(IF(#REF!="S",VLOOKUP('Raw Data'!A8490,References!#REF!,2,FALSE),(VLOOKUP($S8490,References!$B$3:$C$7,2,FALSE))),"")</f>
        <v/>
      </c>
      <c r="W8490" s="74" t="str">
        <f>IFERROR(VLOOKUP($O8490,'Customer List'!$A$1:$J$488,10,FALSE),"")</f>
        <v/>
      </c>
    </row>
    <row r="8491" spans="18:23">
      <c r="R8491" s="127">
        <f t="shared" si="341"/>
        <v>0</v>
      </c>
      <c r="T8491" s="128">
        <f t="shared" si="340"/>
        <v>0</v>
      </c>
      <c r="U8491" s="129" t="str">
        <f>IFERROR(IF(#REF!="S",VLOOKUP('Raw Data'!A8491,References!#REF!,2,FALSE),(VLOOKUP($S8491,References!$B$3:$C$7,2,FALSE))),"")</f>
        <v/>
      </c>
      <c r="W8491" s="74" t="str">
        <f>IFERROR(VLOOKUP($O8491,'Customer List'!$A$1:$J$488,10,FALSE),"")</f>
        <v/>
      </c>
    </row>
    <row r="8492" spans="18:23">
      <c r="R8492" s="127">
        <f t="shared" si="341"/>
        <v>0</v>
      </c>
      <c r="T8492" s="128">
        <f t="shared" si="340"/>
        <v>0</v>
      </c>
      <c r="U8492" s="129" t="str">
        <f>IFERROR(IF(#REF!="S",VLOOKUP('Raw Data'!A8492,References!#REF!,2,FALSE),(VLOOKUP($S8492,References!$B$3:$C$7,2,FALSE))),"")</f>
        <v/>
      </c>
      <c r="W8492" s="74" t="str">
        <f>IFERROR(VLOOKUP($O8492,'Customer List'!$A$1:$J$488,10,FALSE),"")</f>
        <v/>
      </c>
    </row>
    <row r="8493" spans="18:23">
      <c r="R8493" s="127">
        <f t="shared" si="341"/>
        <v>0</v>
      </c>
      <c r="T8493" s="128">
        <f t="shared" si="340"/>
        <v>0</v>
      </c>
      <c r="U8493" s="129" t="str">
        <f>IFERROR(IF(#REF!="S",VLOOKUP('Raw Data'!A8493,References!#REF!,2,FALSE),(VLOOKUP($S8493,References!$B$3:$C$7,2,FALSE))),"")</f>
        <v/>
      </c>
      <c r="W8493" s="74" t="str">
        <f>IFERROR(VLOOKUP($O8493,'Customer List'!$A$1:$J$488,10,FALSE),"")</f>
        <v/>
      </c>
    </row>
    <row r="8494" spans="18:23">
      <c r="R8494" s="127">
        <f t="shared" si="341"/>
        <v>0</v>
      </c>
      <c r="T8494" s="128">
        <f t="shared" si="340"/>
        <v>0</v>
      </c>
      <c r="U8494" s="129" t="str">
        <f>IFERROR(IF(#REF!="S",VLOOKUP('Raw Data'!A8494,References!#REF!,2,FALSE),(VLOOKUP($S8494,References!$B$3:$C$7,2,FALSE))),"")</f>
        <v/>
      </c>
      <c r="W8494" s="74" t="str">
        <f>IFERROR(VLOOKUP($O8494,'Customer List'!$A$1:$J$488,10,FALSE),"")</f>
        <v/>
      </c>
    </row>
    <row r="8495" spans="18:23">
      <c r="R8495" s="127">
        <f t="shared" si="341"/>
        <v>0</v>
      </c>
      <c r="T8495" s="128">
        <f t="shared" si="340"/>
        <v>0</v>
      </c>
      <c r="U8495" s="129" t="str">
        <f>IFERROR(IF(#REF!="S",VLOOKUP('Raw Data'!A8495,References!#REF!,2,FALSE),(VLOOKUP($S8495,References!$B$3:$C$7,2,FALSE))),"")</f>
        <v/>
      </c>
      <c r="W8495" s="74" t="str">
        <f>IFERROR(VLOOKUP($O8495,'Customer List'!$A$1:$J$488,10,FALSE),"")</f>
        <v/>
      </c>
    </row>
    <row r="8496" spans="18:23">
      <c r="R8496" s="127">
        <f t="shared" si="341"/>
        <v>0</v>
      </c>
      <c r="T8496" s="128">
        <f t="shared" si="340"/>
        <v>0</v>
      </c>
      <c r="U8496" s="129" t="str">
        <f>IFERROR(IF(#REF!="S",VLOOKUP('Raw Data'!A8496,References!#REF!,2,FALSE),(VLOOKUP($S8496,References!$B$3:$C$7,2,FALSE))),"")</f>
        <v/>
      </c>
      <c r="W8496" s="74" t="str">
        <f>IFERROR(VLOOKUP($O8496,'Customer List'!$A$1:$J$488,10,FALSE),"")</f>
        <v/>
      </c>
    </row>
    <row r="8497" spans="18:23">
      <c r="R8497" s="127">
        <f t="shared" si="341"/>
        <v>0</v>
      </c>
      <c r="T8497" s="128">
        <f t="shared" si="340"/>
        <v>0</v>
      </c>
      <c r="U8497" s="129" t="str">
        <f>IFERROR(IF(#REF!="S",VLOOKUP('Raw Data'!A8497,References!#REF!,2,FALSE),(VLOOKUP($S8497,References!$B$3:$C$7,2,FALSE))),"")</f>
        <v/>
      </c>
      <c r="W8497" s="74" t="str">
        <f>IFERROR(VLOOKUP($O8497,'Customer List'!$A$1:$J$488,10,FALSE),"")</f>
        <v/>
      </c>
    </row>
    <row r="8498" spans="18:23">
      <c r="R8498" s="127">
        <f t="shared" si="341"/>
        <v>0</v>
      </c>
      <c r="T8498" s="128">
        <f t="shared" si="340"/>
        <v>0</v>
      </c>
      <c r="U8498" s="129" t="str">
        <f>IFERROR(IF(#REF!="S",VLOOKUP('Raw Data'!A8498,References!#REF!,2,FALSE),(VLOOKUP($S8498,References!$B$3:$C$7,2,FALSE))),"")</f>
        <v/>
      </c>
      <c r="W8498" s="74" t="str">
        <f>IFERROR(VLOOKUP($O8498,'Customer List'!$A$1:$J$488,10,FALSE),"")</f>
        <v/>
      </c>
    </row>
    <row r="8499" spans="18:23">
      <c r="R8499" s="127">
        <f t="shared" si="341"/>
        <v>0</v>
      </c>
      <c r="T8499" s="128">
        <f t="shared" si="340"/>
        <v>0</v>
      </c>
      <c r="U8499" s="129" t="str">
        <f>IFERROR(IF(#REF!="S",VLOOKUP('Raw Data'!A8499,References!#REF!,2,FALSE),(VLOOKUP($S8499,References!$B$3:$C$7,2,FALSE))),"")</f>
        <v/>
      </c>
      <c r="W8499" s="74" t="str">
        <f>IFERROR(VLOOKUP($O8499,'Customer List'!$A$1:$J$488,10,FALSE),"")</f>
        <v/>
      </c>
    </row>
    <row r="8500" spans="18:23">
      <c r="R8500" s="127">
        <f t="shared" si="341"/>
        <v>0</v>
      </c>
      <c r="T8500" s="128">
        <f t="shared" si="340"/>
        <v>0</v>
      </c>
      <c r="U8500" s="129" t="str">
        <f>IFERROR(IF(#REF!="S",VLOOKUP('Raw Data'!A8500,References!#REF!,2,FALSE),(VLOOKUP($S8500,References!$B$3:$C$7,2,FALSE))),"")</f>
        <v/>
      </c>
      <c r="W8500" s="74" t="str">
        <f>IFERROR(VLOOKUP($O8500,'Customer List'!$A$1:$J$488,10,FALSE),"")</f>
        <v/>
      </c>
    </row>
    <row r="8501" spans="18:23">
      <c r="R8501" s="127">
        <f t="shared" si="341"/>
        <v>0</v>
      </c>
      <c r="T8501" s="128">
        <f t="shared" si="340"/>
        <v>0</v>
      </c>
      <c r="U8501" s="129" t="str">
        <f>IFERROR(IF(#REF!="S",VLOOKUP('Raw Data'!A8501,References!#REF!,2,FALSE),(VLOOKUP($S8501,References!$B$3:$C$7,2,FALSE))),"")</f>
        <v/>
      </c>
      <c r="W8501" s="74" t="str">
        <f>IFERROR(VLOOKUP($O8501,'Customer List'!$A$1:$J$488,10,FALSE),"")</f>
        <v/>
      </c>
    </row>
    <row r="8502" spans="18:23">
      <c r="R8502" s="127">
        <f t="shared" si="341"/>
        <v>0</v>
      </c>
      <c r="T8502" s="128">
        <f t="shared" si="340"/>
        <v>0</v>
      </c>
      <c r="U8502" s="129" t="str">
        <f>IFERROR(IF(#REF!="S",VLOOKUP('Raw Data'!A8502,References!#REF!,2,FALSE),(VLOOKUP($S8502,References!$B$3:$C$7,2,FALSE))),"")</f>
        <v/>
      </c>
      <c r="W8502" s="74" t="str">
        <f>IFERROR(VLOOKUP($O8502,'Customer List'!$A$1:$J$488,10,FALSE),"")</f>
        <v/>
      </c>
    </row>
    <row r="8503" spans="18:23">
      <c r="R8503" s="127">
        <f t="shared" si="341"/>
        <v>0</v>
      </c>
      <c r="T8503" s="128">
        <f t="shared" si="340"/>
        <v>0</v>
      </c>
      <c r="U8503" s="129" t="str">
        <f>IFERROR(IF(#REF!="S",VLOOKUP('Raw Data'!A8503,References!#REF!,2,FALSE),(VLOOKUP($S8503,References!$B$3:$C$7,2,FALSE))),"")</f>
        <v/>
      </c>
      <c r="W8503" s="74" t="str">
        <f>IFERROR(VLOOKUP($O8503,'Customer List'!$A$1:$J$488,10,FALSE),"")</f>
        <v/>
      </c>
    </row>
    <row r="8504" spans="18:23">
      <c r="R8504" s="127">
        <f t="shared" si="341"/>
        <v>0</v>
      </c>
      <c r="T8504" s="128">
        <f t="shared" si="340"/>
        <v>0</v>
      </c>
      <c r="U8504" s="129" t="str">
        <f>IFERROR(IF(#REF!="S",VLOOKUP('Raw Data'!A8504,References!#REF!,2,FALSE),(VLOOKUP($S8504,References!$B$3:$C$7,2,FALSE))),"")</f>
        <v/>
      </c>
      <c r="W8504" s="74" t="str">
        <f>IFERROR(VLOOKUP($O8504,'Customer List'!$A$1:$J$488,10,FALSE),"")</f>
        <v/>
      </c>
    </row>
    <row r="8505" spans="18:23">
      <c r="R8505" s="127">
        <f t="shared" si="341"/>
        <v>0</v>
      </c>
      <c r="T8505" s="128">
        <f t="shared" si="340"/>
        <v>0</v>
      </c>
      <c r="U8505" s="129" t="str">
        <f>IFERROR(IF(#REF!="S",VLOOKUP('Raw Data'!A8505,References!#REF!,2,FALSE),(VLOOKUP($S8505,References!$B$3:$C$7,2,FALSE))),"")</f>
        <v/>
      </c>
      <c r="W8505" s="74" t="str">
        <f>IFERROR(VLOOKUP($O8505,'Customer List'!$A$1:$J$488,10,FALSE),"")</f>
        <v/>
      </c>
    </row>
    <row r="8506" spans="18:23">
      <c r="R8506" s="127">
        <f t="shared" si="341"/>
        <v>0</v>
      </c>
      <c r="T8506" s="128">
        <f t="shared" si="340"/>
        <v>0</v>
      </c>
      <c r="U8506" s="129" t="str">
        <f>IFERROR(IF(#REF!="S",VLOOKUP('Raw Data'!A8506,References!#REF!,2,FALSE),(VLOOKUP($S8506,References!$B$3:$C$7,2,FALSE))),"")</f>
        <v/>
      </c>
      <c r="W8506" s="74" t="str">
        <f>IFERROR(VLOOKUP($O8506,'Customer List'!$A$1:$J$488,10,FALSE),"")</f>
        <v/>
      </c>
    </row>
    <row r="8507" spans="18:23">
      <c r="R8507" s="127">
        <f t="shared" si="341"/>
        <v>0</v>
      </c>
      <c r="T8507" s="128">
        <f t="shared" si="340"/>
        <v>0</v>
      </c>
      <c r="U8507" s="129" t="str">
        <f>IFERROR(IF(#REF!="S",VLOOKUP('Raw Data'!A8507,References!#REF!,2,FALSE),(VLOOKUP($S8507,References!$B$3:$C$7,2,FALSE))),"")</f>
        <v/>
      </c>
      <c r="W8507" s="74" t="str">
        <f>IFERROR(VLOOKUP($O8507,'Customer List'!$A$1:$J$488,10,FALSE),"")</f>
        <v/>
      </c>
    </row>
    <row r="8508" spans="18:23">
      <c r="R8508" s="127">
        <f t="shared" si="341"/>
        <v>0</v>
      </c>
      <c r="T8508" s="128">
        <f t="shared" si="340"/>
        <v>0</v>
      </c>
      <c r="U8508" s="129" t="str">
        <f>IFERROR(IF(#REF!="S",VLOOKUP('Raw Data'!A8508,References!#REF!,2,FALSE),(VLOOKUP($S8508,References!$B$3:$C$7,2,FALSE))),"")</f>
        <v/>
      </c>
      <c r="W8508" s="74" t="str">
        <f>IFERROR(VLOOKUP($O8508,'Customer List'!$A$1:$J$488,10,FALSE),"")</f>
        <v/>
      </c>
    </row>
    <row r="8509" spans="18:23">
      <c r="R8509" s="127">
        <f t="shared" si="341"/>
        <v>0</v>
      </c>
      <c r="T8509" s="128">
        <f t="shared" si="340"/>
        <v>0</v>
      </c>
      <c r="U8509" s="129" t="str">
        <f>IFERROR(IF(#REF!="S",VLOOKUP('Raw Data'!A8509,References!#REF!,2,FALSE),(VLOOKUP($S8509,References!$B$3:$C$7,2,FALSE))),"")</f>
        <v/>
      </c>
      <c r="W8509" s="74" t="str">
        <f>IFERROR(VLOOKUP($O8509,'Customer List'!$A$1:$J$488,10,FALSE),"")</f>
        <v/>
      </c>
    </row>
    <row r="8510" spans="18:23">
      <c r="R8510" s="127">
        <f t="shared" si="341"/>
        <v>0</v>
      </c>
      <c r="T8510" s="128">
        <f t="shared" si="340"/>
        <v>0</v>
      </c>
      <c r="U8510" s="129" t="str">
        <f>IFERROR(IF(#REF!="S",VLOOKUP('Raw Data'!A8510,References!#REF!,2,FALSE),(VLOOKUP($S8510,References!$B$3:$C$7,2,FALSE))),"")</f>
        <v/>
      </c>
      <c r="W8510" s="74" t="str">
        <f>IFERROR(VLOOKUP($O8510,'Customer List'!$A$1:$J$488,10,FALSE),"")</f>
        <v/>
      </c>
    </row>
    <row r="8511" spans="18:23">
      <c r="R8511" s="127">
        <f t="shared" si="341"/>
        <v>0</v>
      </c>
      <c r="T8511" s="128">
        <f t="shared" si="340"/>
        <v>0</v>
      </c>
      <c r="U8511" s="129" t="str">
        <f>IFERROR(IF(#REF!="S",VLOOKUP('Raw Data'!A8511,References!#REF!,2,FALSE),(VLOOKUP($S8511,References!$B$3:$C$7,2,FALSE))),"")</f>
        <v/>
      </c>
      <c r="W8511" s="74" t="str">
        <f>IFERROR(VLOOKUP($O8511,'Customer List'!$A$1:$J$488,10,FALSE),"")</f>
        <v/>
      </c>
    </row>
    <row r="8512" spans="18:23">
      <c r="R8512" s="127">
        <f t="shared" si="341"/>
        <v>0</v>
      </c>
      <c r="T8512" s="128">
        <f t="shared" si="340"/>
        <v>0</v>
      </c>
      <c r="U8512" s="129" t="str">
        <f>IFERROR(IF(#REF!="S",VLOOKUP('Raw Data'!A8512,References!#REF!,2,FALSE),(VLOOKUP($S8512,References!$B$3:$C$7,2,FALSE))),"")</f>
        <v/>
      </c>
      <c r="W8512" s="74" t="str">
        <f>IFERROR(VLOOKUP($O8512,'Customer List'!$A$1:$J$488,10,FALSE),"")</f>
        <v/>
      </c>
    </row>
    <row r="8513" spans="18:23">
      <c r="R8513" s="127">
        <f t="shared" si="341"/>
        <v>0</v>
      </c>
      <c r="T8513" s="128">
        <f t="shared" si="340"/>
        <v>0</v>
      </c>
      <c r="U8513" s="129" t="str">
        <f>IFERROR(IF(#REF!="S",VLOOKUP('Raw Data'!A8513,References!#REF!,2,FALSE),(VLOOKUP($S8513,References!$B$3:$C$7,2,FALSE))),"")</f>
        <v/>
      </c>
      <c r="W8513" s="74" t="str">
        <f>IFERROR(VLOOKUP($O8513,'Customer List'!$A$1:$J$488,10,FALSE),"")</f>
        <v/>
      </c>
    </row>
    <row r="8514" spans="18:23">
      <c r="R8514" s="127">
        <f t="shared" si="341"/>
        <v>0</v>
      </c>
      <c r="T8514" s="128">
        <f t="shared" si="340"/>
        <v>0</v>
      </c>
      <c r="U8514" s="129" t="str">
        <f>IFERROR(IF(#REF!="S",VLOOKUP('Raw Data'!A8514,References!#REF!,2,FALSE),(VLOOKUP($S8514,References!$B$3:$C$7,2,FALSE))),"")</f>
        <v/>
      </c>
      <c r="W8514" s="74" t="str">
        <f>IFERROR(VLOOKUP($O8514,'Customer List'!$A$1:$J$488,10,FALSE),"")</f>
        <v/>
      </c>
    </row>
    <row r="8515" spans="18:23">
      <c r="R8515" s="127">
        <f t="shared" si="341"/>
        <v>0</v>
      </c>
      <c r="T8515" s="128">
        <f t="shared" si="340"/>
        <v>0</v>
      </c>
      <c r="U8515" s="129" t="str">
        <f>IFERROR(IF(#REF!="S",VLOOKUP('Raw Data'!A8515,References!#REF!,2,FALSE),(VLOOKUP($S8515,References!$B$3:$C$7,2,FALSE))),"")</f>
        <v/>
      </c>
      <c r="W8515" s="74" t="str">
        <f>IFERROR(VLOOKUP($O8515,'Customer List'!$A$1:$J$488,10,FALSE),"")</f>
        <v/>
      </c>
    </row>
    <row r="8516" spans="18:23">
      <c r="R8516" s="127">
        <f t="shared" si="341"/>
        <v>0</v>
      </c>
      <c r="T8516" s="128">
        <f t="shared" si="340"/>
        <v>0</v>
      </c>
      <c r="U8516" s="129" t="str">
        <f>IFERROR(IF(#REF!="S",VLOOKUP('Raw Data'!A8516,References!#REF!,2,FALSE),(VLOOKUP($S8516,References!$B$3:$C$7,2,FALSE))),"")</f>
        <v/>
      </c>
      <c r="W8516" s="74" t="str">
        <f>IFERROR(VLOOKUP($O8516,'Customer List'!$A$1:$J$488,10,FALSE),"")</f>
        <v/>
      </c>
    </row>
    <row r="8517" spans="18:23">
      <c r="R8517" s="127">
        <f t="shared" si="341"/>
        <v>0</v>
      </c>
      <c r="T8517" s="128">
        <f t="shared" si="340"/>
        <v>0</v>
      </c>
      <c r="U8517" s="129" t="str">
        <f>IFERROR(IF(#REF!="S",VLOOKUP('Raw Data'!A8517,References!#REF!,2,FALSE),(VLOOKUP($S8517,References!$B$3:$C$7,2,FALSE))),"")</f>
        <v/>
      </c>
      <c r="W8517" s="74" t="str">
        <f>IFERROR(VLOOKUP($O8517,'Customer List'!$A$1:$J$488,10,FALSE),"")</f>
        <v/>
      </c>
    </row>
    <row r="8518" spans="18:23">
      <c r="R8518" s="127">
        <f t="shared" si="341"/>
        <v>0</v>
      </c>
      <c r="T8518" s="128">
        <f t="shared" si="340"/>
        <v>0</v>
      </c>
      <c r="U8518" s="129" t="str">
        <f>IFERROR(IF(#REF!="S",VLOOKUP('Raw Data'!A8518,References!#REF!,2,FALSE),(VLOOKUP($S8518,References!$B$3:$C$7,2,FALSE))),"")</f>
        <v/>
      </c>
      <c r="W8518" s="74" t="str">
        <f>IFERROR(VLOOKUP($O8518,'Customer List'!$A$1:$J$488,10,FALSE),"")</f>
        <v/>
      </c>
    </row>
    <row r="8519" spans="18:23">
      <c r="R8519" s="127">
        <f t="shared" si="341"/>
        <v>0</v>
      </c>
      <c r="T8519" s="128">
        <f t="shared" si="340"/>
        <v>0</v>
      </c>
      <c r="U8519" s="129" t="str">
        <f>IFERROR(IF(#REF!="S",VLOOKUP('Raw Data'!A8519,References!#REF!,2,FALSE),(VLOOKUP($S8519,References!$B$3:$C$7,2,FALSE))),"")</f>
        <v/>
      </c>
      <c r="W8519" s="74" t="str">
        <f>IFERROR(VLOOKUP($O8519,'Customer List'!$A$1:$J$488,10,FALSE),"")</f>
        <v/>
      </c>
    </row>
    <row r="8520" spans="18:23">
      <c r="R8520" s="127">
        <f t="shared" si="341"/>
        <v>0</v>
      </c>
      <c r="T8520" s="128">
        <f t="shared" si="340"/>
        <v>0</v>
      </c>
      <c r="U8520" s="129" t="str">
        <f>IFERROR(IF(#REF!="S",VLOOKUP('Raw Data'!A8520,References!#REF!,2,FALSE),(VLOOKUP($S8520,References!$B$3:$C$7,2,FALSE))),"")</f>
        <v/>
      </c>
      <c r="W8520" s="74" t="str">
        <f>IFERROR(VLOOKUP($O8520,'Customer List'!$A$1:$J$488,10,FALSE),"")</f>
        <v/>
      </c>
    </row>
    <row r="8521" spans="18:23">
      <c r="R8521" s="127">
        <f t="shared" si="341"/>
        <v>0</v>
      </c>
      <c r="T8521" s="128">
        <f t="shared" si="340"/>
        <v>0</v>
      </c>
      <c r="U8521" s="129" t="str">
        <f>IFERROR(IF(#REF!="S",VLOOKUP('Raw Data'!A8521,References!#REF!,2,FALSE),(VLOOKUP($S8521,References!$B$3:$C$7,2,FALSE))),"")</f>
        <v/>
      </c>
      <c r="W8521" s="74" t="str">
        <f>IFERROR(VLOOKUP($O8521,'Customer List'!$A$1:$J$488,10,FALSE),"")</f>
        <v/>
      </c>
    </row>
    <row r="8522" spans="18:23">
      <c r="R8522" s="127">
        <f t="shared" si="341"/>
        <v>0</v>
      </c>
      <c r="T8522" s="128">
        <f t="shared" ref="T8522:T8585" si="342">IF(S8522="50 - Cleaning Fee",1,HOUR($R8522)+MINUTE(R8522)/60)</f>
        <v>0</v>
      </c>
      <c r="U8522" s="129" t="str">
        <f>IFERROR(IF(#REF!="S",VLOOKUP('Raw Data'!A8522,References!#REF!,2,FALSE),(VLOOKUP($S8522,References!$B$3:$C$7,2,FALSE))),"")</f>
        <v/>
      </c>
      <c r="W8522" s="74" t="str">
        <f>IFERROR(VLOOKUP($O8522,'Customer List'!$A$1:$J$488,10,FALSE),"")</f>
        <v/>
      </c>
    </row>
    <row r="8523" spans="18:23">
      <c r="R8523" s="127">
        <f t="shared" si="341"/>
        <v>0</v>
      </c>
      <c r="T8523" s="128">
        <f t="shared" si="342"/>
        <v>0</v>
      </c>
      <c r="U8523" s="129" t="str">
        <f>IFERROR(IF(#REF!="S",VLOOKUP('Raw Data'!A8523,References!#REF!,2,FALSE),(VLOOKUP($S8523,References!$B$3:$C$7,2,FALSE))),"")</f>
        <v/>
      </c>
      <c r="W8523" s="74" t="str">
        <f>IFERROR(VLOOKUP($O8523,'Customer List'!$A$1:$J$488,10,FALSE),"")</f>
        <v/>
      </c>
    </row>
    <row r="8524" spans="18:23">
      <c r="R8524" s="127">
        <f t="shared" si="341"/>
        <v>0</v>
      </c>
      <c r="T8524" s="128">
        <f t="shared" si="342"/>
        <v>0</v>
      </c>
      <c r="U8524" s="129" t="str">
        <f>IFERROR(IF(#REF!="S",VLOOKUP('Raw Data'!A8524,References!#REF!,2,FALSE),(VLOOKUP($S8524,References!$B$3:$C$7,2,FALSE))),"")</f>
        <v/>
      </c>
      <c r="W8524" s="74" t="str">
        <f>IFERROR(VLOOKUP($O8524,'Customer List'!$A$1:$J$488,10,FALSE),"")</f>
        <v/>
      </c>
    </row>
    <row r="8525" spans="18:23">
      <c r="R8525" s="127">
        <f t="shared" si="341"/>
        <v>0</v>
      </c>
      <c r="T8525" s="128">
        <f t="shared" si="342"/>
        <v>0</v>
      </c>
      <c r="U8525" s="129" t="str">
        <f>IFERROR(IF(#REF!="S",VLOOKUP('Raw Data'!A8525,References!#REF!,2,FALSE),(VLOOKUP($S8525,References!$B$3:$C$7,2,FALSE))),"")</f>
        <v/>
      </c>
      <c r="W8525" s="74" t="str">
        <f>IFERROR(VLOOKUP($O8525,'Customer List'!$A$1:$J$488,10,FALSE),"")</f>
        <v/>
      </c>
    </row>
    <row r="8526" spans="18:23">
      <c r="R8526" s="127">
        <f t="shared" si="341"/>
        <v>0</v>
      </c>
      <c r="T8526" s="128">
        <f t="shared" si="342"/>
        <v>0</v>
      </c>
      <c r="U8526" s="129" t="str">
        <f>IFERROR(IF(#REF!="S",VLOOKUP('Raw Data'!A8526,References!#REF!,2,FALSE),(VLOOKUP($S8526,References!$B$3:$C$7,2,FALSE))),"")</f>
        <v/>
      </c>
      <c r="W8526" s="74" t="str">
        <f>IFERROR(VLOOKUP($O8526,'Customer List'!$A$1:$J$488,10,FALSE),"")</f>
        <v/>
      </c>
    </row>
    <row r="8527" spans="18:23">
      <c r="R8527" s="127">
        <f t="shared" si="341"/>
        <v>0</v>
      </c>
      <c r="T8527" s="128">
        <f t="shared" si="342"/>
        <v>0</v>
      </c>
      <c r="U8527" s="129" t="str">
        <f>IFERROR(IF(#REF!="S",VLOOKUP('Raw Data'!A8527,References!#REF!,2,FALSE),(VLOOKUP($S8527,References!$B$3:$C$7,2,FALSE))),"")</f>
        <v/>
      </c>
      <c r="W8527" s="74" t="str">
        <f>IFERROR(VLOOKUP($O8527,'Customer List'!$A$1:$J$488,10,FALSE),"")</f>
        <v/>
      </c>
    </row>
    <row r="8528" spans="18:23">
      <c r="R8528" s="127">
        <f t="shared" si="341"/>
        <v>0</v>
      </c>
      <c r="T8528" s="128">
        <f t="shared" si="342"/>
        <v>0</v>
      </c>
      <c r="U8528" s="129" t="str">
        <f>IFERROR(IF(#REF!="S",VLOOKUP('Raw Data'!A8528,References!#REF!,2,FALSE),(VLOOKUP($S8528,References!$B$3:$C$7,2,FALSE))),"")</f>
        <v/>
      </c>
      <c r="W8528" s="74" t="str">
        <f>IFERROR(VLOOKUP($O8528,'Customer List'!$A$1:$J$488,10,FALSE),"")</f>
        <v/>
      </c>
    </row>
    <row r="8529" spans="18:23">
      <c r="R8529" s="127">
        <f t="shared" si="341"/>
        <v>0</v>
      </c>
      <c r="T8529" s="128">
        <f t="shared" si="342"/>
        <v>0</v>
      </c>
      <c r="U8529" s="129" t="str">
        <f>IFERROR(IF(#REF!="S",VLOOKUP('Raw Data'!A8529,References!#REF!,2,FALSE),(VLOOKUP($S8529,References!$B$3:$C$7,2,FALSE))),"")</f>
        <v/>
      </c>
      <c r="W8529" s="74" t="str">
        <f>IFERROR(VLOOKUP($O8529,'Customer List'!$A$1:$J$488,10,FALSE),"")</f>
        <v/>
      </c>
    </row>
    <row r="8530" spans="18:23">
      <c r="R8530" s="127">
        <f t="shared" si="341"/>
        <v>0</v>
      </c>
      <c r="T8530" s="128">
        <f t="shared" si="342"/>
        <v>0</v>
      </c>
      <c r="U8530" s="129" t="str">
        <f>IFERROR(IF(#REF!="S",VLOOKUP('Raw Data'!A8530,References!#REF!,2,FALSE),(VLOOKUP($S8530,References!$B$3:$C$7,2,FALSE))),"")</f>
        <v/>
      </c>
      <c r="W8530" s="74" t="str">
        <f>IFERROR(VLOOKUP($O8530,'Customer List'!$A$1:$J$488,10,FALSE),"")</f>
        <v/>
      </c>
    </row>
    <row r="8531" spans="18:23">
      <c r="R8531" s="127">
        <f t="shared" si="341"/>
        <v>0</v>
      </c>
      <c r="T8531" s="128">
        <f t="shared" si="342"/>
        <v>0</v>
      </c>
      <c r="U8531" s="129" t="str">
        <f>IFERROR(IF(#REF!="S",VLOOKUP('Raw Data'!A8531,References!#REF!,2,FALSE),(VLOOKUP($S8531,References!$B$3:$C$7,2,FALSE))),"")</f>
        <v/>
      </c>
      <c r="W8531" s="74" t="str">
        <f>IFERROR(VLOOKUP($O8531,'Customer List'!$A$1:$J$488,10,FALSE),"")</f>
        <v/>
      </c>
    </row>
    <row r="8532" spans="18:23">
      <c r="R8532" s="127">
        <f t="shared" si="341"/>
        <v>0</v>
      </c>
      <c r="T8532" s="128">
        <f t="shared" si="342"/>
        <v>0</v>
      </c>
      <c r="U8532" s="129" t="str">
        <f>IFERROR(IF(#REF!="S",VLOOKUP('Raw Data'!A8532,References!#REF!,2,FALSE),(VLOOKUP($S8532,References!$B$3:$C$7,2,FALSE))),"")</f>
        <v/>
      </c>
      <c r="W8532" s="74" t="str">
        <f>IFERROR(VLOOKUP($O8532,'Customer List'!$A$1:$J$488,10,FALSE),"")</f>
        <v/>
      </c>
    </row>
    <row r="8533" spans="18:23">
      <c r="R8533" s="127">
        <f t="shared" si="341"/>
        <v>0</v>
      </c>
      <c r="T8533" s="128">
        <f t="shared" si="342"/>
        <v>0</v>
      </c>
      <c r="U8533" s="129" t="str">
        <f>IFERROR(IF(#REF!="S",VLOOKUP('Raw Data'!A8533,References!#REF!,2,FALSE),(VLOOKUP($S8533,References!$B$3:$C$7,2,FALSE))),"")</f>
        <v/>
      </c>
      <c r="W8533" s="74" t="str">
        <f>IFERROR(VLOOKUP($O8533,'Customer List'!$A$1:$J$488,10,FALSE),"")</f>
        <v/>
      </c>
    </row>
    <row r="8534" spans="18:23">
      <c r="R8534" s="127">
        <f t="shared" si="341"/>
        <v>0</v>
      </c>
      <c r="T8534" s="128">
        <f t="shared" si="342"/>
        <v>0</v>
      </c>
      <c r="U8534" s="129" t="str">
        <f>IFERROR(IF(#REF!="S",VLOOKUP('Raw Data'!A8534,References!#REF!,2,FALSE),(VLOOKUP($S8534,References!$B$3:$C$7,2,FALSE))),"")</f>
        <v/>
      </c>
      <c r="W8534" s="74" t="str">
        <f>IFERROR(VLOOKUP($O8534,'Customer List'!$A$1:$J$488,10,FALSE),"")</f>
        <v/>
      </c>
    </row>
    <row r="8535" spans="18:23">
      <c r="R8535" s="127">
        <f t="shared" si="341"/>
        <v>0</v>
      </c>
      <c r="T8535" s="128">
        <f t="shared" si="342"/>
        <v>0</v>
      </c>
      <c r="U8535" s="129" t="str">
        <f>IFERROR(IF(#REF!="S",VLOOKUP('Raw Data'!A8535,References!#REF!,2,FALSE),(VLOOKUP($S8535,References!$B$3:$C$7,2,FALSE))),"")</f>
        <v/>
      </c>
      <c r="W8535" s="74" t="str">
        <f>IFERROR(VLOOKUP($O8535,'Customer List'!$A$1:$J$488,10,FALSE),"")</f>
        <v/>
      </c>
    </row>
    <row r="8536" spans="18:23">
      <c r="R8536" s="127">
        <f t="shared" si="341"/>
        <v>0</v>
      </c>
      <c r="T8536" s="128">
        <f t="shared" si="342"/>
        <v>0</v>
      </c>
      <c r="U8536" s="129" t="str">
        <f>IFERROR(IF(#REF!="S",VLOOKUP('Raw Data'!A8536,References!#REF!,2,FALSE),(VLOOKUP($S8536,References!$B$3:$C$7,2,FALSE))),"")</f>
        <v/>
      </c>
      <c r="W8536" s="74" t="str">
        <f>IFERROR(VLOOKUP($O8536,'Customer List'!$A$1:$J$488,10,FALSE),"")</f>
        <v/>
      </c>
    </row>
    <row r="8537" spans="18:23">
      <c r="R8537" s="127">
        <f t="shared" si="341"/>
        <v>0</v>
      </c>
      <c r="T8537" s="128">
        <f t="shared" si="342"/>
        <v>0</v>
      </c>
      <c r="U8537" s="129" t="str">
        <f>IFERROR(IF(#REF!="S",VLOOKUP('Raw Data'!A8537,References!#REF!,2,FALSE),(VLOOKUP($S8537,References!$B$3:$C$7,2,FALSE))),"")</f>
        <v/>
      </c>
      <c r="W8537" s="74" t="str">
        <f>IFERROR(VLOOKUP($O8537,'Customer List'!$A$1:$J$488,10,FALSE),"")</f>
        <v/>
      </c>
    </row>
    <row r="8538" spans="18:23">
      <c r="R8538" s="127">
        <f t="shared" si="341"/>
        <v>0</v>
      </c>
      <c r="T8538" s="128">
        <f t="shared" si="342"/>
        <v>0</v>
      </c>
      <c r="U8538" s="129" t="str">
        <f>IFERROR(IF(#REF!="S",VLOOKUP('Raw Data'!A8538,References!#REF!,2,FALSE),(VLOOKUP($S8538,References!$B$3:$C$7,2,FALSE))),"")</f>
        <v/>
      </c>
      <c r="W8538" s="74" t="str">
        <f>IFERROR(VLOOKUP($O8538,'Customer List'!$A$1:$J$488,10,FALSE),"")</f>
        <v/>
      </c>
    </row>
    <row r="8539" spans="18:23">
      <c r="R8539" s="127">
        <f t="shared" si="341"/>
        <v>0</v>
      </c>
      <c r="T8539" s="128">
        <f t="shared" si="342"/>
        <v>0</v>
      </c>
      <c r="U8539" s="129" t="str">
        <f>IFERROR(IF(#REF!="S",VLOOKUP('Raw Data'!A8539,References!#REF!,2,FALSE),(VLOOKUP($S8539,References!$B$3:$C$7,2,FALSE))),"")</f>
        <v/>
      </c>
      <c r="W8539" s="74" t="str">
        <f>IFERROR(VLOOKUP($O8539,'Customer List'!$A$1:$J$488,10,FALSE),"")</f>
        <v/>
      </c>
    </row>
    <row r="8540" spans="18:23">
      <c r="R8540" s="127">
        <f t="shared" si="341"/>
        <v>0</v>
      </c>
      <c r="T8540" s="128">
        <f t="shared" si="342"/>
        <v>0</v>
      </c>
      <c r="U8540" s="129" t="str">
        <f>IFERROR(IF(#REF!="S",VLOOKUP('Raw Data'!A8540,References!#REF!,2,FALSE),(VLOOKUP($S8540,References!$B$3:$C$7,2,FALSE))),"")</f>
        <v/>
      </c>
      <c r="W8540" s="74" t="str">
        <f>IFERROR(VLOOKUP($O8540,'Customer List'!$A$1:$J$488,10,FALSE),"")</f>
        <v/>
      </c>
    </row>
    <row r="8541" spans="18:23">
      <c r="R8541" s="127">
        <f t="shared" si="341"/>
        <v>0</v>
      </c>
      <c r="T8541" s="128">
        <f t="shared" si="342"/>
        <v>0</v>
      </c>
      <c r="U8541" s="129" t="str">
        <f>IFERROR(IF(#REF!="S",VLOOKUP('Raw Data'!A8541,References!#REF!,2,FALSE),(VLOOKUP($S8541,References!$B$3:$C$7,2,FALSE))),"")</f>
        <v/>
      </c>
      <c r="W8541" s="74" t="str">
        <f>IFERROR(VLOOKUP($O8541,'Customer List'!$A$1:$J$488,10,FALSE),"")</f>
        <v/>
      </c>
    </row>
    <row r="8542" spans="18:23">
      <c r="R8542" s="127">
        <f t="shared" si="341"/>
        <v>0</v>
      </c>
      <c r="T8542" s="128">
        <f t="shared" si="342"/>
        <v>0</v>
      </c>
      <c r="U8542" s="129" t="str">
        <f>IFERROR(IF(#REF!="S",VLOOKUP('Raw Data'!A8542,References!#REF!,2,FALSE),(VLOOKUP($S8542,References!$B$3:$C$7,2,FALSE))),"")</f>
        <v/>
      </c>
      <c r="W8542" s="74" t="str">
        <f>IFERROR(VLOOKUP($O8542,'Customer List'!$A$1:$J$488,10,FALSE),"")</f>
        <v/>
      </c>
    </row>
    <row r="8543" spans="18:23">
      <c r="R8543" s="127">
        <f t="shared" si="341"/>
        <v>0</v>
      </c>
      <c r="T8543" s="128">
        <f t="shared" si="342"/>
        <v>0</v>
      </c>
      <c r="U8543" s="129" t="str">
        <f>IFERROR(IF(#REF!="S",VLOOKUP('Raw Data'!A8543,References!#REF!,2,FALSE),(VLOOKUP($S8543,References!$B$3:$C$7,2,FALSE))),"")</f>
        <v/>
      </c>
      <c r="W8543" s="74" t="str">
        <f>IFERROR(VLOOKUP($O8543,'Customer List'!$A$1:$J$488,10,FALSE),"")</f>
        <v/>
      </c>
    </row>
    <row r="8544" spans="18:23">
      <c r="R8544" s="127">
        <f t="shared" si="341"/>
        <v>0</v>
      </c>
      <c r="T8544" s="128">
        <f t="shared" si="342"/>
        <v>0</v>
      </c>
      <c r="U8544" s="129" t="str">
        <f>IFERROR(IF(#REF!="S",VLOOKUP('Raw Data'!A8544,References!#REF!,2,FALSE),(VLOOKUP($S8544,References!$B$3:$C$7,2,FALSE))),"")</f>
        <v/>
      </c>
      <c r="W8544" s="74" t="str">
        <f>IFERROR(VLOOKUP($O8544,'Customer List'!$A$1:$J$488,10,FALSE),"")</f>
        <v/>
      </c>
    </row>
    <row r="8545" spans="18:23">
      <c r="R8545" s="127">
        <f t="shared" si="341"/>
        <v>0</v>
      </c>
      <c r="T8545" s="128">
        <f t="shared" si="342"/>
        <v>0</v>
      </c>
      <c r="U8545" s="129" t="str">
        <f>IFERROR(IF(#REF!="S",VLOOKUP('Raw Data'!A8545,References!#REF!,2,FALSE),(VLOOKUP($S8545,References!$B$3:$C$7,2,FALSE))),"")</f>
        <v/>
      </c>
      <c r="W8545" s="74" t="str">
        <f>IFERROR(VLOOKUP($O8545,'Customer List'!$A$1:$J$488,10,FALSE),"")</f>
        <v/>
      </c>
    </row>
    <row r="8546" spans="18:23">
      <c r="R8546" s="127">
        <f t="shared" ref="R8546:R8609" si="343">L8546-K8546</f>
        <v>0</v>
      </c>
      <c r="T8546" s="128">
        <f t="shared" si="342"/>
        <v>0</v>
      </c>
      <c r="U8546" s="129" t="str">
        <f>IFERROR(IF(#REF!="S",VLOOKUP('Raw Data'!A8546,References!#REF!,2,FALSE),(VLOOKUP($S8546,References!$B$3:$C$7,2,FALSE))),"")</f>
        <v/>
      </c>
      <c r="W8546" s="74" t="str">
        <f>IFERROR(VLOOKUP($O8546,'Customer List'!$A$1:$J$488,10,FALSE),"")</f>
        <v/>
      </c>
    </row>
    <row r="8547" spans="18:23">
      <c r="R8547" s="127">
        <f t="shared" si="343"/>
        <v>0</v>
      </c>
      <c r="T8547" s="128">
        <f t="shared" si="342"/>
        <v>0</v>
      </c>
      <c r="U8547" s="129" t="str">
        <f>IFERROR(IF(#REF!="S",VLOOKUP('Raw Data'!A8547,References!#REF!,2,FALSE),(VLOOKUP($S8547,References!$B$3:$C$7,2,FALSE))),"")</f>
        <v/>
      </c>
      <c r="W8547" s="74" t="str">
        <f>IFERROR(VLOOKUP($O8547,'Customer List'!$A$1:$J$488,10,FALSE),"")</f>
        <v/>
      </c>
    </row>
    <row r="8548" spans="18:23">
      <c r="R8548" s="127">
        <f t="shared" si="343"/>
        <v>0</v>
      </c>
      <c r="T8548" s="128">
        <f t="shared" si="342"/>
        <v>0</v>
      </c>
      <c r="U8548" s="129" t="str">
        <f>IFERROR(IF(#REF!="S",VLOOKUP('Raw Data'!A8548,References!#REF!,2,FALSE),(VLOOKUP($S8548,References!$B$3:$C$7,2,FALSE))),"")</f>
        <v/>
      </c>
      <c r="W8548" s="74" t="str">
        <f>IFERROR(VLOOKUP($O8548,'Customer List'!$A$1:$J$488,10,FALSE),"")</f>
        <v/>
      </c>
    </row>
    <row r="8549" spans="18:23">
      <c r="R8549" s="127">
        <f t="shared" si="343"/>
        <v>0</v>
      </c>
      <c r="T8549" s="128">
        <f t="shared" si="342"/>
        <v>0</v>
      </c>
      <c r="U8549" s="129" t="str">
        <f>IFERROR(IF(#REF!="S",VLOOKUP('Raw Data'!A8549,References!#REF!,2,FALSE),(VLOOKUP($S8549,References!$B$3:$C$7,2,FALSE))),"")</f>
        <v/>
      </c>
      <c r="W8549" s="74" t="str">
        <f>IFERROR(VLOOKUP($O8549,'Customer List'!$A$1:$J$488,10,FALSE),"")</f>
        <v/>
      </c>
    </row>
    <row r="8550" spans="18:23">
      <c r="R8550" s="127">
        <f t="shared" si="343"/>
        <v>0</v>
      </c>
      <c r="T8550" s="128">
        <f t="shared" si="342"/>
        <v>0</v>
      </c>
      <c r="U8550" s="129" t="str">
        <f>IFERROR(IF(#REF!="S",VLOOKUP('Raw Data'!A8550,References!#REF!,2,FALSE),(VLOOKUP($S8550,References!$B$3:$C$7,2,FALSE))),"")</f>
        <v/>
      </c>
      <c r="W8550" s="74" t="str">
        <f>IFERROR(VLOOKUP($O8550,'Customer List'!$A$1:$J$488,10,FALSE),"")</f>
        <v/>
      </c>
    </row>
    <row r="8551" spans="18:23">
      <c r="R8551" s="127">
        <f t="shared" si="343"/>
        <v>0</v>
      </c>
      <c r="T8551" s="128">
        <f t="shared" si="342"/>
        <v>0</v>
      </c>
      <c r="U8551" s="129" t="str">
        <f>IFERROR(IF(#REF!="S",VLOOKUP('Raw Data'!A8551,References!#REF!,2,FALSE),(VLOOKUP($S8551,References!$B$3:$C$7,2,FALSE))),"")</f>
        <v/>
      </c>
      <c r="W8551" s="74" t="str">
        <f>IFERROR(VLOOKUP($O8551,'Customer List'!$A$1:$J$488,10,FALSE),"")</f>
        <v/>
      </c>
    </row>
    <row r="8552" spans="18:23">
      <c r="R8552" s="127">
        <f t="shared" si="343"/>
        <v>0</v>
      </c>
      <c r="T8552" s="128">
        <f t="shared" si="342"/>
        <v>0</v>
      </c>
      <c r="U8552" s="129" t="str">
        <f>IFERROR(IF(#REF!="S",VLOOKUP('Raw Data'!A8552,References!#REF!,2,FALSE),(VLOOKUP($S8552,References!$B$3:$C$7,2,FALSE))),"")</f>
        <v/>
      </c>
      <c r="W8552" s="74" t="str">
        <f>IFERROR(VLOOKUP($O8552,'Customer List'!$A$1:$J$488,10,FALSE),"")</f>
        <v/>
      </c>
    </row>
    <row r="8553" spans="18:23">
      <c r="R8553" s="127">
        <f t="shared" si="343"/>
        <v>0</v>
      </c>
      <c r="T8553" s="128">
        <f t="shared" si="342"/>
        <v>0</v>
      </c>
      <c r="U8553" s="129" t="str">
        <f>IFERROR(IF(#REF!="S",VLOOKUP('Raw Data'!A8553,References!#REF!,2,FALSE),(VLOOKUP($S8553,References!$B$3:$C$7,2,FALSE))),"")</f>
        <v/>
      </c>
      <c r="W8553" s="74" t="str">
        <f>IFERROR(VLOOKUP($O8553,'Customer List'!$A$1:$J$488,10,FALSE),"")</f>
        <v/>
      </c>
    </row>
    <row r="8554" spans="18:23">
      <c r="R8554" s="127">
        <f t="shared" si="343"/>
        <v>0</v>
      </c>
      <c r="T8554" s="128">
        <f t="shared" si="342"/>
        <v>0</v>
      </c>
      <c r="U8554" s="129" t="str">
        <f>IFERROR(IF(#REF!="S",VLOOKUP('Raw Data'!A8554,References!#REF!,2,FALSE),(VLOOKUP($S8554,References!$B$3:$C$7,2,FALSE))),"")</f>
        <v/>
      </c>
      <c r="W8554" s="74" t="str">
        <f>IFERROR(VLOOKUP($O8554,'Customer List'!$A$1:$J$488,10,FALSE),"")</f>
        <v/>
      </c>
    </row>
    <row r="8555" spans="18:23">
      <c r="R8555" s="127">
        <f t="shared" si="343"/>
        <v>0</v>
      </c>
      <c r="T8555" s="128">
        <f t="shared" si="342"/>
        <v>0</v>
      </c>
      <c r="U8555" s="129" t="str">
        <f>IFERROR(IF(#REF!="S",VLOOKUP('Raw Data'!A8555,References!#REF!,2,FALSE),(VLOOKUP($S8555,References!$B$3:$C$7,2,FALSE))),"")</f>
        <v/>
      </c>
      <c r="W8555" s="74" t="str">
        <f>IFERROR(VLOOKUP($O8555,'Customer List'!$A$1:$J$488,10,FALSE),"")</f>
        <v/>
      </c>
    </row>
    <row r="8556" spans="18:23">
      <c r="R8556" s="127">
        <f t="shared" si="343"/>
        <v>0</v>
      </c>
      <c r="T8556" s="128">
        <f t="shared" si="342"/>
        <v>0</v>
      </c>
      <c r="U8556" s="129" t="str">
        <f>IFERROR(IF(#REF!="S",VLOOKUP('Raw Data'!A8556,References!#REF!,2,FALSE),(VLOOKUP($S8556,References!$B$3:$C$7,2,FALSE))),"")</f>
        <v/>
      </c>
      <c r="W8556" s="74" t="str">
        <f>IFERROR(VLOOKUP($O8556,'Customer List'!$A$1:$J$488,10,FALSE),"")</f>
        <v/>
      </c>
    </row>
    <row r="8557" spans="18:23">
      <c r="R8557" s="127">
        <f t="shared" si="343"/>
        <v>0</v>
      </c>
      <c r="T8557" s="128">
        <f t="shared" si="342"/>
        <v>0</v>
      </c>
      <c r="U8557" s="129" t="str">
        <f>IFERROR(IF(#REF!="S",VLOOKUP('Raw Data'!A8557,References!#REF!,2,FALSE),(VLOOKUP($S8557,References!$B$3:$C$7,2,FALSE))),"")</f>
        <v/>
      </c>
      <c r="W8557" s="74" t="str">
        <f>IFERROR(VLOOKUP($O8557,'Customer List'!$A$1:$J$488,10,FALSE),"")</f>
        <v/>
      </c>
    </row>
    <row r="8558" spans="18:23">
      <c r="R8558" s="127">
        <f t="shared" si="343"/>
        <v>0</v>
      </c>
      <c r="T8558" s="128">
        <f t="shared" si="342"/>
        <v>0</v>
      </c>
      <c r="U8558" s="129" t="str">
        <f>IFERROR(IF(#REF!="S",VLOOKUP('Raw Data'!A8558,References!#REF!,2,FALSE),(VLOOKUP($S8558,References!$B$3:$C$7,2,FALSE))),"")</f>
        <v/>
      </c>
      <c r="W8558" s="74" t="str">
        <f>IFERROR(VLOOKUP($O8558,'Customer List'!$A$1:$J$488,10,FALSE),"")</f>
        <v/>
      </c>
    </row>
    <row r="8559" spans="18:23">
      <c r="R8559" s="127">
        <f t="shared" si="343"/>
        <v>0</v>
      </c>
      <c r="T8559" s="128">
        <f t="shared" si="342"/>
        <v>0</v>
      </c>
      <c r="U8559" s="129" t="str">
        <f>IFERROR(IF(#REF!="S",VLOOKUP('Raw Data'!A8559,References!#REF!,2,FALSE),(VLOOKUP($S8559,References!$B$3:$C$7,2,FALSE))),"")</f>
        <v/>
      </c>
      <c r="W8559" s="74" t="str">
        <f>IFERROR(VLOOKUP($O8559,'Customer List'!$A$1:$J$488,10,FALSE),"")</f>
        <v/>
      </c>
    </row>
    <row r="8560" spans="18:23">
      <c r="R8560" s="127">
        <f t="shared" si="343"/>
        <v>0</v>
      </c>
      <c r="T8560" s="128">
        <f t="shared" si="342"/>
        <v>0</v>
      </c>
      <c r="U8560" s="129" t="str">
        <f>IFERROR(IF(#REF!="S",VLOOKUP('Raw Data'!A8560,References!#REF!,2,FALSE),(VLOOKUP($S8560,References!$B$3:$C$7,2,FALSE))),"")</f>
        <v/>
      </c>
      <c r="W8560" s="74" t="str">
        <f>IFERROR(VLOOKUP($O8560,'Customer List'!$A$1:$J$488,10,FALSE),"")</f>
        <v/>
      </c>
    </row>
    <row r="8561" spans="18:23">
      <c r="R8561" s="127">
        <f t="shared" si="343"/>
        <v>0</v>
      </c>
      <c r="T8561" s="128">
        <f t="shared" si="342"/>
        <v>0</v>
      </c>
      <c r="U8561" s="129" t="str">
        <f>IFERROR(IF(#REF!="S",VLOOKUP('Raw Data'!A8561,References!#REF!,2,FALSE),(VLOOKUP($S8561,References!$B$3:$C$7,2,FALSE))),"")</f>
        <v/>
      </c>
      <c r="W8561" s="74" t="str">
        <f>IFERROR(VLOOKUP($O8561,'Customer List'!$A$1:$J$488,10,FALSE),"")</f>
        <v/>
      </c>
    </row>
    <row r="8562" spans="18:23">
      <c r="R8562" s="127">
        <f t="shared" si="343"/>
        <v>0</v>
      </c>
      <c r="T8562" s="128">
        <f t="shared" si="342"/>
        <v>0</v>
      </c>
      <c r="U8562" s="129" t="str">
        <f>IFERROR(IF(#REF!="S",VLOOKUP('Raw Data'!A8562,References!#REF!,2,FALSE),(VLOOKUP($S8562,References!$B$3:$C$7,2,FALSE))),"")</f>
        <v/>
      </c>
      <c r="W8562" s="74" t="str">
        <f>IFERROR(VLOOKUP($O8562,'Customer List'!$A$1:$J$488,10,FALSE),"")</f>
        <v/>
      </c>
    </row>
    <row r="8563" spans="18:23">
      <c r="R8563" s="127">
        <f t="shared" si="343"/>
        <v>0</v>
      </c>
      <c r="T8563" s="128">
        <f t="shared" si="342"/>
        <v>0</v>
      </c>
      <c r="U8563" s="129" t="str">
        <f>IFERROR(IF(#REF!="S",VLOOKUP('Raw Data'!A8563,References!#REF!,2,FALSE),(VLOOKUP($S8563,References!$B$3:$C$7,2,FALSE))),"")</f>
        <v/>
      </c>
      <c r="W8563" s="74" t="str">
        <f>IFERROR(VLOOKUP($O8563,'Customer List'!$A$1:$J$488,10,FALSE),"")</f>
        <v/>
      </c>
    </row>
    <row r="8564" spans="18:23">
      <c r="R8564" s="127">
        <f t="shared" si="343"/>
        <v>0</v>
      </c>
      <c r="T8564" s="128">
        <f t="shared" si="342"/>
        <v>0</v>
      </c>
      <c r="U8564" s="129" t="str">
        <f>IFERROR(IF(#REF!="S",VLOOKUP('Raw Data'!A8564,References!#REF!,2,FALSE),(VLOOKUP($S8564,References!$B$3:$C$7,2,FALSE))),"")</f>
        <v/>
      </c>
      <c r="W8564" s="74" t="str">
        <f>IFERROR(VLOOKUP($O8564,'Customer List'!$A$1:$J$488,10,FALSE),"")</f>
        <v/>
      </c>
    </row>
    <row r="8565" spans="18:23">
      <c r="R8565" s="127">
        <f t="shared" si="343"/>
        <v>0</v>
      </c>
      <c r="T8565" s="128">
        <f t="shared" si="342"/>
        <v>0</v>
      </c>
      <c r="U8565" s="129" t="str">
        <f>IFERROR(IF(#REF!="S",VLOOKUP('Raw Data'!A8565,References!#REF!,2,FALSE),(VLOOKUP($S8565,References!$B$3:$C$7,2,FALSE))),"")</f>
        <v/>
      </c>
      <c r="W8565" s="74" t="str">
        <f>IFERROR(VLOOKUP($O8565,'Customer List'!$A$1:$J$488,10,FALSE),"")</f>
        <v/>
      </c>
    </row>
    <row r="8566" spans="18:23">
      <c r="R8566" s="127">
        <f t="shared" si="343"/>
        <v>0</v>
      </c>
      <c r="T8566" s="128">
        <f t="shared" si="342"/>
        <v>0</v>
      </c>
      <c r="U8566" s="129" t="str">
        <f>IFERROR(IF(#REF!="S",VLOOKUP('Raw Data'!A8566,References!#REF!,2,FALSE),(VLOOKUP($S8566,References!$B$3:$C$7,2,FALSE))),"")</f>
        <v/>
      </c>
      <c r="W8566" s="74" t="str">
        <f>IFERROR(VLOOKUP($O8566,'Customer List'!$A$1:$J$488,10,FALSE),"")</f>
        <v/>
      </c>
    </row>
    <row r="8567" spans="18:23">
      <c r="R8567" s="127">
        <f t="shared" si="343"/>
        <v>0</v>
      </c>
      <c r="T8567" s="128">
        <f t="shared" si="342"/>
        <v>0</v>
      </c>
      <c r="U8567" s="129" t="str">
        <f>IFERROR(IF(#REF!="S",VLOOKUP('Raw Data'!A8567,References!#REF!,2,FALSE),(VLOOKUP($S8567,References!$B$3:$C$7,2,FALSE))),"")</f>
        <v/>
      </c>
      <c r="W8567" s="74" t="str">
        <f>IFERROR(VLOOKUP($O8567,'Customer List'!$A$1:$J$488,10,FALSE),"")</f>
        <v/>
      </c>
    </row>
    <row r="8568" spans="18:23">
      <c r="R8568" s="127">
        <f t="shared" si="343"/>
        <v>0</v>
      </c>
      <c r="T8568" s="128">
        <f t="shared" si="342"/>
        <v>0</v>
      </c>
      <c r="U8568" s="129" t="str">
        <f>IFERROR(IF(#REF!="S",VLOOKUP('Raw Data'!A8568,References!#REF!,2,FALSE),(VLOOKUP($S8568,References!$B$3:$C$7,2,FALSE))),"")</f>
        <v/>
      </c>
      <c r="W8568" s="74" t="str">
        <f>IFERROR(VLOOKUP($O8568,'Customer List'!$A$1:$J$488,10,FALSE),"")</f>
        <v/>
      </c>
    </row>
    <row r="8569" spans="18:23">
      <c r="R8569" s="127">
        <f t="shared" si="343"/>
        <v>0</v>
      </c>
      <c r="T8569" s="128">
        <f t="shared" si="342"/>
        <v>0</v>
      </c>
      <c r="U8569" s="129" t="str">
        <f>IFERROR(IF(#REF!="S",VLOOKUP('Raw Data'!A8569,References!#REF!,2,FALSE),(VLOOKUP($S8569,References!$B$3:$C$7,2,FALSE))),"")</f>
        <v/>
      </c>
      <c r="W8569" s="74" t="str">
        <f>IFERROR(VLOOKUP($O8569,'Customer List'!$A$1:$J$488,10,FALSE),"")</f>
        <v/>
      </c>
    </row>
    <row r="8570" spans="18:23">
      <c r="R8570" s="127">
        <f t="shared" si="343"/>
        <v>0</v>
      </c>
      <c r="T8570" s="128">
        <f t="shared" si="342"/>
        <v>0</v>
      </c>
      <c r="U8570" s="129" t="str">
        <f>IFERROR(IF(#REF!="S",VLOOKUP('Raw Data'!A8570,References!#REF!,2,FALSE),(VLOOKUP($S8570,References!$B$3:$C$7,2,FALSE))),"")</f>
        <v/>
      </c>
      <c r="W8570" s="74" t="str">
        <f>IFERROR(VLOOKUP($O8570,'Customer List'!$A$1:$J$488,10,FALSE),"")</f>
        <v/>
      </c>
    </row>
    <row r="8571" spans="18:23">
      <c r="R8571" s="127">
        <f t="shared" si="343"/>
        <v>0</v>
      </c>
      <c r="T8571" s="128">
        <f t="shared" si="342"/>
        <v>0</v>
      </c>
      <c r="U8571" s="129" t="str">
        <f>IFERROR(IF(#REF!="S",VLOOKUP('Raw Data'!A8571,References!#REF!,2,FALSE),(VLOOKUP($S8571,References!$B$3:$C$7,2,FALSE))),"")</f>
        <v/>
      </c>
      <c r="W8571" s="74" t="str">
        <f>IFERROR(VLOOKUP($O8571,'Customer List'!$A$1:$J$488,10,FALSE),"")</f>
        <v/>
      </c>
    </row>
    <row r="8572" spans="18:23">
      <c r="R8572" s="127">
        <f t="shared" si="343"/>
        <v>0</v>
      </c>
      <c r="T8572" s="128">
        <f t="shared" si="342"/>
        <v>0</v>
      </c>
      <c r="U8572" s="129" t="str">
        <f>IFERROR(IF(#REF!="S",VLOOKUP('Raw Data'!A8572,References!#REF!,2,FALSE),(VLOOKUP($S8572,References!$B$3:$C$7,2,FALSE))),"")</f>
        <v/>
      </c>
      <c r="W8572" s="74" t="str">
        <f>IFERROR(VLOOKUP($O8572,'Customer List'!$A$1:$J$488,10,FALSE),"")</f>
        <v/>
      </c>
    </row>
    <row r="8573" spans="18:23">
      <c r="R8573" s="127">
        <f t="shared" si="343"/>
        <v>0</v>
      </c>
      <c r="T8573" s="128">
        <f t="shared" si="342"/>
        <v>0</v>
      </c>
      <c r="U8573" s="129" t="str">
        <f>IFERROR(IF(#REF!="S",VLOOKUP('Raw Data'!A8573,References!#REF!,2,FALSE),(VLOOKUP($S8573,References!$B$3:$C$7,2,FALSE))),"")</f>
        <v/>
      </c>
      <c r="W8573" s="74" t="str">
        <f>IFERROR(VLOOKUP($O8573,'Customer List'!$A$1:$J$488,10,FALSE),"")</f>
        <v/>
      </c>
    </row>
    <row r="8574" spans="18:23">
      <c r="R8574" s="127">
        <f t="shared" si="343"/>
        <v>0</v>
      </c>
      <c r="T8574" s="128">
        <f t="shared" si="342"/>
        <v>0</v>
      </c>
      <c r="U8574" s="129" t="str">
        <f>IFERROR(IF(#REF!="S",VLOOKUP('Raw Data'!A8574,References!#REF!,2,FALSE),(VLOOKUP($S8574,References!$B$3:$C$7,2,FALSE))),"")</f>
        <v/>
      </c>
      <c r="W8574" s="74" t="str">
        <f>IFERROR(VLOOKUP($O8574,'Customer List'!$A$1:$J$488,10,FALSE),"")</f>
        <v/>
      </c>
    </row>
    <row r="8575" spans="18:23">
      <c r="R8575" s="127">
        <f t="shared" si="343"/>
        <v>0</v>
      </c>
      <c r="T8575" s="128">
        <f t="shared" si="342"/>
        <v>0</v>
      </c>
      <c r="U8575" s="129" t="str">
        <f>IFERROR(IF(#REF!="S",VLOOKUP('Raw Data'!A8575,References!#REF!,2,FALSE),(VLOOKUP($S8575,References!$B$3:$C$7,2,FALSE))),"")</f>
        <v/>
      </c>
      <c r="W8575" s="74" t="str">
        <f>IFERROR(VLOOKUP($O8575,'Customer List'!$A$1:$J$488,10,FALSE),"")</f>
        <v/>
      </c>
    </row>
    <row r="8576" spans="18:23">
      <c r="R8576" s="127">
        <f t="shared" si="343"/>
        <v>0</v>
      </c>
      <c r="T8576" s="128">
        <f t="shared" si="342"/>
        <v>0</v>
      </c>
      <c r="U8576" s="129" t="str">
        <f>IFERROR(IF(#REF!="S",VLOOKUP('Raw Data'!A8576,References!#REF!,2,FALSE),(VLOOKUP($S8576,References!$B$3:$C$7,2,FALSE))),"")</f>
        <v/>
      </c>
      <c r="W8576" s="74" t="str">
        <f>IFERROR(VLOOKUP($O8576,'Customer List'!$A$1:$J$488,10,FALSE),"")</f>
        <v/>
      </c>
    </row>
    <row r="8577" spans="18:23">
      <c r="R8577" s="127">
        <f t="shared" si="343"/>
        <v>0</v>
      </c>
      <c r="T8577" s="128">
        <f t="shared" si="342"/>
        <v>0</v>
      </c>
      <c r="U8577" s="129" t="str">
        <f>IFERROR(IF(#REF!="S",VLOOKUP('Raw Data'!A8577,References!#REF!,2,FALSE),(VLOOKUP($S8577,References!$B$3:$C$7,2,FALSE))),"")</f>
        <v/>
      </c>
      <c r="W8577" s="74" t="str">
        <f>IFERROR(VLOOKUP($O8577,'Customer List'!$A$1:$J$488,10,FALSE),"")</f>
        <v/>
      </c>
    </row>
    <row r="8578" spans="18:23">
      <c r="R8578" s="127">
        <f t="shared" si="343"/>
        <v>0</v>
      </c>
      <c r="T8578" s="128">
        <f t="shared" si="342"/>
        <v>0</v>
      </c>
      <c r="U8578" s="129" t="str">
        <f>IFERROR(IF(#REF!="S",VLOOKUP('Raw Data'!A8578,References!#REF!,2,FALSE),(VLOOKUP($S8578,References!$B$3:$C$7,2,FALSE))),"")</f>
        <v/>
      </c>
      <c r="W8578" s="74" t="str">
        <f>IFERROR(VLOOKUP($O8578,'Customer List'!$A$1:$J$488,10,FALSE),"")</f>
        <v/>
      </c>
    </row>
    <row r="8579" spans="18:23">
      <c r="R8579" s="127">
        <f t="shared" si="343"/>
        <v>0</v>
      </c>
      <c r="T8579" s="128">
        <f t="shared" si="342"/>
        <v>0</v>
      </c>
      <c r="U8579" s="129" t="str">
        <f>IFERROR(IF(#REF!="S",VLOOKUP('Raw Data'!A8579,References!#REF!,2,FALSE),(VLOOKUP($S8579,References!$B$3:$C$7,2,FALSE))),"")</f>
        <v/>
      </c>
      <c r="W8579" s="74" t="str">
        <f>IFERROR(VLOOKUP($O8579,'Customer List'!$A$1:$J$488,10,FALSE),"")</f>
        <v/>
      </c>
    </row>
    <row r="8580" spans="18:23">
      <c r="R8580" s="127">
        <f t="shared" si="343"/>
        <v>0</v>
      </c>
      <c r="T8580" s="128">
        <f t="shared" si="342"/>
        <v>0</v>
      </c>
      <c r="U8580" s="129" t="str">
        <f>IFERROR(IF(#REF!="S",VLOOKUP('Raw Data'!A8580,References!#REF!,2,FALSE),(VLOOKUP($S8580,References!$B$3:$C$7,2,FALSE))),"")</f>
        <v/>
      </c>
      <c r="W8580" s="74" t="str">
        <f>IFERROR(VLOOKUP($O8580,'Customer List'!$A$1:$J$488,10,FALSE),"")</f>
        <v/>
      </c>
    </row>
    <row r="8581" spans="18:23">
      <c r="R8581" s="127">
        <f t="shared" si="343"/>
        <v>0</v>
      </c>
      <c r="T8581" s="128">
        <f t="shared" si="342"/>
        <v>0</v>
      </c>
      <c r="U8581" s="129" t="str">
        <f>IFERROR(IF(#REF!="S",VLOOKUP('Raw Data'!A8581,References!#REF!,2,FALSE),(VLOOKUP($S8581,References!$B$3:$C$7,2,FALSE))),"")</f>
        <v/>
      </c>
      <c r="W8581" s="74" t="str">
        <f>IFERROR(VLOOKUP($O8581,'Customer List'!$A$1:$J$488,10,FALSE),"")</f>
        <v/>
      </c>
    </row>
    <row r="8582" spans="18:23">
      <c r="R8582" s="127">
        <f t="shared" si="343"/>
        <v>0</v>
      </c>
      <c r="T8582" s="128">
        <f t="shared" si="342"/>
        <v>0</v>
      </c>
      <c r="U8582" s="129" t="str">
        <f>IFERROR(IF(#REF!="S",VLOOKUP('Raw Data'!A8582,References!#REF!,2,FALSE),(VLOOKUP($S8582,References!$B$3:$C$7,2,FALSE))),"")</f>
        <v/>
      </c>
      <c r="W8582" s="74" t="str">
        <f>IFERROR(VLOOKUP($O8582,'Customer List'!$A$1:$J$488,10,FALSE),"")</f>
        <v/>
      </c>
    </row>
    <row r="8583" spans="18:23">
      <c r="R8583" s="127">
        <f t="shared" si="343"/>
        <v>0</v>
      </c>
      <c r="T8583" s="128">
        <f t="shared" si="342"/>
        <v>0</v>
      </c>
      <c r="U8583" s="129" t="str">
        <f>IFERROR(IF(#REF!="S",VLOOKUP('Raw Data'!A8583,References!#REF!,2,FALSE),(VLOOKUP($S8583,References!$B$3:$C$7,2,FALSE))),"")</f>
        <v/>
      </c>
      <c r="W8583" s="74" t="str">
        <f>IFERROR(VLOOKUP($O8583,'Customer List'!$A$1:$J$488,10,FALSE),"")</f>
        <v/>
      </c>
    </row>
    <row r="8584" spans="18:23">
      <c r="R8584" s="127">
        <f t="shared" si="343"/>
        <v>0</v>
      </c>
      <c r="T8584" s="128">
        <f t="shared" si="342"/>
        <v>0</v>
      </c>
      <c r="U8584" s="129" t="str">
        <f>IFERROR(IF(#REF!="S",VLOOKUP('Raw Data'!A8584,References!#REF!,2,FALSE),(VLOOKUP($S8584,References!$B$3:$C$7,2,FALSE))),"")</f>
        <v/>
      </c>
      <c r="W8584" s="74" t="str">
        <f>IFERROR(VLOOKUP($O8584,'Customer List'!$A$1:$J$488,10,FALSE),"")</f>
        <v/>
      </c>
    </row>
    <row r="8585" spans="18:23">
      <c r="R8585" s="127">
        <f t="shared" si="343"/>
        <v>0</v>
      </c>
      <c r="T8585" s="128">
        <f t="shared" si="342"/>
        <v>0</v>
      </c>
      <c r="U8585" s="129" t="str">
        <f>IFERROR(IF(#REF!="S",VLOOKUP('Raw Data'!A8585,References!#REF!,2,FALSE),(VLOOKUP($S8585,References!$B$3:$C$7,2,FALSE))),"")</f>
        <v/>
      </c>
      <c r="W8585" s="74" t="str">
        <f>IFERROR(VLOOKUP($O8585,'Customer List'!$A$1:$J$488,10,FALSE),"")</f>
        <v/>
      </c>
    </row>
    <row r="8586" spans="18:23">
      <c r="R8586" s="127">
        <f t="shared" si="343"/>
        <v>0</v>
      </c>
      <c r="T8586" s="128">
        <f t="shared" ref="T8586:T8649" si="344">IF(S8586="50 - Cleaning Fee",1,HOUR($R8586)+MINUTE(R8586)/60)</f>
        <v>0</v>
      </c>
      <c r="U8586" s="129" t="str">
        <f>IFERROR(IF(#REF!="S",VLOOKUP('Raw Data'!A8586,References!#REF!,2,FALSE),(VLOOKUP($S8586,References!$B$3:$C$7,2,FALSE))),"")</f>
        <v/>
      </c>
      <c r="W8586" s="74" t="str">
        <f>IFERROR(VLOOKUP($O8586,'Customer List'!$A$1:$J$488,10,FALSE),"")</f>
        <v/>
      </c>
    </row>
    <row r="8587" spans="18:23">
      <c r="R8587" s="127">
        <f t="shared" si="343"/>
        <v>0</v>
      </c>
      <c r="T8587" s="128">
        <f t="shared" si="344"/>
        <v>0</v>
      </c>
      <c r="U8587" s="129" t="str">
        <f>IFERROR(IF(#REF!="S",VLOOKUP('Raw Data'!A8587,References!#REF!,2,FALSE),(VLOOKUP($S8587,References!$B$3:$C$7,2,FALSE))),"")</f>
        <v/>
      </c>
      <c r="W8587" s="74" t="str">
        <f>IFERROR(VLOOKUP($O8587,'Customer List'!$A$1:$J$488,10,FALSE),"")</f>
        <v/>
      </c>
    </row>
    <row r="8588" spans="18:23">
      <c r="R8588" s="127">
        <f t="shared" si="343"/>
        <v>0</v>
      </c>
      <c r="T8588" s="128">
        <f t="shared" si="344"/>
        <v>0</v>
      </c>
      <c r="U8588" s="129" t="str">
        <f>IFERROR(IF(#REF!="S",VLOOKUP('Raw Data'!A8588,References!#REF!,2,FALSE),(VLOOKUP($S8588,References!$B$3:$C$7,2,FALSE))),"")</f>
        <v/>
      </c>
      <c r="W8588" s="74" t="str">
        <f>IFERROR(VLOOKUP($O8588,'Customer List'!$A$1:$J$488,10,FALSE),"")</f>
        <v/>
      </c>
    </row>
    <row r="8589" spans="18:23">
      <c r="R8589" s="127">
        <f t="shared" si="343"/>
        <v>0</v>
      </c>
      <c r="T8589" s="128">
        <f t="shared" si="344"/>
        <v>0</v>
      </c>
      <c r="U8589" s="129" t="str">
        <f>IFERROR(IF(#REF!="S",VLOOKUP('Raw Data'!A8589,References!#REF!,2,FALSE),(VLOOKUP($S8589,References!$B$3:$C$7,2,FALSE))),"")</f>
        <v/>
      </c>
      <c r="W8589" s="74" t="str">
        <f>IFERROR(VLOOKUP($O8589,'Customer List'!$A$1:$J$488,10,FALSE),"")</f>
        <v/>
      </c>
    </row>
    <row r="8590" spans="18:23">
      <c r="R8590" s="127">
        <f t="shared" si="343"/>
        <v>0</v>
      </c>
      <c r="T8590" s="128">
        <f t="shared" si="344"/>
        <v>0</v>
      </c>
      <c r="U8590" s="129" t="str">
        <f>IFERROR(IF(#REF!="S",VLOOKUP('Raw Data'!A8590,References!#REF!,2,FALSE),(VLOOKUP($S8590,References!$B$3:$C$7,2,FALSE))),"")</f>
        <v/>
      </c>
      <c r="W8590" s="74" t="str">
        <f>IFERROR(VLOOKUP($O8590,'Customer List'!$A$1:$J$488,10,FALSE),"")</f>
        <v/>
      </c>
    </row>
    <row r="8591" spans="18:23">
      <c r="R8591" s="127">
        <f t="shared" si="343"/>
        <v>0</v>
      </c>
      <c r="T8591" s="128">
        <f t="shared" si="344"/>
        <v>0</v>
      </c>
      <c r="U8591" s="129" t="str">
        <f>IFERROR(IF(#REF!="S",VLOOKUP('Raw Data'!A8591,References!#REF!,2,FALSE),(VLOOKUP($S8591,References!$B$3:$C$7,2,FALSE))),"")</f>
        <v/>
      </c>
      <c r="W8591" s="74" t="str">
        <f>IFERROR(VLOOKUP($O8591,'Customer List'!$A$1:$J$488,10,FALSE),"")</f>
        <v/>
      </c>
    </row>
    <row r="8592" spans="18:23">
      <c r="R8592" s="127">
        <f t="shared" si="343"/>
        <v>0</v>
      </c>
      <c r="T8592" s="128">
        <f t="shared" si="344"/>
        <v>0</v>
      </c>
      <c r="U8592" s="129" t="str">
        <f>IFERROR(IF(#REF!="S",VLOOKUP('Raw Data'!A8592,References!#REF!,2,FALSE),(VLOOKUP($S8592,References!$B$3:$C$7,2,FALSE))),"")</f>
        <v/>
      </c>
      <c r="W8592" s="74" t="str">
        <f>IFERROR(VLOOKUP($O8592,'Customer List'!$A$1:$J$488,10,FALSE),"")</f>
        <v/>
      </c>
    </row>
    <row r="8593" spans="18:23">
      <c r="R8593" s="127">
        <f t="shared" si="343"/>
        <v>0</v>
      </c>
      <c r="T8593" s="128">
        <f t="shared" si="344"/>
        <v>0</v>
      </c>
      <c r="U8593" s="129" t="str">
        <f>IFERROR(IF(#REF!="S",VLOOKUP('Raw Data'!A8593,References!#REF!,2,FALSE),(VLOOKUP($S8593,References!$B$3:$C$7,2,FALSE))),"")</f>
        <v/>
      </c>
      <c r="W8593" s="74" t="str">
        <f>IFERROR(VLOOKUP($O8593,'Customer List'!$A$1:$J$488,10,FALSE),"")</f>
        <v/>
      </c>
    </row>
    <row r="8594" spans="18:23">
      <c r="R8594" s="127">
        <f t="shared" si="343"/>
        <v>0</v>
      </c>
      <c r="T8594" s="128">
        <f t="shared" si="344"/>
        <v>0</v>
      </c>
      <c r="U8594" s="129" t="str">
        <f>IFERROR(IF(#REF!="S",VLOOKUP('Raw Data'!A8594,References!#REF!,2,FALSE),(VLOOKUP($S8594,References!$B$3:$C$7,2,FALSE))),"")</f>
        <v/>
      </c>
      <c r="W8594" s="74" t="str">
        <f>IFERROR(VLOOKUP($O8594,'Customer List'!$A$1:$J$488,10,FALSE),"")</f>
        <v/>
      </c>
    </row>
    <row r="8595" spans="18:23">
      <c r="R8595" s="127">
        <f t="shared" si="343"/>
        <v>0</v>
      </c>
      <c r="T8595" s="128">
        <f t="shared" si="344"/>
        <v>0</v>
      </c>
      <c r="U8595" s="129" t="str">
        <f>IFERROR(IF(#REF!="S",VLOOKUP('Raw Data'!A8595,References!#REF!,2,FALSE),(VLOOKUP($S8595,References!$B$3:$C$7,2,FALSE))),"")</f>
        <v/>
      </c>
      <c r="W8595" s="74" t="str">
        <f>IFERROR(VLOOKUP($O8595,'Customer List'!$A$1:$J$488,10,FALSE),"")</f>
        <v/>
      </c>
    </row>
    <row r="8596" spans="18:23">
      <c r="R8596" s="127">
        <f t="shared" si="343"/>
        <v>0</v>
      </c>
      <c r="T8596" s="128">
        <f t="shared" si="344"/>
        <v>0</v>
      </c>
      <c r="U8596" s="129" t="str">
        <f>IFERROR(IF(#REF!="S",VLOOKUP('Raw Data'!A8596,References!#REF!,2,FALSE),(VLOOKUP($S8596,References!$B$3:$C$7,2,FALSE))),"")</f>
        <v/>
      </c>
      <c r="W8596" s="74" t="str">
        <f>IFERROR(VLOOKUP($O8596,'Customer List'!$A$1:$J$488,10,FALSE),"")</f>
        <v/>
      </c>
    </row>
    <row r="8597" spans="18:23">
      <c r="R8597" s="127">
        <f t="shared" si="343"/>
        <v>0</v>
      </c>
      <c r="T8597" s="128">
        <f t="shared" si="344"/>
        <v>0</v>
      </c>
      <c r="U8597" s="129" t="str">
        <f>IFERROR(IF(#REF!="S",VLOOKUP('Raw Data'!A8597,References!#REF!,2,FALSE),(VLOOKUP($S8597,References!$B$3:$C$7,2,FALSE))),"")</f>
        <v/>
      </c>
      <c r="W8597" s="74" t="str">
        <f>IFERROR(VLOOKUP($O8597,'Customer List'!$A$1:$J$488,10,FALSE),"")</f>
        <v/>
      </c>
    </row>
    <row r="8598" spans="18:23">
      <c r="R8598" s="127">
        <f t="shared" si="343"/>
        <v>0</v>
      </c>
      <c r="T8598" s="128">
        <f t="shared" si="344"/>
        <v>0</v>
      </c>
      <c r="U8598" s="129" t="str">
        <f>IFERROR(IF(#REF!="S",VLOOKUP('Raw Data'!A8598,References!#REF!,2,FALSE),(VLOOKUP($S8598,References!$B$3:$C$7,2,FALSE))),"")</f>
        <v/>
      </c>
      <c r="W8598" s="74" t="str">
        <f>IFERROR(VLOOKUP($O8598,'Customer List'!$A$1:$J$488,10,FALSE),"")</f>
        <v/>
      </c>
    </row>
    <row r="8599" spans="18:23">
      <c r="R8599" s="127">
        <f t="shared" si="343"/>
        <v>0</v>
      </c>
      <c r="T8599" s="128">
        <f t="shared" si="344"/>
        <v>0</v>
      </c>
      <c r="U8599" s="129" t="str">
        <f>IFERROR(IF(#REF!="S",VLOOKUP('Raw Data'!A8599,References!#REF!,2,FALSE),(VLOOKUP($S8599,References!$B$3:$C$7,2,FALSE))),"")</f>
        <v/>
      </c>
      <c r="W8599" s="74" t="str">
        <f>IFERROR(VLOOKUP($O8599,'Customer List'!$A$1:$J$488,10,FALSE),"")</f>
        <v/>
      </c>
    </row>
    <row r="8600" spans="18:23">
      <c r="R8600" s="127">
        <f t="shared" si="343"/>
        <v>0</v>
      </c>
      <c r="T8600" s="128">
        <f t="shared" si="344"/>
        <v>0</v>
      </c>
      <c r="U8600" s="129" t="str">
        <f>IFERROR(IF(#REF!="S",VLOOKUP('Raw Data'!A8600,References!#REF!,2,FALSE),(VLOOKUP($S8600,References!$B$3:$C$7,2,FALSE))),"")</f>
        <v/>
      </c>
      <c r="W8600" s="74" t="str">
        <f>IFERROR(VLOOKUP($O8600,'Customer List'!$A$1:$J$488,10,FALSE),"")</f>
        <v/>
      </c>
    </row>
    <row r="8601" spans="18:23">
      <c r="R8601" s="127">
        <f t="shared" si="343"/>
        <v>0</v>
      </c>
      <c r="T8601" s="128">
        <f t="shared" si="344"/>
        <v>0</v>
      </c>
      <c r="U8601" s="129" t="str">
        <f>IFERROR(IF(#REF!="S",VLOOKUP('Raw Data'!A8601,References!#REF!,2,FALSE),(VLOOKUP($S8601,References!$B$3:$C$7,2,FALSE))),"")</f>
        <v/>
      </c>
      <c r="W8601" s="74" t="str">
        <f>IFERROR(VLOOKUP($O8601,'Customer List'!$A$1:$J$488,10,FALSE),"")</f>
        <v/>
      </c>
    </row>
    <row r="8602" spans="18:23">
      <c r="R8602" s="127">
        <f t="shared" si="343"/>
        <v>0</v>
      </c>
      <c r="T8602" s="128">
        <f t="shared" si="344"/>
        <v>0</v>
      </c>
      <c r="U8602" s="129" t="str">
        <f>IFERROR(IF(#REF!="S",VLOOKUP('Raw Data'!A8602,References!#REF!,2,FALSE),(VLOOKUP($S8602,References!$B$3:$C$7,2,FALSE))),"")</f>
        <v/>
      </c>
      <c r="W8602" s="74" t="str">
        <f>IFERROR(VLOOKUP($O8602,'Customer List'!$A$1:$J$488,10,FALSE),"")</f>
        <v/>
      </c>
    </row>
    <row r="8603" spans="18:23">
      <c r="R8603" s="127">
        <f t="shared" si="343"/>
        <v>0</v>
      </c>
      <c r="T8603" s="128">
        <f t="shared" si="344"/>
        <v>0</v>
      </c>
      <c r="U8603" s="129" t="str">
        <f>IFERROR(IF(#REF!="S",VLOOKUP('Raw Data'!A8603,References!#REF!,2,FALSE),(VLOOKUP($S8603,References!$B$3:$C$7,2,FALSE))),"")</f>
        <v/>
      </c>
      <c r="W8603" s="74" t="str">
        <f>IFERROR(VLOOKUP($O8603,'Customer List'!$A$1:$J$488,10,FALSE),"")</f>
        <v/>
      </c>
    </row>
    <row r="8604" spans="18:23">
      <c r="R8604" s="127">
        <f t="shared" si="343"/>
        <v>0</v>
      </c>
      <c r="T8604" s="128">
        <f t="shared" si="344"/>
        <v>0</v>
      </c>
      <c r="U8604" s="129" t="str">
        <f>IFERROR(IF(#REF!="S",VLOOKUP('Raw Data'!A8604,References!#REF!,2,FALSE),(VLOOKUP($S8604,References!$B$3:$C$7,2,FALSE))),"")</f>
        <v/>
      </c>
      <c r="W8604" s="74" t="str">
        <f>IFERROR(VLOOKUP($O8604,'Customer List'!$A$1:$J$488,10,FALSE),"")</f>
        <v/>
      </c>
    </row>
    <row r="8605" spans="18:23">
      <c r="R8605" s="127">
        <f t="shared" si="343"/>
        <v>0</v>
      </c>
      <c r="T8605" s="128">
        <f t="shared" si="344"/>
        <v>0</v>
      </c>
      <c r="U8605" s="129" t="str">
        <f>IFERROR(IF(#REF!="S",VLOOKUP('Raw Data'!A8605,References!#REF!,2,FALSE),(VLOOKUP($S8605,References!$B$3:$C$7,2,FALSE))),"")</f>
        <v/>
      </c>
      <c r="W8605" s="74" t="str">
        <f>IFERROR(VLOOKUP($O8605,'Customer List'!$A$1:$J$488,10,FALSE),"")</f>
        <v/>
      </c>
    </row>
    <row r="8606" spans="18:23">
      <c r="R8606" s="127">
        <f t="shared" si="343"/>
        <v>0</v>
      </c>
      <c r="T8606" s="128">
        <f t="shared" si="344"/>
        <v>0</v>
      </c>
      <c r="U8606" s="129" t="str">
        <f>IFERROR(IF(#REF!="S",VLOOKUP('Raw Data'!A8606,References!#REF!,2,FALSE),(VLOOKUP($S8606,References!$B$3:$C$7,2,FALSE))),"")</f>
        <v/>
      </c>
      <c r="W8606" s="74" t="str">
        <f>IFERROR(VLOOKUP($O8606,'Customer List'!$A$1:$J$488,10,FALSE),"")</f>
        <v/>
      </c>
    </row>
    <row r="8607" spans="18:23">
      <c r="R8607" s="127">
        <f t="shared" si="343"/>
        <v>0</v>
      </c>
      <c r="T8607" s="128">
        <f t="shared" si="344"/>
        <v>0</v>
      </c>
      <c r="U8607" s="129" t="str">
        <f>IFERROR(IF(#REF!="S",VLOOKUP('Raw Data'!A8607,References!#REF!,2,FALSE),(VLOOKUP($S8607,References!$B$3:$C$7,2,FALSE))),"")</f>
        <v/>
      </c>
      <c r="W8607" s="74" t="str">
        <f>IFERROR(VLOOKUP($O8607,'Customer List'!$A$1:$J$488,10,FALSE),"")</f>
        <v/>
      </c>
    </row>
    <row r="8608" spans="18:23">
      <c r="R8608" s="127">
        <f t="shared" si="343"/>
        <v>0</v>
      </c>
      <c r="T8608" s="128">
        <f t="shared" si="344"/>
        <v>0</v>
      </c>
      <c r="U8608" s="129" t="str">
        <f>IFERROR(IF(#REF!="S",VLOOKUP('Raw Data'!A8608,References!#REF!,2,FALSE),(VLOOKUP($S8608,References!$B$3:$C$7,2,FALSE))),"")</f>
        <v/>
      </c>
      <c r="W8608" s="74" t="str">
        <f>IFERROR(VLOOKUP($O8608,'Customer List'!$A$1:$J$488,10,FALSE),"")</f>
        <v/>
      </c>
    </row>
    <row r="8609" spans="18:23">
      <c r="R8609" s="127">
        <f t="shared" si="343"/>
        <v>0</v>
      </c>
      <c r="T8609" s="128">
        <f t="shared" si="344"/>
        <v>0</v>
      </c>
      <c r="U8609" s="129" t="str">
        <f>IFERROR(IF(#REF!="S",VLOOKUP('Raw Data'!A8609,References!#REF!,2,FALSE),(VLOOKUP($S8609,References!$B$3:$C$7,2,FALSE))),"")</f>
        <v/>
      </c>
      <c r="W8609" s="74" t="str">
        <f>IFERROR(VLOOKUP($O8609,'Customer List'!$A$1:$J$488,10,FALSE),"")</f>
        <v/>
      </c>
    </row>
    <row r="8610" spans="18:23">
      <c r="R8610" s="127">
        <f t="shared" ref="R8610:R8673" si="345">L8610-K8610</f>
        <v>0</v>
      </c>
      <c r="T8610" s="128">
        <f t="shared" si="344"/>
        <v>0</v>
      </c>
      <c r="U8610" s="129" t="str">
        <f>IFERROR(IF(#REF!="S",VLOOKUP('Raw Data'!A8610,References!#REF!,2,FALSE),(VLOOKUP($S8610,References!$B$3:$C$7,2,FALSE))),"")</f>
        <v/>
      </c>
      <c r="W8610" s="74" t="str">
        <f>IFERROR(VLOOKUP($O8610,'Customer List'!$A$1:$J$488,10,FALSE),"")</f>
        <v/>
      </c>
    </row>
    <row r="8611" spans="18:23">
      <c r="R8611" s="127">
        <f t="shared" si="345"/>
        <v>0</v>
      </c>
      <c r="T8611" s="128">
        <f t="shared" si="344"/>
        <v>0</v>
      </c>
      <c r="U8611" s="129" t="str">
        <f>IFERROR(IF(#REF!="S",VLOOKUP('Raw Data'!A8611,References!#REF!,2,FALSE),(VLOOKUP($S8611,References!$B$3:$C$7,2,FALSE))),"")</f>
        <v/>
      </c>
      <c r="W8611" s="74" t="str">
        <f>IFERROR(VLOOKUP($O8611,'Customer List'!$A$1:$J$488,10,FALSE),"")</f>
        <v/>
      </c>
    </row>
    <row r="8612" spans="18:23">
      <c r="R8612" s="127">
        <f t="shared" si="345"/>
        <v>0</v>
      </c>
      <c r="T8612" s="128">
        <f t="shared" si="344"/>
        <v>0</v>
      </c>
      <c r="U8612" s="129" t="str">
        <f>IFERROR(IF(#REF!="S",VLOOKUP('Raw Data'!A8612,References!#REF!,2,FALSE),(VLOOKUP($S8612,References!$B$3:$C$7,2,FALSE))),"")</f>
        <v/>
      </c>
      <c r="W8612" s="74" t="str">
        <f>IFERROR(VLOOKUP($O8612,'Customer List'!$A$1:$J$488,10,FALSE),"")</f>
        <v/>
      </c>
    </row>
    <row r="8613" spans="18:23">
      <c r="R8613" s="127">
        <f t="shared" si="345"/>
        <v>0</v>
      </c>
      <c r="T8613" s="128">
        <f t="shared" si="344"/>
        <v>0</v>
      </c>
      <c r="U8613" s="129" t="str">
        <f>IFERROR(IF(#REF!="S",VLOOKUP('Raw Data'!A8613,References!#REF!,2,FALSE),(VLOOKUP($S8613,References!$B$3:$C$7,2,FALSE))),"")</f>
        <v/>
      </c>
      <c r="W8613" s="74" t="str">
        <f>IFERROR(VLOOKUP($O8613,'Customer List'!$A$1:$J$488,10,FALSE),"")</f>
        <v/>
      </c>
    </row>
    <row r="8614" spans="18:23">
      <c r="R8614" s="127">
        <f t="shared" si="345"/>
        <v>0</v>
      </c>
      <c r="T8614" s="128">
        <f t="shared" si="344"/>
        <v>0</v>
      </c>
      <c r="U8614" s="129" t="str">
        <f>IFERROR(IF(#REF!="S",VLOOKUP('Raw Data'!A8614,References!#REF!,2,FALSE),(VLOOKUP($S8614,References!$B$3:$C$7,2,FALSE))),"")</f>
        <v/>
      </c>
      <c r="W8614" s="74" t="str">
        <f>IFERROR(VLOOKUP($O8614,'Customer List'!$A$1:$J$488,10,FALSE),"")</f>
        <v/>
      </c>
    </row>
    <row r="8615" spans="18:23">
      <c r="R8615" s="127">
        <f t="shared" si="345"/>
        <v>0</v>
      </c>
      <c r="T8615" s="128">
        <f t="shared" si="344"/>
        <v>0</v>
      </c>
      <c r="U8615" s="129" t="str">
        <f>IFERROR(IF(#REF!="S",VLOOKUP('Raw Data'!A8615,References!#REF!,2,FALSE),(VLOOKUP($S8615,References!$B$3:$C$7,2,FALSE))),"")</f>
        <v/>
      </c>
      <c r="W8615" s="74" t="str">
        <f>IFERROR(VLOOKUP($O8615,'Customer List'!$A$1:$J$488,10,FALSE),"")</f>
        <v/>
      </c>
    </row>
    <row r="8616" spans="18:23">
      <c r="R8616" s="127">
        <f t="shared" si="345"/>
        <v>0</v>
      </c>
      <c r="T8616" s="128">
        <f t="shared" si="344"/>
        <v>0</v>
      </c>
      <c r="U8616" s="129" t="str">
        <f>IFERROR(IF(#REF!="S",VLOOKUP('Raw Data'!A8616,References!#REF!,2,FALSE),(VLOOKUP($S8616,References!$B$3:$C$7,2,FALSE))),"")</f>
        <v/>
      </c>
      <c r="W8616" s="74" t="str">
        <f>IFERROR(VLOOKUP($O8616,'Customer List'!$A$1:$J$488,10,FALSE),"")</f>
        <v/>
      </c>
    </row>
    <row r="8617" spans="18:23">
      <c r="R8617" s="127">
        <f t="shared" si="345"/>
        <v>0</v>
      </c>
      <c r="T8617" s="128">
        <f t="shared" si="344"/>
        <v>0</v>
      </c>
      <c r="U8617" s="129" t="str">
        <f>IFERROR(IF(#REF!="S",VLOOKUP('Raw Data'!A8617,References!#REF!,2,FALSE),(VLOOKUP($S8617,References!$B$3:$C$7,2,FALSE))),"")</f>
        <v/>
      </c>
      <c r="W8617" s="74" t="str">
        <f>IFERROR(VLOOKUP($O8617,'Customer List'!$A$1:$J$488,10,FALSE),"")</f>
        <v/>
      </c>
    </row>
    <row r="8618" spans="18:23">
      <c r="R8618" s="127">
        <f t="shared" si="345"/>
        <v>0</v>
      </c>
      <c r="T8618" s="128">
        <f t="shared" si="344"/>
        <v>0</v>
      </c>
      <c r="U8618" s="129" t="str">
        <f>IFERROR(IF(#REF!="S",VLOOKUP('Raw Data'!A8618,References!#REF!,2,FALSE),(VLOOKUP($S8618,References!$B$3:$C$7,2,FALSE))),"")</f>
        <v/>
      </c>
      <c r="W8618" s="74" t="str">
        <f>IFERROR(VLOOKUP($O8618,'Customer List'!$A$1:$J$488,10,FALSE),"")</f>
        <v/>
      </c>
    </row>
    <row r="8619" spans="18:23">
      <c r="R8619" s="127">
        <f t="shared" si="345"/>
        <v>0</v>
      </c>
      <c r="T8619" s="128">
        <f t="shared" si="344"/>
        <v>0</v>
      </c>
      <c r="U8619" s="129" t="str">
        <f>IFERROR(IF(#REF!="S",VLOOKUP('Raw Data'!A8619,References!#REF!,2,FALSE),(VLOOKUP($S8619,References!$B$3:$C$7,2,FALSE))),"")</f>
        <v/>
      </c>
      <c r="W8619" s="74" t="str">
        <f>IFERROR(VLOOKUP($O8619,'Customer List'!$A$1:$J$488,10,FALSE),"")</f>
        <v/>
      </c>
    </row>
    <row r="8620" spans="18:23">
      <c r="R8620" s="127">
        <f t="shared" si="345"/>
        <v>0</v>
      </c>
      <c r="T8620" s="128">
        <f t="shared" si="344"/>
        <v>0</v>
      </c>
      <c r="U8620" s="129" t="str">
        <f>IFERROR(IF(#REF!="S",VLOOKUP('Raw Data'!A8620,References!#REF!,2,FALSE),(VLOOKUP($S8620,References!$B$3:$C$7,2,FALSE))),"")</f>
        <v/>
      </c>
      <c r="W8620" s="74" t="str">
        <f>IFERROR(VLOOKUP($O8620,'Customer List'!$A$1:$J$488,10,FALSE),"")</f>
        <v/>
      </c>
    </row>
    <row r="8621" spans="18:23">
      <c r="R8621" s="127">
        <f t="shared" si="345"/>
        <v>0</v>
      </c>
      <c r="T8621" s="128">
        <f t="shared" si="344"/>
        <v>0</v>
      </c>
      <c r="U8621" s="129" t="str">
        <f>IFERROR(IF(#REF!="S",VLOOKUP('Raw Data'!A8621,References!#REF!,2,FALSE),(VLOOKUP($S8621,References!$B$3:$C$7,2,FALSE))),"")</f>
        <v/>
      </c>
      <c r="W8621" s="74" t="str">
        <f>IFERROR(VLOOKUP($O8621,'Customer List'!$A$1:$J$488,10,FALSE),"")</f>
        <v/>
      </c>
    </row>
    <row r="8622" spans="18:23">
      <c r="R8622" s="127">
        <f t="shared" si="345"/>
        <v>0</v>
      </c>
      <c r="T8622" s="128">
        <f t="shared" si="344"/>
        <v>0</v>
      </c>
      <c r="U8622" s="129" t="str">
        <f>IFERROR(IF(#REF!="S",VLOOKUP('Raw Data'!A8622,References!#REF!,2,FALSE),(VLOOKUP($S8622,References!$B$3:$C$7,2,FALSE))),"")</f>
        <v/>
      </c>
      <c r="W8622" s="74" t="str">
        <f>IFERROR(VLOOKUP($O8622,'Customer List'!$A$1:$J$488,10,FALSE),"")</f>
        <v/>
      </c>
    </row>
    <row r="8623" spans="18:23">
      <c r="R8623" s="127">
        <f t="shared" si="345"/>
        <v>0</v>
      </c>
      <c r="T8623" s="128">
        <f t="shared" si="344"/>
        <v>0</v>
      </c>
      <c r="U8623" s="129" t="str">
        <f>IFERROR(IF(#REF!="S",VLOOKUP('Raw Data'!A8623,References!#REF!,2,FALSE),(VLOOKUP($S8623,References!$B$3:$C$7,2,FALSE))),"")</f>
        <v/>
      </c>
      <c r="W8623" s="74" t="str">
        <f>IFERROR(VLOOKUP($O8623,'Customer List'!$A$1:$J$488,10,FALSE),"")</f>
        <v/>
      </c>
    </row>
    <row r="8624" spans="18:23">
      <c r="R8624" s="127">
        <f t="shared" si="345"/>
        <v>0</v>
      </c>
      <c r="T8624" s="128">
        <f t="shared" si="344"/>
        <v>0</v>
      </c>
      <c r="U8624" s="129" t="str">
        <f>IFERROR(IF(#REF!="S",VLOOKUP('Raw Data'!A8624,References!#REF!,2,FALSE),(VLOOKUP($S8624,References!$B$3:$C$7,2,FALSE))),"")</f>
        <v/>
      </c>
      <c r="W8624" s="74" t="str">
        <f>IFERROR(VLOOKUP($O8624,'Customer List'!$A$1:$J$488,10,FALSE),"")</f>
        <v/>
      </c>
    </row>
    <row r="8625" spans="18:23">
      <c r="R8625" s="127">
        <f t="shared" si="345"/>
        <v>0</v>
      </c>
      <c r="T8625" s="128">
        <f t="shared" si="344"/>
        <v>0</v>
      </c>
      <c r="U8625" s="129" t="str">
        <f>IFERROR(IF(#REF!="S",VLOOKUP('Raw Data'!A8625,References!#REF!,2,FALSE),(VLOOKUP($S8625,References!$B$3:$C$7,2,FALSE))),"")</f>
        <v/>
      </c>
      <c r="W8625" s="74" t="str">
        <f>IFERROR(VLOOKUP($O8625,'Customer List'!$A$1:$J$488,10,FALSE),"")</f>
        <v/>
      </c>
    </row>
    <row r="8626" spans="18:23">
      <c r="R8626" s="127">
        <f t="shared" si="345"/>
        <v>0</v>
      </c>
      <c r="T8626" s="128">
        <f t="shared" si="344"/>
        <v>0</v>
      </c>
      <c r="U8626" s="129" t="str">
        <f>IFERROR(IF(#REF!="S",VLOOKUP('Raw Data'!A8626,References!#REF!,2,FALSE),(VLOOKUP($S8626,References!$B$3:$C$7,2,FALSE))),"")</f>
        <v/>
      </c>
      <c r="W8626" s="74" t="str">
        <f>IFERROR(VLOOKUP($O8626,'Customer List'!$A$1:$J$488,10,FALSE),"")</f>
        <v/>
      </c>
    </row>
    <row r="8627" spans="18:23">
      <c r="R8627" s="127">
        <f t="shared" si="345"/>
        <v>0</v>
      </c>
      <c r="T8627" s="128">
        <f t="shared" si="344"/>
        <v>0</v>
      </c>
      <c r="U8627" s="129" t="str">
        <f>IFERROR(IF(#REF!="S",VLOOKUP('Raw Data'!A8627,References!#REF!,2,FALSE),(VLOOKUP($S8627,References!$B$3:$C$7,2,FALSE))),"")</f>
        <v/>
      </c>
      <c r="W8627" s="74" t="str">
        <f>IFERROR(VLOOKUP($O8627,'Customer List'!$A$1:$J$488,10,FALSE),"")</f>
        <v/>
      </c>
    </row>
    <row r="8628" spans="18:23">
      <c r="R8628" s="127">
        <f t="shared" si="345"/>
        <v>0</v>
      </c>
      <c r="T8628" s="128">
        <f t="shared" si="344"/>
        <v>0</v>
      </c>
      <c r="U8628" s="129" t="str">
        <f>IFERROR(IF(#REF!="S",VLOOKUP('Raw Data'!A8628,References!#REF!,2,FALSE),(VLOOKUP($S8628,References!$B$3:$C$7,2,FALSE))),"")</f>
        <v/>
      </c>
      <c r="W8628" s="74" t="str">
        <f>IFERROR(VLOOKUP($O8628,'Customer List'!$A$1:$J$488,10,FALSE),"")</f>
        <v/>
      </c>
    </row>
    <row r="8629" spans="18:23">
      <c r="R8629" s="127">
        <f t="shared" si="345"/>
        <v>0</v>
      </c>
      <c r="T8629" s="128">
        <f t="shared" si="344"/>
        <v>0</v>
      </c>
      <c r="U8629" s="129" t="str">
        <f>IFERROR(IF(#REF!="S",VLOOKUP('Raw Data'!A8629,References!#REF!,2,FALSE),(VLOOKUP($S8629,References!$B$3:$C$7,2,FALSE))),"")</f>
        <v/>
      </c>
      <c r="W8629" s="74" t="str">
        <f>IFERROR(VLOOKUP($O8629,'Customer List'!$A$1:$J$488,10,FALSE),"")</f>
        <v/>
      </c>
    </row>
    <row r="8630" spans="18:23">
      <c r="R8630" s="127">
        <f t="shared" si="345"/>
        <v>0</v>
      </c>
      <c r="T8630" s="128">
        <f t="shared" si="344"/>
        <v>0</v>
      </c>
      <c r="U8630" s="129" t="str">
        <f>IFERROR(IF(#REF!="S",VLOOKUP('Raw Data'!A8630,References!#REF!,2,FALSE),(VLOOKUP($S8630,References!$B$3:$C$7,2,FALSE))),"")</f>
        <v/>
      </c>
      <c r="W8630" s="74" t="str">
        <f>IFERROR(VLOOKUP($O8630,'Customer List'!$A$1:$J$488,10,FALSE),"")</f>
        <v/>
      </c>
    </row>
    <row r="8631" spans="18:23">
      <c r="R8631" s="127">
        <f t="shared" si="345"/>
        <v>0</v>
      </c>
      <c r="T8631" s="128">
        <f t="shared" si="344"/>
        <v>0</v>
      </c>
      <c r="U8631" s="129" t="str">
        <f>IFERROR(IF(#REF!="S",VLOOKUP('Raw Data'!A8631,References!#REF!,2,FALSE),(VLOOKUP($S8631,References!$B$3:$C$7,2,FALSE))),"")</f>
        <v/>
      </c>
      <c r="W8631" s="74" t="str">
        <f>IFERROR(VLOOKUP($O8631,'Customer List'!$A$1:$J$488,10,FALSE),"")</f>
        <v/>
      </c>
    </row>
    <row r="8632" spans="18:23">
      <c r="R8632" s="127">
        <f t="shared" si="345"/>
        <v>0</v>
      </c>
      <c r="T8632" s="128">
        <f t="shared" si="344"/>
        <v>0</v>
      </c>
      <c r="U8632" s="129" t="str">
        <f>IFERROR(IF(#REF!="S",VLOOKUP('Raw Data'!A8632,References!#REF!,2,FALSE),(VLOOKUP($S8632,References!$B$3:$C$7,2,FALSE))),"")</f>
        <v/>
      </c>
      <c r="W8632" s="74" t="str">
        <f>IFERROR(VLOOKUP($O8632,'Customer List'!$A$1:$J$488,10,FALSE),"")</f>
        <v/>
      </c>
    </row>
    <row r="8633" spans="18:23">
      <c r="R8633" s="127">
        <f t="shared" si="345"/>
        <v>0</v>
      </c>
      <c r="T8633" s="128">
        <f t="shared" si="344"/>
        <v>0</v>
      </c>
      <c r="U8633" s="129" t="str">
        <f>IFERROR(IF(#REF!="S",VLOOKUP('Raw Data'!A8633,References!#REF!,2,FALSE),(VLOOKUP($S8633,References!$B$3:$C$7,2,FALSE))),"")</f>
        <v/>
      </c>
      <c r="W8633" s="74" t="str">
        <f>IFERROR(VLOOKUP($O8633,'Customer List'!$A$1:$J$488,10,FALSE),"")</f>
        <v/>
      </c>
    </row>
    <row r="8634" spans="18:23">
      <c r="R8634" s="127">
        <f t="shared" si="345"/>
        <v>0</v>
      </c>
      <c r="T8634" s="128">
        <f t="shared" si="344"/>
        <v>0</v>
      </c>
      <c r="U8634" s="129" t="str">
        <f>IFERROR(IF(#REF!="S",VLOOKUP('Raw Data'!A8634,References!#REF!,2,FALSE),(VLOOKUP($S8634,References!$B$3:$C$7,2,FALSE))),"")</f>
        <v/>
      </c>
      <c r="W8634" s="74" t="str">
        <f>IFERROR(VLOOKUP($O8634,'Customer List'!$A$1:$J$488,10,FALSE),"")</f>
        <v/>
      </c>
    </row>
    <row r="8635" spans="18:23">
      <c r="R8635" s="127">
        <f t="shared" si="345"/>
        <v>0</v>
      </c>
      <c r="T8635" s="128">
        <f t="shared" si="344"/>
        <v>0</v>
      </c>
      <c r="U8635" s="129" t="str">
        <f>IFERROR(IF(#REF!="S",VLOOKUP('Raw Data'!A8635,References!#REF!,2,FALSE),(VLOOKUP($S8635,References!$B$3:$C$7,2,FALSE))),"")</f>
        <v/>
      </c>
      <c r="W8635" s="74" t="str">
        <f>IFERROR(VLOOKUP($O8635,'Customer List'!$A$1:$J$488,10,FALSE),"")</f>
        <v/>
      </c>
    </row>
    <row r="8636" spans="18:23">
      <c r="R8636" s="127">
        <f t="shared" si="345"/>
        <v>0</v>
      </c>
      <c r="T8636" s="128">
        <f t="shared" si="344"/>
        <v>0</v>
      </c>
      <c r="U8636" s="129" t="str">
        <f>IFERROR(IF(#REF!="S",VLOOKUP('Raw Data'!A8636,References!#REF!,2,FALSE),(VLOOKUP($S8636,References!$B$3:$C$7,2,FALSE))),"")</f>
        <v/>
      </c>
      <c r="W8636" s="74" t="str">
        <f>IFERROR(VLOOKUP($O8636,'Customer List'!$A$1:$J$488,10,FALSE),"")</f>
        <v/>
      </c>
    </row>
    <row r="8637" spans="18:23">
      <c r="R8637" s="127">
        <f t="shared" si="345"/>
        <v>0</v>
      </c>
      <c r="T8637" s="128">
        <f t="shared" si="344"/>
        <v>0</v>
      </c>
      <c r="U8637" s="129" t="str">
        <f>IFERROR(IF(#REF!="S",VLOOKUP('Raw Data'!A8637,References!#REF!,2,FALSE),(VLOOKUP($S8637,References!$B$3:$C$7,2,FALSE))),"")</f>
        <v/>
      </c>
      <c r="W8637" s="74" t="str">
        <f>IFERROR(VLOOKUP($O8637,'Customer List'!$A$1:$J$488,10,FALSE),"")</f>
        <v/>
      </c>
    </row>
    <row r="8638" spans="18:23">
      <c r="R8638" s="127">
        <f t="shared" si="345"/>
        <v>0</v>
      </c>
      <c r="T8638" s="128">
        <f t="shared" si="344"/>
        <v>0</v>
      </c>
      <c r="U8638" s="129" t="str">
        <f>IFERROR(IF(#REF!="S",VLOOKUP('Raw Data'!A8638,References!#REF!,2,FALSE),(VLOOKUP($S8638,References!$B$3:$C$7,2,FALSE))),"")</f>
        <v/>
      </c>
      <c r="W8638" s="74" t="str">
        <f>IFERROR(VLOOKUP($O8638,'Customer List'!$A$1:$J$488,10,FALSE),"")</f>
        <v/>
      </c>
    </row>
    <row r="8639" spans="18:23">
      <c r="R8639" s="127">
        <f t="shared" si="345"/>
        <v>0</v>
      </c>
      <c r="T8639" s="128">
        <f t="shared" si="344"/>
        <v>0</v>
      </c>
      <c r="U8639" s="129" t="str">
        <f>IFERROR(IF(#REF!="S",VLOOKUP('Raw Data'!A8639,References!#REF!,2,FALSE),(VLOOKUP($S8639,References!$B$3:$C$7,2,FALSE))),"")</f>
        <v/>
      </c>
      <c r="W8639" s="74" t="str">
        <f>IFERROR(VLOOKUP($O8639,'Customer List'!$A$1:$J$488,10,FALSE),"")</f>
        <v/>
      </c>
    </row>
    <row r="8640" spans="18:23">
      <c r="R8640" s="127">
        <f t="shared" si="345"/>
        <v>0</v>
      </c>
      <c r="T8640" s="128">
        <f t="shared" si="344"/>
        <v>0</v>
      </c>
      <c r="U8640" s="129" t="str">
        <f>IFERROR(IF(#REF!="S",VLOOKUP('Raw Data'!A8640,References!#REF!,2,FALSE),(VLOOKUP($S8640,References!$B$3:$C$7,2,FALSE))),"")</f>
        <v/>
      </c>
      <c r="W8640" s="74" t="str">
        <f>IFERROR(VLOOKUP($O8640,'Customer List'!$A$1:$J$488,10,FALSE),"")</f>
        <v/>
      </c>
    </row>
    <row r="8641" spans="18:23">
      <c r="R8641" s="127">
        <f t="shared" si="345"/>
        <v>0</v>
      </c>
      <c r="T8641" s="128">
        <f t="shared" si="344"/>
        <v>0</v>
      </c>
      <c r="U8641" s="129" t="str">
        <f>IFERROR(IF(#REF!="S",VLOOKUP('Raw Data'!A8641,References!#REF!,2,FALSE),(VLOOKUP($S8641,References!$B$3:$C$7,2,FALSE))),"")</f>
        <v/>
      </c>
      <c r="W8641" s="74" t="str">
        <f>IFERROR(VLOOKUP($O8641,'Customer List'!$A$1:$J$488,10,FALSE),"")</f>
        <v/>
      </c>
    </row>
    <row r="8642" spans="18:23">
      <c r="R8642" s="127">
        <f t="shared" si="345"/>
        <v>0</v>
      </c>
      <c r="T8642" s="128">
        <f t="shared" si="344"/>
        <v>0</v>
      </c>
      <c r="U8642" s="129" t="str">
        <f>IFERROR(IF(#REF!="S",VLOOKUP('Raw Data'!A8642,References!#REF!,2,FALSE),(VLOOKUP($S8642,References!$B$3:$C$7,2,FALSE))),"")</f>
        <v/>
      </c>
      <c r="W8642" s="74" t="str">
        <f>IFERROR(VLOOKUP($O8642,'Customer List'!$A$1:$J$488,10,FALSE),"")</f>
        <v/>
      </c>
    </row>
    <row r="8643" spans="18:23">
      <c r="R8643" s="127">
        <f t="shared" si="345"/>
        <v>0</v>
      </c>
      <c r="T8643" s="128">
        <f t="shared" si="344"/>
        <v>0</v>
      </c>
      <c r="U8643" s="129" t="str">
        <f>IFERROR(IF(#REF!="S",VLOOKUP('Raw Data'!A8643,References!#REF!,2,FALSE),(VLOOKUP($S8643,References!$B$3:$C$7,2,FALSE))),"")</f>
        <v/>
      </c>
      <c r="W8643" s="74" t="str">
        <f>IFERROR(VLOOKUP($O8643,'Customer List'!$A$1:$J$488,10,FALSE),"")</f>
        <v/>
      </c>
    </row>
    <row r="8644" spans="18:23">
      <c r="R8644" s="127">
        <f t="shared" si="345"/>
        <v>0</v>
      </c>
      <c r="T8644" s="128">
        <f t="shared" si="344"/>
        <v>0</v>
      </c>
      <c r="U8644" s="129" t="str">
        <f>IFERROR(IF(#REF!="S",VLOOKUP('Raw Data'!A8644,References!#REF!,2,FALSE),(VLOOKUP($S8644,References!$B$3:$C$7,2,FALSE))),"")</f>
        <v/>
      </c>
      <c r="W8644" s="74" t="str">
        <f>IFERROR(VLOOKUP($O8644,'Customer List'!$A$1:$J$488,10,FALSE),"")</f>
        <v/>
      </c>
    </row>
    <row r="8645" spans="18:23">
      <c r="R8645" s="127">
        <f t="shared" si="345"/>
        <v>0</v>
      </c>
      <c r="T8645" s="128">
        <f t="shared" si="344"/>
        <v>0</v>
      </c>
      <c r="U8645" s="129" t="str">
        <f>IFERROR(IF(#REF!="S",VLOOKUP('Raw Data'!A8645,References!#REF!,2,FALSE),(VLOOKUP($S8645,References!$B$3:$C$7,2,FALSE))),"")</f>
        <v/>
      </c>
      <c r="W8645" s="74" t="str">
        <f>IFERROR(VLOOKUP($O8645,'Customer List'!$A$1:$J$488,10,FALSE),"")</f>
        <v/>
      </c>
    </row>
    <row r="8646" spans="18:23">
      <c r="R8646" s="127">
        <f t="shared" si="345"/>
        <v>0</v>
      </c>
      <c r="T8646" s="128">
        <f t="shared" si="344"/>
        <v>0</v>
      </c>
      <c r="U8646" s="129" t="str">
        <f>IFERROR(IF(#REF!="S",VLOOKUP('Raw Data'!A8646,References!#REF!,2,FALSE),(VLOOKUP($S8646,References!$B$3:$C$7,2,FALSE))),"")</f>
        <v/>
      </c>
      <c r="W8646" s="74" t="str">
        <f>IFERROR(VLOOKUP($O8646,'Customer List'!$A$1:$J$488,10,FALSE),"")</f>
        <v/>
      </c>
    </row>
    <row r="8647" spans="18:23">
      <c r="R8647" s="127">
        <f t="shared" si="345"/>
        <v>0</v>
      </c>
      <c r="T8647" s="128">
        <f t="shared" si="344"/>
        <v>0</v>
      </c>
      <c r="U8647" s="129" t="str">
        <f>IFERROR(IF(#REF!="S",VLOOKUP('Raw Data'!A8647,References!#REF!,2,FALSE),(VLOOKUP($S8647,References!$B$3:$C$7,2,FALSE))),"")</f>
        <v/>
      </c>
      <c r="W8647" s="74" t="str">
        <f>IFERROR(VLOOKUP($O8647,'Customer List'!$A$1:$J$488,10,FALSE),"")</f>
        <v/>
      </c>
    </row>
    <row r="8648" spans="18:23">
      <c r="R8648" s="127">
        <f t="shared" si="345"/>
        <v>0</v>
      </c>
      <c r="T8648" s="128">
        <f t="shared" si="344"/>
        <v>0</v>
      </c>
      <c r="U8648" s="129" t="str">
        <f>IFERROR(IF(#REF!="S",VLOOKUP('Raw Data'!A8648,References!#REF!,2,FALSE),(VLOOKUP($S8648,References!$B$3:$C$7,2,FALSE))),"")</f>
        <v/>
      </c>
      <c r="W8648" s="74" t="str">
        <f>IFERROR(VLOOKUP($O8648,'Customer List'!$A$1:$J$488,10,FALSE),"")</f>
        <v/>
      </c>
    </row>
    <row r="8649" spans="18:23">
      <c r="R8649" s="127">
        <f t="shared" si="345"/>
        <v>0</v>
      </c>
      <c r="T8649" s="128">
        <f t="shared" si="344"/>
        <v>0</v>
      </c>
      <c r="U8649" s="129" t="str">
        <f>IFERROR(IF(#REF!="S",VLOOKUP('Raw Data'!A8649,References!#REF!,2,FALSE),(VLOOKUP($S8649,References!$B$3:$C$7,2,FALSE))),"")</f>
        <v/>
      </c>
      <c r="W8649" s="74" t="str">
        <f>IFERROR(VLOOKUP($O8649,'Customer List'!$A$1:$J$488,10,FALSE),"")</f>
        <v/>
      </c>
    </row>
    <row r="8650" spans="18:23">
      <c r="R8650" s="127">
        <f t="shared" si="345"/>
        <v>0</v>
      </c>
      <c r="T8650" s="128">
        <f t="shared" ref="T8650:T8713" si="346">IF(S8650="50 - Cleaning Fee",1,HOUR($R8650)+MINUTE(R8650)/60)</f>
        <v>0</v>
      </c>
      <c r="U8650" s="129" t="str">
        <f>IFERROR(IF(#REF!="S",VLOOKUP('Raw Data'!A8650,References!#REF!,2,FALSE),(VLOOKUP($S8650,References!$B$3:$C$7,2,FALSE))),"")</f>
        <v/>
      </c>
      <c r="W8650" s="74" t="str">
        <f>IFERROR(VLOOKUP($O8650,'Customer List'!$A$1:$J$488,10,FALSE),"")</f>
        <v/>
      </c>
    </row>
    <row r="8651" spans="18:23">
      <c r="R8651" s="127">
        <f t="shared" si="345"/>
        <v>0</v>
      </c>
      <c r="T8651" s="128">
        <f t="shared" si="346"/>
        <v>0</v>
      </c>
      <c r="U8651" s="129" t="str">
        <f>IFERROR(IF(#REF!="S",VLOOKUP('Raw Data'!A8651,References!#REF!,2,FALSE),(VLOOKUP($S8651,References!$B$3:$C$7,2,FALSE))),"")</f>
        <v/>
      </c>
      <c r="W8651" s="74" t="str">
        <f>IFERROR(VLOOKUP($O8651,'Customer List'!$A$1:$J$488,10,FALSE),"")</f>
        <v/>
      </c>
    </row>
    <row r="8652" spans="18:23">
      <c r="R8652" s="127">
        <f t="shared" si="345"/>
        <v>0</v>
      </c>
      <c r="T8652" s="128">
        <f t="shared" si="346"/>
        <v>0</v>
      </c>
      <c r="U8652" s="129" t="str">
        <f>IFERROR(IF(#REF!="S",VLOOKUP('Raw Data'!A8652,References!#REF!,2,FALSE),(VLOOKUP($S8652,References!$B$3:$C$7,2,FALSE))),"")</f>
        <v/>
      </c>
      <c r="W8652" s="74" t="str">
        <f>IFERROR(VLOOKUP($O8652,'Customer List'!$A$1:$J$488,10,FALSE),"")</f>
        <v/>
      </c>
    </row>
    <row r="8653" spans="18:23">
      <c r="R8653" s="127">
        <f t="shared" si="345"/>
        <v>0</v>
      </c>
      <c r="T8653" s="128">
        <f t="shared" si="346"/>
        <v>0</v>
      </c>
      <c r="U8653" s="129" t="str">
        <f>IFERROR(IF(#REF!="S",VLOOKUP('Raw Data'!A8653,References!#REF!,2,FALSE),(VLOOKUP($S8653,References!$B$3:$C$7,2,FALSE))),"")</f>
        <v/>
      </c>
      <c r="W8653" s="74" t="str">
        <f>IFERROR(VLOOKUP($O8653,'Customer List'!$A$1:$J$488,10,FALSE),"")</f>
        <v/>
      </c>
    </row>
    <row r="8654" spans="18:23">
      <c r="R8654" s="127">
        <f t="shared" si="345"/>
        <v>0</v>
      </c>
      <c r="T8654" s="128">
        <f t="shared" si="346"/>
        <v>0</v>
      </c>
      <c r="U8654" s="129" t="str">
        <f>IFERROR(IF(#REF!="S",VLOOKUP('Raw Data'!A8654,References!#REF!,2,FALSE),(VLOOKUP($S8654,References!$B$3:$C$7,2,FALSE))),"")</f>
        <v/>
      </c>
      <c r="W8654" s="74" t="str">
        <f>IFERROR(VLOOKUP($O8654,'Customer List'!$A$1:$J$488,10,FALSE),"")</f>
        <v/>
      </c>
    </row>
    <row r="8655" spans="18:23">
      <c r="R8655" s="127">
        <f t="shared" si="345"/>
        <v>0</v>
      </c>
      <c r="T8655" s="128">
        <f t="shared" si="346"/>
        <v>0</v>
      </c>
      <c r="U8655" s="129" t="str">
        <f>IFERROR(IF(#REF!="S",VLOOKUP('Raw Data'!A8655,References!#REF!,2,FALSE),(VLOOKUP($S8655,References!$B$3:$C$7,2,FALSE))),"")</f>
        <v/>
      </c>
      <c r="W8655" s="74" t="str">
        <f>IFERROR(VLOOKUP($O8655,'Customer List'!$A$1:$J$488,10,FALSE),"")</f>
        <v/>
      </c>
    </row>
    <row r="8656" spans="18:23">
      <c r="R8656" s="127">
        <f t="shared" si="345"/>
        <v>0</v>
      </c>
      <c r="T8656" s="128">
        <f t="shared" si="346"/>
        <v>0</v>
      </c>
      <c r="U8656" s="129" t="str">
        <f>IFERROR(IF(#REF!="S",VLOOKUP('Raw Data'!A8656,References!#REF!,2,FALSE),(VLOOKUP($S8656,References!$B$3:$C$7,2,FALSE))),"")</f>
        <v/>
      </c>
      <c r="W8656" s="74" t="str">
        <f>IFERROR(VLOOKUP($O8656,'Customer List'!$A$1:$J$488,10,FALSE),"")</f>
        <v/>
      </c>
    </row>
    <row r="8657" spans="18:23">
      <c r="R8657" s="127">
        <f t="shared" si="345"/>
        <v>0</v>
      </c>
      <c r="T8657" s="128">
        <f t="shared" si="346"/>
        <v>0</v>
      </c>
      <c r="U8657" s="129" t="str">
        <f>IFERROR(IF(#REF!="S",VLOOKUP('Raw Data'!A8657,References!#REF!,2,FALSE),(VLOOKUP($S8657,References!$B$3:$C$7,2,FALSE))),"")</f>
        <v/>
      </c>
      <c r="W8657" s="74" t="str">
        <f>IFERROR(VLOOKUP($O8657,'Customer List'!$A$1:$J$488,10,FALSE),"")</f>
        <v/>
      </c>
    </row>
    <row r="8658" spans="18:23">
      <c r="R8658" s="127">
        <f t="shared" si="345"/>
        <v>0</v>
      </c>
      <c r="T8658" s="128">
        <f t="shared" si="346"/>
        <v>0</v>
      </c>
      <c r="U8658" s="129" t="str">
        <f>IFERROR(IF(#REF!="S",VLOOKUP('Raw Data'!A8658,References!#REF!,2,FALSE),(VLOOKUP($S8658,References!$B$3:$C$7,2,FALSE))),"")</f>
        <v/>
      </c>
      <c r="W8658" s="74" t="str">
        <f>IFERROR(VLOOKUP($O8658,'Customer List'!$A$1:$J$488,10,FALSE),"")</f>
        <v/>
      </c>
    </row>
    <row r="8659" spans="18:23">
      <c r="R8659" s="127">
        <f t="shared" si="345"/>
        <v>0</v>
      </c>
      <c r="T8659" s="128">
        <f t="shared" si="346"/>
        <v>0</v>
      </c>
      <c r="U8659" s="129" t="str">
        <f>IFERROR(IF(#REF!="S",VLOOKUP('Raw Data'!A8659,References!#REF!,2,FALSE),(VLOOKUP($S8659,References!$B$3:$C$7,2,FALSE))),"")</f>
        <v/>
      </c>
      <c r="W8659" s="74" t="str">
        <f>IFERROR(VLOOKUP($O8659,'Customer List'!$A$1:$J$488,10,FALSE),"")</f>
        <v/>
      </c>
    </row>
    <row r="8660" spans="18:23">
      <c r="R8660" s="127">
        <f t="shared" si="345"/>
        <v>0</v>
      </c>
      <c r="T8660" s="128">
        <f t="shared" si="346"/>
        <v>0</v>
      </c>
      <c r="U8660" s="129" t="str">
        <f>IFERROR(IF(#REF!="S",VLOOKUP('Raw Data'!A8660,References!#REF!,2,FALSE),(VLOOKUP($S8660,References!$B$3:$C$7,2,FALSE))),"")</f>
        <v/>
      </c>
      <c r="W8660" s="74" t="str">
        <f>IFERROR(VLOOKUP($O8660,'Customer List'!$A$1:$J$488,10,FALSE),"")</f>
        <v/>
      </c>
    </row>
    <row r="8661" spans="18:23">
      <c r="R8661" s="127">
        <f t="shared" si="345"/>
        <v>0</v>
      </c>
      <c r="T8661" s="128">
        <f t="shared" si="346"/>
        <v>0</v>
      </c>
      <c r="U8661" s="129" t="str">
        <f>IFERROR(IF(#REF!="S",VLOOKUP('Raw Data'!A8661,References!#REF!,2,FALSE),(VLOOKUP($S8661,References!$B$3:$C$7,2,FALSE))),"")</f>
        <v/>
      </c>
      <c r="W8661" s="74" t="str">
        <f>IFERROR(VLOOKUP($O8661,'Customer List'!$A$1:$J$488,10,FALSE),"")</f>
        <v/>
      </c>
    </row>
    <row r="8662" spans="18:23">
      <c r="R8662" s="127">
        <f t="shared" si="345"/>
        <v>0</v>
      </c>
      <c r="T8662" s="128">
        <f t="shared" si="346"/>
        <v>0</v>
      </c>
      <c r="U8662" s="129" t="str">
        <f>IFERROR(IF(#REF!="S",VLOOKUP('Raw Data'!A8662,References!#REF!,2,FALSE),(VLOOKUP($S8662,References!$B$3:$C$7,2,FALSE))),"")</f>
        <v/>
      </c>
      <c r="W8662" s="74" t="str">
        <f>IFERROR(VLOOKUP($O8662,'Customer List'!$A$1:$J$488,10,FALSE),"")</f>
        <v/>
      </c>
    </row>
    <row r="8663" spans="18:23">
      <c r="R8663" s="127">
        <f t="shared" si="345"/>
        <v>0</v>
      </c>
      <c r="T8663" s="128">
        <f t="shared" si="346"/>
        <v>0</v>
      </c>
      <c r="U8663" s="129" t="str">
        <f>IFERROR(IF(#REF!="S",VLOOKUP('Raw Data'!A8663,References!#REF!,2,FALSE),(VLOOKUP($S8663,References!$B$3:$C$7,2,FALSE))),"")</f>
        <v/>
      </c>
      <c r="W8663" s="74" t="str">
        <f>IFERROR(VLOOKUP($O8663,'Customer List'!$A$1:$J$488,10,FALSE),"")</f>
        <v/>
      </c>
    </row>
    <row r="8664" spans="18:23">
      <c r="R8664" s="127">
        <f t="shared" si="345"/>
        <v>0</v>
      </c>
      <c r="T8664" s="128">
        <f t="shared" si="346"/>
        <v>0</v>
      </c>
      <c r="U8664" s="129" t="str">
        <f>IFERROR(IF(#REF!="S",VLOOKUP('Raw Data'!A8664,References!#REF!,2,FALSE),(VLOOKUP($S8664,References!$B$3:$C$7,2,FALSE))),"")</f>
        <v/>
      </c>
      <c r="W8664" s="74" t="str">
        <f>IFERROR(VLOOKUP($O8664,'Customer List'!$A$1:$J$488,10,FALSE),"")</f>
        <v/>
      </c>
    </row>
    <row r="8665" spans="18:23">
      <c r="R8665" s="127">
        <f t="shared" si="345"/>
        <v>0</v>
      </c>
      <c r="T8665" s="128">
        <f t="shared" si="346"/>
        <v>0</v>
      </c>
      <c r="U8665" s="129" t="str">
        <f>IFERROR(IF(#REF!="S",VLOOKUP('Raw Data'!A8665,References!#REF!,2,FALSE),(VLOOKUP($S8665,References!$B$3:$C$7,2,FALSE))),"")</f>
        <v/>
      </c>
      <c r="W8665" s="74" t="str">
        <f>IFERROR(VLOOKUP($O8665,'Customer List'!$A$1:$J$488,10,FALSE),"")</f>
        <v/>
      </c>
    </row>
    <row r="8666" spans="18:23">
      <c r="R8666" s="127">
        <f t="shared" si="345"/>
        <v>0</v>
      </c>
      <c r="T8666" s="128">
        <f t="shared" si="346"/>
        <v>0</v>
      </c>
      <c r="U8666" s="129" t="str">
        <f>IFERROR(IF(#REF!="S",VLOOKUP('Raw Data'!A8666,References!#REF!,2,FALSE),(VLOOKUP($S8666,References!$B$3:$C$7,2,FALSE))),"")</f>
        <v/>
      </c>
      <c r="W8666" s="74" t="str">
        <f>IFERROR(VLOOKUP($O8666,'Customer List'!$A$1:$J$488,10,FALSE),"")</f>
        <v/>
      </c>
    </row>
    <row r="8667" spans="18:23">
      <c r="R8667" s="127">
        <f t="shared" si="345"/>
        <v>0</v>
      </c>
      <c r="T8667" s="128">
        <f t="shared" si="346"/>
        <v>0</v>
      </c>
      <c r="U8667" s="129" t="str">
        <f>IFERROR(IF(#REF!="S",VLOOKUP('Raw Data'!A8667,References!#REF!,2,FALSE),(VLOOKUP($S8667,References!$B$3:$C$7,2,FALSE))),"")</f>
        <v/>
      </c>
      <c r="W8667" s="74" t="str">
        <f>IFERROR(VLOOKUP($O8667,'Customer List'!$A$1:$J$488,10,FALSE),"")</f>
        <v/>
      </c>
    </row>
    <row r="8668" spans="18:23">
      <c r="R8668" s="127">
        <f t="shared" si="345"/>
        <v>0</v>
      </c>
      <c r="T8668" s="128">
        <f t="shared" si="346"/>
        <v>0</v>
      </c>
      <c r="U8668" s="129" t="str">
        <f>IFERROR(IF(#REF!="S",VLOOKUP('Raw Data'!A8668,References!#REF!,2,FALSE),(VLOOKUP($S8668,References!$B$3:$C$7,2,FALSE))),"")</f>
        <v/>
      </c>
      <c r="W8668" s="74" t="str">
        <f>IFERROR(VLOOKUP($O8668,'Customer List'!$A$1:$J$488,10,FALSE),"")</f>
        <v/>
      </c>
    </row>
    <row r="8669" spans="18:23">
      <c r="R8669" s="127">
        <f t="shared" si="345"/>
        <v>0</v>
      </c>
      <c r="T8669" s="128">
        <f t="shared" si="346"/>
        <v>0</v>
      </c>
      <c r="U8669" s="129" t="str">
        <f>IFERROR(IF(#REF!="S",VLOOKUP('Raw Data'!A8669,References!#REF!,2,FALSE),(VLOOKUP($S8669,References!$B$3:$C$7,2,FALSE))),"")</f>
        <v/>
      </c>
      <c r="W8669" s="74" t="str">
        <f>IFERROR(VLOOKUP($O8669,'Customer List'!$A$1:$J$488,10,FALSE),"")</f>
        <v/>
      </c>
    </row>
    <row r="8670" spans="18:23">
      <c r="R8670" s="127">
        <f t="shared" si="345"/>
        <v>0</v>
      </c>
      <c r="T8670" s="128">
        <f t="shared" si="346"/>
        <v>0</v>
      </c>
      <c r="U8670" s="129" t="str">
        <f>IFERROR(IF(#REF!="S",VLOOKUP('Raw Data'!A8670,References!#REF!,2,FALSE),(VLOOKUP($S8670,References!$B$3:$C$7,2,FALSE))),"")</f>
        <v/>
      </c>
      <c r="W8670" s="74" t="str">
        <f>IFERROR(VLOOKUP($O8670,'Customer List'!$A$1:$J$488,10,FALSE),"")</f>
        <v/>
      </c>
    </row>
    <row r="8671" spans="18:23">
      <c r="R8671" s="127">
        <f t="shared" si="345"/>
        <v>0</v>
      </c>
      <c r="T8671" s="128">
        <f t="shared" si="346"/>
        <v>0</v>
      </c>
      <c r="U8671" s="129" t="str">
        <f>IFERROR(IF(#REF!="S",VLOOKUP('Raw Data'!A8671,References!#REF!,2,FALSE),(VLOOKUP($S8671,References!$B$3:$C$7,2,FALSE))),"")</f>
        <v/>
      </c>
      <c r="W8671" s="74" t="str">
        <f>IFERROR(VLOOKUP($O8671,'Customer List'!$A$1:$J$488,10,FALSE),"")</f>
        <v/>
      </c>
    </row>
    <row r="8672" spans="18:23">
      <c r="R8672" s="127">
        <f t="shared" si="345"/>
        <v>0</v>
      </c>
      <c r="T8672" s="128">
        <f t="shared" si="346"/>
        <v>0</v>
      </c>
      <c r="U8672" s="129" t="str">
        <f>IFERROR(IF(#REF!="S",VLOOKUP('Raw Data'!A8672,References!#REF!,2,FALSE),(VLOOKUP($S8672,References!$B$3:$C$7,2,FALSE))),"")</f>
        <v/>
      </c>
      <c r="W8672" s="74" t="str">
        <f>IFERROR(VLOOKUP($O8672,'Customer List'!$A$1:$J$488,10,FALSE),"")</f>
        <v/>
      </c>
    </row>
    <row r="8673" spans="18:23">
      <c r="R8673" s="127">
        <f t="shared" si="345"/>
        <v>0</v>
      </c>
      <c r="T8673" s="128">
        <f t="shared" si="346"/>
        <v>0</v>
      </c>
      <c r="U8673" s="129" t="str">
        <f>IFERROR(IF(#REF!="S",VLOOKUP('Raw Data'!A8673,References!#REF!,2,FALSE),(VLOOKUP($S8673,References!$B$3:$C$7,2,FALSE))),"")</f>
        <v/>
      </c>
      <c r="W8673" s="74" t="str">
        <f>IFERROR(VLOOKUP($O8673,'Customer List'!$A$1:$J$488,10,FALSE),"")</f>
        <v/>
      </c>
    </row>
    <row r="8674" spans="18:23">
      <c r="R8674" s="127">
        <f t="shared" ref="R8674:R8737" si="347">L8674-K8674</f>
        <v>0</v>
      </c>
      <c r="T8674" s="128">
        <f t="shared" si="346"/>
        <v>0</v>
      </c>
      <c r="U8674" s="129" t="str">
        <f>IFERROR(IF(#REF!="S",VLOOKUP('Raw Data'!A8674,References!#REF!,2,FALSE),(VLOOKUP($S8674,References!$B$3:$C$7,2,FALSE))),"")</f>
        <v/>
      </c>
      <c r="W8674" s="74" t="str">
        <f>IFERROR(VLOOKUP($O8674,'Customer List'!$A$1:$J$488,10,FALSE),"")</f>
        <v/>
      </c>
    </row>
    <row r="8675" spans="18:23">
      <c r="R8675" s="127">
        <f t="shared" si="347"/>
        <v>0</v>
      </c>
      <c r="T8675" s="128">
        <f t="shared" si="346"/>
        <v>0</v>
      </c>
      <c r="U8675" s="129" t="str">
        <f>IFERROR(IF(#REF!="S",VLOOKUP('Raw Data'!A8675,References!#REF!,2,FALSE),(VLOOKUP($S8675,References!$B$3:$C$7,2,FALSE))),"")</f>
        <v/>
      </c>
      <c r="W8675" s="74" t="str">
        <f>IFERROR(VLOOKUP($O8675,'Customer List'!$A$1:$J$488,10,FALSE),"")</f>
        <v/>
      </c>
    </row>
    <row r="8676" spans="18:23">
      <c r="R8676" s="127">
        <f t="shared" si="347"/>
        <v>0</v>
      </c>
      <c r="T8676" s="128">
        <f t="shared" si="346"/>
        <v>0</v>
      </c>
      <c r="U8676" s="129" t="str">
        <f>IFERROR(IF(#REF!="S",VLOOKUP('Raw Data'!A8676,References!#REF!,2,FALSE),(VLOOKUP($S8676,References!$B$3:$C$7,2,FALSE))),"")</f>
        <v/>
      </c>
      <c r="W8676" s="74" t="str">
        <f>IFERROR(VLOOKUP($O8676,'Customer List'!$A$1:$J$488,10,FALSE),"")</f>
        <v/>
      </c>
    </row>
    <row r="8677" spans="18:23">
      <c r="R8677" s="127">
        <f t="shared" si="347"/>
        <v>0</v>
      </c>
      <c r="T8677" s="128">
        <f t="shared" si="346"/>
        <v>0</v>
      </c>
      <c r="U8677" s="129" t="str">
        <f>IFERROR(IF(#REF!="S",VLOOKUP('Raw Data'!A8677,References!#REF!,2,FALSE),(VLOOKUP($S8677,References!$B$3:$C$7,2,FALSE))),"")</f>
        <v/>
      </c>
      <c r="W8677" s="74" t="str">
        <f>IFERROR(VLOOKUP($O8677,'Customer List'!$A$1:$J$488,10,FALSE),"")</f>
        <v/>
      </c>
    </row>
    <row r="8678" spans="18:23">
      <c r="R8678" s="127">
        <f t="shared" si="347"/>
        <v>0</v>
      </c>
      <c r="T8678" s="128">
        <f t="shared" si="346"/>
        <v>0</v>
      </c>
      <c r="U8678" s="129" t="str">
        <f>IFERROR(IF(#REF!="S",VLOOKUP('Raw Data'!A8678,References!#REF!,2,FALSE),(VLOOKUP($S8678,References!$B$3:$C$7,2,FALSE))),"")</f>
        <v/>
      </c>
      <c r="W8678" s="74" t="str">
        <f>IFERROR(VLOOKUP($O8678,'Customer List'!$A$1:$J$488,10,FALSE),"")</f>
        <v/>
      </c>
    </row>
    <row r="8679" spans="18:23">
      <c r="R8679" s="127">
        <f t="shared" si="347"/>
        <v>0</v>
      </c>
      <c r="T8679" s="128">
        <f t="shared" si="346"/>
        <v>0</v>
      </c>
      <c r="U8679" s="129" t="str">
        <f>IFERROR(IF(#REF!="S",VLOOKUP('Raw Data'!A8679,References!#REF!,2,FALSE),(VLOOKUP($S8679,References!$B$3:$C$7,2,FALSE))),"")</f>
        <v/>
      </c>
      <c r="W8679" s="74" t="str">
        <f>IFERROR(VLOOKUP($O8679,'Customer List'!$A$1:$J$488,10,FALSE),"")</f>
        <v/>
      </c>
    </row>
    <row r="8680" spans="18:23">
      <c r="R8680" s="127">
        <f t="shared" si="347"/>
        <v>0</v>
      </c>
      <c r="T8680" s="128">
        <f t="shared" si="346"/>
        <v>0</v>
      </c>
      <c r="U8680" s="129" t="str">
        <f>IFERROR(IF(#REF!="S",VLOOKUP('Raw Data'!A8680,References!#REF!,2,FALSE),(VLOOKUP($S8680,References!$B$3:$C$7,2,FALSE))),"")</f>
        <v/>
      </c>
      <c r="W8680" s="74" t="str">
        <f>IFERROR(VLOOKUP($O8680,'Customer List'!$A$1:$J$488,10,FALSE),"")</f>
        <v/>
      </c>
    </row>
    <row r="8681" spans="18:23">
      <c r="R8681" s="127">
        <f t="shared" si="347"/>
        <v>0</v>
      </c>
      <c r="T8681" s="128">
        <f t="shared" si="346"/>
        <v>0</v>
      </c>
      <c r="U8681" s="129" t="str">
        <f>IFERROR(IF(#REF!="S",VLOOKUP('Raw Data'!A8681,References!#REF!,2,FALSE),(VLOOKUP($S8681,References!$B$3:$C$7,2,FALSE))),"")</f>
        <v/>
      </c>
      <c r="W8681" s="74" t="str">
        <f>IFERROR(VLOOKUP($O8681,'Customer List'!$A$1:$J$488,10,FALSE),"")</f>
        <v/>
      </c>
    </row>
    <row r="8682" spans="18:23">
      <c r="R8682" s="127">
        <f t="shared" si="347"/>
        <v>0</v>
      </c>
      <c r="T8682" s="128">
        <f t="shared" si="346"/>
        <v>0</v>
      </c>
      <c r="U8682" s="129" t="str">
        <f>IFERROR(IF(#REF!="S",VLOOKUP('Raw Data'!A8682,References!#REF!,2,FALSE),(VLOOKUP($S8682,References!$B$3:$C$7,2,FALSE))),"")</f>
        <v/>
      </c>
      <c r="W8682" s="74" t="str">
        <f>IFERROR(VLOOKUP($O8682,'Customer List'!$A$1:$J$488,10,FALSE),"")</f>
        <v/>
      </c>
    </row>
    <row r="8683" spans="18:23">
      <c r="R8683" s="127">
        <f t="shared" si="347"/>
        <v>0</v>
      </c>
      <c r="T8683" s="128">
        <f t="shared" si="346"/>
        <v>0</v>
      </c>
      <c r="U8683" s="129" t="str">
        <f>IFERROR(IF(#REF!="S",VLOOKUP('Raw Data'!A8683,References!#REF!,2,FALSE),(VLOOKUP($S8683,References!$B$3:$C$7,2,FALSE))),"")</f>
        <v/>
      </c>
      <c r="W8683" s="74" t="str">
        <f>IFERROR(VLOOKUP($O8683,'Customer List'!$A$1:$J$488,10,FALSE),"")</f>
        <v/>
      </c>
    </row>
    <row r="8684" spans="18:23">
      <c r="R8684" s="127">
        <f t="shared" si="347"/>
        <v>0</v>
      </c>
      <c r="T8684" s="128">
        <f t="shared" si="346"/>
        <v>0</v>
      </c>
      <c r="U8684" s="129" t="str">
        <f>IFERROR(IF(#REF!="S",VLOOKUP('Raw Data'!A8684,References!#REF!,2,FALSE),(VLOOKUP($S8684,References!$B$3:$C$7,2,FALSE))),"")</f>
        <v/>
      </c>
      <c r="W8684" s="74" t="str">
        <f>IFERROR(VLOOKUP($O8684,'Customer List'!$A$1:$J$488,10,FALSE),"")</f>
        <v/>
      </c>
    </row>
    <row r="8685" spans="18:23">
      <c r="R8685" s="127">
        <f t="shared" si="347"/>
        <v>0</v>
      </c>
      <c r="T8685" s="128">
        <f t="shared" si="346"/>
        <v>0</v>
      </c>
      <c r="U8685" s="129" t="str">
        <f>IFERROR(IF(#REF!="S",VLOOKUP('Raw Data'!A8685,References!#REF!,2,FALSE),(VLOOKUP($S8685,References!$B$3:$C$7,2,FALSE))),"")</f>
        <v/>
      </c>
      <c r="W8685" s="74" t="str">
        <f>IFERROR(VLOOKUP($O8685,'Customer List'!$A$1:$J$488,10,FALSE),"")</f>
        <v/>
      </c>
    </row>
    <row r="8686" spans="18:23">
      <c r="R8686" s="127">
        <f t="shared" si="347"/>
        <v>0</v>
      </c>
      <c r="T8686" s="128">
        <f t="shared" si="346"/>
        <v>0</v>
      </c>
      <c r="U8686" s="129" t="str">
        <f>IFERROR(IF(#REF!="S",VLOOKUP('Raw Data'!A8686,References!#REF!,2,FALSE),(VLOOKUP($S8686,References!$B$3:$C$7,2,FALSE))),"")</f>
        <v/>
      </c>
      <c r="W8686" s="74" t="str">
        <f>IFERROR(VLOOKUP($O8686,'Customer List'!$A$1:$J$488,10,FALSE),"")</f>
        <v/>
      </c>
    </row>
    <row r="8687" spans="18:23">
      <c r="R8687" s="127">
        <f t="shared" si="347"/>
        <v>0</v>
      </c>
      <c r="T8687" s="128">
        <f t="shared" si="346"/>
        <v>0</v>
      </c>
      <c r="U8687" s="129" t="str">
        <f>IFERROR(IF(#REF!="S",VLOOKUP('Raw Data'!A8687,References!#REF!,2,FALSE),(VLOOKUP($S8687,References!$B$3:$C$7,2,FALSE))),"")</f>
        <v/>
      </c>
      <c r="W8687" s="74" t="str">
        <f>IFERROR(VLOOKUP($O8687,'Customer List'!$A$1:$J$488,10,FALSE),"")</f>
        <v/>
      </c>
    </row>
    <row r="8688" spans="18:23">
      <c r="R8688" s="127">
        <f t="shared" si="347"/>
        <v>0</v>
      </c>
      <c r="T8688" s="128">
        <f t="shared" si="346"/>
        <v>0</v>
      </c>
      <c r="U8688" s="129" t="str">
        <f>IFERROR(IF(#REF!="S",VLOOKUP('Raw Data'!A8688,References!#REF!,2,FALSE),(VLOOKUP($S8688,References!$B$3:$C$7,2,FALSE))),"")</f>
        <v/>
      </c>
      <c r="W8688" s="74" t="str">
        <f>IFERROR(VLOOKUP($O8688,'Customer List'!$A$1:$J$488,10,FALSE),"")</f>
        <v/>
      </c>
    </row>
    <row r="8689" spans="18:23">
      <c r="R8689" s="127">
        <f t="shared" si="347"/>
        <v>0</v>
      </c>
      <c r="T8689" s="128">
        <f t="shared" si="346"/>
        <v>0</v>
      </c>
      <c r="U8689" s="129" t="str">
        <f>IFERROR(IF(#REF!="S",VLOOKUP('Raw Data'!A8689,References!#REF!,2,FALSE),(VLOOKUP($S8689,References!$B$3:$C$7,2,FALSE))),"")</f>
        <v/>
      </c>
      <c r="W8689" s="74" t="str">
        <f>IFERROR(VLOOKUP($O8689,'Customer List'!$A$1:$J$488,10,FALSE),"")</f>
        <v/>
      </c>
    </row>
    <row r="8690" spans="18:23">
      <c r="R8690" s="127">
        <f t="shared" si="347"/>
        <v>0</v>
      </c>
      <c r="T8690" s="128">
        <f t="shared" si="346"/>
        <v>0</v>
      </c>
      <c r="U8690" s="129" t="str">
        <f>IFERROR(IF(#REF!="S",VLOOKUP('Raw Data'!A8690,References!#REF!,2,FALSE),(VLOOKUP($S8690,References!$B$3:$C$7,2,FALSE))),"")</f>
        <v/>
      </c>
      <c r="W8690" s="74" t="str">
        <f>IFERROR(VLOOKUP($O8690,'Customer List'!$A$1:$J$488,10,FALSE),"")</f>
        <v/>
      </c>
    </row>
    <row r="8691" spans="18:23">
      <c r="R8691" s="127">
        <f t="shared" si="347"/>
        <v>0</v>
      </c>
      <c r="T8691" s="128">
        <f t="shared" si="346"/>
        <v>0</v>
      </c>
      <c r="U8691" s="129" t="str">
        <f>IFERROR(IF(#REF!="S",VLOOKUP('Raw Data'!A8691,References!#REF!,2,FALSE),(VLOOKUP($S8691,References!$B$3:$C$7,2,FALSE))),"")</f>
        <v/>
      </c>
      <c r="W8691" s="74" t="str">
        <f>IFERROR(VLOOKUP($O8691,'Customer List'!$A$1:$J$488,10,FALSE),"")</f>
        <v/>
      </c>
    </row>
    <row r="8692" spans="18:23">
      <c r="R8692" s="127">
        <f t="shared" si="347"/>
        <v>0</v>
      </c>
      <c r="T8692" s="128">
        <f t="shared" si="346"/>
        <v>0</v>
      </c>
      <c r="U8692" s="129" t="str">
        <f>IFERROR(IF(#REF!="S",VLOOKUP('Raw Data'!A8692,References!#REF!,2,FALSE),(VLOOKUP($S8692,References!$B$3:$C$7,2,FALSE))),"")</f>
        <v/>
      </c>
      <c r="W8692" s="74" t="str">
        <f>IFERROR(VLOOKUP($O8692,'Customer List'!$A$1:$J$488,10,FALSE),"")</f>
        <v/>
      </c>
    </row>
    <row r="8693" spans="18:23">
      <c r="R8693" s="127">
        <f t="shared" si="347"/>
        <v>0</v>
      </c>
      <c r="T8693" s="128">
        <f t="shared" si="346"/>
        <v>0</v>
      </c>
      <c r="U8693" s="129" t="str">
        <f>IFERROR(IF(#REF!="S",VLOOKUP('Raw Data'!A8693,References!#REF!,2,FALSE),(VLOOKUP($S8693,References!$B$3:$C$7,2,FALSE))),"")</f>
        <v/>
      </c>
      <c r="W8693" s="74" t="str">
        <f>IFERROR(VLOOKUP($O8693,'Customer List'!$A$1:$J$488,10,FALSE),"")</f>
        <v/>
      </c>
    </row>
    <row r="8694" spans="18:23">
      <c r="R8694" s="127">
        <f t="shared" si="347"/>
        <v>0</v>
      </c>
      <c r="T8694" s="128">
        <f t="shared" si="346"/>
        <v>0</v>
      </c>
      <c r="U8694" s="129" t="str">
        <f>IFERROR(IF(#REF!="S",VLOOKUP('Raw Data'!A8694,References!#REF!,2,FALSE),(VLOOKUP($S8694,References!$B$3:$C$7,2,FALSE))),"")</f>
        <v/>
      </c>
      <c r="W8694" s="74" t="str">
        <f>IFERROR(VLOOKUP($O8694,'Customer List'!$A$1:$J$488,10,FALSE),"")</f>
        <v/>
      </c>
    </row>
    <row r="8695" spans="18:23">
      <c r="R8695" s="127">
        <f t="shared" si="347"/>
        <v>0</v>
      </c>
      <c r="T8695" s="128">
        <f t="shared" si="346"/>
        <v>0</v>
      </c>
      <c r="U8695" s="129" t="str">
        <f>IFERROR(IF(#REF!="S",VLOOKUP('Raw Data'!A8695,References!#REF!,2,FALSE),(VLOOKUP($S8695,References!$B$3:$C$7,2,FALSE))),"")</f>
        <v/>
      </c>
      <c r="W8695" s="74" t="str">
        <f>IFERROR(VLOOKUP($O8695,'Customer List'!$A$1:$J$488,10,FALSE),"")</f>
        <v/>
      </c>
    </row>
    <row r="8696" spans="18:23">
      <c r="R8696" s="127">
        <f t="shared" si="347"/>
        <v>0</v>
      </c>
      <c r="T8696" s="128">
        <f t="shared" si="346"/>
        <v>0</v>
      </c>
      <c r="U8696" s="129" t="str">
        <f>IFERROR(IF(#REF!="S",VLOOKUP('Raw Data'!A8696,References!#REF!,2,FALSE),(VLOOKUP($S8696,References!$B$3:$C$7,2,FALSE))),"")</f>
        <v/>
      </c>
      <c r="W8696" s="74" t="str">
        <f>IFERROR(VLOOKUP($O8696,'Customer List'!$A$1:$J$488,10,FALSE),"")</f>
        <v/>
      </c>
    </row>
    <row r="8697" spans="18:23">
      <c r="R8697" s="127">
        <f t="shared" si="347"/>
        <v>0</v>
      </c>
      <c r="T8697" s="128">
        <f t="shared" si="346"/>
        <v>0</v>
      </c>
      <c r="U8697" s="129" t="str">
        <f>IFERROR(IF(#REF!="S",VLOOKUP('Raw Data'!A8697,References!#REF!,2,FALSE),(VLOOKUP($S8697,References!$B$3:$C$7,2,FALSE))),"")</f>
        <v/>
      </c>
      <c r="W8697" s="74" t="str">
        <f>IFERROR(VLOOKUP($O8697,'Customer List'!$A$1:$J$488,10,FALSE),"")</f>
        <v/>
      </c>
    </row>
    <row r="8698" spans="18:23">
      <c r="R8698" s="127">
        <f t="shared" si="347"/>
        <v>0</v>
      </c>
      <c r="T8698" s="128">
        <f t="shared" si="346"/>
        <v>0</v>
      </c>
      <c r="U8698" s="129" t="str">
        <f>IFERROR(IF(#REF!="S",VLOOKUP('Raw Data'!A8698,References!#REF!,2,FALSE),(VLOOKUP($S8698,References!$B$3:$C$7,2,FALSE))),"")</f>
        <v/>
      </c>
      <c r="W8698" s="74" t="str">
        <f>IFERROR(VLOOKUP($O8698,'Customer List'!$A$1:$J$488,10,FALSE),"")</f>
        <v/>
      </c>
    </row>
    <row r="8699" spans="18:23">
      <c r="R8699" s="127">
        <f t="shared" si="347"/>
        <v>0</v>
      </c>
      <c r="T8699" s="128">
        <f t="shared" si="346"/>
        <v>0</v>
      </c>
      <c r="U8699" s="129" t="str">
        <f>IFERROR(IF(#REF!="S",VLOOKUP('Raw Data'!A8699,References!#REF!,2,FALSE),(VLOOKUP($S8699,References!$B$3:$C$7,2,FALSE))),"")</f>
        <v/>
      </c>
      <c r="W8699" s="74" t="str">
        <f>IFERROR(VLOOKUP($O8699,'Customer List'!$A$1:$J$488,10,FALSE),"")</f>
        <v/>
      </c>
    </row>
    <row r="8700" spans="18:23">
      <c r="R8700" s="127">
        <f t="shared" si="347"/>
        <v>0</v>
      </c>
      <c r="T8700" s="128">
        <f t="shared" si="346"/>
        <v>0</v>
      </c>
      <c r="U8700" s="129" t="str">
        <f>IFERROR(IF(#REF!="S",VLOOKUP('Raw Data'!A8700,References!#REF!,2,FALSE),(VLOOKUP($S8700,References!$B$3:$C$7,2,FALSE))),"")</f>
        <v/>
      </c>
      <c r="W8700" s="74" t="str">
        <f>IFERROR(VLOOKUP($O8700,'Customer List'!$A$1:$J$488,10,FALSE),"")</f>
        <v/>
      </c>
    </row>
    <row r="8701" spans="18:23">
      <c r="R8701" s="127">
        <f t="shared" si="347"/>
        <v>0</v>
      </c>
      <c r="T8701" s="128">
        <f t="shared" si="346"/>
        <v>0</v>
      </c>
      <c r="U8701" s="129" t="str">
        <f>IFERROR(IF(#REF!="S",VLOOKUP('Raw Data'!A8701,References!#REF!,2,FALSE),(VLOOKUP($S8701,References!$B$3:$C$7,2,FALSE))),"")</f>
        <v/>
      </c>
      <c r="W8701" s="74" t="str">
        <f>IFERROR(VLOOKUP($O8701,'Customer List'!$A$1:$J$488,10,FALSE),"")</f>
        <v/>
      </c>
    </row>
    <row r="8702" spans="18:23">
      <c r="R8702" s="127">
        <f t="shared" si="347"/>
        <v>0</v>
      </c>
      <c r="T8702" s="128">
        <f t="shared" si="346"/>
        <v>0</v>
      </c>
      <c r="U8702" s="129" t="str">
        <f>IFERROR(IF(#REF!="S",VLOOKUP('Raw Data'!A8702,References!#REF!,2,FALSE),(VLOOKUP($S8702,References!$B$3:$C$7,2,FALSE))),"")</f>
        <v/>
      </c>
      <c r="W8702" s="74" t="str">
        <f>IFERROR(VLOOKUP($O8702,'Customer List'!$A$1:$J$488,10,FALSE),"")</f>
        <v/>
      </c>
    </row>
    <row r="8703" spans="18:23">
      <c r="R8703" s="127">
        <f t="shared" si="347"/>
        <v>0</v>
      </c>
      <c r="T8703" s="128">
        <f t="shared" si="346"/>
        <v>0</v>
      </c>
      <c r="U8703" s="129" t="str">
        <f>IFERROR(IF(#REF!="S",VLOOKUP('Raw Data'!A8703,References!#REF!,2,FALSE),(VLOOKUP($S8703,References!$B$3:$C$7,2,FALSE))),"")</f>
        <v/>
      </c>
      <c r="W8703" s="74" t="str">
        <f>IFERROR(VLOOKUP($O8703,'Customer List'!$A$1:$J$488,10,FALSE),"")</f>
        <v/>
      </c>
    </row>
    <row r="8704" spans="18:23">
      <c r="R8704" s="127">
        <f t="shared" si="347"/>
        <v>0</v>
      </c>
      <c r="T8704" s="128">
        <f t="shared" si="346"/>
        <v>0</v>
      </c>
      <c r="U8704" s="129" t="str">
        <f>IFERROR(IF(#REF!="S",VLOOKUP('Raw Data'!A8704,References!#REF!,2,FALSE),(VLOOKUP($S8704,References!$B$3:$C$7,2,FALSE))),"")</f>
        <v/>
      </c>
      <c r="W8704" s="74" t="str">
        <f>IFERROR(VLOOKUP($O8704,'Customer List'!$A$1:$J$488,10,FALSE),"")</f>
        <v/>
      </c>
    </row>
    <row r="8705" spans="18:23">
      <c r="R8705" s="127">
        <f t="shared" si="347"/>
        <v>0</v>
      </c>
      <c r="T8705" s="128">
        <f t="shared" si="346"/>
        <v>0</v>
      </c>
      <c r="U8705" s="129" t="str">
        <f>IFERROR(IF(#REF!="S",VLOOKUP('Raw Data'!A8705,References!#REF!,2,FALSE),(VLOOKUP($S8705,References!$B$3:$C$7,2,FALSE))),"")</f>
        <v/>
      </c>
      <c r="W8705" s="74" t="str">
        <f>IFERROR(VLOOKUP($O8705,'Customer List'!$A$1:$J$488,10,FALSE),"")</f>
        <v/>
      </c>
    </row>
    <row r="8706" spans="18:23">
      <c r="R8706" s="127">
        <f t="shared" si="347"/>
        <v>0</v>
      </c>
      <c r="T8706" s="128">
        <f t="shared" si="346"/>
        <v>0</v>
      </c>
      <c r="U8706" s="129" t="str">
        <f>IFERROR(IF(#REF!="S",VLOOKUP('Raw Data'!A8706,References!#REF!,2,FALSE),(VLOOKUP($S8706,References!$B$3:$C$7,2,FALSE))),"")</f>
        <v/>
      </c>
      <c r="W8706" s="74" t="str">
        <f>IFERROR(VLOOKUP($O8706,'Customer List'!$A$1:$J$488,10,FALSE),"")</f>
        <v/>
      </c>
    </row>
    <row r="8707" spans="18:23">
      <c r="R8707" s="127">
        <f t="shared" si="347"/>
        <v>0</v>
      </c>
      <c r="T8707" s="128">
        <f t="shared" si="346"/>
        <v>0</v>
      </c>
      <c r="U8707" s="129" t="str">
        <f>IFERROR(IF(#REF!="S",VLOOKUP('Raw Data'!A8707,References!#REF!,2,FALSE),(VLOOKUP($S8707,References!$B$3:$C$7,2,FALSE))),"")</f>
        <v/>
      </c>
      <c r="W8707" s="74" t="str">
        <f>IFERROR(VLOOKUP($O8707,'Customer List'!$A$1:$J$488,10,FALSE),"")</f>
        <v/>
      </c>
    </row>
    <row r="8708" spans="18:23">
      <c r="R8708" s="127">
        <f t="shared" si="347"/>
        <v>0</v>
      </c>
      <c r="T8708" s="128">
        <f t="shared" si="346"/>
        <v>0</v>
      </c>
      <c r="U8708" s="129" t="str">
        <f>IFERROR(IF(#REF!="S",VLOOKUP('Raw Data'!A8708,References!#REF!,2,FALSE),(VLOOKUP($S8708,References!$B$3:$C$7,2,FALSE))),"")</f>
        <v/>
      </c>
      <c r="W8708" s="74" t="str">
        <f>IFERROR(VLOOKUP($O8708,'Customer List'!$A$1:$J$488,10,FALSE),"")</f>
        <v/>
      </c>
    </row>
    <row r="8709" spans="18:23">
      <c r="R8709" s="127">
        <f t="shared" si="347"/>
        <v>0</v>
      </c>
      <c r="T8709" s="128">
        <f t="shared" si="346"/>
        <v>0</v>
      </c>
      <c r="U8709" s="129" t="str">
        <f>IFERROR(IF(#REF!="S",VLOOKUP('Raw Data'!A8709,References!#REF!,2,FALSE),(VLOOKUP($S8709,References!$B$3:$C$7,2,FALSE))),"")</f>
        <v/>
      </c>
      <c r="W8709" s="74" t="str">
        <f>IFERROR(VLOOKUP($O8709,'Customer List'!$A$1:$J$488,10,FALSE),"")</f>
        <v/>
      </c>
    </row>
    <row r="8710" spans="18:23">
      <c r="R8710" s="127">
        <f t="shared" si="347"/>
        <v>0</v>
      </c>
      <c r="T8710" s="128">
        <f t="shared" si="346"/>
        <v>0</v>
      </c>
      <c r="U8710" s="129" t="str">
        <f>IFERROR(IF(#REF!="S",VLOOKUP('Raw Data'!A8710,References!#REF!,2,FALSE),(VLOOKUP($S8710,References!$B$3:$C$7,2,FALSE))),"")</f>
        <v/>
      </c>
      <c r="W8710" s="74" t="str">
        <f>IFERROR(VLOOKUP($O8710,'Customer List'!$A$1:$J$488,10,FALSE),"")</f>
        <v/>
      </c>
    </row>
    <row r="8711" spans="18:23">
      <c r="R8711" s="127">
        <f t="shared" si="347"/>
        <v>0</v>
      </c>
      <c r="T8711" s="128">
        <f t="shared" si="346"/>
        <v>0</v>
      </c>
      <c r="U8711" s="129" t="str">
        <f>IFERROR(IF(#REF!="S",VLOOKUP('Raw Data'!A8711,References!#REF!,2,FALSE),(VLOOKUP($S8711,References!$B$3:$C$7,2,FALSE))),"")</f>
        <v/>
      </c>
      <c r="W8711" s="74" t="str">
        <f>IFERROR(VLOOKUP($O8711,'Customer List'!$A$1:$J$488,10,FALSE),"")</f>
        <v/>
      </c>
    </row>
    <row r="8712" spans="18:23">
      <c r="R8712" s="127">
        <f t="shared" si="347"/>
        <v>0</v>
      </c>
      <c r="T8712" s="128">
        <f t="shared" si="346"/>
        <v>0</v>
      </c>
      <c r="U8712" s="129" t="str">
        <f>IFERROR(IF(#REF!="S",VLOOKUP('Raw Data'!A8712,References!#REF!,2,FALSE),(VLOOKUP($S8712,References!$B$3:$C$7,2,FALSE))),"")</f>
        <v/>
      </c>
      <c r="W8712" s="74" t="str">
        <f>IFERROR(VLOOKUP($O8712,'Customer List'!$A$1:$J$488,10,FALSE),"")</f>
        <v/>
      </c>
    </row>
    <row r="8713" spans="18:23">
      <c r="R8713" s="127">
        <f t="shared" si="347"/>
        <v>0</v>
      </c>
      <c r="T8713" s="128">
        <f t="shared" si="346"/>
        <v>0</v>
      </c>
      <c r="U8713" s="129" t="str">
        <f>IFERROR(IF(#REF!="S",VLOOKUP('Raw Data'!A8713,References!#REF!,2,FALSE),(VLOOKUP($S8713,References!$B$3:$C$7,2,FALSE))),"")</f>
        <v/>
      </c>
      <c r="W8713" s="74" t="str">
        <f>IFERROR(VLOOKUP($O8713,'Customer List'!$A$1:$J$488,10,FALSE),"")</f>
        <v/>
      </c>
    </row>
    <row r="8714" spans="18:23">
      <c r="R8714" s="127">
        <f t="shared" si="347"/>
        <v>0</v>
      </c>
      <c r="T8714" s="128">
        <f t="shared" ref="T8714:T8777" si="348">IF(S8714="50 - Cleaning Fee",1,HOUR($R8714)+MINUTE(R8714)/60)</f>
        <v>0</v>
      </c>
      <c r="U8714" s="129" t="str">
        <f>IFERROR(IF(#REF!="S",VLOOKUP('Raw Data'!A8714,References!#REF!,2,FALSE),(VLOOKUP($S8714,References!$B$3:$C$7,2,FALSE))),"")</f>
        <v/>
      </c>
      <c r="W8714" s="74" t="str">
        <f>IFERROR(VLOOKUP($O8714,'Customer List'!$A$1:$J$488,10,FALSE),"")</f>
        <v/>
      </c>
    </row>
    <row r="8715" spans="18:23">
      <c r="R8715" s="127">
        <f t="shared" si="347"/>
        <v>0</v>
      </c>
      <c r="T8715" s="128">
        <f t="shared" si="348"/>
        <v>0</v>
      </c>
      <c r="U8715" s="129" t="str">
        <f>IFERROR(IF(#REF!="S",VLOOKUP('Raw Data'!A8715,References!#REF!,2,FALSE),(VLOOKUP($S8715,References!$B$3:$C$7,2,FALSE))),"")</f>
        <v/>
      </c>
      <c r="W8715" s="74" t="str">
        <f>IFERROR(VLOOKUP($O8715,'Customer List'!$A$1:$J$488,10,FALSE),"")</f>
        <v/>
      </c>
    </row>
    <row r="8716" spans="18:23">
      <c r="R8716" s="127">
        <f t="shared" si="347"/>
        <v>0</v>
      </c>
      <c r="T8716" s="128">
        <f t="shared" si="348"/>
        <v>0</v>
      </c>
      <c r="U8716" s="129" t="str">
        <f>IFERROR(IF(#REF!="S",VLOOKUP('Raw Data'!A8716,References!#REF!,2,FALSE),(VLOOKUP($S8716,References!$B$3:$C$7,2,FALSE))),"")</f>
        <v/>
      </c>
      <c r="W8716" s="74" t="str">
        <f>IFERROR(VLOOKUP($O8716,'Customer List'!$A$1:$J$488,10,FALSE),"")</f>
        <v/>
      </c>
    </row>
    <row r="8717" spans="18:23">
      <c r="R8717" s="127">
        <f t="shared" si="347"/>
        <v>0</v>
      </c>
      <c r="T8717" s="128">
        <f t="shared" si="348"/>
        <v>0</v>
      </c>
      <c r="U8717" s="129" t="str">
        <f>IFERROR(IF(#REF!="S",VLOOKUP('Raw Data'!A8717,References!#REF!,2,FALSE),(VLOOKUP($S8717,References!$B$3:$C$7,2,FALSE))),"")</f>
        <v/>
      </c>
      <c r="W8717" s="74" t="str">
        <f>IFERROR(VLOOKUP($O8717,'Customer List'!$A$1:$J$488,10,FALSE),"")</f>
        <v/>
      </c>
    </row>
    <row r="8718" spans="18:23">
      <c r="R8718" s="127">
        <f t="shared" si="347"/>
        <v>0</v>
      </c>
      <c r="T8718" s="128">
        <f t="shared" si="348"/>
        <v>0</v>
      </c>
      <c r="U8718" s="129" t="str">
        <f>IFERROR(IF(#REF!="S",VLOOKUP('Raw Data'!A8718,References!#REF!,2,FALSE),(VLOOKUP($S8718,References!$B$3:$C$7,2,FALSE))),"")</f>
        <v/>
      </c>
      <c r="W8718" s="74" t="str">
        <f>IFERROR(VLOOKUP($O8718,'Customer List'!$A$1:$J$488,10,FALSE),"")</f>
        <v/>
      </c>
    </row>
    <row r="8719" spans="18:23">
      <c r="R8719" s="127">
        <f t="shared" si="347"/>
        <v>0</v>
      </c>
      <c r="T8719" s="128">
        <f t="shared" si="348"/>
        <v>0</v>
      </c>
      <c r="U8719" s="129" t="str">
        <f>IFERROR(IF(#REF!="S",VLOOKUP('Raw Data'!A8719,References!#REF!,2,FALSE),(VLOOKUP($S8719,References!$B$3:$C$7,2,FALSE))),"")</f>
        <v/>
      </c>
      <c r="W8719" s="74" t="str">
        <f>IFERROR(VLOOKUP($O8719,'Customer List'!$A$1:$J$488,10,FALSE),"")</f>
        <v/>
      </c>
    </row>
    <row r="8720" spans="18:23">
      <c r="R8720" s="127">
        <f t="shared" si="347"/>
        <v>0</v>
      </c>
      <c r="T8720" s="128">
        <f t="shared" si="348"/>
        <v>0</v>
      </c>
      <c r="U8720" s="129" t="str">
        <f>IFERROR(IF(#REF!="S",VLOOKUP('Raw Data'!A8720,References!#REF!,2,FALSE),(VLOOKUP($S8720,References!$B$3:$C$7,2,FALSE))),"")</f>
        <v/>
      </c>
      <c r="W8720" s="74" t="str">
        <f>IFERROR(VLOOKUP($O8720,'Customer List'!$A$1:$J$488,10,FALSE),"")</f>
        <v/>
      </c>
    </row>
    <row r="8721" spans="18:23">
      <c r="R8721" s="127">
        <f t="shared" si="347"/>
        <v>0</v>
      </c>
      <c r="T8721" s="128">
        <f t="shared" si="348"/>
        <v>0</v>
      </c>
      <c r="U8721" s="129" t="str">
        <f>IFERROR(IF(#REF!="S",VLOOKUP('Raw Data'!A8721,References!#REF!,2,FALSE),(VLOOKUP($S8721,References!$B$3:$C$7,2,FALSE))),"")</f>
        <v/>
      </c>
      <c r="W8721" s="74" t="str">
        <f>IFERROR(VLOOKUP($O8721,'Customer List'!$A$1:$J$488,10,FALSE),"")</f>
        <v/>
      </c>
    </row>
    <row r="8722" spans="18:23">
      <c r="R8722" s="127">
        <f t="shared" si="347"/>
        <v>0</v>
      </c>
      <c r="T8722" s="128">
        <f t="shared" si="348"/>
        <v>0</v>
      </c>
      <c r="U8722" s="129" t="str">
        <f>IFERROR(IF(#REF!="S",VLOOKUP('Raw Data'!A8722,References!#REF!,2,FALSE),(VLOOKUP($S8722,References!$B$3:$C$7,2,FALSE))),"")</f>
        <v/>
      </c>
      <c r="W8722" s="74" t="str">
        <f>IFERROR(VLOOKUP($O8722,'Customer List'!$A$1:$J$488,10,FALSE),"")</f>
        <v/>
      </c>
    </row>
    <row r="8723" spans="18:23">
      <c r="R8723" s="127">
        <f t="shared" si="347"/>
        <v>0</v>
      </c>
      <c r="T8723" s="128">
        <f t="shared" si="348"/>
        <v>0</v>
      </c>
      <c r="U8723" s="129" t="str">
        <f>IFERROR(IF(#REF!="S",VLOOKUP('Raw Data'!A8723,References!#REF!,2,FALSE),(VLOOKUP($S8723,References!$B$3:$C$7,2,FALSE))),"")</f>
        <v/>
      </c>
      <c r="W8723" s="74" t="str">
        <f>IFERROR(VLOOKUP($O8723,'Customer List'!$A$1:$J$488,10,FALSE),"")</f>
        <v/>
      </c>
    </row>
    <row r="8724" spans="18:23">
      <c r="R8724" s="127">
        <f t="shared" si="347"/>
        <v>0</v>
      </c>
      <c r="T8724" s="128">
        <f t="shared" si="348"/>
        <v>0</v>
      </c>
      <c r="U8724" s="129" t="str">
        <f>IFERROR(IF(#REF!="S",VLOOKUP('Raw Data'!A8724,References!#REF!,2,FALSE),(VLOOKUP($S8724,References!$B$3:$C$7,2,FALSE))),"")</f>
        <v/>
      </c>
      <c r="W8724" s="74" t="str">
        <f>IFERROR(VLOOKUP($O8724,'Customer List'!$A$1:$J$488,10,FALSE),"")</f>
        <v/>
      </c>
    </row>
    <row r="8725" spans="18:23">
      <c r="R8725" s="127">
        <f t="shared" si="347"/>
        <v>0</v>
      </c>
      <c r="T8725" s="128">
        <f t="shared" si="348"/>
        <v>0</v>
      </c>
      <c r="U8725" s="129" t="str">
        <f>IFERROR(IF(#REF!="S",VLOOKUP('Raw Data'!A8725,References!#REF!,2,FALSE),(VLOOKUP($S8725,References!$B$3:$C$7,2,FALSE))),"")</f>
        <v/>
      </c>
      <c r="W8725" s="74" t="str">
        <f>IFERROR(VLOOKUP($O8725,'Customer List'!$A$1:$J$488,10,FALSE),"")</f>
        <v/>
      </c>
    </row>
    <row r="8726" spans="18:23">
      <c r="R8726" s="127">
        <f t="shared" si="347"/>
        <v>0</v>
      </c>
      <c r="T8726" s="128">
        <f t="shared" si="348"/>
        <v>0</v>
      </c>
      <c r="U8726" s="129" t="str">
        <f>IFERROR(IF(#REF!="S",VLOOKUP('Raw Data'!A8726,References!#REF!,2,FALSE),(VLOOKUP($S8726,References!$B$3:$C$7,2,FALSE))),"")</f>
        <v/>
      </c>
      <c r="W8726" s="74" t="str">
        <f>IFERROR(VLOOKUP($O8726,'Customer List'!$A$1:$J$488,10,FALSE),"")</f>
        <v/>
      </c>
    </row>
    <row r="8727" spans="18:23">
      <c r="R8727" s="127">
        <f t="shared" si="347"/>
        <v>0</v>
      </c>
      <c r="T8727" s="128">
        <f t="shared" si="348"/>
        <v>0</v>
      </c>
      <c r="U8727" s="129" t="str">
        <f>IFERROR(IF(#REF!="S",VLOOKUP('Raw Data'!A8727,References!#REF!,2,FALSE),(VLOOKUP($S8727,References!$B$3:$C$7,2,FALSE))),"")</f>
        <v/>
      </c>
      <c r="W8727" s="74" t="str">
        <f>IFERROR(VLOOKUP($O8727,'Customer List'!$A$1:$J$488,10,FALSE),"")</f>
        <v/>
      </c>
    </row>
    <row r="8728" spans="18:23">
      <c r="R8728" s="127">
        <f t="shared" si="347"/>
        <v>0</v>
      </c>
      <c r="T8728" s="128">
        <f t="shared" si="348"/>
        <v>0</v>
      </c>
      <c r="U8728" s="129" t="str">
        <f>IFERROR(IF(#REF!="S",VLOOKUP('Raw Data'!A8728,References!#REF!,2,FALSE),(VLOOKUP($S8728,References!$B$3:$C$7,2,FALSE))),"")</f>
        <v/>
      </c>
      <c r="W8728" s="74" t="str">
        <f>IFERROR(VLOOKUP($O8728,'Customer List'!$A$1:$J$488,10,FALSE),"")</f>
        <v/>
      </c>
    </row>
    <row r="8729" spans="18:23">
      <c r="R8729" s="127">
        <f t="shared" si="347"/>
        <v>0</v>
      </c>
      <c r="T8729" s="128">
        <f t="shared" si="348"/>
        <v>0</v>
      </c>
      <c r="U8729" s="129" t="str">
        <f>IFERROR(IF(#REF!="S",VLOOKUP('Raw Data'!A8729,References!#REF!,2,FALSE),(VLOOKUP($S8729,References!$B$3:$C$7,2,FALSE))),"")</f>
        <v/>
      </c>
      <c r="W8729" s="74" t="str">
        <f>IFERROR(VLOOKUP($O8729,'Customer List'!$A$1:$J$488,10,FALSE),"")</f>
        <v/>
      </c>
    </row>
    <row r="8730" spans="18:23">
      <c r="R8730" s="127">
        <f t="shared" si="347"/>
        <v>0</v>
      </c>
      <c r="T8730" s="128">
        <f t="shared" si="348"/>
        <v>0</v>
      </c>
      <c r="U8730" s="129" t="str">
        <f>IFERROR(IF(#REF!="S",VLOOKUP('Raw Data'!A8730,References!#REF!,2,FALSE),(VLOOKUP($S8730,References!$B$3:$C$7,2,FALSE))),"")</f>
        <v/>
      </c>
      <c r="W8730" s="74" t="str">
        <f>IFERROR(VLOOKUP($O8730,'Customer List'!$A$1:$J$488,10,FALSE),"")</f>
        <v/>
      </c>
    </row>
    <row r="8731" spans="18:23">
      <c r="R8731" s="127">
        <f t="shared" si="347"/>
        <v>0</v>
      </c>
      <c r="T8731" s="128">
        <f t="shared" si="348"/>
        <v>0</v>
      </c>
      <c r="U8731" s="129" t="str">
        <f>IFERROR(IF(#REF!="S",VLOOKUP('Raw Data'!A8731,References!#REF!,2,FALSE),(VLOOKUP($S8731,References!$B$3:$C$7,2,FALSE))),"")</f>
        <v/>
      </c>
      <c r="W8731" s="74" t="str">
        <f>IFERROR(VLOOKUP($O8731,'Customer List'!$A$1:$J$488,10,FALSE),"")</f>
        <v/>
      </c>
    </row>
    <row r="8732" spans="18:23">
      <c r="R8732" s="127">
        <f t="shared" si="347"/>
        <v>0</v>
      </c>
      <c r="T8732" s="128">
        <f t="shared" si="348"/>
        <v>0</v>
      </c>
      <c r="U8732" s="129" t="str">
        <f>IFERROR(IF(#REF!="S",VLOOKUP('Raw Data'!A8732,References!#REF!,2,FALSE),(VLOOKUP($S8732,References!$B$3:$C$7,2,FALSE))),"")</f>
        <v/>
      </c>
      <c r="W8732" s="74" t="str">
        <f>IFERROR(VLOOKUP($O8732,'Customer List'!$A$1:$J$488,10,FALSE),"")</f>
        <v/>
      </c>
    </row>
    <row r="8733" spans="18:23">
      <c r="R8733" s="127">
        <f t="shared" si="347"/>
        <v>0</v>
      </c>
      <c r="T8733" s="128">
        <f t="shared" si="348"/>
        <v>0</v>
      </c>
      <c r="U8733" s="129" t="str">
        <f>IFERROR(IF(#REF!="S",VLOOKUP('Raw Data'!A8733,References!#REF!,2,FALSE),(VLOOKUP($S8733,References!$B$3:$C$7,2,FALSE))),"")</f>
        <v/>
      </c>
      <c r="W8733" s="74" t="str">
        <f>IFERROR(VLOOKUP($O8733,'Customer List'!$A$1:$J$488,10,FALSE),"")</f>
        <v/>
      </c>
    </row>
    <row r="8734" spans="18:23">
      <c r="R8734" s="127">
        <f t="shared" si="347"/>
        <v>0</v>
      </c>
      <c r="T8734" s="128">
        <f t="shared" si="348"/>
        <v>0</v>
      </c>
      <c r="U8734" s="129" t="str">
        <f>IFERROR(IF(#REF!="S",VLOOKUP('Raw Data'!A8734,References!#REF!,2,FALSE),(VLOOKUP($S8734,References!$B$3:$C$7,2,FALSE))),"")</f>
        <v/>
      </c>
      <c r="W8734" s="74" t="str">
        <f>IFERROR(VLOOKUP($O8734,'Customer List'!$A$1:$J$488,10,FALSE),"")</f>
        <v/>
      </c>
    </row>
    <row r="8735" spans="18:23">
      <c r="R8735" s="127">
        <f t="shared" si="347"/>
        <v>0</v>
      </c>
      <c r="T8735" s="128">
        <f t="shared" si="348"/>
        <v>0</v>
      </c>
      <c r="U8735" s="129" t="str">
        <f>IFERROR(IF(#REF!="S",VLOOKUP('Raw Data'!A8735,References!#REF!,2,FALSE),(VLOOKUP($S8735,References!$B$3:$C$7,2,FALSE))),"")</f>
        <v/>
      </c>
      <c r="W8735" s="74" t="str">
        <f>IFERROR(VLOOKUP($O8735,'Customer List'!$A$1:$J$488,10,FALSE),"")</f>
        <v/>
      </c>
    </row>
    <row r="8736" spans="18:23">
      <c r="R8736" s="127">
        <f t="shared" si="347"/>
        <v>0</v>
      </c>
      <c r="T8736" s="128">
        <f t="shared" si="348"/>
        <v>0</v>
      </c>
      <c r="U8736" s="129" t="str">
        <f>IFERROR(IF(#REF!="S",VLOOKUP('Raw Data'!A8736,References!#REF!,2,FALSE),(VLOOKUP($S8736,References!$B$3:$C$7,2,FALSE))),"")</f>
        <v/>
      </c>
      <c r="W8736" s="74" t="str">
        <f>IFERROR(VLOOKUP($O8736,'Customer List'!$A$1:$J$488,10,FALSE),"")</f>
        <v/>
      </c>
    </row>
    <row r="8737" spans="18:23">
      <c r="R8737" s="127">
        <f t="shared" si="347"/>
        <v>0</v>
      </c>
      <c r="T8737" s="128">
        <f t="shared" si="348"/>
        <v>0</v>
      </c>
      <c r="U8737" s="129" t="str">
        <f>IFERROR(IF(#REF!="S",VLOOKUP('Raw Data'!A8737,References!#REF!,2,FALSE),(VLOOKUP($S8737,References!$B$3:$C$7,2,FALSE))),"")</f>
        <v/>
      </c>
      <c r="W8737" s="74" t="str">
        <f>IFERROR(VLOOKUP($O8737,'Customer List'!$A$1:$J$488,10,FALSE),"")</f>
        <v/>
      </c>
    </row>
    <row r="8738" spans="18:23">
      <c r="R8738" s="127">
        <f t="shared" ref="R8738:R8801" si="349">L8738-K8738</f>
        <v>0</v>
      </c>
      <c r="T8738" s="128">
        <f t="shared" si="348"/>
        <v>0</v>
      </c>
      <c r="U8738" s="129" t="str">
        <f>IFERROR(IF(#REF!="S",VLOOKUP('Raw Data'!A8738,References!#REF!,2,FALSE),(VLOOKUP($S8738,References!$B$3:$C$7,2,FALSE))),"")</f>
        <v/>
      </c>
      <c r="W8738" s="74" t="str">
        <f>IFERROR(VLOOKUP($O8738,'Customer List'!$A$1:$J$488,10,FALSE),"")</f>
        <v/>
      </c>
    </row>
    <row r="8739" spans="18:23">
      <c r="R8739" s="127">
        <f t="shared" si="349"/>
        <v>0</v>
      </c>
      <c r="T8739" s="128">
        <f t="shared" si="348"/>
        <v>0</v>
      </c>
      <c r="U8739" s="129" t="str">
        <f>IFERROR(IF(#REF!="S",VLOOKUP('Raw Data'!A8739,References!#REF!,2,FALSE),(VLOOKUP($S8739,References!$B$3:$C$7,2,FALSE))),"")</f>
        <v/>
      </c>
      <c r="W8739" s="74" t="str">
        <f>IFERROR(VLOOKUP($O8739,'Customer List'!$A$1:$J$488,10,FALSE),"")</f>
        <v/>
      </c>
    </row>
    <row r="8740" spans="18:23">
      <c r="R8740" s="127">
        <f t="shared" si="349"/>
        <v>0</v>
      </c>
      <c r="T8740" s="128">
        <f t="shared" si="348"/>
        <v>0</v>
      </c>
      <c r="U8740" s="129" t="str">
        <f>IFERROR(IF(#REF!="S",VLOOKUP('Raw Data'!A8740,References!#REF!,2,FALSE),(VLOOKUP($S8740,References!$B$3:$C$7,2,FALSE))),"")</f>
        <v/>
      </c>
      <c r="W8740" s="74" t="str">
        <f>IFERROR(VLOOKUP($O8740,'Customer List'!$A$1:$J$488,10,FALSE),"")</f>
        <v/>
      </c>
    </row>
    <row r="8741" spans="18:23">
      <c r="R8741" s="127">
        <f t="shared" si="349"/>
        <v>0</v>
      </c>
      <c r="T8741" s="128">
        <f t="shared" si="348"/>
        <v>0</v>
      </c>
      <c r="U8741" s="129" t="str">
        <f>IFERROR(IF(#REF!="S",VLOOKUP('Raw Data'!A8741,References!#REF!,2,FALSE),(VLOOKUP($S8741,References!$B$3:$C$7,2,FALSE))),"")</f>
        <v/>
      </c>
      <c r="W8741" s="74" t="str">
        <f>IFERROR(VLOOKUP($O8741,'Customer List'!$A$1:$J$488,10,FALSE),"")</f>
        <v/>
      </c>
    </row>
    <row r="8742" spans="18:23">
      <c r="R8742" s="127">
        <f t="shared" si="349"/>
        <v>0</v>
      </c>
      <c r="T8742" s="128">
        <f t="shared" si="348"/>
        <v>0</v>
      </c>
      <c r="U8742" s="129" t="str">
        <f>IFERROR(IF(#REF!="S",VLOOKUP('Raw Data'!A8742,References!#REF!,2,FALSE),(VLOOKUP($S8742,References!$B$3:$C$7,2,FALSE))),"")</f>
        <v/>
      </c>
      <c r="W8742" s="74" t="str">
        <f>IFERROR(VLOOKUP($O8742,'Customer List'!$A$1:$J$488,10,FALSE),"")</f>
        <v/>
      </c>
    </row>
    <row r="8743" spans="18:23">
      <c r="R8743" s="127">
        <f t="shared" si="349"/>
        <v>0</v>
      </c>
      <c r="T8743" s="128">
        <f t="shared" si="348"/>
        <v>0</v>
      </c>
      <c r="U8743" s="129" t="str">
        <f>IFERROR(IF(#REF!="S",VLOOKUP('Raw Data'!A8743,References!#REF!,2,FALSE),(VLOOKUP($S8743,References!$B$3:$C$7,2,FALSE))),"")</f>
        <v/>
      </c>
      <c r="W8743" s="74" t="str">
        <f>IFERROR(VLOOKUP($O8743,'Customer List'!$A$1:$J$488,10,FALSE),"")</f>
        <v/>
      </c>
    </row>
    <row r="8744" spans="18:23">
      <c r="R8744" s="127">
        <f t="shared" si="349"/>
        <v>0</v>
      </c>
      <c r="T8744" s="128">
        <f t="shared" si="348"/>
        <v>0</v>
      </c>
      <c r="U8744" s="129" t="str">
        <f>IFERROR(IF(#REF!="S",VLOOKUP('Raw Data'!A8744,References!#REF!,2,FALSE),(VLOOKUP($S8744,References!$B$3:$C$7,2,FALSE))),"")</f>
        <v/>
      </c>
      <c r="W8744" s="74" t="str">
        <f>IFERROR(VLOOKUP($O8744,'Customer List'!$A$1:$J$488,10,FALSE),"")</f>
        <v/>
      </c>
    </row>
    <row r="8745" spans="18:23">
      <c r="R8745" s="127">
        <f t="shared" si="349"/>
        <v>0</v>
      </c>
      <c r="T8745" s="128">
        <f t="shared" si="348"/>
        <v>0</v>
      </c>
      <c r="U8745" s="129" t="str">
        <f>IFERROR(IF(#REF!="S",VLOOKUP('Raw Data'!A8745,References!#REF!,2,FALSE),(VLOOKUP($S8745,References!$B$3:$C$7,2,FALSE))),"")</f>
        <v/>
      </c>
      <c r="W8745" s="74" t="str">
        <f>IFERROR(VLOOKUP($O8745,'Customer List'!$A$1:$J$488,10,FALSE),"")</f>
        <v/>
      </c>
    </row>
    <row r="8746" spans="18:23">
      <c r="R8746" s="127">
        <f t="shared" si="349"/>
        <v>0</v>
      </c>
      <c r="T8746" s="128">
        <f t="shared" si="348"/>
        <v>0</v>
      </c>
      <c r="U8746" s="129" t="str">
        <f>IFERROR(IF(#REF!="S",VLOOKUP('Raw Data'!A8746,References!#REF!,2,FALSE),(VLOOKUP($S8746,References!$B$3:$C$7,2,FALSE))),"")</f>
        <v/>
      </c>
      <c r="W8746" s="74" t="str">
        <f>IFERROR(VLOOKUP($O8746,'Customer List'!$A$1:$J$488,10,FALSE),"")</f>
        <v/>
      </c>
    </row>
    <row r="8747" spans="18:23">
      <c r="R8747" s="127">
        <f t="shared" si="349"/>
        <v>0</v>
      </c>
      <c r="T8747" s="128">
        <f t="shared" si="348"/>
        <v>0</v>
      </c>
      <c r="U8747" s="129" t="str">
        <f>IFERROR(IF(#REF!="S",VLOOKUP('Raw Data'!A8747,References!#REF!,2,FALSE),(VLOOKUP($S8747,References!$B$3:$C$7,2,FALSE))),"")</f>
        <v/>
      </c>
      <c r="W8747" s="74" t="str">
        <f>IFERROR(VLOOKUP($O8747,'Customer List'!$A$1:$J$488,10,FALSE),"")</f>
        <v/>
      </c>
    </row>
    <row r="8748" spans="18:23">
      <c r="R8748" s="127">
        <f t="shared" si="349"/>
        <v>0</v>
      </c>
      <c r="T8748" s="128">
        <f t="shared" si="348"/>
        <v>0</v>
      </c>
      <c r="U8748" s="129" t="str">
        <f>IFERROR(IF(#REF!="S",VLOOKUP('Raw Data'!A8748,References!#REF!,2,FALSE),(VLOOKUP($S8748,References!$B$3:$C$7,2,FALSE))),"")</f>
        <v/>
      </c>
      <c r="W8748" s="74" t="str">
        <f>IFERROR(VLOOKUP($O8748,'Customer List'!$A$1:$J$488,10,FALSE),"")</f>
        <v/>
      </c>
    </row>
    <row r="8749" spans="18:23">
      <c r="R8749" s="127">
        <f t="shared" si="349"/>
        <v>0</v>
      </c>
      <c r="T8749" s="128">
        <f t="shared" si="348"/>
        <v>0</v>
      </c>
      <c r="U8749" s="129" t="str">
        <f>IFERROR(IF(#REF!="S",VLOOKUP('Raw Data'!A8749,References!#REF!,2,FALSE),(VLOOKUP($S8749,References!$B$3:$C$7,2,FALSE))),"")</f>
        <v/>
      </c>
      <c r="W8749" s="74" t="str">
        <f>IFERROR(VLOOKUP($O8749,'Customer List'!$A$1:$J$488,10,FALSE),"")</f>
        <v/>
      </c>
    </row>
    <row r="8750" spans="18:23">
      <c r="R8750" s="127">
        <f t="shared" si="349"/>
        <v>0</v>
      </c>
      <c r="T8750" s="128">
        <f t="shared" si="348"/>
        <v>0</v>
      </c>
      <c r="U8750" s="129" t="str">
        <f>IFERROR(IF(#REF!="S",VLOOKUP('Raw Data'!A8750,References!#REF!,2,FALSE),(VLOOKUP($S8750,References!$B$3:$C$7,2,FALSE))),"")</f>
        <v/>
      </c>
      <c r="W8750" s="74" t="str">
        <f>IFERROR(VLOOKUP($O8750,'Customer List'!$A$1:$J$488,10,FALSE),"")</f>
        <v/>
      </c>
    </row>
    <row r="8751" spans="18:23">
      <c r="R8751" s="127">
        <f t="shared" si="349"/>
        <v>0</v>
      </c>
      <c r="T8751" s="128">
        <f t="shared" si="348"/>
        <v>0</v>
      </c>
      <c r="U8751" s="129" t="str">
        <f>IFERROR(IF(#REF!="S",VLOOKUP('Raw Data'!A8751,References!#REF!,2,FALSE),(VLOOKUP($S8751,References!$B$3:$C$7,2,FALSE))),"")</f>
        <v/>
      </c>
      <c r="W8751" s="74" t="str">
        <f>IFERROR(VLOOKUP($O8751,'Customer List'!$A$1:$J$488,10,FALSE),"")</f>
        <v/>
      </c>
    </row>
    <row r="8752" spans="18:23">
      <c r="R8752" s="127">
        <f t="shared" si="349"/>
        <v>0</v>
      </c>
      <c r="T8752" s="128">
        <f t="shared" si="348"/>
        <v>0</v>
      </c>
      <c r="U8752" s="129" t="str">
        <f>IFERROR(IF(#REF!="S",VLOOKUP('Raw Data'!A8752,References!#REF!,2,FALSE),(VLOOKUP($S8752,References!$B$3:$C$7,2,FALSE))),"")</f>
        <v/>
      </c>
      <c r="W8752" s="74" t="str">
        <f>IFERROR(VLOOKUP($O8752,'Customer List'!$A$1:$J$488,10,FALSE),"")</f>
        <v/>
      </c>
    </row>
    <row r="8753" spans="18:23">
      <c r="R8753" s="127">
        <f t="shared" si="349"/>
        <v>0</v>
      </c>
      <c r="T8753" s="128">
        <f t="shared" si="348"/>
        <v>0</v>
      </c>
      <c r="U8753" s="129" t="str">
        <f>IFERROR(IF(#REF!="S",VLOOKUP('Raw Data'!A8753,References!#REF!,2,FALSE),(VLOOKUP($S8753,References!$B$3:$C$7,2,FALSE))),"")</f>
        <v/>
      </c>
      <c r="W8753" s="74" t="str">
        <f>IFERROR(VLOOKUP($O8753,'Customer List'!$A$1:$J$488,10,FALSE),"")</f>
        <v/>
      </c>
    </row>
    <row r="8754" spans="18:23">
      <c r="R8754" s="127">
        <f t="shared" si="349"/>
        <v>0</v>
      </c>
      <c r="T8754" s="128">
        <f t="shared" si="348"/>
        <v>0</v>
      </c>
      <c r="U8754" s="129" t="str">
        <f>IFERROR(IF(#REF!="S",VLOOKUP('Raw Data'!A8754,References!#REF!,2,FALSE),(VLOOKUP($S8754,References!$B$3:$C$7,2,FALSE))),"")</f>
        <v/>
      </c>
      <c r="W8754" s="74" t="str">
        <f>IFERROR(VLOOKUP($O8754,'Customer List'!$A$1:$J$488,10,FALSE),"")</f>
        <v/>
      </c>
    </row>
    <row r="8755" spans="18:23">
      <c r="R8755" s="127">
        <f t="shared" si="349"/>
        <v>0</v>
      </c>
      <c r="T8755" s="128">
        <f t="shared" si="348"/>
        <v>0</v>
      </c>
      <c r="U8755" s="129" t="str">
        <f>IFERROR(IF(#REF!="S",VLOOKUP('Raw Data'!A8755,References!#REF!,2,FALSE),(VLOOKUP($S8755,References!$B$3:$C$7,2,FALSE))),"")</f>
        <v/>
      </c>
      <c r="W8755" s="74" t="str">
        <f>IFERROR(VLOOKUP($O8755,'Customer List'!$A$1:$J$488,10,FALSE),"")</f>
        <v/>
      </c>
    </row>
    <row r="8756" spans="18:23">
      <c r="R8756" s="127">
        <f t="shared" si="349"/>
        <v>0</v>
      </c>
      <c r="T8756" s="128">
        <f t="shared" si="348"/>
        <v>0</v>
      </c>
      <c r="U8756" s="129" t="str">
        <f>IFERROR(IF(#REF!="S",VLOOKUP('Raw Data'!A8756,References!#REF!,2,FALSE),(VLOOKUP($S8756,References!$B$3:$C$7,2,FALSE))),"")</f>
        <v/>
      </c>
      <c r="W8756" s="74" t="str">
        <f>IFERROR(VLOOKUP($O8756,'Customer List'!$A$1:$J$488,10,FALSE),"")</f>
        <v/>
      </c>
    </row>
    <row r="8757" spans="18:23">
      <c r="R8757" s="127">
        <f t="shared" si="349"/>
        <v>0</v>
      </c>
      <c r="T8757" s="128">
        <f t="shared" si="348"/>
        <v>0</v>
      </c>
      <c r="U8757" s="129" t="str">
        <f>IFERROR(IF(#REF!="S",VLOOKUP('Raw Data'!A8757,References!#REF!,2,FALSE),(VLOOKUP($S8757,References!$B$3:$C$7,2,FALSE))),"")</f>
        <v/>
      </c>
      <c r="W8757" s="74" t="str">
        <f>IFERROR(VLOOKUP($O8757,'Customer List'!$A$1:$J$488,10,FALSE),"")</f>
        <v/>
      </c>
    </row>
    <row r="8758" spans="18:23">
      <c r="R8758" s="127">
        <f t="shared" si="349"/>
        <v>0</v>
      </c>
      <c r="T8758" s="128">
        <f t="shared" si="348"/>
        <v>0</v>
      </c>
      <c r="U8758" s="129" t="str">
        <f>IFERROR(IF(#REF!="S",VLOOKUP('Raw Data'!A8758,References!#REF!,2,FALSE),(VLOOKUP($S8758,References!$B$3:$C$7,2,FALSE))),"")</f>
        <v/>
      </c>
      <c r="W8758" s="74" t="str">
        <f>IFERROR(VLOOKUP($O8758,'Customer List'!$A$1:$J$488,10,FALSE),"")</f>
        <v/>
      </c>
    </row>
    <row r="8759" spans="18:23">
      <c r="R8759" s="127">
        <f t="shared" si="349"/>
        <v>0</v>
      </c>
      <c r="T8759" s="128">
        <f t="shared" si="348"/>
        <v>0</v>
      </c>
      <c r="U8759" s="129" t="str">
        <f>IFERROR(IF(#REF!="S",VLOOKUP('Raw Data'!A8759,References!#REF!,2,FALSE),(VLOOKUP($S8759,References!$B$3:$C$7,2,FALSE))),"")</f>
        <v/>
      </c>
      <c r="W8759" s="74" t="str">
        <f>IFERROR(VLOOKUP($O8759,'Customer List'!$A$1:$J$488,10,FALSE),"")</f>
        <v/>
      </c>
    </row>
    <row r="8760" spans="18:23">
      <c r="R8760" s="127">
        <f t="shared" si="349"/>
        <v>0</v>
      </c>
      <c r="T8760" s="128">
        <f t="shared" si="348"/>
        <v>0</v>
      </c>
      <c r="U8760" s="129" t="str">
        <f>IFERROR(IF(#REF!="S",VLOOKUP('Raw Data'!A8760,References!#REF!,2,FALSE),(VLOOKUP($S8760,References!$B$3:$C$7,2,FALSE))),"")</f>
        <v/>
      </c>
      <c r="W8760" s="74" t="str">
        <f>IFERROR(VLOOKUP($O8760,'Customer List'!$A$1:$J$488,10,FALSE),"")</f>
        <v/>
      </c>
    </row>
    <row r="8761" spans="18:23">
      <c r="R8761" s="127">
        <f t="shared" si="349"/>
        <v>0</v>
      </c>
      <c r="T8761" s="128">
        <f t="shared" si="348"/>
        <v>0</v>
      </c>
      <c r="U8761" s="129" t="str">
        <f>IFERROR(IF(#REF!="S",VLOOKUP('Raw Data'!A8761,References!#REF!,2,FALSE),(VLOOKUP($S8761,References!$B$3:$C$7,2,FALSE))),"")</f>
        <v/>
      </c>
      <c r="W8761" s="74" t="str">
        <f>IFERROR(VLOOKUP($O8761,'Customer List'!$A$1:$J$488,10,FALSE),"")</f>
        <v/>
      </c>
    </row>
    <row r="8762" spans="18:23">
      <c r="R8762" s="127">
        <f t="shared" si="349"/>
        <v>0</v>
      </c>
      <c r="T8762" s="128">
        <f t="shared" si="348"/>
        <v>0</v>
      </c>
      <c r="U8762" s="129" t="str">
        <f>IFERROR(IF(#REF!="S",VLOOKUP('Raw Data'!A8762,References!#REF!,2,FALSE),(VLOOKUP($S8762,References!$B$3:$C$7,2,FALSE))),"")</f>
        <v/>
      </c>
      <c r="W8762" s="74" t="str">
        <f>IFERROR(VLOOKUP($O8762,'Customer List'!$A$1:$J$488,10,FALSE),"")</f>
        <v/>
      </c>
    </row>
    <row r="8763" spans="18:23">
      <c r="R8763" s="127">
        <f t="shared" si="349"/>
        <v>0</v>
      </c>
      <c r="T8763" s="128">
        <f t="shared" si="348"/>
        <v>0</v>
      </c>
      <c r="U8763" s="129" t="str">
        <f>IFERROR(IF(#REF!="S",VLOOKUP('Raw Data'!A8763,References!#REF!,2,FALSE),(VLOOKUP($S8763,References!$B$3:$C$7,2,FALSE))),"")</f>
        <v/>
      </c>
      <c r="W8763" s="74" t="str">
        <f>IFERROR(VLOOKUP($O8763,'Customer List'!$A$1:$J$488,10,FALSE),"")</f>
        <v/>
      </c>
    </row>
    <row r="8764" spans="18:23">
      <c r="R8764" s="127">
        <f t="shared" si="349"/>
        <v>0</v>
      </c>
      <c r="T8764" s="128">
        <f t="shared" si="348"/>
        <v>0</v>
      </c>
      <c r="U8764" s="129" t="str">
        <f>IFERROR(IF(#REF!="S",VLOOKUP('Raw Data'!A8764,References!#REF!,2,FALSE),(VLOOKUP($S8764,References!$B$3:$C$7,2,FALSE))),"")</f>
        <v/>
      </c>
      <c r="W8764" s="74" t="str">
        <f>IFERROR(VLOOKUP($O8764,'Customer List'!$A$1:$J$488,10,FALSE),"")</f>
        <v/>
      </c>
    </row>
    <row r="8765" spans="18:23">
      <c r="R8765" s="127">
        <f t="shared" si="349"/>
        <v>0</v>
      </c>
      <c r="T8765" s="128">
        <f t="shared" si="348"/>
        <v>0</v>
      </c>
      <c r="U8765" s="129" t="str">
        <f>IFERROR(IF(#REF!="S",VLOOKUP('Raw Data'!A8765,References!#REF!,2,FALSE),(VLOOKUP($S8765,References!$B$3:$C$7,2,FALSE))),"")</f>
        <v/>
      </c>
      <c r="W8765" s="74" t="str">
        <f>IFERROR(VLOOKUP($O8765,'Customer List'!$A$1:$J$488,10,FALSE),"")</f>
        <v/>
      </c>
    </row>
    <row r="8766" spans="18:23">
      <c r="R8766" s="127">
        <f t="shared" si="349"/>
        <v>0</v>
      </c>
      <c r="T8766" s="128">
        <f t="shared" si="348"/>
        <v>0</v>
      </c>
      <c r="U8766" s="129" t="str">
        <f>IFERROR(IF(#REF!="S",VLOOKUP('Raw Data'!A8766,References!#REF!,2,FALSE),(VLOOKUP($S8766,References!$B$3:$C$7,2,FALSE))),"")</f>
        <v/>
      </c>
      <c r="W8766" s="74" t="str">
        <f>IFERROR(VLOOKUP($O8766,'Customer List'!$A$1:$J$488,10,FALSE),"")</f>
        <v/>
      </c>
    </row>
    <row r="8767" spans="18:23">
      <c r="R8767" s="127">
        <f t="shared" si="349"/>
        <v>0</v>
      </c>
      <c r="T8767" s="128">
        <f t="shared" si="348"/>
        <v>0</v>
      </c>
      <c r="U8767" s="129" t="str">
        <f>IFERROR(IF(#REF!="S",VLOOKUP('Raw Data'!A8767,References!#REF!,2,FALSE),(VLOOKUP($S8767,References!$B$3:$C$7,2,FALSE))),"")</f>
        <v/>
      </c>
      <c r="W8767" s="74" t="str">
        <f>IFERROR(VLOOKUP($O8767,'Customer List'!$A$1:$J$488,10,FALSE),"")</f>
        <v/>
      </c>
    </row>
    <row r="8768" spans="18:23">
      <c r="R8768" s="127">
        <f t="shared" si="349"/>
        <v>0</v>
      </c>
      <c r="T8768" s="128">
        <f t="shared" si="348"/>
        <v>0</v>
      </c>
      <c r="U8768" s="129" t="str">
        <f>IFERROR(IF(#REF!="S",VLOOKUP('Raw Data'!A8768,References!#REF!,2,FALSE),(VLOOKUP($S8768,References!$B$3:$C$7,2,FALSE))),"")</f>
        <v/>
      </c>
      <c r="W8768" s="74" t="str">
        <f>IFERROR(VLOOKUP($O8768,'Customer List'!$A$1:$J$488,10,FALSE),"")</f>
        <v/>
      </c>
    </row>
    <row r="8769" spans="18:23">
      <c r="R8769" s="127">
        <f t="shared" si="349"/>
        <v>0</v>
      </c>
      <c r="T8769" s="128">
        <f t="shared" si="348"/>
        <v>0</v>
      </c>
      <c r="U8769" s="129" t="str">
        <f>IFERROR(IF(#REF!="S",VLOOKUP('Raw Data'!A8769,References!#REF!,2,FALSE),(VLOOKUP($S8769,References!$B$3:$C$7,2,FALSE))),"")</f>
        <v/>
      </c>
      <c r="W8769" s="74" t="str">
        <f>IFERROR(VLOOKUP($O8769,'Customer List'!$A$1:$J$488,10,FALSE),"")</f>
        <v/>
      </c>
    </row>
    <row r="8770" spans="18:23">
      <c r="R8770" s="127">
        <f t="shared" si="349"/>
        <v>0</v>
      </c>
      <c r="T8770" s="128">
        <f t="shared" si="348"/>
        <v>0</v>
      </c>
      <c r="U8770" s="129" t="str">
        <f>IFERROR(IF(#REF!="S",VLOOKUP('Raw Data'!A8770,References!#REF!,2,FALSE),(VLOOKUP($S8770,References!$B$3:$C$7,2,FALSE))),"")</f>
        <v/>
      </c>
      <c r="W8770" s="74" t="str">
        <f>IFERROR(VLOOKUP($O8770,'Customer List'!$A$1:$J$488,10,FALSE),"")</f>
        <v/>
      </c>
    </row>
    <row r="8771" spans="18:23">
      <c r="R8771" s="127">
        <f t="shared" si="349"/>
        <v>0</v>
      </c>
      <c r="T8771" s="128">
        <f t="shared" si="348"/>
        <v>0</v>
      </c>
      <c r="U8771" s="129" t="str">
        <f>IFERROR(IF(#REF!="S",VLOOKUP('Raw Data'!A8771,References!#REF!,2,FALSE),(VLOOKUP($S8771,References!$B$3:$C$7,2,FALSE))),"")</f>
        <v/>
      </c>
      <c r="W8771" s="74" t="str">
        <f>IFERROR(VLOOKUP($O8771,'Customer List'!$A$1:$J$488,10,FALSE),"")</f>
        <v/>
      </c>
    </row>
    <row r="8772" spans="18:23">
      <c r="R8772" s="127">
        <f t="shared" si="349"/>
        <v>0</v>
      </c>
      <c r="T8772" s="128">
        <f t="shared" si="348"/>
        <v>0</v>
      </c>
      <c r="U8772" s="129" t="str">
        <f>IFERROR(IF(#REF!="S",VLOOKUP('Raw Data'!A8772,References!#REF!,2,FALSE),(VLOOKUP($S8772,References!$B$3:$C$7,2,FALSE))),"")</f>
        <v/>
      </c>
      <c r="W8772" s="74" t="str">
        <f>IFERROR(VLOOKUP($O8772,'Customer List'!$A$1:$J$488,10,FALSE),"")</f>
        <v/>
      </c>
    </row>
    <row r="8773" spans="18:23">
      <c r="R8773" s="127">
        <f t="shared" si="349"/>
        <v>0</v>
      </c>
      <c r="T8773" s="128">
        <f t="shared" si="348"/>
        <v>0</v>
      </c>
      <c r="U8773" s="129" t="str">
        <f>IFERROR(IF(#REF!="S",VLOOKUP('Raw Data'!A8773,References!#REF!,2,FALSE),(VLOOKUP($S8773,References!$B$3:$C$7,2,FALSE))),"")</f>
        <v/>
      </c>
      <c r="W8773" s="74" t="str">
        <f>IFERROR(VLOOKUP($O8773,'Customer List'!$A$1:$J$488,10,FALSE),"")</f>
        <v/>
      </c>
    </row>
    <row r="8774" spans="18:23">
      <c r="R8774" s="127">
        <f t="shared" si="349"/>
        <v>0</v>
      </c>
      <c r="T8774" s="128">
        <f t="shared" si="348"/>
        <v>0</v>
      </c>
      <c r="U8774" s="129" t="str">
        <f>IFERROR(IF(#REF!="S",VLOOKUP('Raw Data'!A8774,References!#REF!,2,FALSE),(VLOOKUP($S8774,References!$B$3:$C$7,2,FALSE))),"")</f>
        <v/>
      </c>
      <c r="W8774" s="74" t="str">
        <f>IFERROR(VLOOKUP($O8774,'Customer List'!$A$1:$J$488,10,FALSE),"")</f>
        <v/>
      </c>
    </row>
    <row r="8775" spans="18:23">
      <c r="R8775" s="127">
        <f t="shared" si="349"/>
        <v>0</v>
      </c>
      <c r="T8775" s="128">
        <f t="shared" si="348"/>
        <v>0</v>
      </c>
      <c r="U8775" s="129" t="str">
        <f>IFERROR(IF(#REF!="S",VLOOKUP('Raw Data'!A8775,References!#REF!,2,FALSE),(VLOOKUP($S8775,References!$B$3:$C$7,2,FALSE))),"")</f>
        <v/>
      </c>
      <c r="W8775" s="74" t="str">
        <f>IFERROR(VLOOKUP($O8775,'Customer List'!$A$1:$J$488,10,FALSE),"")</f>
        <v/>
      </c>
    </row>
    <row r="8776" spans="18:23">
      <c r="R8776" s="127">
        <f t="shared" si="349"/>
        <v>0</v>
      </c>
      <c r="T8776" s="128">
        <f t="shared" si="348"/>
        <v>0</v>
      </c>
      <c r="U8776" s="129" t="str">
        <f>IFERROR(IF(#REF!="S",VLOOKUP('Raw Data'!A8776,References!#REF!,2,FALSE),(VLOOKUP($S8776,References!$B$3:$C$7,2,FALSE))),"")</f>
        <v/>
      </c>
      <c r="W8776" s="74" t="str">
        <f>IFERROR(VLOOKUP($O8776,'Customer List'!$A$1:$J$488,10,FALSE),"")</f>
        <v/>
      </c>
    </row>
    <row r="8777" spans="18:23">
      <c r="R8777" s="127">
        <f t="shared" si="349"/>
        <v>0</v>
      </c>
      <c r="T8777" s="128">
        <f t="shared" si="348"/>
        <v>0</v>
      </c>
      <c r="U8777" s="129" t="str">
        <f>IFERROR(IF(#REF!="S",VLOOKUP('Raw Data'!A8777,References!#REF!,2,FALSE),(VLOOKUP($S8777,References!$B$3:$C$7,2,FALSE))),"")</f>
        <v/>
      </c>
      <c r="W8777" s="74" t="str">
        <f>IFERROR(VLOOKUP($O8777,'Customer List'!$A$1:$J$488,10,FALSE),"")</f>
        <v/>
      </c>
    </row>
    <row r="8778" spans="18:23">
      <c r="R8778" s="127">
        <f t="shared" si="349"/>
        <v>0</v>
      </c>
      <c r="T8778" s="128">
        <f t="shared" ref="T8778:T8841" si="350">IF(S8778="50 - Cleaning Fee",1,HOUR($R8778)+MINUTE(R8778)/60)</f>
        <v>0</v>
      </c>
      <c r="U8778" s="129" t="str">
        <f>IFERROR(IF(#REF!="S",VLOOKUP('Raw Data'!A8778,References!#REF!,2,FALSE),(VLOOKUP($S8778,References!$B$3:$C$7,2,FALSE))),"")</f>
        <v/>
      </c>
      <c r="W8778" s="74" t="str">
        <f>IFERROR(VLOOKUP($O8778,'Customer List'!$A$1:$J$488,10,FALSE),"")</f>
        <v/>
      </c>
    </row>
    <row r="8779" spans="18:23">
      <c r="R8779" s="127">
        <f t="shared" si="349"/>
        <v>0</v>
      </c>
      <c r="T8779" s="128">
        <f t="shared" si="350"/>
        <v>0</v>
      </c>
      <c r="U8779" s="129" t="str">
        <f>IFERROR(IF(#REF!="S",VLOOKUP('Raw Data'!A8779,References!#REF!,2,FALSE),(VLOOKUP($S8779,References!$B$3:$C$7,2,FALSE))),"")</f>
        <v/>
      </c>
      <c r="W8779" s="74" t="str">
        <f>IFERROR(VLOOKUP($O8779,'Customer List'!$A$1:$J$488,10,FALSE),"")</f>
        <v/>
      </c>
    </row>
    <row r="8780" spans="18:23">
      <c r="R8780" s="127">
        <f t="shared" si="349"/>
        <v>0</v>
      </c>
      <c r="T8780" s="128">
        <f t="shared" si="350"/>
        <v>0</v>
      </c>
      <c r="U8780" s="129" t="str">
        <f>IFERROR(IF(#REF!="S",VLOOKUP('Raw Data'!A8780,References!#REF!,2,FALSE),(VLOOKUP($S8780,References!$B$3:$C$7,2,FALSE))),"")</f>
        <v/>
      </c>
      <c r="W8780" s="74" t="str">
        <f>IFERROR(VLOOKUP($O8780,'Customer List'!$A$1:$J$488,10,FALSE),"")</f>
        <v/>
      </c>
    </row>
    <row r="8781" spans="18:23">
      <c r="R8781" s="127">
        <f t="shared" si="349"/>
        <v>0</v>
      </c>
      <c r="T8781" s="128">
        <f t="shared" si="350"/>
        <v>0</v>
      </c>
      <c r="U8781" s="129" t="str">
        <f>IFERROR(IF(#REF!="S",VLOOKUP('Raw Data'!A8781,References!#REF!,2,FALSE),(VLOOKUP($S8781,References!$B$3:$C$7,2,FALSE))),"")</f>
        <v/>
      </c>
      <c r="W8781" s="74" t="str">
        <f>IFERROR(VLOOKUP($O8781,'Customer List'!$A$1:$J$488,10,FALSE),"")</f>
        <v/>
      </c>
    </row>
    <row r="8782" spans="18:23">
      <c r="R8782" s="127">
        <f t="shared" si="349"/>
        <v>0</v>
      </c>
      <c r="T8782" s="128">
        <f t="shared" si="350"/>
        <v>0</v>
      </c>
      <c r="U8782" s="129" t="str">
        <f>IFERROR(IF(#REF!="S",VLOOKUP('Raw Data'!A8782,References!#REF!,2,FALSE),(VLOOKUP($S8782,References!$B$3:$C$7,2,FALSE))),"")</f>
        <v/>
      </c>
      <c r="W8782" s="74" t="str">
        <f>IFERROR(VLOOKUP($O8782,'Customer List'!$A$1:$J$488,10,FALSE),"")</f>
        <v/>
      </c>
    </row>
    <row r="8783" spans="18:23">
      <c r="R8783" s="127">
        <f t="shared" si="349"/>
        <v>0</v>
      </c>
      <c r="T8783" s="128">
        <f t="shared" si="350"/>
        <v>0</v>
      </c>
      <c r="U8783" s="129" t="str">
        <f>IFERROR(IF(#REF!="S",VLOOKUP('Raw Data'!A8783,References!#REF!,2,FALSE),(VLOOKUP($S8783,References!$B$3:$C$7,2,FALSE))),"")</f>
        <v/>
      </c>
      <c r="W8783" s="74" t="str">
        <f>IFERROR(VLOOKUP($O8783,'Customer List'!$A$1:$J$488,10,FALSE),"")</f>
        <v/>
      </c>
    </row>
    <row r="8784" spans="18:23">
      <c r="R8784" s="127">
        <f t="shared" si="349"/>
        <v>0</v>
      </c>
      <c r="T8784" s="128">
        <f t="shared" si="350"/>
        <v>0</v>
      </c>
      <c r="U8784" s="129" t="str">
        <f>IFERROR(IF(#REF!="S",VLOOKUP('Raw Data'!A8784,References!#REF!,2,FALSE),(VLOOKUP($S8784,References!$B$3:$C$7,2,FALSE))),"")</f>
        <v/>
      </c>
      <c r="W8784" s="74" t="str">
        <f>IFERROR(VLOOKUP($O8784,'Customer List'!$A$1:$J$488,10,FALSE),"")</f>
        <v/>
      </c>
    </row>
    <row r="8785" spans="18:23">
      <c r="R8785" s="127">
        <f t="shared" si="349"/>
        <v>0</v>
      </c>
      <c r="T8785" s="128">
        <f t="shared" si="350"/>
        <v>0</v>
      </c>
      <c r="U8785" s="129" t="str">
        <f>IFERROR(IF(#REF!="S",VLOOKUP('Raw Data'!A8785,References!#REF!,2,FALSE),(VLOOKUP($S8785,References!$B$3:$C$7,2,FALSE))),"")</f>
        <v/>
      </c>
      <c r="W8785" s="74" t="str">
        <f>IFERROR(VLOOKUP($O8785,'Customer List'!$A$1:$J$488,10,FALSE),"")</f>
        <v/>
      </c>
    </row>
    <row r="8786" spans="18:23">
      <c r="R8786" s="127">
        <f t="shared" si="349"/>
        <v>0</v>
      </c>
      <c r="T8786" s="128">
        <f t="shared" si="350"/>
        <v>0</v>
      </c>
      <c r="U8786" s="129" t="str">
        <f>IFERROR(IF(#REF!="S",VLOOKUP('Raw Data'!A8786,References!#REF!,2,FALSE),(VLOOKUP($S8786,References!$B$3:$C$7,2,FALSE))),"")</f>
        <v/>
      </c>
      <c r="W8786" s="74" t="str">
        <f>IFERROR(VLOOKUP($O8786,'Customer List'!$A$1:$J$488,10,FALSE),"")</f>
        <v/>
      </c>
    </row>
    <row r="8787" spans="18:23">
      <c r="R8787" s="127">
        <f t="shared" si="349"/>
        <v>0</v>
      </c>
      <c r="T8787" s="128">
        <f t="shared" si="350"/>
        <v>0</v>
      </c>
      <c r="U8787" s="129" t="str">
        <f>IFERROR(IF(#REF!="S",VLOOKUP('Raw Data'!A8787,References!#REF!,2,FALSE),(VLOOKUP($S8787,References!$B$3:$C$7,2,FALSE))),"")</f>
        <v/>
      </c>
      <c r="W8787" s="74" t="str">
        <f>IFERROR(VLOOKUP($O8787,'Customer List'!$A$1:$J$488,10,FALSE),"")</f>
        <v/>
      </c>
    </row>
    <row r="8788" spans="18:23">
      <c r="R8788" s="127">
        <f t="shared" si="349"/>
        <v>0</v>
      </c>
      <c r="T8788" s="128">
        <f t="shared" si="350"/>
        <v>0</v>
      </c>
      <c r="U8788" s="129" t="str">
        <f>IFERROR(IF(#REF!="S",VLOOKUP('Raw Data'!A8788,References!#REF!,2,FALSE),(VLOOKUP($S8788,References!$B$3:$C$7,2,FALSE))),"")</f>
        <v/>
      </c>
      <c r="W8788" s="74" t="str">
        <f>IFERROR(VLOOKUP($O8788,'Customer List'!$A$1:$J$488,10,FALSE),"")</f>
        <v/>
      </c>
    </row>
    <row r="8789" spans="18:23">
      <c r="R8789" s="127">
        <f t="shared" si="349"/>
        <v>0</v>
      </c>
      <c r="T8789" s="128">
        <f t="shared" si="350"/>
        <v>0</v>
      </c>
      <c r="U8789" s="129" t="str">
        <f>IFERROR(IF(#REF!="S",VLOOKUP('Raw Data'!A8789,References!#REF!,2,FALSE),(VLOOKUP($S8789,References!$B$3:$C$7,2,FALSE))),"")</f>
        <v/>
      </c>
      <c r="W8789" s="74" t="str">
        <f>IFERROR(VLOOKUP($O8789,'Customer List'!$A$1:$J$488,10,FALSE),"")</f>
        <v/>
      </c>
    </row>
    <row r="8790" spans="18:23">
      <c r="R8790" s="127">
        <f t="shared" si="349"/>
        <v>0</v>
      </c>
      <c r="T8790" s="128">
        <f t="shared" si="350"/>
        <v>0</v>
      </c>
      <c r="U8790" s="129" t="str">
        <f>IFERROR(IF(#REF!="S",VLOOKUP('Raw Data'!A8790,References!#REF!,2,FALSE),(VLOOKUP($S8790,References!$B$3:$C$7,2,FALSE))),"")</f>
        <v/>
      </c>
      <c r="W8790" s="74" t="str">
        <f>IFERROR(VLOOKUP($O8790,'Customer List'!$A$1:$J$488,10,FALSE),"")</f>
        <v/>
      </c>
    </row>
    <row r="8791" spans="18:23">
      <c r="R8791" s="127">
        <f t="shared" si="349"/>
        <v>0</v>
      </c>
      <c r="T8791" s="128">
        <f t="shared" si="350"/>
        <v>0</v>
      </c>
      <c r="U8791" s="129" t="str">
        <f>IFERROR(IF(#REF!="S",VLOOKUP('Raw Data'!A8791,References!#REF!,2,FALSE),(VLOOKUP($S8791,References!$B$3:$C$7,2,FALSE))),"")</f>
        <v/>
      </c>
      <c r="W8791" s="74" t="str">
        <f>IFERROR(VLOOKUP($O8791,'Customer List'!$A$1:$J$488,10,FALSE),"")</f>
        <v/>
      </c>
    </row>
    <row r="8792" spans="18:23">
      <c r="R8792" s="127">
        <f t="shared" si="349"/>
        <v>0</v>
      </c>
      <c r="T8792" s="128">
        <f t="shared" si="350"/>
        <v>0</v>
      </c>
      <c r="U8792" s="129" t="str">
        <f>IFERROR(IF(#REF!="S",VLOOKUP('Raw Data'!A8792,References!#REF!,2,FALSE),(VLOOKUP($S8792,References!$B$3:$C$7,2,FALSE))),"")</f>
        <v/>
      </c>
      <c r="W8792" s="74" t="str">
        <f>IFERROR(VLOOKUP($O8792,'Customer List'!$A$1:$J$488,10,FALSE),"")</f>
        <v/>
      </c>
    </row>
    <row r="8793" spans="18:23">
      <c r="R8793" s="127">
        <f t="shared" si="349"/>
        <v>0</v>
      </c>
      <c r="T8793" s="128">
        <f t="shared" si="350"/>
        <v>0</v>
      </c>
      <c r="U8793" s="129" t="str">
        <f>IFERROR(IF(#REF!="S",VLOOKUP('Raw Data'!A8793,References!#REF!,2,FALSE),(VLOOKUP($S8793,References!$B$3:$C$7,2,FALSE))),"")</f>
        <v/>
      </c>
      <c r="W8793" s="74" t="str">
        <f>IFERROR(VLOOKUP($O8793,'Customer List'!$A$1:$J$488,10,FALSE),"")</f>
        <v/>
      </c>
    </row>
    <row r="8794" spans="18:23">
      <c r="R8794" s="127">
        <f t="shared" si="349"/>
        <v>0</v>
      </c>
      <c r="T8794" s="128">
        <f t="shared" si="350"/>
        <v>0</v>
      </c>
      <c r="U8794" s="129" t="str">
        <f>IFERROR(IF(#REF!="S",VLOOKUP('Raw Data'!A8794,References!#REF!,2,FALSE),(VLOOKUP($S8794,References!$B$3:$C$7,2,FALSE))),"")</f>
        <v/>
      </c>
      <c r="W8794" s="74" t="str">
        <f>IFERROR(VLOOKUP($O8794,'Customer List'!$A$1:$J$488,10,FALSE),"")</f>
        <v/>
      </c>
    </row>
    <row r="8795" spans="18:23">
      <c r="R8795" s="127">
        <f t="shared" si="349"/>
        <v>0</v>
      </c>
      <c r="T8795" s="128">
        <f t="shared" si="350"/>
        <v>0</v>
      </c>
      <c r="U8795" s="129" t="str">
        <f>IFERROR(IF(#REF!="S",VLOOKUP('Raw Data'!A8795,References!#REF!,2,FALSE),(VLOOKUP($S8795,References!$B$3:$C$7,2,FALSE))),"")</f>
        <v/>
      </c>
      <c r="W8795" s="74" t="str">
        <f>IFERROR(VLOOKUP($O8795,'Customer List'!$A$1:$J$488,10,FALSE),"")</f>
        <v/>
      </c>
    </row>
    <row r="8796" spans="18:23">
      <c r="R8796" s="127">
        <f t="shared" si="349"/>
        <v>0</v>
      </c>
      <c r="T8796" s="128">
        <f t="shared" si="350"/>
        <v>0</v>
      </c>
      <c r="U8796" s="129" t="str">
        <f>IFERROR(IF(#REF!="S",VLOOKUP('Raw Data'!A8796,References!#REF!,2,FALSE),(VLOOKUP($S8796,References!$B$3:$C$7,2,FALSE))),"")</f>
        <v/>
      </c>
      <c r="W8796" s="74" t="str">
        <f>IFERROR(VLOOKUP($O8796,'Customer List'!$A$1:$J$488,10,FALSE),"")</f>
        <v/>
      </c>
    </row>
    <row r="8797" spans="18:23">
      <c r="R8797" s="127">
        <f t="shared" si="349"/>
        <v>0</v>
      </c>
      <c r="T8797" s="128">
        <f t="shared" si="350"/>
        <v>0</v>
      </c>
      <c r="U8797" s="129" t="str">
        <f>IFERROR(IF(#REF!="S",VLOOKUP('Raw Data'!A8797,References!#REF!,2,FALSE),(VLOOKUP($S8797,References!$B$3:$C$7,2,FALSE))),"")</f>
        <v/>
      </c>
      <c r="W8797" s="74" t="str">
        <f>IFERROR(VLOOKUP($O8797,'Customer List'!$A$1:$J$488,10,FALSE),"")</f>
        <v/>
      </c>
    </row>
    <row r="8798" spans="18:23">
      <c r="R8798" s="127">
        <f t="shared" si="349"/>
        <v>0</v>
      </c>
      <c r="T8798" s="128">
        <f t="shared" si="350"/>
        <v>0</v>
      </c>
      <c r="U8798" s="129" t="str">
        <f>IFERROR(IF(#REF!="S",VLOOKUP('Raw Data'!A8798,References!#REF!,2,FALSE),(VLOOKUP($S8798,References!$B$3:$C$7,2,FALSE))),"")</f>
        <v/>
      </c>
      <c r="W8798" s="74" t="str">
        <f>IFERROR(VLOOKUP($O8798,'Customer List'!$A$1:$J$488,10,FALSE),"")</f>
        <v/>
      </c>
    </row>
    <row r="8799" spans="18:23">
      <c r="R8799" s="127">
        <f t="shared" si="349"/>
        <v>0</v>
      </c>
      <c r="T8799" s="128">
        <f t="shared" si="350"/>
        <v>0</v>
      </c>
      <c r="U8799" s="129" t="str">
        <f>IFERROR(IF(#REF!="S",VLOOKUP('Raw Data'!A8799,References!#REF!,2,FALSE),(VLOOKUP($S8799,References!$B$3:$C$7,2,FALSE))),"")</f>
        <v/>
      </c>
      <c r="W8799" s="74" t="str">
        <f>IFERROR(VLOOKUP($O8799,'Customer List'!$A$1:$J$488,10,FALSE),"")</f>
        <v/>
      </c>
    </row>
    <row r="8800" spans="18:23">
      <c r="R8800" s="127">
        <f t="shared" si="349"/>
        <v>0</v>
      </c>
      <c r="T8800" s="128">
        <f t="shared" si="350"/>
        <v>0</v>
      </c>
      <c r="U8800" s="129" t="str">
        <f>IFERROR(IF(#REF!="S",VLOOKUP('Raw Data'!A8800,References!#REF!,2,FALSE),(VLOOKUP($S8800,References!$B$3:$C$7,2,FALSE))),"")</f>
        <v/>
      </c>
      <c r="W8800" s="74" t="str">
        <f>IFERROR(VLOOKUP($O8800,'Customer List'!$A$1:$J$488,10,FALSE),"")</f>
        <v/>
      </c>
    </row>
    <row r="8801" spans="18:23">
      <c r="R8801" s="127">
        <f t="shared" si="349"/>
        <v>0</v>
      </c>
      <c r="T8801" s="128">
        <f t="shared" si="350"/>
        <v>0</v>
      </c>
      <c r="U8801" s="129" t="str">
        <f>IFERROR(IF(#REF!="S",VLOOKUP('Raw Data'!A8801,References!#REF!,2,FALSE),(VLOOKUP($S8801,References!$B$3:$C$7,2,FALSE))),"")</f>
        <v/>
      </c>
      <c r="W8801" s="74" t="str">
        <f>IFERROR(VLOOKUP($O8801,'Customer List'!$A$1:$J$488,10,FALSE),"")</f>
        <v/>
      </c>
    </row>
    <row r="8802" spans="18:23">
      <c r="R8802" s="127">
        <f t="shared" ref="R8802:R8865" si="351">L8802-K8802</f>
        <v>0</v>
      </c>
      <c r="T8802" s="128">
        <f t="shared" si="350"/>
        <v>0</v>
      </c>
      <c r="U8802" s="129" t="str">
        <f>IFERROR(IF(#REF!="S",VLOOKUP('Raw Data'!A8802,References!#REF!,2,FALSE),(VLOOKUP($S8802,References!$B$3:$C$7,2,FALSE))),"")</f>
        <v/>
      </c>
      <c r="W8802" s="74" t="str">
        <f>IFERROR(VLOOKUP($O8802,'Customer List'!$A$1:$J$488,10,FALSE),"")</f>
        <v/>
      </c>
    </row>
    <row r="8803" spans="18:23">
      <c r="R8803" s="127">
        <f t="shared" si="351"/>
        <v>0</v>
      </c>
      <c r="T8803" s="128">
        <f t="shared" si="350"/>
        <v>0</v>
      </c>
      <c r="U8803" s="129" t="str">
        <f>IFERROR(IF(#REF!="S",VLOOKUP('Raw Data'!A8803,References!#REF!,2,FALSE),(VLOOKUP($S8803,References!$B$3:$C$7,2,FALSE))),"")</f>
        <v/>
      </c>
      <c r="W8803" s="74" t="str">
        <f>IFERROR(VLOOKUP($O8803,'Customer List'!$A$1:$J$488,10,FALSE),"")</f>
        <v/>
      </c>
    </row>
    <row r="8804" spans="18:23">
      <c r="R8804" s="127">
        <f t="shared" si="351"/>
        <v>0</v>
      </c>
      <c r="T8804" s="128">
        <f t="shared" si="350"/>
        <v>0</v>
      </c>
      <c r="U8804" s="129" t="str">
        <f>IFERROR(IF(#REF!="S",VLOOKUP('Raw Data'!A8804,References!#REF!,2,FALSE),(VLOOKUP($S8804,References!$B$3:$C$7,2,FALSE))),"")</f>
        <v/>
      </c>
      <c r="W8804" s="74" t="str">
        <f>IFERROR(VLOOKUP($O8804,'Customer List'!$A$1:$J$488,10,FALSE),"")</f>
        <v/>
      </c>
    </row>
    <row r="8805" spans="18:23">
      <c r="R8805" s="127">
        <f t="shared" si="351"/>
        <v>0</v>
      </c>
      <c r="T8805" s="128">
        <f t="shared" si="350"/>
        <v>0</v>
      </c>
      <c r="U8805" s="129" t="str">
        <f>IFERROR(IF(#REF!="S",VLOOKUP('Raw Data'!A8805,References!#REF!,2,FALSE),(VLOOKUP($S8805,References!$B$3:$C$7,2,FALSE))),"")</f>
        <v/>
      </c>
      <c r="W8805" s="74" t="str">
        <f>IFERROR(VLOOKUP($O8805,'Customer List'!$A$1:$J$488,10,FALSE),"")</f>
        <v/>
      </c>
    </row>
    <row r="8806" spans="18:23">
      <c r="R8806" s="127">
        <f t="shared" si="351"/>
        <v>0</v>
      </c>
      <c r="T8806" s="128">
        <f t="shared" si="350"/>
        <v>0</v>
      </c>
      <c r="U8806" s="129" t="str">
        <f>IFERROR(IF(#REF!="S",VLOOKUP('Raw Data'!A8806,References!#REF!,2,FALSE),(VLOOKUP($S8806,References!$B$3:$C$7,2,FALSE))),"")</f>
        <v/>
      </c>
      <c r="W8806" s="74" t="str">
        <f>IFERROR(VLOOKUP($O8806,'Customer List'!$A$1:$J$488,10,FALSE),"")</f>
        <v/>
      </c>
    </row>
    <row r="8807" spans="18:23">
      <c r="R8807" s="127">
        <f t="shared" si="351"/>
        <v>0</v>
      </c>
      <c r="T8807" s="128">
        <f t="shared" si="350"/>
        <v>0</v>
      </c>
      <c r="U8807" s="129" t="str">
        <f>IFERROR(IF(#REF!="S",VLOOKUP('Raw Data'!A8807,References!#REF!,2,FALSE),(VLOOKUP($S8807,References!$B$3:$C$7,2,FALSE))),"")</f>
        <v/>
      </c>
      <c r="W8807" s="74" t="str">
        <f>IFERROR(VLOOKUP($O8807,'Customer List'!$A$1:$J$488,10,FALSE),"")</f>
        <v/>
      </c>
    </row>
    <row r="8808" spans="18:23">
      <c r="R8808" s="127">
        <f t="shared" si="351"/>
        <v>0</v>
      </c>
      <c r="T8808" s="128">
        <f t="shared" si="350"/>
        <v>0</v>
      </c>
      <c r="U8808" s="129" t="str">
        <f>IFERROR(IF(#REF!="S",VLOOKUP('Raw Data'!A8808,References!#REF!,2,FALSE),(VLOOKUP($S8808,References!$B$3:$C$7,2,FALSE))),"")</f>
        <v/>
      </c>
      <c r="W8808" s="74" t="str">
        <f>IFERROR(VLOOKUP($O8808,'Customer List'!$A$1:$J$488,10,FALSE),"")</f>
        <v/>
      </c>
    </row>
    <row r="8809" spans="18:23">
      <c r="R8809" s="127">
        <f t="shared" si="351"/>
        <v>0</v>
      </c>
      <c r="T8809" s="128">
        <f t="shared" si="350"/>
        <v>0</v>
      </c>
      <c r="U8809" s="129" t="str">
        <f>IFERROR(IF(#REF!="S",VLOOKUP('Raw Data'!A8809,References!#REF!,2,FALSE),(VLOOKUP($S8809,References!$B$3:$C$7,2,FALSE))),"")</f>
        <v/>
      </c>
      <c r="W8809" s="74" t="str">
        <f>IFERROR(VLOOKUP($O8809,'Customer List'!$A$1:$J$488,10,FALSE),"")</f>
        <v/>
      </c>
    </row>
    <row r="8810" spans="18:23">
      <c r="R8810" s="127">
        <f t="shared" si="351"/>
        <v>0</v>
      </c>
      <c r="T8810" s="128">
        <f t="shared" si="350"/>
        <v>0</v>
      </c>
      <c r="U8810" s="129" t="str">
        <f>IFERROR(IF(#REF!="S",VLOOKUP('Raw Data'!A8810,References!#REF!,2,FALSE),(VLOOKUP($S8810,References!$B$3:$C$7,2,FALSE))),"")</f>
        <v/>
      </c>
      <c r="W8810" s="74" t="str">
        <f>IFERROR(VLOOKUP($O8810,'Customer List'!$A$1:$J$488,10,FALSE),"")</f>
        <v/>
      </c>
    </row>
    <row r="8811" spans="18:23">
      <c r="R8811" s="127">
        <f t="shared" si="351"/>
        <v>0</v>
      </c>
      <c r="T8811" s="128">
        <f t="shared" si="350"/>
        <v>0</v>
      </c>
      <c r="U8811" s="129" t="str">
        <f>IFERROR(IF(#REF!="S",VLOOKUP('Raw Data'!A8811,References!#REF!,2,FALSE),(VLOOKUP($S8811,References!$B$3:$C$7,2,FALSE))),"")</f>
        <v/>
      </c>
      <c r="W8811" s="74" t="str">
        <f>IFERROR(VLOOKUP($O8811,'Customer List'!$A$1:$J$488,10,FALSE),"")</f>
        <v/>
      </c>
    </row>
    <row r="8812" spans="18:23">
      <c r="R8812" s="127">
        <f t="shared" si="351"/>
        <v>0</v>
      </c>
      <c r="T8812" s="128">
        <f t="shared" si="350"/>
        <v>0</v>
      </c>
      <c r="U8812" s="129" t="str">
        <f>IFERROR(IF(#REF!="S",VLOOKUP('Raw Data'!A8812,References!#REF!,2,FALSE),(VLOOKUP($S8812,References!$B$3:$C$7,2,FALSE))),"")</f>
        <v/>
      </c>
      <c r="W8812" s="74" t="str">
        <f>IFERROR(VLOOKUP($O8812,'Customer List'!$A$1:$J$488,10,FALSE),"")</f>
        <v/>
      </c>
    </row>
    <row r="8813" spans="18:23">
      <c r="R8813" s="127">
        <f t="shared" si="351"/>
        <v>0</v>
      </c>
      <c r="T8813" s="128">
        <f t="shared" si="350"/>
        <v>0</v>
      </c>
      <c r="U8813" s="129" t="str">
        <f>IFERROR(IF(#REF!="S",VLOOKUP('Raw Data'!A8813,References!#REF!,2,FALSE),(VLOOKUP($S8813,References!$B$3:$C$7,2,FALSE))),"")</f>
        <v/>
      </c>
      <c r="W8813" s="74" t="str">
        <f>IFERROR(VLOOKUP($O8813,'Customer List'!$A$1:$J$488,10,FALSE),"")</f>
        <v/>
      </c>
    </row>
    <row r="8814" spans="18:23">
      <c r="R8814" s="127">
        <f t="shared" si="351"/>
        <v>0</v>
      </c>
      <c r="T8814" s="128">
        <f t="shared" si="350"/>
        <v>0</v>
      </c>
      <c r="U8814" s="129" t="str">
        <f>IFERROR(IF(#REF!="S",VLOOKUP('Raw Data'!A8814,References!#REF!,2,FALSE),(VLOOKUP($S8814,References!$B$3:$C$7,2,FALSE))),"")</f>
        <v/>
      </c>
      <c r="W8814" s="74" t="str">
        <f>IFERROR(VLOOKUP($O8814,'Customer List'!$A$1:$J$488,10,FALSE),"")</f>
        <v/>
      </c>
    </row>
    <row r="8815" spans="18:23">
      <c r="R8815" s="127">
        <f t="shared" si="351"/>
        <v>0</v>
      </c>
      <c r="T8815" s="128">
        <f t="shared" si="350"/>
        <v>0</v>
      </c>
      <c r="U8815" s="129" t="str">
        <f>IFERROR(IF(#REF!="S",VLOOKUP('Raw Data'!A8815,References!#REF!,2,FALSE),(VLOOKUP($S8815,References!$B$3:$C$7,2,FALSE))),"")</f>
        <v/>
      </c>
      <c r="W8815" s="74" t="str">
        <f>IFERROR(VLOOKUP($O8815,'Customer List'!$A$1:$J$488,10,FALSE),"")</f>
        <v/>
      </c>
    </row>
    <row r="8816" spans="18:23">
      <c r="R8816" s="127">
        <f t="shared" si="351"/>
        <v>0</v>
      </c>
      <c r="T8816" s="128">
        <f t="shared" si="350"/>
        <v>0</v>
      </c>
      <c r="U8816" s="129" t="str">
        <f>IFERROR(IF(#REF!="S",VLOOKUP('Raw Data'!A8816,References!#REF!,2,FALSE),(VLOOKUP($S8816,References!$B$3:$C$7,2,FALSE))),"")</f>
        <v/>
      </c>
      <c r="W8816" s="74" t="str">
        <f>IFERROR(VLOOKUP($O8816,'Customer List'!$A$1:$J$488,10,FALSE),"")</f>
        <v/>
      </c>
    </row>
    <row r="8817" spans="18:23">
      <c r="R8817" s="127">
        <f t="shared" si="351"/>
        <v>0</v>
      </c>
      <c r="T8817" s="128">
        <f t="shared" si="350"/>
        <v>0</v>
      </c>
      <c r="U8817" s="129" t="str">
        <f>IFERROR(IF(#REF!="S",VLOOKUP('Raw Data'!A8817,References!#REF!,2,FALSE),(VLOOKUP($S8817,References!$B$3:$C$7,2,FALSE))),"")</f>
        <v/>
      </c>
      <c r="W8817" s="74" t="str">
        <f>IFERROR(VLOOKUP($O8817,'Customer List'!$A$1:$J$488,10,FALSE),"")</f>
        <v/>
      </c>
    </row>
    <row r="8818" spans="18:23">
      <c r="R8818" s="127">
        <f t="shared" si="351"/>
        <v>0</v>
      </c>
      <c r="T8818" s="128">
        <f t="shared" si="350"/>
        <v>0</v>
      </c>
      <c r="U8818" s="129" t="str">
        <f>IFERROR(IF(#REF!="S",VLOOKUP('Raw Data'!A8818,References!#REF!,2,FALSE),(VLOOKUP($S8818,References!$B$3:$C$7,2,FALSE))),"")</f>
        <v/>
      </c>
      <c r="W8818" s="74" t="str">
        <f>IFERROR(VLOOKUP($O8818,'Customer List'!$A$1:$J$488,10,FALSE),"")</f>
        <v/>
      </c>
    </row>
    <row r="8819" spans="18:23">
      <c r="R8819" s="127">
        <f t="shared" si="351"/>
        <v>0</v>
      </c>
      <c r="T8819" s="128">
        <f t="shared" si="350"/>
        <v>0</v>
      </c>
      <c r="U8819" s="129" t="str">
        <f>IFERROR(IF(#REF!="S",VLOOKUP('Raw Data'!A8819,References!#REF!,2,FALSE),(VLOOKUP($S8819,References!$B$3:$C$7,2,FALSE))),"")</f>
        <v/>
      </c>
      <c r="W8819" s="74" t="str">
        <f>IFERROR(VLOOKUP($O8819,'Customer List'!$A$1:$J$488,10,FALSE),"")</f>
        <v/>
      </c>
    </row>
    <row r="8820" spans="18:23">
      <c r="R8820" s="127">
        <f t="shared" si="351"/>
        <v>0</v>
      </c>
      <c r="T8820" s="128">
        <f t="shared" si="350"/>
        <v>0</v>
      </c>
      <c r="U8820" s="129" t="str">
        <f>IFERROR(IF(#REF!="S",VLOOKUP('Raw Data'!A8820,References!#REF!,2,FALSE),(VLOOKUP($S8820,References!$B$3:$C$7,2,FALSE))),"")</f>
        <v/>
      </c>
      <c r="W8820" s="74" t="str">
        <f>IFERROR(VLOOKUP($O8820,'Customer List'!$A$1:$J$488,10,FALSE),"")</f>
        <v/>
      </c>
    </row>
    <row r="8821" spans="18:23">
      <c r="R8821" s="127">
        <f t="shared" si="351"/>
        <v>0</v>
      </c>
      <c r="T8821" s="128">
        <f t="shared" si="350"/>
        <v>0</v>
      </c>
      <c r="U8821" s="129" t="str">
        <f>IFERROR(IF(#REF!="S",VLOOKUP('Raw Data'!A8821,References!#REF!,2,FALSE),(VLOOKUP($S8821,References!$B$3:$C$7,2,FALSE))),"")</f>
        <v/>
      </c>
      <c r="W8821" s="74" t="str">
        <f>IFERROR(VLOOKUP($O8821,'Customer List'!$A$1:$J$488,10,FALSE),"")</f>
        <v/>
      </c>
    </row>
    <row r="8822" spans="18:23">
      <c r="R8822" s="127">
        <f t="shared" si="351"/>
        <v>0</v>
      </c>
      <c r="T8822" s="128">
        <f t="shared" si="350"/>
        <v>0</v>
      </c>
      <c r="U8822" s="129" t="str">
        <f>IFERROR(IF(#REF!="S",VLOOKUP('Raw Data'!A8822,References!#REF!,2,FALSE),(VLOOKUP($S8822,References!$B$3:$C$7,2,FALSE))),"")</f>
        <v/>
      </c>
      <c r="W8822" s="74" t="str">
        <f>IFERROR(VLOOKUP($O8822,'Customer List'!$A$1:$J$488,10,FALSE),"")</f>
        <v/>
      </c>
    </row>
    <row r="8823" spans="18:23">
      <c r="R8823" s="127">
        <f t="shared" si="351"/>
        <v>0</v>
      </c>
      <c r="T8823" s="128">
        <f t="shared" si="350"/>
        <v>0</v>
      </c>
      <c r="U8823" s="129" t="str">
        <f>IFERROR(IF(#REF!="S",VLOOKUP('Raw Data'!A8823,References!#REF!,2,FALSE),(VLOOKUP($S8823,References!$B$3:$C$7,2,FALSE))),"")</f>
        <v/>
      </c>
      <c r="W8823" s="74" t="str">
        <f>IFERROR(VLOOKUP($O8823,'Customer List'!$A$1:$J$488,10,FALSE),"")</f>
        <v/>
      </c>
    </row>
    <row r="8824" spans="18:23">
      <c r="R8824" s="127">
        <f t="shared" si="351"/>
        <v>0</v>
      </c>
      <c r="T8824" s="128">
        <f t="shared" si="350"/>
        <v>0</v>
      </c>
      <c r="U8824" s="129" t="str">
        <f>IFERROR(IF(#REF!="S",VLOOKUP('Raw Data'!A8824,References!#REF!,2,FALSE),(VLOOKUP($S8824,References!$B$3:$C$7,2,FALSE))),"")</f>
        <v/>
      </c>
      <c r="W8824" s="74" t="str">
        <f>IFERROR(VLOOKUP($O8824,'Customer List'!$A$1:$J$488,10,FALSE),"")</f>
        <v/>
      </c>
    </row>
    <row r="8825" spans="18:23">
      <c r="R8825" s="127">
        <f t="shared" si="351"/>
        <v>0</v>
      </c>
      <c r="T8825" s="128">
        <f t="shared" si="350"/>
        <v>0</v>
      </c>
      <c r="U8825" s="129" t="str">
        <f>IFERROR(IF(#REF!="S",VLOOKUP('Raw Data'!A8825,References!#REF!,2,FALSE),(VLOOKUP($S8825,References!$B$3:$C$7,2,FALSE))),"")</f>
        <v/>
      </c>
      <c r="W8825" s="74" t="str">
        <f>IFERROR(VLOOKUP($O8825,'Customer List'!$A$1:$J$488,10,FALSE),"")</f>
        <v/>
      </c>
    </row>
    <row r="8826" spans="18:23">
      <c r="R8826" s="127">
        <f t="shared" si="351"/>
        <v>0</v>
      </c>
      <c r="T8826" s="128">
        <f t="shared" si="350"/>
        <v>0</v>
      </c>
      <c r="U8826" s="129" t="str">
        <f>IFERROR(IF(#REF!="S",VLOOKUP('Raw Data'!A8826,References!#REF!,2,FALSE),(VLOOKUP($S8826,References!$B$3:$C$7,2,FALSE))),"")</f>
        <v/>
      </c>
      <c r="W8826" s="74" t="str">
        <f>IFERROR(VLOOKUP($O8826,'Customer List'!$A$1:$J$488,10,FALSE),"")</f>
        <v/>
      </c>
    </row>
    <row r="8827" spans="18:23">
      <c r="R8827" s="127">
        <f t="shared" si="351"/>
        <v>0</v>
      </c>
      <c r="T8827" s="128">
        <f t="shared" si="350"/>
        <v>0</v>
      </c>
      <c r="U8827" s="129" t="str">
        <f>IFERROR(IF(#REF!="S",VLOOKUP('Raw Data'!A8827,References!#REF!,2,FALSE),(VLOOKUP($S8827,References!$B$3:$C$7,2,FALSE))),"")</f>
        <v/>
      </c>
      <c r="W8827" s="74" t="str">
        <f>IFERROR(VLOOKUP($O8827,'Customer List'!$A$1:$J$488,10,FALSE),"")</f>
        <v/>
      </c>
    </row>
    <row r="8828" spans="18:23">
      <c r="R8828" s="127">
        <f t="shared" si="351"/>
        <v>0</v>
      </c>
      <c r="T8828" s="128">
        <f t="shared" si="350"/>
        <v>0</v>
      </c>
      <c r="U8828" s="129" t="str">
        <f>IFERROR(IF(#REF!="S",VLOOKUP('Raw Data'!A8828,References!#REF!,2,FALSE),(VLOOKUP($S8828,References!$B$3:$C$7,2,FALSE))),"")</f>
        <v/>
      </c>
      <c r="W8828" s="74" t="str">
        <f>IFERROR(VLOOKUP($O8828,'Customer List'!$A$1:$J$488,10,FALSE),"")</f>
        <v/>
      </c>
    </row>
    <row r="8829" spans="18:23">
      <c r="R8829" s="127">
        <f t="shared" si="351"/>
        <v>0</v>
      </c>
      <c r="T8829" s="128">
        <f t="shared" si="350"/>
        <v>0</v>
      </c>
      <c r="U8829" s="129" t="str">
        <f>IFERROR(IF(#REF!="S",VLOOKUP('Raw Data'!A8829,References!#REF!,2,FALSE),(VLOOKUP($S8829,References!$B$3:$C$7,2,FALSE))),"")</f>
        <v/>
      </c>
      <c r="W8829" s="74" t="str">
        <f>IFERROR(VLOOKUP($O8829,'Customer List'!$A$1:$J$488,10,FALSE),"")</f>
        <v/>
      </c>
    </row>
    <row r="8830" spans="18:23">
      <c r="R8830" s="127">
        <f t="shared" si="351"/>
        <v>0</v>
      </c>
      <c r="T8830" s="128">
        <f t="shared" si="350"/>
        <v>0</v>
      </c>
      <c r="U8830" s="129" t="str">
        <f>IFERROR(IF(#REF!="S",VLOOKUP('Raw Data'!A8830,References!#REF!,2,FALSE),(VLOOKUP($S8830,References!$B$3:$C$7,2,FALSE))),"")</f>
        <v/>
      </c>
      <c r="W8830" s="74" t="str">
        <f>IFERROR(VLOOKUP($O8830,'Customer List'!$A$1:$J$488,10,FALSE),"")</f>
        <v/>
      </c>
    </row>
    <row r="8831" spans="18:23">
      <c r="R8831" s="127">
        <f t="shared" si="351"/>
        <v>0</v>
      </c>
      <c r="T8831" s="128">
        <f t="shared" si="350"/>
        <v>0</v>
      </c>
      <c r="U8831" s="129" t="str">
        <f>IFERROR(IF(#REF!="S",VLOOKUP('Raw Data'!A8831,References!#REF!,2,FALSE),(VLOOKUP($S8831,References!$B$3:$C$7,2,FALSE))),"")</f>
        <v/>
      </c>
      <c r="W8831" s="74" t="str">
        <f>IFERROR(VLOOKUP($O8831,'Customer List'!$A$1:$J$488,10,FALSE),"")</f>
        <v/>
      </c>
    </row>
    <row r="8832" spans="18:23">
      <c r="R8832" s="127">
        <f t="shared" si="351"/>
        <v>0</v>
      </c>
      <c r="T8832" s="128">
        <f t="shared" si="350"/>
        <v>0</v>
      </c>
      <c r="U8832" s="129" t="str">
        <f>IFERROR(IF(#REF!="S",VLOOKUP('Raw Data'!A8832,References!#REF!,2,FALSE),(VLOOKUP($S8832,References!$B$3:$C$7,2,FALSE))),"")</f>
        <v/>
      </c>
      <c r="W8832" s="74" t="str">
        <f>IFERROR(VLOOKUP($O8832,'Customer List'!$A$1:$J$488,10,FALSE),"")</f>
        <v/>
      </c>
    </row>
    <row r="8833" spans="18:23">
      <c r="R8833" s="127">
        <f t="shared" si="351"/>
        <v>0</v>
      </c>
      <c r="T8833" s="128">
        <f t="shared" si="350"/>
        <v>0</v>
      </c>
      <c r="U8833" s="129" t="str">
        <f>IFERROR(IF(#REF!="S",VLOOKUP('Raw Data'!A8833,References!#REF!,2,FALSE),(VLOOKUP($S8833,References!$B$3:$C$7,2,FALSE))),"")</f>
        <v/>
      </c>
      <c r="W8833" s="74" t="str">
        <f>IFERROR(VLOOKUP($O8833,'Customer List'!$A$1:$J$488,10,FALSE),"")</f>
        <v/>
      </c>
    </row>
    <row r="8834" spans="18:23">
      <c r="R8834" s="127">
        <f t="shared" si="351"/>
        <v>0</v>
      </c>
      <c r="T8834" s="128">
        <f t="shared" si="350"/>
        <v>0</v>
      </c>
      <c r="U8834" s="129" t="str">
        <f>IFERROR(IF(#REF!="S",VLOOKUP('Raw Data'!A8834,References!#REF!,2,FALSE),(VLOOKUP($S8834,References!$B$3:$C$7,2,FALSE))),"")</f>
        <v/>
      </c>
      <c r="W8834" s="74" t="str">
        <f>IFERROR(VLOOKUP($O8834,'Customer List'!$A$1:$J$488,10,FALSE),"")</f>
        <v/>
      </c>
    </row>
    <row r="8835" spans="18:23">
      <c r="R8835" s="127">
        <f t="shared" si="351"/>
        <v>0</v>
      </c>
      <c r="T8835" s="128">
        <f t="shared" si="350"/>
        <v>0</v>
      </c>
      <c r="U8835" s="129" t="str">
        <f>IFERROR(IF(#REF!="S",VLOOKUP('Raw Data'!A8835,References!#REF!,2,FALSE),(VLOOKUP($S8835,References!$B$3:$C$7,2,FALSE))),"")</f>
        <v/>
      </c>
      <c r="W8835" s="74" t="str">
        <f>IFERROR(VLOOKUP($O8835,'Customer List'!$A$1:$J$488,10,FALSE),"")</f>
        <v/>
      </c>
    </row>
    <row r="8836" spans="18:23">
      <c r="R8836" s="127">
        <f t="shared" si="351"/>
        <v>0</v>
      </c>
      <c r="T8836" s="128">
        <f t="shared" si="350"/>
        <v>0</v>
      </c>
      <c r="U8836" s="129" t="str">
        <f>IFERROR(IF(#REF!="S",VLOOKUP('Raw Data'!A8836,References!#REF!,2,FALSE),(VLOOKUP($S8836,References!$B$3:$C$7,2,FALSE))),"")</f>
        <v/>
      </c>
      <c r="W8836" s="74" t="str">
        <f>IFERROR(VLOOKUP($O8836,'Customer List'!$A$1:$J$488,10,FALSE),"")</f>
        <v/>
      </c>
    </row>
    <row r="8837" spans="18:23">
      <c r="R8837" s="127">
        <f t="shared" si="351"/>
        <v>0</v>
      </c>
      <c r="T8837" s="128">
        <f t="shared" si="350"/>
        <v>0</v>
      </c>
      <c r="U8837" s="129" t="str">
        <f>IFERROR(IF(#REF!="S",VLOOKUP('Raw Data'!A8837,References!#REF!,2,FALSE),(VLOOKUP($S8837,References!$B$3:$C$7,2,FALSE))),"")</f>
        <v/>
      </c>
      <c r="W8837" s="74" t="str">
        <f>IFERROR(VLOOKUP($O8837,'Customer List'!$A$1:$J$488,10,FALSE),"")</f>
        <v/>
      </c>
    </row>
    <row r="8838" spans="18:23">
      <c r="R8838" s="127">
        <f t="shared" si="351"/>
        <v>0</v>
      </c>
      <c r="T8838" s="128">
        <f t="shared" si="350"/>
        <v>0</v>
      </c>
      <c r="U8838" s="129" t="str">
        <f>IFERROR(IF(#REF!="S",VLOOKUP('Raw Data'!A8838,References!#REF!,2,FALSE),(VLOOKUP($S8838,References!$B$3:$C$7,2,FALSE))),"")</f>
        <v/>
      </c>
      <c r="W8838" s="74" t="str">
        <f>IFERROR(VLOOKUP($O8838,'Customer List'!$A$1:$J$488,10,FALSE),"")</f>
        <v/>
      </c>
    </row>
    <row r="8839" spans="18:23">
      <c r="R8839" s="127">
        <f t="shared" si="351"/>
        <v>0</v>
      </c>
      <c r="T8839" s="128">
        <f t="shared" si="350"/>
        <v>0</v>
      </c>
      <c r="U8839" s="129" t="str">
        <f>IFERROR(IF(#REF!="S",VLOOKUP('Raw Data'!A8839,References!#REF!,2,FALSE),(VLOOKUP($S8839,References!$B$3:$C$7,2,FALSE))),"")</f>
        <v/>
      </c>
      <c r="W8839" s="74" t="str">
        <f>IFERROR(VLOOKUP($O8839,'Customer List'!$A$1:$J$488,10,FALSE),"")</f>
        <v/>
      </c>
    </row>
    <row r="8840" spans="18:23">
      <c r="R8840" s="127">
        <f t="shared" si="351"/>
        <v>0</v>
      </c>
      <c r="T8840" s="128">
        <f t="shared" si="350"/>
        <v>0</v>
      </c>
      <c r="U8840" s="129" t="str">
        <f>IFERROR(IF(#REF!="S",VLOOKUP('Raw Data'!A8840,References!#REF!,2,FALSE),(VLOOKUP($S8840,References!$B$3:$C$7,2,FALSE))),"")</f>
        <v/>
      </c>
      <c r="W8840" s="74" t="str">
        <f>IFERROR(VLOOKUP($O8840,'Customer List'!$A$1:$J$488,10,FALSE),"")</f>
        <v/>
      </c>
    </row>
    <row r="8841" spans="18:23">
      <c r="R8841" s="127">
        <f t="shared" si="351"/>
        <v>0</v>
      </c>
      <c r="T8841" s="128">
        <f t="shared" si="350"/>
        <v>0</v>
      </c>
      <c r="U8841" s="129" t="str">
        <f>IFERROR(IF(#REF!="S",VLOOKUP('Raw Data'!A8841,References!#REF!,2,FALSE),(VLOOKUP($S8841,References!$B$3:$C$7,2,FALSE))),"")</f>
        <v/>
      </c>
      <c r="W8841" s="74" t="str">
        <f>IFERROR(VLOOKUP($O8841,'Customer List'!$A$1:$J$488,10,FALSE),"")</f>
        <v/>
      </c>
    </row>
    <row r="8842" spans="18:23">
      <c r="R8842" s="127">
        <f t="shared" si="351"/>
        <v>0</v>
      </c>
      <c r="T8842" s="128">
        <f t="shared" ref="T8842:T8905" si="352">IF(S8842="50 - Cleaning Fee",1,HOUR($R8842)+MINUTE(R8842)/60)</f>
        <v>0</v>
      </c>
      <c r="U8842" s="129" t="str">
        <f>IFERROR(IF(#REF!="S",VLOOKUP('Raw Data'!A8842,References!#REF!,2,FALSE),(VLOOKUP($S8842,References!$B$3:$C$7,2,FALSE))),"")</f>
        <v/>
      </c>
      <c r="W8842" s="74" t="str">
        <f>IFERROR(VLOOKUP($O8842,'Customer List'!$A$1:$J$488,10,FALSE),"")</f>
        <v/>
      </c>
    </row>
    <row r="8843" spans="18:23">
      <c r="R8843" s="127">
        <f t="shared" si="351"/>
        <v>0</v>
      </c>
      <c r="T8843" s="128">
        <f t="shared" si="352"/>
        <v>0</v>
      </c>
      <c r="U8843" s="129" t="str">
        <f>IFERROR(IF(#REF!="S",VLOOKUP('Raw Data'!A8843,References!#REF!,2,FALSE),(VLOOKUP($S8843,References!$B$3:$C$7,2,FALSE))),"")</f>
        <v/>
      </c>
      <c r="W8843" s="74" t="str">
        <f>IFERROR(VLOOKUP($O8843,'Customer List'!$A$1:$J$488,10,FALSE),"")</f>
        <v/>
      </c>
    </row>
    <row r="8844" spans="18:23">
      <c r="R8844" s="127">
        <f t="shared" si="351"/>
        <v>0</v>
      </c>
      <c r="T8844" s="128">
        <f t="shared" si="352"/>
        <v>0</v>
      </c>
      <c r="U8844" s="129" t="str">
        <f>IFERROR(IF(#REF!="S",VLOOKUP('Raw Data'!A8844,References!#REF!,2,FALSE),(VLOOKUP($S8844,References!$B$3:$C$7,2,FALSE))),"")</f>
        <v/>
      </c>
      <c r="W8844" s="74" t="str">
        <f>IFERROR(VLOOKUP($O8844,'Customer List'!$A$1:$J$488,10,FALSE),"")</f>
        <v/>
      </c>
    </row>
    <row r="8845" spans="18:23">
      <c r="R8845" s="127">
        <f t="shared" si="351"/>
        <v>0</v>
      </c>
      <c r="T8845" s="128">
        <f t="shared" si="352"/>
        <v>0</v>
      </c>
      <c r="U8845" s="129" t="str">
        <f>IFERROR(IF(#REF!="S",VLOOKUP('Raw Data'!A8845,References!#REF!,2,FALSE),(VLOOKUP($S8845,References!$B$3:$C$7,2,FALSE))),"")</f>
        <v/>
      </c>
      <c r="W8845" s="74" t="str">
        <f>IFERROR(VLOOKUP($O8845,'Customer List'!$A$1:$J$488,10,FALSE),"")</f>
        <v/>
      </c>
    </row>
    <row r="8846" spans="18:23">
      <c r="R8846" s="127">
        <f t="shared" si="351"/>
        <v>0</v>
      </c>
      <c r="T8846" s="128">
        <f t="shared" si="352"/>
        <v>0</v>
      </c>
      <c r="U8846" s="129" t="str">
        <f>IFERROR(IF(#REF!="S",VLOOKUP('Raw Data'!A8846,References!#REF!,2,FALSE),(VLOOKUP($S8846,References!$B$3:$C$7,2,FALSE))),"")</f>
        <v/>
      </c>
      <c r="W8846" s="74" t="str">
        <f>IFERROR(VLOOKUP($O8846,'Customer List'!$A$1:$J$488,10,FALSE),"")</f>
        <v/>
      </c>
    </row>
    <row r="8847" spans="18:23">
      <c r="R8847" s="127">
        <f t="shared" si="351"/>
        <v>0</v>
      </c>
      <c r="T8847" s="128">
        <f t="shared" si="352"/>
        <v>0</v>
      </c>
      <c r="U8847" s="129" t="str">
        <f>IFERROR(IF(#REF!="S",VLOOKUP('Raw Data'!A8847,References!#REF!,2,FALSE),(VLOOKUP($S8847,References!$B$3:$C$7,2,FALSE))),"")</f>
        <v/>
      </c>
      <c r="W8847" s="74" t="str">
        <f>IFERROR(VLOOKUP($O8847,'Customer List'!$A$1:$J$488,10,FALSE),"")</f>
        <v/>
      </c>
    </row>
    <row r="8848" spans="18:23">
      <c r="R8848" s="127">
        <f t="shared" si="351"/>
        <v>0</v>
      </c>
      <c r="T8848" s="128">
        <f t="shared" si="352"/>
        <v>0</v>
      </c>
      <c r="U8848" s="129" t="str">
        <f>IFERROR(IF(#REF!="S",VLOOKUP('Raw Data'!A8848,References!#REF!,2,FALSE),(VLOOKUP($S8848,References!$B$3:$C$7,2,FALSE))),"")</f>
        <v/>
      </c>
      <c r="W8848" s="74" t="str">
        <f>IFERROR(VLOOKUP($O8848,'Customer List'!$A$1:$J$488,10,FALSE),"")</f>
        <v/>
      </c>
    </row>
    <row r="8849" spans="18:23">
      <c r="R8849" s="127">
        <f t="shared" si="351"/>
        <v>0</v>
      </c>
      <c r="T8849" s="128">
        <f t="shared" si="352"/>
        <v>0</v>
      </c>
      <c r="U8849" s="129" t="str">
        <f>IFERROR(IF(#REF!="S",VLOOKUP('Raw Data'!A8849,References!#REF!,2,FALSE),(VLOOKUP($S8849,References!$B$3:$C$7,2,FALSE))),"")</f>
        <v/>
      </c>
      <c r="W8849" s="74" t="str">
        <f>IFERROR(VLOOKUP($O8849,'Customer List'!$A$1:$J$488,10,FALSE),"")</f>
        <v/>
      </c>
    </row>
    <row r="8850" spans="18:23">
      <c r="R8850" s="127">
        <f t="shared" si="351"/>
        <v>0</v>
      </c>
      <c r="T8850" s="128">
        <f t="shared" si="352"/>
        <v>0</v>
      </c>
      <c r="U8850" s="129" t="str">
        <f>IFERROR(IF(#REF!="S",VLOOKUP('Raw Data'!A8850,References!#REF!,2,FALSE),(VLOOKUP($S8850,References!$B$3:$C$7,2,FALSE))),"")</f>
        <v/>
      </c>
      <c r="W8850" s="74" t="str">
        <f>IFERROR(VLOOKUP($O8850,'Customer List'!$A$1:$J$488,10,FALSE),"")</f>
        <v/>
      </c>
    </row>
    <row r="8851" spans="18:23">
      <c r="R8851" s="127">
        <f t="shared" si="351"/>
        <v>0</v>
      </c>
      <c r="T8851" s="128">
        <f t="shared" si="352"/>
        <v>0</v>
      </c>
      <c r="U8851" s="129" t="str">
        <f>IFERROR(IF(#REF!="S",VLOOKUP('Raw Data'!A8851,References!#REF!,2,FALSE),(VLOOKUP($S8851,References!$B$3:$C$7,2,FALSE))),"")</f>
        <v/>
      </c>
      <c r="W8851" s="74" t="str">
        <f>IFERROR(VLOOKUP($O8851,'Customer List'!$A$1:$J$488,10,FALSE),"")</f>
        <v/>
      </c>
    </row>
    <row r="8852" spans="18:23">
      <c r="R8852" s="127">
        <f t="shared" si="351"/>
        <v>0</v>
      </c>
      <c r="T8852" s="128">
        <f t="shared" si="352"/>
        <v>0</v>
      </c>
      <c r="U8852" s="129" t="str">
        <f>IFERROR(IF(#REF!="S",VLOOKUP('Raw Data'!A8852,References!#REF!,2,FALSE),(VLOOKUP($S8852,References!$B$3:$C$7,2,FALSE))),"")</f>
        <v/>
      </c>
      <c r="W8852" s="74" t="str">
        <f>IFERROR(VLOOKUP($O8852,'Customer List'!$A$1:$J$488,10,FALSE),"")</f>
        <v/>
      </c>
    </row>
    <row r="8853" spans="18:23">
      <c r="R8853" s="127">
        <f t="shared" si="351"/>
        <v>0</v>
      </c>
      <c r="T8853" s="128">
        <f t="shared" si="352"/>
        <v>0</v>
      </c>
      <c r="U8853" s="129" t="str">
        <f>IFERROR(IF(#REF!="S",VLOOKUP('Raw Data'!A8853,References!#REF!,2,FALSE),(VLOOKUP($S8853,References!$B$3:$C$7,2,FALSE))),"")</f>
        <v/>
      </c>
      <c r="W8853" s="74" t="str">
        <f>IFERROR(VLOOKUP($O8853,'Customer List'!$A$1:$J$488,10,FALSE),"")</f>
        <v/>
      </c>
    </row>
    <row r="8854" spans="18:23">
      <c r="R8854" s="127">
        <f t="shared" si="351"/>
        <v>0</v>
      </c>
      <c r="T8854" s="128">
        <f t="shared" si="352"/>
        <v>0</v>
      </c>
      <c r="U8854" s="129" t="str">
        <f>IFERROR(IF(#REF!="S",VLOOKUP('Raw Data'!A8854,References!#REF!,2,FALSE),(VLOOKUP($S8854,References!$B$3:$C$7,2,FALSE))),"")</f>
        <v/>
      </c>
      <c r="W8854" s="74" t="str">
        <f>IFERROR(VLOOKUP($O8854,'Customer List'!$A$1:$J$488,10,FALSE),"")</f>
        <v/>
      </c>
    </row>
    <row r="8855" spans="18:23">
      <c r="R8855" s="127">
        <f t="shared" si="351"/>
        <v>0</v>
      </c>
      <c r="T8855" s="128">
        <f t="shared" si="352"/>
        <v>0</v>
      </c>
      <c r="U8855" s="129" t="str">
        <f>IFERROR(IF(#REF!="S",VLOOKUP('Raw Data'!A8855,References!#REF!,2,FALSE),(VLOOKUP($S8855,References!$B$3:$C$7,2,FALSE))),"")</f>
        <v/>
      </c>
      <c r="W8855" s="74" t="str">
        <f>IFERROR(VLOOKUP($O8855,'Customer List'!$A$1:$J$488,10,FALSE),"")</f>
        <v/>
      </c>
    </row>
    <row r="8856" spans="18:23">
      <c r="R8856" s="127">
        <f t="shared" si="351"/>
        <v>0</v>
      </c>
      <c r="T8856" s="128">
        <f t="shared" si="352"/>
        <v>0</v>
      </c>
      <c r="U8856" s="129" t="str">
        <f>IFERROR(IF(#REF!="S",VLOOKUP('Raw Data'!A8856,References!#REF!,2,FALSE),(VLOOKUP($S8856,References!$B$3:$C$7,2,FALSE))),"")</f>
        <v/>
      </c>
      <c r="W8856" s="74" t="str">
        <f>IFERROR(VLOOKUP($O8856,'Customer List'!$A$1:$J$488,10,FALSE),"")</f>
        <v/>
      </c>
    </row>
    <row r="8857" spans="18:23">
      <c r="R8857" s="127">
        <f t="shared" si="351"/>
        <v>0</v>
      </c>
      <c r="T8857" s="128">
        <f t="shared" si="352"/>
        <v>0</v>
      </c>
      <c r="U8857" s="129" t="str">
        <f>IFERROR(IF(#REF!="S",VLOOKUP('Raw Data'!A8857,References!#REF!,2,FALSE),(VLOOKUP($S8857,References!$B$3:$C$7,2,FALSE))),"")</f>
        <v/>
      </c>
      <c r="W8857" s="74" t="str">
        <f>IFERROR(VLOOKUP($O8857,'Customer List'!$A$1:$J$488,10,FALSE),"")</f>
        <v/>
      </c>
    </row>
    <row r="8858" spans="18:23">
      <c r="R8858" s="127">
        <f t="shared" si="351"/>
        <v>0</v>
      </c>
      <c r="T8858" s="128">
        <f t="shared" si="352"/>
        <v>0</v>
      </c>
      <c r="U8858" s="129" t="str">
        <f>IFERROR(IF(#REF!="S",VLOOKUP('Raw Data'!A8858,References!#REF!,2,FALSE),(VLOOKUP($S8858,References!$B$3:$C$7,2,FALSE))),"")</f>
        <v/>
      </c>
      <c r="W8858" s="74" t="str">
        <f>IFERROR(VLOOKUP($O8858,'Customer List'!$A$1:$J$488,10,FALSE),"")</f>
        <v/>
      </c>
    </row>
    <row r="8859" spans="18:23">
      <c r="R8859" s="127">
        <f t="shared" si="351"/>
        <v>0</v>
      </c>
      <c r="T8859" s="128">
        <f t="shared" si="352"/>
        <v>0</v>
      </c>
      <c r="U8859" s="129" t="str">
        <f>IFERROR(IF(#REF!="S",VLOOKUP('Raw Data'!A8859,References!#REF!,2,FALSE),(VLOOKUP($S8859,References!$B$3:$C$7,2,FALSE))),"")</f>
        <v/>
      </c>
      <c r="W8859" s="74" t="str">
        <f>IFERROR(VLOOKUP($O8859,'Customer List'!$A$1:$J$488,10,FALSE),"")</f>
        <v/>
      </c>
    </row>
    <row r="8860" spans="18:23">
      <c r="R8860" s="127">
        <f t="shared" si="351"/>
        <v>0</v>
      </c>
      <c r="T8860" s="128">
        <f t="shared" si="352"/>
        <v>0</v>
      </c>
      <c r="U8860" s="129" t="str">
        <f>IFERROR(IF(#REF!="S",VLOOKUP('Raw Data'!A8860,References!#REF!,2,FALSE),(VLOOKUP($S8860,References!$B$3:$C$7,2,FALSE))),"")</f>
        <v/>
      </c>
      <c r="W8860" s="74" t="str">
        <f>IFERROR(VLOOKUP($O8860,'Customer List'!$A$1:$J$488,10,FALSE),"")</f>
        <v/>
      </c>
    </row>
    <row r="8861" spans="18:23">
      <c r="R8861" s="127">
        <f t="shared" si="351"/>
        <v>0</v>
      </c>
      <c r="T8861" s="128">
        <f t="shared" si="352"/>
        <v>0</v>
      </c>
      <c r="U8861" s="129" t="str">
        <f>IFERROR(IF(#REF!="S",VLOOKUP('Raw Data'!A8861,References!#REF!,2,FALSE),(VLOOKUP($S8861,References!$B$3:$C$7,2,FALSE))),"")</f>
        <v/>
      </c>
      <c r="W8861" s="74" t="str">
        <f>IFERROR(VLOOKUP($O8861,'Customer List'!$A$1:$J$488,10,FALSE),"")</f>
        <v/>
      </c>
    </row>
    <row r="8862" spans="18:23">
      <c r="R8862" s="127">
        <f t="shared" si="351"/>
        <v>0</v>
      </c>
      <c r="T8862" s="128">
        <f t="shared" si="352"/>
        <v>0</v>
      </c>
      <c r="U8862" s="129" t="str">
        <f>IFERROR(IF(#REF!="S",VLOOKUP('Raw Data'!A8862,References!#REF!,2,FALSE),(VLOOKUP($S8862,References!$B$3:$C$7,2,FALSE))),"")</f>
        <v/>
      </c>
      <c r="W8862" s="74" t="str">
        <f>IFERROR(VLOOKUP($O8862,'Customer List'!$A$1:$J$488,10,FALSE),"")</f>
        <v/>
      </c>
    </row>
    <row r="8863" spans="18:23">
      <c r="R8863" s="127">
        <f t="shared" si="351"/>
        <v>0</v>
      </c>
      <c r="T8863" s="128">
        <f t="shared" si="352"/>
        <v>0</v>
      </c>
      <c r="U8863" s="129" t="str">
        <f>IFERROR(IF(#REF!="S",VLOOKUP('Raw Data'!A8863,References!#REF!,2,FALSE),(VLOOKUP($S8863,References!$B$3:$C$7,2,FALSE))),"")</f>
        <v/>
      </c>
      <c r="W8863" s="74" t="str">
        <f>IFERROR(VLOOKUP($O8863,'Customer List'!$A$1:$J$488,10,FALSE),"")</f>
        <v/>
      </c>
    </row>
    <row r="8864" spans="18:23">
      <c r="R8864" s="127">
        <f t="shared" si="351"/>
        <v>0</v>
      </c>
      <c r="T8864" s="128">
        <f t="shared" si="352"/>
        <v>0</v>
      </c>
      <c r="U8864" s="129" t="str">
        <f>IFERROR(IF(#REF!="S",VLOOKUP('Raw Data'!A8864,References!#REF!,2,FALSE),(VLOOKUP($S8864,References!$B$3:$C$7,2,FALSE))),"")</f>
        <v/>
      </c>
      <c r="W8864" s="74" t="str">
        <f>IFERROR(VLOOKUP($O8864,'Customer List'!$A$1:$J$488,10,FALSE),"")</f>
        <v/>
      </c>
    </row>
    <row r="8865" spans="18:23">
      <c r="R8865" s="127">
        <f t="shared" si="351"/>
        <v>0</v>
      </c>
      <c r="T8865" s="128">
        <f t="shared" si="352"/>
        <v>0</v>
      </c>
      <c r="U8865" s="129" t="str">
        <f>IFERROR(IF(#REF!="S",VLOOKUP('Raw Data'!A8865,References!#REF!,2,FALSE),(VLOOKUP($S8865,References!$B$3:$C$7,2,FALSE))),"")</f>
        <v/>
      </c>
      <c r="W8865" s="74" t="str">
        <f>IFERROR(VLOOKUP($O8865,'Customer List'!$A$1:$J$488,10,FALSE),"")</f>
        <v/>
      </c>
    </row>
    <row r="8866" spans="18:23">
      <c r="R8866" s="127">
        <f t="shared" ref="R8866:R8929" si="353">L8866-K8866</f>
        <v>0</v>
      </c>
      <c r="T8866" s="128">
        <f t="shared" si="352"/>
        <v>0</v>
      </c>
      <c r="U8866" s="129" t="str">
        <f>IFERROR(IF(#REF!="S",VLOOKUP('Raw Data'!A8866,References!#REF!,2,FALSE),(VLOOKUP($S8866,References!$B$3:$C$7,2,FALSE))),"")</f>
        <v/>
      </c>
      <c r="W8866" s="74" t="str">
        <f>IFERROR(VLOOKUP($O8866,'Customer List'!$A$1:$J$488,10,FALSE),"")</f>
        <v/>
      </c>
    </row>
    <row r="8867" spans="18:23">
      <c r="R8867" s="127">
        <f t="shared" si="353"/>
        <v>0</v>
      </c>
      <c r="T8867" s="128">
        <f t="shared" si="352"/>
        <v>0</v>
      </c>
      <c r="U8867" s="129" t="str">
        <f>IFERROR(IF(#REF!="S",VLOOKUP('Raw Data'!A8867,References!#REF!,2,FALSE),(VLOOKUP($S8867,References!$B$3:$C$7,2,FALSE))),"")</f>
        <v/>
      </c>
      <c r="W8867" s="74" t="str">
        <f>IFERROR(VLOOKUP($O8867,'Customer List'!$A$1:$J$488,10,FALSE),"")</f>
        <v/>
      </c>
    </row>
    <row r="8868" spans="18:23">
      <c r="R8868" s="127">
        <f t="shared" si="353"/>
        <v>0</v>
      </c>
      <c r="T8868" s="128">
        <f t="shared" si="352"/>
        <v>0</v>
      </c>
      <c r="U8868" s="129" t="str">
        <f>IFERROR(IF(#REF!="S",VLOOKUP('Raw Data'!A8868,References!#REF!,2,FALSE),(VLOOKUP($S8868,References!$B$3:$C$7,2,FALSE))),"")</f>
        <v/>
      </c>
      <c r="W8868" s="74" t="str">
        <f>IFERROR(VLOOKUP($O8868,'Customer List'!$A$1:$J$488,10,FALSE),"")</f>
        <v/>
      </c>
    </row>
    <row r="8869" spans="18:23">
      <c r="R8869" s="127">
        <f t="shared" si="353"/>
        <v>0</v>
      </c>
      <c r="T8869" s="128">
        <f t="shared" si="352"/>
        <v>0</v>
      </c>
      <c r="U8869" s="129" t="str">
        <f>IFERROR(IF(#REF!="S",VLOOKUP('Raw Data'!A8869,References!#REF!,2,FALSE),(VLOOKUP($S8869,References!$B$3:$C$7,2,FALSE))),"")</f>
        <v/>
      </c>
      <c r="W8869" s="74" t="str">
        <f>IFERROR(VLOOKUP($O8869,'Customer List'!$A$1:$J$488,10,FALSE),"")</f>
        <v/>
      </c>
    </row>
    <row r="8870" spans="18:23">
      <c r="R8870" s="127">
        <f t="shared" si="353"/>
        <v>0</v>
      </c>
      <c r="T8870" s="128">
        <f t="shared" si="352"/>
        <v>0</v>
      </c>
      <c r="U8870" s="129" t="str">
        <f>IFERROR(IF(#REF!="S",VLOOKUP('Raw Data'!A8870,References!#REF!,2,FALSE),(VLOOKUP($S8870,References!$B$3:$C$7,2,FALSE))),"")</f>
        <v/>
      </c>
      <c r="W8870" s="74" t="str">
        <f>IFERROR(VLOOKUP($O8870,'Customer List'!$A$1:$J$488,10,FALSE),"")</f>
        <v/>
      </c>
    </row>
    <row r="8871" spans="18:23">
      <c r="R8871" s="127">
        <f t="shared" si="353"/>
        <v>0</v>
      </c>
      <c r="T8871" s="128">
        <f t="shared" si="352"/>
        <v>0</v>
      </c>
      <c r="U8871" s="129" t="str">
        <f>IFERROR(IF(#REF!="S",VLOOKUP('Raw Data'!A8871,References!#REF!,2,FALSE),(VLOOKUP($S8871,References!$B$3:$C$7,2,FALSE))),"")</f>
        <v/>
      </c>
      <c r="W8871" s="74" t="str">
        <f>IFERROR(VLOOKUP($O8871,'Customer List'!$A$1:$J$488,10,FALSE),"")</f>
        <v/>
      </c>
    </row>
    <row r="8872" spans="18:23">
      <c r="R8872" s="127">
        <f t="shared" si="353"/>
        <v>0</v>
      </c>
      <c r="T8872" s="128">
        <f t="shared" si="352"/>
        <v>0</v>
      </c>
      <c r="U8872" s="129" t="str">
        <f>IFERROR(IF(#REF!="S",VLOOKUP('Raw Data'!A8872,References!#REF!,2,FALSE),(VLOOKUP($S8872,References!$B$3:$C$7,2,FALSE))),"")</f>
        <v/>
      </c>
      <c r="W8872" s="74" t="str">
        <f>IFERROR(VLOOKUP($O8872,'Customer List'!$A$1:$J$488,10,FALSE),"")</f>
        <v/>
      </c>
    </row>
    <row r="8873" spans="18:23">
      <c r="R8873" s="127">
        <f t="shared" si="353"/>
        <v>0</v>
      </c>
      <c r="T8873" s="128">
        <f t="shared" si="352"/>
        <v>0</v>
      </c>
      <c r="U8873" s="129" t="str">
        <f>IFERROR(IF(#REF!="S",VLOOKUP('Raw Data'!A8873,References!#REF!,2,FALSE),(VLOOKUP($S8873,References!$B$3:$C$7,2,FALSE))),"")</f>
        <v/>
      </c>
      <c r="W8873" s="74" t="str">
        <f>IFERROR(VLOOKUP($O8873,'Customer List'!$A$1:$J$488,10,FALSE),"")</f>
        <v/>
      </c>
    </row>
    <row r="8874" spans="18:23">
      <c r="R8874" s="127">
        <f t="shared" si="353"/>
        <v>0</v>
      </c>
      <c r="T8874" s="128">
        <f t="shared" si="352"/>
        <v>0</v>
      </c>
      <c r="U8874" s="129" t="str">
        <f>IFERROR(IF(#REF!="S",VLOOKUP('Raw Data'!A8874,References!#REF!,2,FALSE),(VLOOKUP($S8874,References!$B$3:$C$7,2,FALSE))),"")</f>
        <v/>
      </c>
      <c r="W8874" s="74" t="str">
        <f>IFERROR(VLOOKUP($O8874,'Customer List'!$A$1:$J$488,10,FALSE),"")</f>
        <v/>
      </c>
    </row>
    <row r="8875" spans="18:23">
      <c r="R8875" s="127">
        <f t="shared" si="353"/>
        <v>0</v>
      </c>
      <c r="T8875" s="128">
        <f t="shared" si="352"/>
        <v>0</v>
      </c>
      <c r="U8875" s="129" t="str">
        <f>IFERROR(IF(#REF!="S",VLOOKUP('Raw Data'!A8875,References!#REF!,2,FALSE),(VLOOKUP($S8875,References!$B$3:$C$7,2,FALSE))),"")</f>
        <v/>
      </c>
      <c r="W8875" s="74" t="str">
        <f>IFERROR(VLOOKUP($O8875,'Customer List'!$A$1:$J$488,10,FALSE),"")</f>
        <v/>
      </c>
    </row>
    <row r="8876" spans="18:23">
      <c r="R8876" s="127">
        <f t="shared" si="353"/>
        <v>0</v>
      </c>
      <c r="T8876" s="128">
        <f t="shared" si="352"/>
        <v>0</v>
      </c>
      <c r="U8876" s="129" t="str">
        <f>IFERROR(IF(#REF!="S",VLOOKUP('Raw Data'!A8876,References!#REF!,2,FALSE),(VLOOKUP($S8876,References!$B$3:$C$7,2,FALSE))),"")</f>
        <v/>
      </c>
      <c r="W8876" s="74" t="str">
        <f>IFERROR(VLOOKUP($O8876,'Customer List'!$A$1:$J$488,10,FALSE),"")</f>
        <v/>
      </c>
    </row>
    <row r="8877" spans="18:23">
      <c r="R8877" s="127">
        <f t="shared" si="353"/>
        <v>0</v>
      </c>
      <c r="T8877" s="128">
        <f t="shared" si="352"/>
        <v>0</v>
      </c>
      <c r="U8877" s="129" t="str">
        <f>IFERROR(IF(#REF!="S",VLOOKUP('Raw Data'!A8877,References!#REF!,2,FALSE),(VLOOKUP($S8877,References!$B$3:$C$7,2,FALSE))),"")</f>
        <v/>
      </c>
      <c r="W8877" s="74" t="str">
        <f>IFERROR(VLOOKUP($O8877,'Customer List'!$A$1:$J$488,10,FALSE),"")</f>
        <v/>
      </c>
    </row>
    <row r="8878" spans="18:23">
      <c r="R8878" s="127">
        <f t="shared" si="353"/>
        <v>0</v>
      </c>
      <c r="T8878" s="128">
        <f t="shared" si="352"/>
        <v>0</v>
      </c>
      <c r="U8878" s="129" t="str">
        <f>IFERROR(IF(#REF!="S",VLOOKUP('Raw Data'!A8878,References!#REF!,2,FALSE),(VLOOKUP($S8878,References!$B$3:$C$7,2,FALSE))),"")</f>
        <v/>
      </c>
      <c r="W8878" s="74" t="str">
        <f>IFERROR(VLOOKUP($O8878,'Customer List'!$A$1:$J$488,10,FALSE),"")</f>
        <v/>
      </c>
    </row>
    <row r="8879" spans="18:23">
      <c r="R8879" s="127">
        <f t="shared" si="353"/>
        <v>0</v>
      </c>
      <c r="T8879" s="128">
        <f t="shared" si="352"/>
        <v>0</v>
      </c>
      <c r="U8879" s="129" t="str">
        <f>IFERROR(IF(#REF!="S",VLOOKUP('Raw Data'!A8879,References!#REF!,2,FALSE),(VLOOKUP($S8879,References!$B$3:$C$7,2,FALSE))),"")</f>
        <v/>
      </c>
      <c r="W8879" s="74" t="str">
        <f>IFERROR(VLOOKUP($O8879,'Customer List'!$A$1:$J$488,10,FALSE),"")</f>
        <v/>
      </c>
    </row>
    <row r="8880" spans="18:23">
      <c r="R8880" s="127">
        <f t="shared" si="353"/>
        <v>0</v>
      </c>
      <c r="T8880" s="128">
        <f t="shared" si="352"/>
        <v>0</v>
      </c>
      <c r="U8880" s="129" t="str">
        <f>IFERROR(IF(#REF!="S",VLOOKUP('Raw Data'!A8880,References!#REF!,2,FALSE),(VLOOKUP($S8880,References!$B$3:$C$7,2,FALSE))),"")</f>
        <v/>
      </c>
      <c r="W8880" s="74" t="str">
        <f>IFERROR(VLOOKUP($O8880,'Customer List'!$A$1:$J$488,10,FALSE),"")</f>
        <v/>
      </c>
    </row>
    <row r="8881" spans="18:23">
      <c r="R8881" s="127">
        <f t="shared" si="353"/>
        <v>0</v>
      </c>
      <c r="T8881" s="128">
        <f t="shared" si="352"/>
        <v>0</v>
      </c>
      <c r="U8881" s="129" t="str">
        <f>IFERROR(IF(#REF!="S",VLOOKUP('Raw Data'!A8881,References!#REF!,2,FALSE),(VLOOKUP($S8881,References!$B$3:$C$7,2,FALSE))),"")</f>
        <v/>
      </c>
      <c r="W8881" s="74" t="str">
        <f>IFERROR(VLOOKUP($O8881,'Customer List'!$A$1:$J$488,10,FALSE),"")</f>
        <v/>
      </c>
    </row>
    <row r="8882" spans="18:23">
      <c r="R8882" s="127">
        <f t="shared" si="353"/>
        <v>0</v>
      </c>
      <c r="T8882" s="128">
        <f t="shared" si="352"/>
        <v>0</v>
      </c>
      <c r="U8882" s="129" t="str">
        <f>IFERROR(IF(#REF!="S",VLOOKUP('Raw Data'!A8882,References!#REF!,2,FALSE),(VLOOKUP($S8882,References!$B$3:$C$7,2,FALSE))),"")</f>
        <v/>
      </c>
      <c r="W8882" s="74" t="str">
        <f>IFERROR(VLOOKUP($O8882,'Customer List'!$A$1:$J$488,10,FALSE),"")</f>
        <v/>
      </c>
    </row>
    <row r="8883" spans="18:23">
      <c r="R8883" s="127">
        <f t="shared" si="353"/>
        <v>0</v>
      </c>
      <c r="T8883" s="128">
        <f t="shared" si="352"/>
        <v>0</v>
      </c>
      <c r="U8883" s="129" t="str">
        <f>IFERROR(IF(#REF!="S",VLOOKUP('Raw Data'!A8883,References!#REF!,2,FALSE),(VLOOKUP($S8883,References!$B$3:$C$7,2,FALSE))),"")</f>
        <v/>
      </c>
      <c r="W8883" s="74" t="str">
        <f>IFERROR(VLOOKUP($O8883,'Customer List'!$A$1:$J$488,10,FALSE),"")</f>
        <v/>
      </c>
    </row>
    <row r="8884" spans="18:23">
      <c r="R8884" s="127">
        <f t="shared" si="353"/>
        <v>0</v>
      </c>
      <c r="T8884" s="128">
        <f t="shared" si="352"/>
        <v>0</v>
      </c>
      <c r="U8884" s="129" t="str">
        <f>IFERROR(IF(#REF!="S",VLOOKUP('Raw Data'!A8884,References!#REF!,2,FALSE),(VLOOKUP($S8884,References!$B$3:$C$7,2,FALSE))),"")</f>
        <v/>
      </c>
      <c r="W8884" s="74" t="str">
        <f>IFERROR(VLOOKUP($O8884,'Customer List'!$A$1:$J$488,10,FALSE),"")</f>
        <v/>
      </c>
    </row>
    <row r="8885" spans="18:23">
      <c r="R8885" s="127">
        <f t="shared" si="353"/>
        <v>0</v>
      </c>
      <c r="T8885" s="128">
        <f t="shared" si="352"/>
        <v>0</v>
      </c>
      <c r="U8885" s="129" t="str">
        <f>IFERROR(IF(#REF!="S",VLOOKUP('Raw Data'!A8885,References!#REF!,2,FALSE),(VLOOKUP($S8885,References!$B$3:$C$7,2,FALSE))),"")</f>
        <v/>
      </c>
      <c r="W8885" s="74" t="str">
        <f>IFERROR(VLOOKUP($O8885,'Customer List'!$A$1:$J$488,10,FALSE),"")</f>
        <v/>
      </c>
    </row>
    <row r="8886" spans="18:23">
      <c r="R8886" s="127">
        <f t="shared" si="353"/>
        <v>0</v>
      </c>
      <c r="T8886" s="128">
        <f t="shared" si="352"/>
        <v>0</v>
      </c>
      <c r="U8886" s="129" t="str">
        <f>IFERROR(IF(#REF!="S",VLOOKUP('Raw Data'!A8886,References!#REF!,2,FALSE),(VLOOKUP($S8886,References!$B$3:$C$7,2,FALSE))),"")</f>
        <v/>
      </c>
      <c r="W8886" s="74" t="str">
        <f>IFERROR(VLOOKUP($O8886,'Customer List'!$A$1:$J$488,10,FALSE),"")</f>
        <v/>
      </c>
    </row>
    <row r="8887" spans="18:23">
      <c r="R8887" s="127">
        <f t="shared" si="353"/>
        <v>0</v>
      </c>
      <c r="T8887" s="128">
        <f t="shared" si="352"/>
        <v>0</v>
      </c>
      <c r="U8887" s="129" t="str">
        <f>IFERROR(IF(#REF!="S",VLOOKUP('Raw Data'!A8887,References!#REF!,2,FALSE),(VLOOKUP($S8887,References!$B$3:$C$7,2,FALSE))),"")</f>
        <v/>
      </c>
      <c r="W8887" s="74" t="str">
        <f>IFERROR(VLOOKUP($O8887,'Customer List'!$A$1:$J$488,10,FALSE),"")</f>
        <v/>
      </c>
    </row>
    <row r="8888" spans="18:23">
      <c r="R8888" s="127">
        <f t="shared" si="353"/>
        <v>0</v>
      </c>
      <c r="T8888" s="128">
        <f t="shared" si="352"/>
        <v>0</v>
      </c>
      <c r="U8888" s="129" t="str">
        <f>IFERROR(IF(#REF!="S",VLOOKUP('Raw Data'!A8888,References!#REF!,2,FALSE),(VLOOKUP($S8888,References!$B$3:$C$7,2,FALSE))),"")</f>
        <v/>
      </c>
      <c r="W8888" s="74" t="str">
        <f>IFERROR(VLOOKUP($O8888,'Customer List'!$A$1:$J$488,10,FALSE),"")</f>
        <v/>
      </c>
    </row>
    <row r="8889" spans="18:23">
      <c r="R8889" s="127">
        <f t="shared" si="353"/>
        <v>0</v>
      </c>
      <c r="T8889" s="128">
        <f t="shared" si="352"/>
        <v>0</v>
      </c>
      <c r="U8889" s="129" t="str">
        <f>IFERROR(IF(#REF!="S",VLOOKUP('Raw Data'!A8889,References!#REF!,2,FALSE),(VLOOKUP($S8889,References!$B$3:$C$7,2,FALSE))),"")</f>
        <v/>
      </c>
      <c r="W8889" s="74" t="str">
        <f>IFERROR(VLOOKUP($O8889,'Customer List'!$A$1:$J$488,10,FALSE),"")</f>
        <v/>
      </c>
    </row>
    <row r="8890" spans="18:23">
      <c r="R8890" s="127">
        <f t="shared" si="353"/>
        <v>0</v>
      </c>
      <c r="T8890" s="128">
        <f t="shared" si="352"/>
        <v>0</v>
      </c>
      <c r="U8890" s="129" t="str">
        <f>IFERROR(IF(#REF!="S",VLOOKUP('Raw Data'!A8890,References!#REF!,2,FALSE),(VLOOKUP($S8890,References!$B$3:$C$7,2,FALSE))),"")</f>
        <v/>
      </c>
      <c r="W8890" s="74" t="str">
        <f>IFERROR(VLOOKUP($O8890,'Customer List'!$A$1:$J$488,10,FALSE),"")</f>
        <v/>
      </c>
    </row>
    <row r="8891" spans="18:23">
      <c r="R8891" s="127">
        <f t="shared" si="353"/>
        <v>0</v>
      </c>
      <c r="T8891" s="128">
        <f t="shared" si="352"/>
        <v>0</v>
      </c>
      <c r="U8891" s="129" t="str">
        <f>IFERROR(IF(#REF!="S",VLOOKUP('Raw Data'!A8891,References!#REF!,2,FALSE),(VLOOKUP($S8891,References!$B$3:$C$7,2,FALSE))),"")</f>
        <v/>
      </c>
      <c r="W8891" s="74" t="str">
        <f>IFERROR(VLOOKUP($O8891,'Customer List'!$A$1:$J$488,10,FALSE),"")</f>
        <v/>
      </c>
    </row>
    <row r="8892" spans="18:23">
      <c r="R8892" s="127">
        <f t="shared" si="353"/>
        <v>0</v>
      </c>
      <c r="T8892" s="128">
        <f t="shared" si="352"/>
        <v>0</v>
      </c>
      <c r="U8892" s="129" t="str">
        <f>IFERROR(IF(#REF!="S",VLOOKUP('Raw Data'!A8892,References!#REF!,2,FALSE),(VLOOKUP($S8892,References!$B$3:$C$7,2,FALSE))),"")</f>
        <v/>
      </c>
      <c r="W8892" s="74" t="str">
        <f>IFERROR(VLOOKUP($O8892,'Customer List'!$A$1:$J$488,10,FALSE),"")</f>
        <v/>
      </c>
    </row>
    <row r="8893" spans="18:23">
      <c r="R8893" s="127">
        <f t="shared" si="353"/>
        <v>0</v>
      </c>
      <c r="T8893" s="128">
        <f t="shared" si="352"/>
        <v>0</v>
      </c>
      <c r="U8893" s="129" t="str">
        <f>IFERROR(IF(#REF!="S",VLOOKUP('Raw Data'!A8893,References!#REF!,2,FALSE),(VLOOKUP($S8893,References!$B$3:$C$7,2,FALSE))),"")</f>
        <v/>
      </c>
      <c r="W8893" s="74" t="str">
        <f>IFERROR(VLOOKUP($O8893,'Customer List'!$A$1:$J$488,10,FALSE),"")</f>
        <v/>
      </c>
    </row>
    <row r="8894" spans="18:23">
      <c r="R8894" s="127">
        <f t="shared" si="353"/>
        <v>0</v>
      </c>
      <c r="T8894" s="128">
        <f t="shared" si="352"/>
        <v>0</v>
      </c>
      <c r="U8894" s="129" t="str">
        <f>IFERROR(IF(#REF!="S",VLOOKUP('Raw Data'!A8894,References!#REF!,2,FALSE),(VLOOKUP($S8894,References!$B$3:$C$7,2,FALSE))),"")</f>
        <v/>
      </c>
      <c r="W8894" s="74" t="str">
        <f>IFERROR(VLOOKUP($O8894,'Customer List'!$A$1:$J$488,10,FALSE),"")</f>
        <v/>
      </c>
    </row>
    <row r="8895" spans="18:23">
      <c r="R8895" s="127">
        <f t="shared" si="353"/>
        <v>0</v>
      </c>
      <c r="T8895" s="128">
        <f t="shared" si="352"/>
        <v>0</v>
      </c>
      <c r="U8895" s="129" t="str">
        <f>IFERROR(IF(#REF!="S",VLOOKUP('Raw Data'!A8895,References!#REF!,2,FALSE),(VLOOKUP($S8895,References!$B$3:$C$7,2,FALSE))),"")</f>
        <v/>
      </c>
      <c r="W8895" s="74" t="str">
        <f>IFERROR(VLOOKUP($O8895,'Customer List'!$A$1:$J$488,10,FALSE),"")</f>
        <v/>
      </c>
    </row>
    <row r="8896" spans="18:23">
      <c r="R8896" s="127">
        <f t="shared" si="353"/>
        <v>0</v>
      </c>
      <c r="T8896" s="128">
        <f t="shared" si="352"/>
        <v>0</v>
      </c>
      <c r="U8896" s="129" t="str">
        <f>IFERROR(IF(#REF!="S",VLOOKUP('Raw Data'!A8896,References!#REF!,2,FALSE),(VLOOKUP($S8896,References!$B$3:$C$7,2,FALSE))),"")</f>
        <v/>
      </c>
      <c r="W8896" s="74" t="str">
        <f>IFERROR(VLOOKUP($O8896,'Customer List'!$A$1:$J$488,10,FALSE),"")</f>
        <v/>
      </c>
    </row>
    <row r="8897" spans="18:23">
      <c r="R8897" s="127">
        <f t="shared" si="353"/>
        <v>0</v>
      </c>
      <c r="T8897" s="128">
        <f t="shared" si="352"/>
        <v>0</v>
      </c>
      <c r="U8897" s="129" t="str">
        <f>IFERROR(IF(#REF!="S",VLOOKUP('Raw Data'!A8897,References!#REF!,2,FALSE),(VLOOKUP($S8897,References!$B$3:$C$7,2,FALSE))),"")</f>
        <v/>
      </c>
      <c r="W8897" s="74" t="str">
        <f>IFERROR(VLOOKUP($O8897,'Customer List'!$A$1:$J$488,10,FALSE),"")</f>
        <v/>
      </c>
    </row>
    <row r="8898" spans="18:23">
      <c r="R8898" s="127">
        <f t="shared" si="353"/>
        <v>0</v>
      </c>
      <c r="T8898" s="128">
        <f t="shared" si="352"/>
        <v>0</v>
      </c>
      <c r="U8898" s="129" t="str">
        <f>IFERROR(IF(#REF!="S",VLOOKUP('Raw Data'!A8898,References!#REF!,2,FALSE),(VLOOKUP($S8898,References!$B$3:$C$7,2,FALSE))),"")</f>
        <v/>
      </c>
      <c r="W8898" s="74" t="str">
        <f>IFERROR(VLOOKUP($O8898,'Customer List'!$A$1:$J$488,10,FALSE),"")</f>
        <v/>
      </c>
    </row>
    <row r="8899" spans="18:23">
      <c r="R8899" s="127">
        <f t="shared" si="353"/>
        <v>0</v>
      </c>
      <c r="T8899" s="128">
        <f t="shared" si="352"/>
        <v>0</v>
      </c>
      <c r="U8899" s="129" t="str">
        <f>IFERROR(IF(#REF!="S",VLOOKUP('Raw Data'!A8899,References!#REF!,2,FALSE),(VLOOKUP($S8899,References!$B$3:$C$7,2,FALSE))),"")</f>
        <v/>
      </c>
      <c r="W8899" s="74" t="str">
        <f>IFERROR(VLOOKUP($O8899,'Customer List'!$A$1:$J$488,10,FALSE),"")</f>
        <v/>
      </c>
    </row>
    <row r="8900" spans="18:23">
      <c r="R8900" s="127">
        <f t="shared" si="353"/>
        <v>0</v>
      </c>
      <c r="T8900" s="128">
        <f t="shared" si="352"/>
        <v>0</v>
      </c>
      <c r="U8900" s="129" t="str">
        <f>IFERROR(IF(#REF!="S",VLOOKUP('Raw Data'!A8900,References!#REF!,2,FALSE),(VLOOKUP($S8900,References!$B$3:$C$7,2,FALSE))),"")</f>
        <v/>
      </c>
      <c r="W8900" s="74" t="str">
        <f>IFERROR(VLOOKUP($O8900,'Customer List'!$A$1:$J$488,10,FALSE),"")</f>
        <v/>
      </c>
    </row>
    <row r="8901" spans="18:23">
      <c r="R8901" s="127">
        <f t="shared" si="353"/>
        <v>0</v>
      </c>
      <c r="T8901" s="128">
        <f t="shared" si="352"/>
        <v>0</v>
      </c>
      <c r="U8901" s="129" t="str">
        <f>IFERROR(IF(#REF!="S",VLOOKUP('Raw Data'!A8901,References!#REF!,2,FALSE),(VLOOKUP($S8901,References!$B$3:$C$7,2,FALSE))),"")</f>
        <v/>
      </c>
      <c r="W8901" s="74" t="str">
        <f>IFERROR(VLOOKUP($O8901,'Customer List'!$A$1:$J$488,10,FALSE),"")</f>
        <v/>
      </c>
    </row>
    <row r="8902" spans="18:23">
      <c r="R8902" s="127">
        <f t="shared" si="353"/>
        <v>0</v>
      </c>
      <c r="T8902" s="128">
        <f t="shared" si="352"/>
        <v>0</v>
      </c>
      <c r="U8902" s="129" t="str">
        <f>IFERROR(IF(#REF!="S",VLOOKUP('Raw Data'!A8902,References!#REF!,2,FALSE),(VLOOKUP($S8902,References!$B$3:$C$7,2,FALSE))),"")</f>
        <v/>
      </c>
      <c r="W8902" s="74" t="str">
        <f>IFERROR(VLOOKUP($O8902,'Customer List'!$A$1:$J$488,10,FALSE),"")</f>
        <v/>
      </c>
    </row>
    <row r="8903" spans="18:23">
      <c r="R8903" s="127">
        <f t="shared" si="353"/>
        <v>0</v>
      </c>
      <c r="T8903" s="128">
        <f t="shared" si="352"/>
        <v>0</v>
      </c>
      <c r="U8903" s="129" t="str">
        <f>IFERROR(IF(#REF!="S",VLOOKUP('Raw Data'!A8903,References!#REF!,2,FALSE),(VLOOKUP($S8903,References!$B$3:$C$7,2,FALSE))),"")</f>
        <v/>
      </c>
      <c r="W8903" s="74" t="str">
        <f>IFERROR(VLOOKUP($O8903,'Customer List'!$A$1:$J$488,10,FALSE),"")</f>
        <v/>
      </c>
    </row>
    <row r="8904" spans="18:23">
      <c r="R8904" s="127">
        <f t="shared" si="353"/>
        <v>0</v>
      </c>
      <c r="T8904" s="128">
        <f t="shared" si="352"/>
        <v>0</v>
      </c>
      <c r="U8904" s="129" t="str">
        <f>IFERROR(IF(#REF!="S",VLOOKUP('Raw Data'!A8904,References!#REF!,2,FALSE),(VLOOKUP($S8904,References!$B$3:$C$7,2,FALSE))),"")</f>
        <v/>
      </c>
      <c r="W8904" s="74" t="str">
        <f>IFERROR(VLOOKUP($O8904,'Customer List'!$A$1:$J$488,10,FALSE),"")</f>
        <v/>
      </c>
    </row>
    <row r="8905" spans="18:23">
      <c r="R8905" s="127">
        <f t="shared" si="353"/>
        <v>0</v>
      </c>
      <c r="T8905" s="128">
        <f t="shared" si="352"/>
        <v>0</v>
      </c>
      <c r="U8905" s="129" t="str">
        <f>IFERROR(IF(#REF!="S",VLOOKUP('Raw Data'!A8905,References!#REF!,2,FALSE),(VLOOKUP($S8905,References!$B$3:$C$7,2,FALSE))),"")</f>
        <v/>
      </c>
      <c r="W8905" s="74" t="str">
        <f>IFERROR(VLOOKUP($O8905,'Customer List'!$A$1:$J$488,10,FALSE),"")</f>
        <v/>
      </c>
    </row>
    <row r="8906" spans="18:23">
      <c r="R8906" s="127">
        <f t="shared" si="353"/>
        <v>0</v>
      </c>
      <c r="T8906" s="128">
        <f t="shared" ref="T8906:T8969" si="354">IF(S8906="50 - Cleaning Fee",1,HOUR($R8906)+MINUTE(R8906)/60)</f>
        <v>0</v>
      </c>
      <c r="U8906" s="129" t="str">
        <f>IFERROR(IF(#REF!="S",VLOOKUP('Raw Data'!A8906,References!#REF!,2,FALSE),(VLOOKUP($S8906,References!$B$3:$C$7,2,FALSE))),"")</f>
        <v/>
      </c>
      <c r="W8906" s="74" t="str">
        <f>IFERROR(VLOOKUP($O8906,'Customer List'!$A$1:$J$488,10,FALSE),"")</f>
        <v/>
      </c>
    </row>
    <row r="8907" spans="18:23">
      <c r="R8907" s="127">
        <f t="shared" si="353"/>
        <v>0</v>
      </c>
      <c r="T8907" s="128">
        <f t="shared" si="354"/>
        <v>0</v>
      </c>
      <c r="U8907" s="129" t="str">
        <f>IFERROR(IF(#REF!="S",VLOOKUP('Raw Data'!A8907,References!#REF!,2,FALSE),(VLOOKUP($S8907,References!$B$3:$C$7,2,FALSE))),"")</f>
        <v/>
      </c>
      <c r="W8907" s="74" t="str">
        <f>IFERROR(VLOOKUP($O8907,'Customer List'!$A$1:$J$488,10,FALSE),"")</f>
        <v/>
      </c>
    </row>
    <row r="8908" spans="18:23">
      <c r="R8908" s="127">
        <f t="shared" si="353"/>
        <v>0</v>
      </c>
      <c r="T8908" s="128">
        <f t="shared" si="354"/>
        <v>0</v>
      </c>
      <c r="U8908" s="129" t="str">
        <f>IFERROR(IF(#REF!="S",VLOOKUP('Raw Data'!A8908,References!#REF!,2,FALSE),(VLOOKUP($S8908,References!$B$3:$C$7,2,FALSE))),"")</f>
        <v/>
      </c>
      <c r="W8908" s="74" t="str">
        <f>IFERROR(VLOOKUP($O8908,'Customer List'!$A$1:$J$488,10,FALSE),"")</f>
        <v/>
      </c>
    </row>
    <row r="8909" spans="18:23">
      <c r="R8909" s="127">
        <f t="shared" si="353"/>
        <v>0</v>
      </c>
      <c r="T8909" s="128">
        <f t="shared" si="354"/>
        <v>0</v>
      </c>
      <c r="U8909" s="129" t="str">
        <f>IFERROR(IF(#REF!="S",VLOOKUP('Raw Data'!A8909,References!#REF!,2,FALSE),(VLOOKUP($S8909,References!$B$3:$C$7,2,FALSE))),"")</f>
        <v/>
      </c>
      <c r="W8909" s="74" t="str">
        <f>IFERROR(VLOOKUP($O8909,'Customer List'!$A$1:$J$488,10,FALSE),"")</f>
        <v/>
      </c>
    </row>
    <row r="8910" spans="18:23">
      <c r="R8910" s="127">
        <f t="shared" si="353"/>
        <v>0</v>
      </c>
      <c r="T8910" s="128">
        <f t="shared" si="354"/>
        <v>0</v>
      </c>
      <c r="U8910" s="129" t="str">
        <f>IFERROR(IF(#REF!="S",VLOOKUP('Raw Data'!A8910,References!#REF!,2,FALSE),(VLOOKUP($S8910,References!$B$3:$C$7,2,FALSE))),"")</f>
        <v/>
      </c>
      <c r="W8910" s="74" t="str">
        <f>IFERROR(VLOOKUP($O8910,'Customer List'!$A$1:$J$488,10,FALSE),"")</f>
        <v/>
      </c>
    </row>
    <row r="8911" spans="18:23">
      <c r="R8911" s="127">
        <f t="shared" si="353"/>
        <v>0</v>
      </c>
      <c r="T8911" s="128">
        <f t="shared" si="354"/>
        <v>0</v>
      </c>
      <c r="U8911" s="129" t="str">
        <f>IFERROR(IF(#REF!="S",VLOOKUP('Raw Data'!A8911,References!#REF!,2,FALSE),(VLOOKUP($S8911,References!$B$3:$C$7,2,FALSE))),"")</f>
        <v/>
      </c>
      <c r="W8911" s="74" t="str">
        <f>IFERROR(VLOOKUP($O8911,'Customer List'!$A$1:$J$488,10,FALSE),"")</f>
        <v/>
      </c>
    </row>
    <row r="8912" spans="18:23">
      <c r="R8912" s="127">
        <f t="shared" si="353"/>
        <v>0</v>
      </c>
      <c r="T8912" s="128">
        <f t="shared" si="354"/>
        <v>0</v>
      </c>
      <c r="U8912" s="129" t="str">
        <f>IFERROR(IF(#REF!="S",VLOOKUP('Raw Data'!A8912,References!#REF!,2,FALSE),(VLOOKUP($S8912,References!$B$3:$C$7,2,FALSE))),"")</f>
        <v/>
      </c>
      <c r="W8912" s="74" t="str">
        <f>IFERROR(VLOOKUP($O8912,'Customer List'!$A$1:$J$488,10,FALSE),"")</f>
        <v/>
      </c>
    </row>
    <row r="8913" spans="18:23">
      <c r="R8913" s="127">
        <f t="shared" si="353"/>
        <v>0</v>
      </c>
      <c r="T8913" s="128">
        <f t="shared" si="354"/>
        <v>0</v>
      </c>
      <c r="U8913" s="129" t="str">
        <f>IFERROR(IF(#REF!="S",VLOOKUP('Raw Data'!A8913,References!#REF!,2,FALSE),(VLOOKUP($S8913,References!$B$3:$C$7,2,FALSE))),"")</f>
        <v/>
      </c>
      <c r="W8913" s="74" t="str">
        <f>IFERROR(VLOOKUP($O8913,'Customer List'!$A$1:$J$488,10,FALSE),"")</f>
        <v/>
      </c>
    </row>
    <row r="8914" spans="18:23">
      <c r="R8914" s="127">
        <f t="shared" si="353"/>
        <v>0</v>
      </c>
      <c r="T8914" s="128">
        <f t="shared" si="354"/>
        <v>0</v>
      </c>
      <c r="U8914" s="129" t="str">
        <f>IFERROR(IF(#REF!="S",VLOOKUP('Raw Data'!A8914,References!#REF!,2,FALSE),(VLOOKUP($S8914,References!$B$3:$C$7,2,FALSE))),"")</f>
        <v/>
      </c>
      <c r="W8914" s="74" t="str">
        <f>IFERROR(VLOOKUP($O8914,'Customer List'!$A$1:$J$488,10,FALSE),"")</f>
        <v/>
      </c>
    </row>
    <row r="8915" spans="18:23">
      <c r="R8915" s="127">
        <f t="shared" si="353"/>
        <v>0</v>
      </c>
      <c r="T8915" s="128">
        <f t="shared" si="354"/>
        <v>0</v>
      </c>
      <c r="U8915" s="129" t="str">
        <f>IFERROR(IF(#REF!="S",VLOOKUP('Raw Data'!A8915,References!#REF!,2,FALSE),(VLOOKUP($S8915,References!$B$3:$C$7,2,FALSE))),"")</f>
        <v/>
      </c>
      <c r="W8915" s="74" t="str">
        <f>IFERROR(VLOOKUP($O8915,'Customer List'!$A$1:$J$488,10,FALSE),"")</f>
        <v/>
      </c>
    </row>
    <row r="8916" spans="18:23">
      <c r="R8916" s="127">
        <f t="shared" si="353"/>
        <v>0</v>
      </c>
      <c r="T8916" s="128">
        <f t="shared" si="354"/>
        <v>0</v>
      </c>
      <c r="U8916" s="129" t="str">
        <f>IFERROR(IF(#REF!="S",VLOOKUP('Raw Data'!A8916,References!#REF!,2,FALSE),(VLOOKUP($S8916,References!$B$3:$C$7,2,FALSE))),"")</f>
        <v/>
      </c>
      <c r="W8916" s="74" t="str">
        <f>IFERROR(VLOOKUP($O8916,'Customer List'!$A$1:$J$488,10,FALSE),"")</f>
        <v/>
      </c>
    </row>
    <row r="8917" spans="18:23">
      <c r="R8917" s="127">
        <f t="shared" si="353"/>
        <v>0</v>
      </c>
      <c r="T8917" s="128">
        <f t="shared" si="354"/>
        <v>0</v>
      </c>
      <c r="U8917" s="129" t="str">
        <f>IFERROR(IF(#REF!="S",VLOOKUP('Raw Data'!A8917,References!#REF!,2,FALSE),(VLOOKUP($S8917,References!$B$3:$C$7,2,FALSE))),"")</f>
        <v/>
      </c>
      <c r="W8917" s="74" t="str">
        <f>IFERROR(VLOOKUP($O8917,'Customer List'!$A$1:$J$488,10,FALSE),"")</f>
        <v/>
      </c>
    </row>
    <row r="8918" spans="18:23">
      <c r="R8918" s="127">
        <f t="shared" si="353"/>
        <v>0</v>
      </c>
      <c r="T8918" s="128">
        <f t="shared" si="354"/>
        <v>0</v>
      </c>
      <c r="U8918" s="129" t="str">
        <f>IFERROR(IF(#REF!="S",VLOOKUP('Raw Data'!A8918,References!#REF!,2,FALSE),(VLOOKUP($S8918,References!$B$3:$C$7,2,FALSE))),"")</f>
        <v/>
      </c>
      <c r="W8918" s="74" t="str">
        <f>IFERROR(VLOOKUP($O8918,'Customer List'!$A$1:$J$488,10,FALSE),"")</f>
        <v/>
      </c>
    </row>
    <row r="8919" spans="18:23">
      <c r="R8919" s="127">
        <f t="shared" si="353"/>
        <v>0</v>
      </c>
      <c r="T8919" s="128">
        <f t="shared" si="354"/>
        <v>0</v>
      </c>
      <c r="U8919" s="129" t="str">
        <f>IFERROR(IF(#REF!="S",VLOOKUP('Raw Data'!A8919,References!#REF!,2,FALSE),(VLOOKUP($S8919,References!$B$3:$C$7,2,FALSE))),"")</f>
        <v/>
      </c>
      <c r="W8919" s="74" t="str">
        <f>IFERROR(VLOOKUP($O8919,'Customer List'!$A$1:$J$488,10,FALSE),"")</f>
        <v/>
      </c>
    </row>
    <row r="8920" spans="18:23">
      <c r="R8920" s="127">
        <f t="shared" si="353"/>
        <v>0</v>
      </c>
      <c r="T8920" s="128">
        <f t="shared" si="354"/>
        <v>0</v>
      </c>
      <c r="U8920" s="129" t="str">
        <f>IFERROR(IF(#REF!="S",VLOOKUP('Raw Data'!A8920,References!#REF!,2,FALSE),(VLOOKUP($S8920,References!$B$3:$C$7,2,FALSE))),"")</f>
        <v/>
      </c>
      <c r="W8920" s="74" t="str">
        <f>IFERROR(VLOOKUP($O8920,'Customer List'!$A$1:$J$488,10,FALSE),"")</f>
        <v/>
      </c>
    </row>
    <row r="8921" spans="18:23">
      <c r="R8921" s="127">
        <f t="shared" si="353"/>
        <v>0</v>
      </c>
      <c r="T8921" s="128">
        <f t="shared" si="354"/>
        <v>0</v>
      </c>
      <c r="U8921" s="129" t="str">
        <f>IFERROR(IF(#REF!="S",VLOOKUP('Raw Data'!A8921,References!#REF!,2,FALSE),(VLOOKUP($S8921,References!$B$3:$C$7,2,FALSE))),"")</f>
        <v/>
      </c>
      <c r="W8921" s="74" t="str">
        <f>IFERROR(VLOOKUP($O8921,'Customer List'!$A$1:$J$488,10,FALSE),"")</f>
        <v/>
      </c>
    </row>
    <row r="8922" spans="18:23">
      <c r="R8922" s="127">
        <f t="shared" si="353"/>
        <v>0</v>
      </c>
      <c r="T8922" s="128">
        <f t="shared" si="354"/>
        <v>0</v>
      </c>
      <c r="U8922" s="129" t="str">
        <f>IFERROR(IF(#REF!="S",VLOOKUP('Raw Data'!A8922,References!#REF!,2,FALSE),(VLOOKUP($S8922,References!$B$3:$C$7,2,FALSE))),"")</f>
        <v/>
      </c>
      <c r="W8922" s="74" t="str">
        <f>IFERROR(VLOOKUP($O8922,'Customer List'!$A$1:$J$488,10,FALSE),"")</f>
        <v/>
      </c>
    </row>
    <row r="8923" spans="18:23">
      <c r="R8923" s="127">
        <f t="shared" si="353"/>
        <v>0</v>
      </c>
      <c r="T8923" s="128">
        <f t="shared" si="354"/>
        <v>0</v>
      </c>
      <c r="U8923" s="129" t="str">
        <f>IFERROR(IF(#REF!="S",VLOOKUP('Raw Data'!A8923,References!#REF!,2,FALSE),(VLOOKUP($S8923,References!$B$3:$C$7,2,FALSE))),"")</f>
        <v/>
      </c>
      <c r="W8923" s="74" t="str">
        <f>IFERROR(VLOOKUP($O8923,'Customer List'!$A$1:$J$488,10,FALSE),"")</f>
        <v/>
      </c>
    </row>
    <row r="8924" spans="18:23">
      <c r="R8924" s="127">
        <f t="shared" si="353"/>
        <v>0</v>
      </c>
      <c r="T8924" s="128">
        <f t="shared" si="354"/>
        <v>0</v>
      </c>
      <c r="U8924" s="129" t="str">
        <f>IFERROR(IF(#REF!="S",VLOOKUP('Raw Data'!A8924,References!#REF!,2,FALSE),(VLOOKUP($S8924,References!$B$3:$C$7,2,FALSE))),"")</f>
        <v/>
      </c>
      <c r="W8924" s="74" t="str">
        <f>IFERROR(VLOOKUP($O8924,'Customer List'!$A$1:$J$488,10,FALSE),"")</f>
        <v/>
      </c>
    </row>
    <row r="8925" spans="18:23">
      <c r="R8925" s="127">
        <f t="shared" si="353"/>
        <v>0</v>
      </c>
      <c r="T8925" s="128">
        <f t="shared" si="354"/>
        <v>0</v>
      </c>
      <c r="U8925" s="129" t="str">
        <f>IFERROR(IF(#REF!="S",VLOOKUP('Raw Data'!A8925,References!#REF!,2,FALSE),(VLOOKUP($S8925,References!$B$3:$C$7,2,FALSE))),"")</f>
        <v/>
      </c>
      <c r="W8925" s="74" t="str">
        <f>IFERROR(VLOOKUP($O8925,'Customer List'!$A$1:$J$488,10,FALSE),"")</f>
        <v/>
      </c>
    </row>
    <row r="8926" spans="18:23">
      <c r="R8926" s="127">
        <f t="shared" si="353"/>
        <v>0</v>
      </c>
      <c r="T8926" s="128">
        <f t="shared" si="354"/>
        <v>0</v>
      </c>
      <c r="U8926" s="129" t="str">
        <f>IFERROR(IF(#REF!="S",VLOOKUP('Raw Data'!A8926,References!#REF!,2,FALSE),(VLOOKUP($S8926,References!$B$3:$C$7,2,FALSE))),"")</f>
        <v/>
      </c>
      <c r="W8926" s="74" t="str">
        <f>IFERROR(VLOOKUP($O8926,'Customer List'!$A$1:$J$488,10,FALSE),"")</f>
        <v/>
      </c>
    </row>
    <row r="8927" spans="18:23">
      <c r="R8927" s="127">
        <f t="shared" si="353"/>
        <v>0</v>
      </c>
      <c r="T8927" s="128">
        <f t="shared" si="354"/>
        <v>0</v>
      </c>
      <c r="U8927" s="129" t="str">
        <f>IFERROR(IF(#REF!="S",VLOOKUP('Raw Data'!A8927,References!#REF!,2,FALSE),(VLOOKUP($S8927,References!$B$3:$C$7,2,FALSE))),"")</f>
        <v/>
      </c>
      <c r="W8927" s="74" t="str">
        <f>IFERROR(VLOOKUP($O8927,'Customer List'!$A$1:$J$488,10,FALSE),"")</f>
        <v/>
      </c>
    </row>
    <row r="8928" spans="18:23">
      <c r="R8928" s="127">
        <f t="shared" si="353"/>
        <v>0</v>
      </c>
      <c r="T8928" s="128">
        <f t="shared" si="354"/>
        <v>0</v>
      </c>
      <c r="U8928" s="129" t="str">
        <f>IFERROR(IF(#REF!="S",VLOOKUP('Raw Data'!A8928,References!#REF!,2,FALSE),(VLOOKUP($S8928,References!$B$3:$C$7,2,FALSE))),"")</f>
        <v/>
      </c>
      <c r="W8928" s="74" t="str">
        <f>IFERROR(VLOOKUP($O8928,'Customer List'!$A$1:$J$488,10,FALSE),"")</f>
        <v/>
      </c>
    </row>
    <row r="8929" spans="18:23">
      <c r="R8929" s="127">
        <f t="shared" si="353"/>
        <v>0</v>
      </c>
      <c r="T8929" s="128">
        <f t="shared" si="354"/>
        <v>0</v>
      </c>
      <c r="U8929" s="129" t="str">
        <f>IFERROR(IF(#REF!="S",VLOOKUP('Raw Data'!A8929,References!#REF!,2,FALSE),(VLOOKUP($S8929,References!$B$3:$C$7,2,FALSE))),"")</f>
        <v/>
      </c>
      <c r="W8929" s="74" t="str">
        <f>IFERROR(VLOOKUP($O8929,'Customer List'!$A$1:$J$488,10,FALSE),"")</f>
        <v/>
      </c>
    </row>
    <row r="8930" spans="18:23">
      <c r="R8930" s="127">
        <f t="shared" ref="R8930:R8993" si="355">L8930-K8930</f>
        <v>0</v>
      </c>
      <c r="T8930" s="128">
        <f t="shared" si="354"/>
        <v>0</v>
      </c>
      <c r="U8930" s="129" t="str">
        <f>IFERROR(IF(#REF!="S",VLOOKUP('Raw Data'!A8930,References!#REF!,2,FALSE),(VLOOKUP($S8930,References!$B$3:$C$7,2,FALSE))),"")</f>
        <v/>
      </c>
      <c r="W8930" s="74" t="str">
        <f>IFERROR(VLOOKUP($O8930,'Customer List'!$A$1:$J$488,10,FALSE),"")</f>
        <v/>
      </c>
    </row>
    <row r="8931" spans="18:23">
      <c r="R8931" s="127">
        <f t="shared" si="355"/>
        <v>0</v>
      </c>
      <c r="T8931" s="128">
        <f t="shared" si="354"/>
        <v>0</v>
      </c>
      <c r="U8931" s="129" t="str">
        <f>IFERROR(IF(#REF!="S",VLOOKUP('Raw Data'!A8931,References!#REF!,2,FALSE),(VLOOKUP($S8931,References!$B$3:$C$7,2,FALSE))),"")</f>
        <v/>
      </c>
      <c r="W8931" s="74" t="str">
        <f>IFERROR(VLOOKUP($O8931,'Customer List'!$A$1:$J$488,10,FALSE),"")</f>
        <v/>
      </c>
    </row>
    <row r="8932" spans="18:23">
      <c r="R8932" s="127">
        <f t="shared" si="355"/>
        <v>0</v>
      </c>
      <c r="T8932" s="128">
        <f t="shared" si="354"/>
        <v>0</v>
      </c>
      <c r="U8932" s="129" t="str">
        <f>IFERROR(IF(#REF!="S",VLOOKUP('Raw Data'!A8932,References!#REF!,2,FALSE),(VLOOKUP($S8932,References!$B$3:$C$7,2,FALSE))),"")</f>
        <v/>
      </c>
      <c r="W8932" s="74" t="str">
        <f>IFERROR(VLOOKUP($O8932,'Customer List'!$A$1:$J$488,10,FALSE),"")</f>
        <v/>
      </c>
    </row>
    <row r="8933" spans="18:23">
      <c r="R8933" s="127">
        <f t="shared" si="355"/>
        <v>0</v>
      </c>
      <c r="T8933" s="128">
        <f t="shared" si="354"/>
        <v>0</v>
      </c>
      <c r="U8933" s="129" t="str">
        <f>IFERROR(IF(#REF!="S",VLOOKUP('Raw Data'!A8933,References!#REF!,2,FALSE),(VLOOKUP($S8933,References!$B$3:$C$7,2,FALSE))),"")</f>
        <v/>
      </c>
      <c r="W8933" s="74" t="str">
        <f>IFERROR(VLOOKUP($O8933,'Customer List'!$A$1:$J$488,10,FALSE),"")</f>
        <v/>
      </c>
    </row>
    <row r="8934" spans="18:23">
      <c r="R8934" s="127">
        <f t="shared" si="355"/>
        <v>0</v>
      </c>
      <c r="T8934" s="128">
        <f t="shared" si="354"/>
        <v>0</v>
      </c>
      <c r="U8934" s="129" t="str">
        <f>IFERROR(IF(#REF!="S",VLOOKUP('Raw Data'!A8934,References!#REF!,2,FALSE),(VLOOKUP($S8934,References!$B$3:$C$7,2,FALSE))),"")</f>
        <v/>
      </c>
      <c r="W8934" s="74" t="str">
        <f>IFERROR(VLOOKUP($O8934,'Customer List'!$A$1:$J$488,10,FALSE),"")</f>
        <v/>
      </c>
    </row>
    <row r="8935" spans="18:23">
      <c r="R8935" s="127">
        <f t="shared" si="355"/>
        <v>0</v>
      </c>
      <c r="T8935" s="128">
        <f t="shared" si="354"/>
        <v>0</v>
      </c>
      <c r="U8935" s="129" t="str">
        <f>IFERROR(IF(#REF!="S",VLOOKUP('Raw Data'!A8935,References!#REF!,2,FALSE),(VLOOKUP($S8935,References!$B$3:$C$7,2,FALSE))),"")</f>
        <v/>
      </c>
      <c r="W8935" s="74" t="str">
        <f>IFERROR(VLOOKUP($O8935,'Customer List'!$A$1:$J$488,10,FALSE),"")</f>
        <v/>
      </c>
    </row>
    <row r="8936" spans="18:23">
      <c r="R8936" s="127">
        <f t="shared" si="355"/>
        <v>0</v>
      </c>
      <c r="T8936" s="128">
        <f t="shared" si="354"/>
        <v>0</v>
      </c>
      <c r="U8936" s="129" t="str">
        <f>IFERROR(IF(#REF!="S",VLOOKUP('Raw Data'!A8936,References!#REF!,2,FALSE),(VLOOKUP($S8936,References!$B$3:$C$7,2,FALSE))),"")</f>
        <v/>
      </c>
      <c r="W8936" s="74" t="str">
        <f>IFERROR(VLOOKUP($O8936,'Customer List'!$A$1:$J$488,10,FALSE),"")</f>
        <v/>
      </c>
    </row>
    <row r="8937" spans="18:23">
      <c r="R8937" s="127">
        <f t="shared" si="355"/>
        <v>0</v>
      </c>
      <c r="T8937" s="128">
        <f t="shared" si="354"/>
        <v>0</v>
      </c>
      <c r="U8937" s="129" t="str">
        <f>IFERROR(IF(#REF!="S",VLOOKUP('Raw Data'!A8937,References!#REF!,2,FALSE),(VLOOKUP($S8937,References!$B$3:$C$7,2,FALSE))),"")</f>
        <v/>
      </c>
      <c r="W8937" s="74" t="str">
        <f>IFERROR(VLOOKUP($O8937,'Customer List'!$A$1:$J$488,10,FALSE),"")</f>
        <v/>
      </c>
    </row>
    <row r="8938" spans="18:23">
      <c r="R8938" s="127">
        <f t="shared" si="355"/>
        <v>0</v>
      </c>
      <c r="T8938" s="128">
        <f t="shared" si="354"/>
        <v>0</v>
      </c>
      <c r="U8938" s="129" t="str">
        <f>IFERROR(IF(#REF!="S",VLOOKUP('Raw Data'!A8938,References!#REF!,2,FALSE),(VLOOKUP($S8938,References!$B$3:$C$7,2,FALSE))),"")</f>
        <v/>
      </c>
      <c r="W8938" s="74" t="str">
        <f>IFERROR(VLOOKUP($O8938,'Customer List'!$A$1:$J$488,10,FALSE),"")</f>
        <v/>
      </c>
    </row>
    <row r="8939" spans="18:23">
      <c r="R8939" s="127">
        <f t="shared" si="355"/>
        <v>0</v>
      </c>
      <c r="T8939" s="128">
        <f t="shared" si="354"/>
        <v>0</v>
      </c>
      <c r="U8939" s="129" t="str">
        <f>IFERROR(IF(#REF!="S",VLOOKUP('Raw Data'!A8939,References!#REF!,2,FALSE),(VLOOKUP($S8939,References!$B$3:$C$7,2,FALSE))),"")</f>
        <v/>
      </c>
      <c r="W8939" s="74" t="str">
        <f>IFERROR(VLOOKUP($O8939,'Customer List'!$A$1:$J$488,10,FALSE),"")</f>
        <v/>
      </c>
    </row>
    <row r="8940" spans="18:23">
      <c r="R8940" s="127">
        <f t="shared" si="355"/>
        <v>0</v>
      </c>
      <c r="T8940" s="128">
        <f t="shared" si="354"/>
        <v>0</v>
      </c>
      <c r="U8940" s="129" t="str">
        <f>IFERROR(IF(#REF!="S",VLOOKUP('Raw Data'!A8940,References!#REF!,2,FALSE),(VLOOKUP($S8940,References!$B$3:$C$7,2,FALSE))),"")</f>
        <v/>
      </c>
      <c r="W8940" s="74" t="str">
        <f>IFERROR(VLOOKUP($O8940,'Customer List'!$A$1:$J$488,10,FALSE),"")</f>
        <v/>
      </c>
    </row>
    <row r="8941" spans="18:23">
      <c r="R8941" s="127">
        <f t="shared" si="355"/>
        <v>0</v>
      </c>
      <c r="T8941" s="128">
        <f t="shared" si="354"/>
        <v>0</v>
      </c>
      <c r="U8941" s="129" t="str">
        <f>IFERROR(IF(#REF!="S",VLOOKUP('Raw Data'!A8941,References!#REF!,2,FALSE),(VLOOKUP($S8941,References!$B$3:$C$7,2,FALSE))),"")</f>
        <v/>
      </c>
      <c r="W8941" s="74" t="str">
        <f>IFERROR(VLOOKUP($O8941,'Customer List'!$A$1:$J$488,10,FALSE),"")</f>
        <v/>
      </c>
    </row>
    <row r="8942" spans="18:23">
      <c r="R8942" s="127">
        <f t="shared" si="355"/>
        <v>0</v>
      </c>
      <c r="T8942" s="128">
        <f t="shared" si="354"/>
        <v>0</v>
      </c>
      <c r="U8942" s="129" t="str">
        <f>IFERROR(IF(#REF!="S",VLOOKUP('Raw Data'!A8942,References!#REF!,2,FALSE),(VLOOKUP($S8942,References!$B$3:$C$7,2,FALSE))),"")</f>
        <v/>
      </c>
      <c r="W8942" s="74" t="str">
        <f>IFERROR(VLOOKUP($O8942,'Customer List'!$A$1:$J$488,10,FALSE),"")</f>
        <v/>
      </c>
    </row>
    <row r="8943" spans="18:23">
      <c r="R8943" s="127">
        <f t="shared" si="355"/>
        <v>0</v>
      </c>
      <c r="T8943" s="128">
        <f t="shared" si="354"/>
        <v>0</v>
      </c>
      <c r="U8943" s="129" t="str">
        <f>IFERROR(IF(#REF!="S",VLOOKUP('Raw Data'!A8943,References!#REF!,2,FALSE),(VLOOKUP($S8943,References!$B$3:$C$7,2,FALSE))),"")</f>
        <v/>
      </c>
      <c r="W8943" s="74" t="str">
        <f>IFERROR(VLOOKUP($O8943,'Customer List'!$A$1:$J$488,10,FALSE),"")</f>
        <v/>
      </c>
    </row>
    <row r="8944" spans="18:23">
      <c r="R8944" s="127">
        <f t="shared" si="355"/>
        <v>0</v>
      </c>
      <c r="T8944" s="128">
        <f t="shared" si="354"/>
        <v>0</v>
      </c>
      <c r="U8944" s="129" t="str">
        <f>IFERROR(IF(#REF!="S",VLOOKUP('Raw Data'!A8944,References!#REF!,2,FALSE),(VLOOKUP($S8944,References!$B$3:$C$7,2,FALSE))),"")</f>
        <v/>
      </c>
      <c r="W8944" s="74" t="str">
        <f>IFERROR(VLOOKUP($O8944,'Customer List'!$A$1:$J$488,10,FALSE),"")</f>
        <v/>
      </c>
    </row>
    <row r="8945" spans="18:23">
      <c r="R8945" s="127">
        <f t="shared" si="355"/>
        <v>0</v>
      </c>
      <c r="T8945" s="128">
        <f t="shared" si="354"/>
        <v>0</v>
      </c>
      <c r="U8945" s="129" t="str">
        <f>IFERROR(IF(#REF!="S",VLOOKUP('Raw Data'!A8945,References!#REF!,2,FALSE),(VLOOKUP($S8945,References!$B$3:$C$7,2,FALSE))),"")</f>
        <v/>
      </c>
      <c r="W8945" s="74" t="str">
        <f>IFERROR(VLOOKUP($O8945,'Customer List'!$A$1:$J$488,10,FALSE),"")</f>
        <v/>
      </c>
    </row>
    <row r="8946" spans="18:23">
      <c r="R8946" s="127">
        <f t="shared" si="355"/>
        <v>0</v>
      </c>
      <c r="T8946" s="128">
        <f t="shared" si="354"/>
        <v>0</v>
      </c>
      <c r="U8946" s="129" t="str">
        <f>IFERROR(IF(#REF!="S",VLOOKUP('Raw Data'!A8946,References!#REF!,2,FALSE),(VLOOKUP($S8946,References!$B$3:$C$7,2,FALSE))),"")</f>
        <v/>
      </c>
      <c r="W8946" s="74" t="str">
        <f>IFERROR(VLOOKUP($O8946,'Customer List'!$A$1:$J$488,10,FALSE),"")</f>
        <v/>
      </c>
    </row>
    <row r="8947" spans="18:23">
      <c r="R8947" s="127">
        <f t="shared" si="355"/>
        <v>0</v>
      </c>
      <c r="T8947" s="128">
        <f t="shared" si="354"/>
        <v>0</v>
      </c>
      <c r="U8947" s="129" t="str">
        <f>IFERROR(IF(#REF!="S",VLOOKUP('Raw Data'!A8947,References!#REF!,2,FALSE),(VLOOKUP($S8947,References!$B$3:$C$7,2,FALSE))),"")</f>
        <v/>
      </c>
      <c r="W8947" s="74" t="str">
        <f>IFERROR(VLOOKUP($O8947,'Customer List'!$A$1:$J$488,10,FALSE),"")</f>
        <v/>
      </c>
    </row>
    <row r="8948" spans="18:23">
      <c r="R8948" s="127">
        <f t="shared" si="355"/>
        <v>0</v>
      </c>
      <c r="T8948" s="128">
        <f t="shared" si="354"/>
        <v>0</v>
      </c>
      <c r="U8948" s="129" t="str">
        <f>IFERROR(IF(#REF!="S",VLOOKUP('Raw Data'!A8948,References!#REF!,2,FALSE),(VLOOKUP($S8948,References!$B$3:$C$7,2,FALSE))),"")</f>
        <v/>
      </c>
      <c r="W8948" s="74" t="str">
        <f>IFERROR(VLOOKUP($O8948,'Customer List'!$A$1:$J$488,10,FALSE),"")</f>
        <v/>
      </c>
    </row>
    <row r="8949" spans="18:23">
      <c r="R8949" s="127">
        <f t="shared" si="355"/>
        <v>0</v>
      </c>
      <c r="T8949" s="128">
        <f t="shared" si="354"/>
        <v>0</v>
      </c>
      <c r="U8949" s="129" t="str">
        <f>IFERROR(IF(#REF!="S",VLOOKUP('Raw Data'!A8949,References!#REF!,2,FALSE),(VLOOKUP($S8949,References!$B$3:$C$7,2,FALSE))),"")</f>
        <v/>
      </c>
      <c r="W8949" s="74" t="str">
        <f>IFERROR(VLOOKUP($O8949,'Customer List'!$A$1:$J$488,10,FALSE),"")</f>
        <v/>
      </c>
    </row>
    <row r="8950" spans="18:23">
      <c r="R8950" s="127">
        <f t="shared" si="355"/>
        <v>0</v>
      </c>
      <c r="T8950" s="128">
        <f t="shared" si="354"/>
        <v>0</v>
      </c>
      <c r="U8950" s="129" t="str">
        <f>IFERROR(IF(#REF!="S",VLOOKUP('Raw Data'!A8950,References!#REF!,2,FALSE),(VLOOKUP($S8950,References!$B$3:$C$7,2,FALSE))),"")</f>
        <v/>
      </c>
      <c r="W8950" s="74" t="str">
        <f>IFERROR(VLOOKUP($O8950,'Customer List'!$A$1:$J$488,10,FALSE),"")</f>
        <v/>
      </c>
    </row>
    <row r="8951" spans="18:23">
      <c r="R8951" s="127">
        <f t="shared" si="355"/>
        <v>0</v>
      </c>
      <c r="T8951" s="128">
        <f t="shared" si="354"/>
        <v>0</v>
      </c>
      <c r="U8951" s="129" t="str">
        <f>IFERROR(IF(#REF!="S",VLOOKUP('Raw Data'!A8951,References!#REF!,2,FALSE),(VLOOKUP($S8951,References!$B$3:$C$7,2,FALSE))),"")</f>
        <v/>
      </c>
      <c r="W8951" s="74" t="str">
        <f>IFERROR(VLOOKUP($O8951,'Customer List'!$A$1:$J$488,10,FALSE),"")</f>
        <v/>
      </c>
    </row>
    <row r="8952" spans="18:23">
      <c r="R8952" s="127">
        <f t="shared" si="355"/>
        <v>0</v>
      </c>
      <c r="T8952" s="128">
        <f t="shared" si="354"/>
        <v>0</v>
      </c>
      <c r="U8952" s="129" t="str">
        <f>IFERROR(IF(#REF!="S",VLOOKUP('Raw Data'!A8952,References!#REF!,2,FALSE),(VLOOKUP($S8952,References!$B$3:$C$7,2,FALSE))),"")</f>
        <v/>
      </c>
      <c r="W8952" s="74" t="str">
        <f>IFERROR(VLOOKUP($O8952,'Customer List'!$A$1:$J$488,10,FALSE),"")</f>
        <v/>
      </c>
    </row>
    <row r="8953" spans="18:23">
      <c r="R8953" s="127">
        <f t="shared" si="355"/>
        <v>0</v>
      </c>
      <c r="T8953" s="128">
        <f t="shared" si="354"/>
        <v>0</v>
      </c>
      <c r="U8953" s="129" t="str">
        <f>IFERROR(IF(#REF!="S",VLOOKUP('Raw Data'!A8953,References!#REF!,2,FALSE),(VLOOKUP($S8953,References!$B$3:$C$7,2,FALSE))),"")</f>
        <v/>
      </c>
      <c r="W8953" s="74" t="str">
        <f>IFERROR(VLOOKUP($O8953,'Customer List'!$A$1:$J$488,10,FALSE),"")</f>
        <v/>
      </c>
    </row>
    <row r="8954" spans="18:23">
      <c r="R8954" s="127">
        <f t="shared" si="355"/>
        <v>0</v>
      </c>
      <c r="T8954" s="128">
        <f t="shared" si="354"/>
        <v>0</v>
      </c>
      <c r="U8954" s="129" t="str">
        <f>IFERROR(IF(#REF!="S",VLOOKUP('Raw Data'!A8954,References!#REF!,2,FALSE),(VLOOKUP($S8954,References!$B$3:$C$7,2,FALSE))),"")</f>
        <v/>
      </c>
      <c r="W8954" s="74" t="str">
        <f>IFERROR(VLOOKUP($O8954,'Customer List'!$A$1:$J$488,10,FALSE),"")</f>
        <v/>
      </c>
    </row>
    <row r="8955" spans="18:23">
      <c r="R8955" s="127">
        <f t="shared" si="355"/>
        <v>0</v>
      </c>
      <c r="T8955" s="128">
        <f t="shared" si="354"/>
        <v>0</v>
      </c>
      <c r="U8955" s="129" t="str">
        <f>IFERROR(IF(#REF!="S",VLOOKUP('Raw Data'!A8955,References!#REF!,2,FALSE),(VLOOKUP($S8955,References!$B$3:$C$7,2,FALSE))),"")</f>
        <v/>
      </c>
      <c r="W8955" s="74" t="str">
        <f>IFERROR(VLOOKUP($O8955,'Customer List'!$A$1:$J$488,10,FALSE),"")</f>
        <v/>
      </c>
    </row>
    <row r="8956" spans="18:23">
      <c r="R8956" s="127">
        <f t="shared" si="355"/>
        <v>0</v>
      </c>
      <c r="T8956" s="128">
        <f t="shared" si="354"/>
        <v>0</v>
      </c>
      <c r="U8956" s="129" t="str">
        <f>IFERROR(IF(#REF!="S",VLOOKUP('Raw Data'!A8956,References!#REF!,2,FALSE),(VLOOKUP($S8956,References!$B$3:$C$7,2,FALSE))),"")</f>
        <v/>
      </c>
      <c r="W8956" s="74" t="str">
        <f>IFERROR(VLOOKUP($O8956,'Customer List'!$A$1:$J$488,10,FALSE),"")</f>
        <v/>
      </c>
    </row>
    <row r="8957" spans="18:23">
      <c r="R8957" s="127">
        <f t="shared" si="355"/>
        <v>0</v>
      </c>
      <c r="T8957" s="128">
        <f t="shared" si="354"/>
        <v>0</v>
      </c>
      <c r="U8957" s="129" t="str">
        <f>IFERROR(IF(#REF!="S",VLOOKUP('Raw Data'!A8957,References!#REF!,2,FALSE),(VLOOKUP($S8957,References!$B$3:$C$7,2,FALSE))),"")</f>
        <v/>
      </c>
      <c r="W8957" s="74" t="str">
        <f>IFERROR(VLOOKUP($O8957,'Customer List'!$A$1:$J$488,10,FALSE),"")</f>
        <v/>
      </c>
    </row>
    <row r="8958" spans="18:23">
      <c r="R8958" s="127">
        <f t="shared" si="355"/>
        <v>0</v>
      </c>
      <c r="T8958" s="128">
        <f t="shared" si="354"/>
        <v>0</v>
      </c>
      <c r="U8958" s="129" t="str">
        <f>IFERROR(IF(#REF!="S",VLOOKUP('Raw Data'!A8958,References!#REF!,2,FALSE),(VLOOKUP($S8958,References!$B$3:$C$7,2,FALSE))),"")</f>
        <v/>
      </c>
      <c r="W8958" s="74" t="str">
        <f>IFERROR(VLOOKUP($O8958,'Customer List'!$A$1:$J$488,10,FALSE),"")</f>
        <v/>
      </c>
    </row>
    <row r="8959" spans="18:23">
      <c r="R8959" s="127">
        <f t="shared" si="355"/>
        <v>0</v>
      </c>
      <c r="T8959" s="128">
        <f t="shared" si="354"/>
        <v>0</v>
      </c>
      <c r="U8959" s="129" t="str">
        <f>IFERROR(IF(#REF!="S",VLOOKUP('Raw Data'!A8959,References!#REF!,2,FALSE),(VLOOKUP($S8959,References!$B$3:$C$7,2,FALSE))),"")</f>
        <v/>
      </c>
      <c r="W8959" s="74" t="str">
        <f>IFERROR(VLOOKUP($O8959,'Customer List'!$A$1:$J$488,10,FALSE),"")</f>
        <v/>
      </c>
    </row>
    <row r="8960" spans="18:23">
      <c r="R8960" s="127">
        <f t="shared" si="355"/>
        <v>0</v>
      </c>
      <c r="T8960" s="128">
        <f t="shared" si="354"/>
        <v>0</v>
      </c>
      <c r="U8960" s="129" t="str">
        <f>IFERROR(IF(#REF!="S",VLOOKUP('Raw Data'!A8960,References!#REF!,2,FALSE),(VLOOKUP($S8960,References!$B$3:$C$7,2,FALSE))),"")</f>
        <v/>
      </c>
      <c r="W8960" s="74" t="str">
        <f>IFERROR(VLOOKUP($O8960,'Customer List'!$A$1:$J$488,10,FALSE),"")</f>
        <v/>
      </c>
    </row>
    <row r="8961" spans="18:23">
      <c r="R8961" s="127">
        <f t="shared" si="355"/>
        <v>0</v>
      </c>
      <c r="T8961" s="128">
        <f t="shared" si="354"/>
        <v>0</v>
      </c>
      <c r="U8961" s="129" t="str">
        <f>IFERROR(IF(#REF!="S",VLOOKUP('Raw Data'!A8961,References!#REF!,2,FALSE),(VLOOKUP($S8961,References!$B$3:$C$7,2,FALSE))),"")</f>
        <v/>
      </c>
      <c r="W8961" s="74" t="str">
        <f>IFERROR(VLOOKUP($O8961,'Customer List'!$A$1:$J$488,10,FALSE),"")</f>
        <v/>
      </c>
    </row>
    <row r="8962" spans="18:23">
      <c r="R8962" s="127">
        <f t="shared" si="355"/>
        <v>0</v>
      </c>
      <c r="T8962" s="128">
        <f t="shared" si="354"/>
        <v>0</v>
      </c>
      <c r="U8962" s="129" t="str">
        <f>IFERROR(IF(#REF!="S",VLOOKUP('Raw Data'!A8962,References!#REF!,2,FALSE),(VLOOKUP($S8962,References!$B$3:$C$7,2,FALSE))),"")</f>
        <v/>
      </c>
      <c r="W8962" s="74" t="str">
        <f>IFERROR(VLOOKUP($O8962,'Customer List'!$A$1:$J$488,10,FALSE),"")</f>
        <v/>
      </c>
    </row>
    <row r="8963" spans="18:23">
      <c r="R8963" s="127">
        <f t="shared" si="355"/>
        <v>0</v>
      </c>
      <c r="T8963" s="128">
        <f t="shared" si="354"/>
        <v>0</v>
      </c>
      <c r="U8963" s="129" t="str">
        <f>IFERROR(IF(#REF!="S",VLOOKUP('Raw Data'!A8963,References!#REF!,2,FALSE),(VLOOKUP($S8963,References!$B$3:$C$7,2,FALSE))),"")</f>
        <v/>
      </c>
      <c r="W8963" s="74" t="str">
        <f>IFERROR(VLOOKUP($O8963,'Customer List'!$A$1:$J$488,10,FALSE),"")</f>
        <v/>
      </c>
    </row>
    <row r="8964" spans="18:23">
      <c r="R8964" s="127">
        <f t="shared" si="355"/>
        <v>0</v>
      </c>
      <c r="T8964" s="128">
        <f t="shared" si="354"/>
        <v>0</v>
      </c>
      <c r="U8964" s="129" t="str">
        <f>IFERROR(IF(#REF!="S",VLOOKUP('Raw Data'!A8964,References!#REF!,2,FALSE),(VLOOKUP($S8964,References!$B$3:$C$7,2,FALSE))),"")</f>
        <v/>
      </c>
      <c r="W8964" s="74" t="str">
        <f>IFERROR(VLOOKUP($O8964,'Customer List'!$A$1:$J$488,10,FALSE),"")</f>
        <v/>
      </c>
    </row>
    <row r="8965" spans="18:23">
      <c r="R8965" s="127">
        <f t="shared" si="355"/>
        <v>0</v>
      </c>
      <c r="T8965" s="128">
        <f t="shared" si="354"/>
        <v>0</v>
      </c>
      <c r="U8965" s="129" t="str">
        <f>IFERROR(IF(#REF!="S",VLOOKUP('Raw Data'!A8965,References!#REF!,2,FALSE),(VLOOKUP($S8965,References!$B$3:$C$7,2,FALSE))),"")</f>
        <v/>
      </c>
      <c r="W8965" s="74" t="str">
        <f>IFERROR(VLOOKUP($O8965,'Customer List'!$A$1:$J$488,10,FALSE),"")</f>
        <v/>
      </c>
    </row>
    <row r="8966" spans="18:23">
      <c r="R8966" s="127">
        <f t="shared" si="355"/>
        <v>0</v>
      </c>
      <c r="T8966" s="128">
        <f t="shared" si="354"/>
        <v>0</v>
      </c>
      <c r="U8966" s="129" t="str">
        <f>IFERROR(IF(#REF!="S",VLOOKUP('Raw Data'!A8966,References!#REF!,2,FALSE),(VLOOKUP($S8966,References!$B$3:$C$7,2,FALSE))),"")</f>
        <v/>
      </c>
      <c r="W8966" s="74" t="str">
        <f>IFERROR(VLOOKUP($O8966,'Customer List'!$A$1:$J$488,10,FALSE),"")</f>
        <v/>
      </c>
    </row>
    <row r="8967" spans="18:23">
      <c r="R8967" s="127">
        <f t="shared" si="355"/>
        <v>0</v>
      </c>
      <c r="T8967" s="128">
        <f t="shared" si="354"/>
        <v>0</v>
      </c>
      <c r="U8967" s="129" t="str">
        <f>IFERROR(IF(#REF!="S",VLOOKUP('Raw Data'!A8967,References!#REF!,2,FALSE),(VLOOKUP($S8967,References!$B$3:$C$7,2,FALSE))),"")</f>
        <v/>
      </c>
      <c r="W8967" s="74" t="str">
        <f>IFERROR(VLOOKUP($O8967,'Customer List'!$A$1:$J$488,10,FALSE),"")</f>
        <v/>
      </c>
    </row>
    <row r="8968" spans="18:23">
      <c r="R8968" s="127">
        <f t="shared" si="355"/>
        <v>0</v>
      </c>
      <c r="T8968" s="128">
        <f t="shared" si="354"/>
        <v>0</v>
      </c>
      <c r="U8968" s="129" t="str">
        <f>IFERROR(IF(#REF!="S",VLOOKUP('Raw Data'!A8968,References!#REF!,2,FALSE),(VLOOKUP($S8968,References!$B$3:$C$7,2,FALSE))),"")</f>
        <v/>
      </c>
      <c r="W8968" s="74" t="str">
        <f>IFERROR(VLOOKUP($O8968,'Customer List'!$A$1:$J$488,10,FALSE),"")</f>
        <v/>
      </c>
    </row>
    <row r="8969" spans="18:23">
      <c r="R8969" s="127">
        <f t="shared" si="355"/>
        <v>0</v>
      </c>
      <c r="T8969" s="128">
        <f t="shared" si="354"/>
        <v>0</v>
      </c>
      <c r="U8969" s="129" t="str">
        <f>IFERROR(IF(#REF!="S",VLOOKUP('Raw Data'!A8969,References!#REF!,2,FALSE),(VLOOKUP($S8969,References!$B$3:$C$7,2,FALSE))),"")</f>
        <v/>
      </c>
      <c r="W8969" s="74" t="str">
        <f>IFERROR(VLOOKUP($O8969,'Customer List'!$A$1:$J$488,10,FALSE),"")</f>
        <v/>
      </c>
    </row>
    <row r="8970" spans="18:23">
      <c r="R8970" s="127">
        <f t="shared" si="355"/>
        <v>0</v>
      </c>
      <c r="T8970" s="128">
        <f t="shared" ref="T8970:T9033" si="356">IF(S8970="50 - Cleaning Fee",1,HOUR($R8970)+MINUTE(R8970)/60)</f>
        <v>0</v>
      </c>
      <c r="U8970" s="129" t="str">
        <f>IFERROR(IF(#REF!="S",VLOOKUP('Raw Data'!A8970,References!#REF!,2,FALSE),(VLOOKUP($S8970,References!$B$3:$C$7,2,FALSE))),"")</f>
        <v/>
      </c>
      <c r="W8970" s="74" t="str">
        <f>IFERROR(VLOOKUP($O8970,'Customer List'!$A$1:$J$488,10,FALSE),"")</f>
        <v/>
      </c>
    </row>
    <row r="8971" spans="18:23">
      <c r="R8971" s="127">
        <f t="shared" si="355"/>
        <v>0</v>
      </c>
      <c r="T8971" s="128">
        <f t="shared" si="356"/>
        <v>0</v>
      </c>
      <c r="U8971" s="129" t="str">
        <f>IFERROR(IF(#REF!="S",VLOOKUP('Raw Data'!A8971,References!#REF!,2,FALSE),(VLOOKUP($S8971,References!$B$3:$C$7,2,FALSE))),"")</f>
        <v/>
      </c>
      <c r="W8971" s="74" t="str">
        <f>IFERROR(VLOOKUP($O8971,'Customer List'!$A$1:$J$488,10,FALSE),"")</f>
        <v/>
      </c>
    </row>
    <row r="8972" spans="18:23">
      <c r="R8972" s="127">
        <f t="shared" si="355"/>
        <v>0</v>
      </c>
      <c r="T8972" s="128">
        <f t="shared" si="356"/>
        <v>0</v>
      </c>
      <c r="U8972" s="129" t="str">
        <f>IFERROR(IF(#REF!="S",VLOOKUP('Raw Data'!A8972,References!#REF!,2,FALSE),(VLOOKUP($S8972,References!$B$3:$C$7,2,FALSE))),"")</f>
        <v/>
      </c>
      <c r="W8972" s="74" t="str">
        <f>IFERROR(VLOOKUP($O8972,'Customer List'!$A$1:$J$488,10,FALSE),"")</f>
        <v/>
      </c>
    </row>
    <row r="8973" spans="18:23">
      <c r="R8973" s="127">
        <f t="shared" si="355"/>
        <v>0</v>
      </c>
      <c r="T8973" s="128">
        <f t="shared" si="356"/>
        <v>0</v>
      </c>
      <c r="U8973" s="129" t="str">
        <f>IFERROR(IF(#REF!="S",VLOOKUP('Raw Data'!A8973,References!#REF!,2,FALSE),(VLOOKUP($S8973,References!$B$3:$C$7,2,FALSE))),"")</f>
        <v/>
      </c>
      <c r="W8973" s="74" t="str">
        <f>IFERROR(VLOOKUP($O8973,'Customer List'!$A$1:$J$488,10,FALSE),"")</f>
        <v/>
      </c>
    </row>
    <row r="8974" spans="18:23">
      <c r="R8974" s="127">
        <f t="shared" si="355"/>
        <v>0</v>
      </c>
      <c r="T8974" s="128">
        <f t="shared" si="356"/>
        <v>0</v>
      </c>
      <c r="U8974" s="129" t="str">
        <f>IFERROR(IF(#REF!="S",VLOOKUP('Raw Data'!A8974,References!#REF!,2,FALSE),(VLOOKUP($S8974,References!$B$3:$C$7,2,FALSE))),"")</f>
        <v/>
      </c>
      <c r="W8974" s="74" t="str">
        <f>IFERROR(VLOOKUP($O8974,'Customer List'!$A$1:$J$488,10,FALSE),"")</f>
        <v/>
      </c>
    </row>
    <row r="8975" spans="18:23">
      <c r="R8975" s="127">
        <f t="shared" si="355"/>
        <v>0</v>
      </c>
      <c r="T8975" s="128">
        <f t="shared" si="356"/>
        <v>0</v>
      </c>
      <c r="U8975" s="129" t="str">
        <f>IFERROR(IF(#REF!="S",VLOOKUP('Raw Data'!A8975,References!#REF!,2,FALSE),(VLOOKUP($S8975,References!$B$3:$C$7,2,FALSE))),"")</f>
        <v/>
      </c>
      <c r="W8975" s="74" t="str">
        <f>IFERROR(VLOOKUP($O8975,'Customer List'!$A$1:$J$488,10,FALSE),"")</f>
        <v/>
      </c>
    </row>
    <row r="8976" spans="18:23">
      <c r="R8976" s="127">
        <f t="shared" si="355"/>
        <v>0</v>
      </c>
      <c r="T8976" s="128">
        <f t="shared" si="356"/>
        <v>0</v>
      </c>
      <c r="U8976" s="129" t="str">
        <f>IFERROR(IF(#REF!="S",VLOOKUP('Raw Data'!A8976,References!#REF!,2,FALSE),(VLOOKUP($S8976,References!$B$3:$C$7,2,FALSE))),"")</f>
        <v/>
      </c>
      <c r="W8976" s="74" t="str">
        <f>IFERROR(VLOOKUP($O8976,'Customer List'!$A$1:$J$488,10,FALSE),"")</f>
        <v/>
      </c>
    </row>
    <row r="8977" spans="18:23">
      <c r="R8977" s="127">
        <f t="shared" si="355"/>
        <v>0</v>
      </c>
      <c r="T8977" s="128">
        <f t="shared" si="356"/>
        <v>0</v>
      </c>
      <c r="U8977" s="129" t="str">
        <f>IFERROR(IF(#REF!="S",VLOOKUP('Raw Data'!A8977,References!#REF!,2,FALSE),(VLOOKUP($S8977,References!$B$3:$C$7,2,FALSE))),"")</f>
        <v/>
      </c>
      <c r="W8977" s="74" t="str">
        <f>IFERROR(VLOOKUP($O8977,'Customer List'!$A$1:$J$488,10,FALSE),"")</f>
        <v/>
      </c>
    </row>
    <row r="8978" spans="18:23">
      <c r="R8978" s="127">
        <f t="shared" si="355"/>
        <v>0</v>
      </c>
      <c r="T8978" s="128">
        <f t="shared" si="356"/>
        <v>0</v>
      </c>
      <c r="U8978" s="129" t="str">
        <f>IFERROR(IF(#REF!="S",VLOOKUP('Raw Data'!A8978,References!#REF!,2,FALSE),(VLOOKUP($S8978,References!$B$3:$C$7,2,FALSE))),"")</f>
        <v/>
      </c>
      <c r="W8978" s="74" t="str">
        <f>IFERROR(VLOOKUP($O8978,'Customer List'!$A$1:$J$488,10,FALSE),"")</f>
        <v/>
      </c>
    </row>
    <row r="8979" spans="18:23">
      <c r="R8979" s="127">
        <f t="shared" si="355"/>
        <v>0</v>
      </c>
      <c r="T8979" s="128">
        <f t="shared" si="356"/>
        <v>0</v>
      </c>
      <c r="U8979" s="129" t="str">
        <f>IFERROR(IF(#REF!="S",VLOOKUP('Raw Data'!A8979,References!#REF!,2,FALSE),(VLOOKUP($S8979,References!$B$3:$C$7,2,FALSE))),"")</f>
        <v/>
      </c>
      <c r="W8979" s="74" t="str">
        <f>IFERROR(VLOOKUP($O8979,'Customer List'!$A$1:$J$488,10,FALSE),"")</f>
        <v/>
      </c>
    </row>
    <row r="8980" spans="18:23">
      <c r="R8980" s="127">
        <f t="shared" si="355"/>
        <v>0</v>
      </c>
      <c r="T8980" s="128">
        <f t="shared" si="356"/>
        <v>0</v>
      </c>
      <c r="U8980" s="129" t="str">
        <f>IFERROR(IF(#REF!="S",VLOOKUP('Raw Data'!A8980,References!#REF!,2,FALSE),(VLOOKUP($S8980,References!$B$3:$C$7,2,FALSE))),"")</f>
        <v/>
      </c>
      <c r="W8980" s="74" t="str">
        <f>IFERROR(VLOOKUP($O8980,'Customer List'!$A$1:$J$488,10,FALSE),"")</f>
        <v/>
      </c>
    </row>
    <row r="8981" spans="18:23">
      <c r="R8981" s="127">
        <f t="shared" si="355"/>
        <v>0</v>
      </c>
      <c r="T8981" s="128">
        <f t="shared" si="356"/>
        <v>0</v>
      </c>
      <c r="U8981" s="129" t="str">
        <f>IFERROR(IF(#REF!="S",VLOOKUP('Raw Data'!A8981,References!#REF!,2,FALSE),(VLOOKUP($S8981,References!$B$3:$C$7,2,FALSE))),"")</f>
        <v/>
      </c>
      <c r="W8981" s="74" t="str">
        <f>IFERROR(VLOOKUP($O8981,'Customer List'!$A$1:$J$488,10,FALSE),"")</f>
        <v/>
      </c>
    </row>
    <row r="8982" spans="18:23">
      <c r="R8982" s="127">
        <f t="shared" si="355"/>
        <v>0</v>
      </c>
      <c r="T8982" s="128">
        <f t="shared" si="356"/>
        <v>0</v>
      </c>
      <c r="U8982" s="129" t="str">
        <f>IFERROR(IF(#REF!="S",VLOOKUP('Raw Data'!A8982,References!#REF!,2,FALSE),(VLOOKUP($S8982,References!$B$3:$C$7,2,FALSE))),"")</f>
        <v/>
      </c>
      <c r="W8982" s="74" t="str">
        <f>IFERROR(VLOOKUP($O8982,'Customer List'!$A$1:$J$488,10,FALSE),"")</f>
        <v/>
      </c>
    </row>
    <row r="8983" spans="18:23">
      <c r="R8983" s="127">
        <f t="shared" si="355"/>
        <v>0</v>
      </c>
      <c r="T8983" s="128">
        <f t="shared" si="356"/>
        <v>0</v>
      </c>
      <c r="U8983" s="129" t="str">
        <f>IFERROR(IF(#REF!="S",VLOOKUP('Raw Data'!A8983,References!#REF!,2,FALSE),(VLOOKUP($S8983,References!$B$3:$C$7,2,FALSE))),"")</f>
        <v/>
      </c>
      <c r="W8983" s="74" t="str">
        <f>IFERROR(VLOOKUP($O8983,'Customer List'!$A$1:$J$488,10,FALSE),"")</f>
        <v/>
      </c>
    </row>
    <row r="8984" spans="18:23">
      <c r="R8984" s="127">
        <f t="shared" si="355"/>
        <v>0</v>
      </c>
      <c r="T8984" s="128">
        <f t="shared" si="356"/>
        <v>0</v>
      </c>
      <c r="U8984" s="129" t="str">
        <f>IFERROR(IF(#REF!="S",VLOOKUP('Raw Data'!A8984,References!#REF!,2,FALSE),(VLOOKUP($S8984,References!$B$3:$C$7,2,FALSE))),"")</f>
        <v/>
      </c>
      <c r="W8984" s="74" t="str">
        <f>IFERROR(VLOOKUP($O8984,'Customer List'!$A$1:$J$488,10,FALSE),"")</f>
        <v/>
      </c>
    </row>
    <row r="8985" spans="18:23">
      <c r="R8985" s="127">
        <f t="shared" si="355"/>
        <v>0</v>
      </c>
      <c r="T8985" s="128">
        <f t="shared" si="356"/>
        <v>0</v>
      </c>
      <c r="U8985" s="129" t="str">
        <f>IFERROR(IF(#REF!="S",VLOOKUP('Raw Data'!A8985,References!#REF!,2,FALSE),(VLOOKUP($S8985,References!$B$3:$C$7,2,FALSE))),"")</f>
        <v/>
      </c>
      <c r="W8985" s="74" t="str">
        <f>IFERROR(VLOOKUP($O8985,'Customer List'!$A$1:$J$488,10,FALSE),"")</f>
        <v/>
      </c>
    </row>
    <row r="8986" spans="18:23">
      <c r="R8986" s="127">
        <f t="shared" si="355"/>
        <v>0</v>
      </c>
      <c r="T8986" s="128">
        <f t="shared" si="356"/>
        <v>0</v>
      </c>
      <c r="U8986" s="129" t="str">
        <f>IFERROR(IF(#REF!="S",VLOOKUP('Raw Data'!A8986,References!#REF!,2,FALSE),(VLOOKUP($S8986,References!$B$3:$C$7,2,FALSE))),"")</f>
        <v/>
      </c>
      <c r="W8986" s="74" t="str">
        <f>IFERROR(VLOOKUP($O8986,'Customer List'!$A$1:$J$488,10,FALSE),"")</f>
        <v/>
      </c>
    </row>
    <row r="8987" spans="18:23">
      <c r="R8987" s="127">
        <f t="shared" si="355"/>
        <v>0</v>
      </c>
      <c r="T8987" s="128">
        <f t="shared" si="356"/>
        <v>0</v>
      </c>
      <c r="U8987" s="129" t="str">
        <f>IFERROR(IF(#REF!="S",VLOOKUP('Raw Data'!A8987,References!#REF!,2,FALSE),(VLOOKUP($S8987,References!$B$3:$C$7,2,FALSE))),"")</f>
        <v/>
      </c>
      <c r="W8987" s="74" t="str">
        <f>IFERROR(VLOOKUP($O8987,'Customer List'!$A$1:$J$488,10,FALSE),"")</f>
        <v/>
      </c>
    </row>
    <row r="8988" spans="18:23">
      <c r="R8988" s="127">
        <f t="shared" si="355"/>
        <v>0</v>
      </c>
      <c r="T8988" s="128">
        <f t="shared" si="356"/>
        <v>0</v>
      </c>
      <c r="U8988" s="129" t="str">
        <f>IFERROR(IF(#REF!="S",VLOOKUP('Raw Data'!A8988,References!#REF!,2,FALSE),(VLOOKUP($S8988,References!$B$3:$C$7,2,FALSE))),"")</f>
        <v/>
      </c>
      <c r="W8988" s="74" t="str">
        <f>IFERROR(VLOOKUP($O8988,'Customer List'!$A$1:$J$488,10,FALSE),"")</f>
        <v/>
      </c>
    </row>
    <row r="8989" spans="18:23">
      <c r="R8989" s="127">
        <f t="shared" si="355"/>
        <v>0</v>
      </c>
      <c r="T8989" s="128">
        <f t="shared" si="356"/>
        <v>0</v>
      </c>
      <c r="U8989" s="129" t="str">
        <f>IFERROR(IF(#REF!="S",VLOOKUP('Raw Data'!A8989,References!#REF!,2,FALSE),(VLOOKUP($S8989,References!$B$3:$C$7,2,FALSE))),"")</f>
        <v/>
      </c>
      <c r="W8989" s="74" t="str">
        <f>IFERROR(VLOOKUP($O8989,'Customer List'!$A$1:$J$488,10,FALSE),"")</f>
        <v/>
      </c>
    </row>
    <row r="8990" spans="18:23">
      <c r="R8990" s="127">
        <f t="shared" si="355"/>
        <v>0</v>
      </c>
      <c r="T8990" s="128">
        <f t="shared" si="356"/>
        <v>0</v>
      </c>
      <c r="U8990" s="129" t="str">
        <f>IFERROR(IF(#REF!="S",VLOOKUP('Raw Data'!A8990,References!#REF!,2,FALSE),(VLOOKUP($S8990,References!$B$3:$C$7,2,FALSE))),"")</f>
        <v/>
      </c>
      <c r="W8990" s="74" t="str">
        <f>IFERROR(VLOOKUP($O8990,'Customer List'!$A$1:$J$488,10,FALSE),"")</f>
        <v/>
      </c>
    </row>
    <row r="8991" spans="18:23">
      <c r="R8991" s="127">
        <f t="shared" si="355"/>
        <v>0</v>
      </c>
      <c r="T8991" s="128">
        <f t="shared" si="356"/>
        <v>0</v>
      </c>
      <c r="U8991" s="129" t="str">
        <f>IFERROR(IF(#REF!="S",VLOOKUP('Raw Data'!A8991,References!#REF!,2,FALSE),(VLOOKUP($S8991,References!$B$3:$C$7,2,FALSE))),"")</f>
        <v/>
      </c>
      <c r="W8991" s="74" t="str">
        <f>IFERROR(VLOOKUP($O8991,'Customer List'!$A$1:$J$488,10,FALSE),"")</f>
        <v/>
      </c>
    </row>
    <row r="8992" spans="18:23">
      <c r="R8992" s="127">
        <f t="shared" si="355"/>
        <v>0</v>
      </c>
      <c r="T8992" s="128">
        <f t="shared" si="356"/>
        <v>0</v>
      </c>
      <c r="U8992" s="129" t="str">
        <f>IFERROR(IF(#REF!="S",VLOOKUP('Raw Data'!A8992,References!#REF!,2,FALSE),(VLOOKUP($S8992,References!$B$3:$C$7,2,FALSE))),"")</f>
        <v/>
      </c>
      <c r="W8992" s="74" t="str">
        <f>IFERROR(VLOOKUP($O8992,'Customer List'!$A$1:$J$488,10,FALSE),"")</f>
        <v/>
      </c>
    </row>
    <row r="8993" spans="18:23">
      <c r="R8993" s="127">
        <f t="shared" si="355"/>
        <v>0</v>
      </c>
      <c r="T8993" s="128">
        <f t="shared" si="356"/>
        <v>0</v>
      </c>
      <c r="U8993" s="129" t="str">
        <f>IFERROR(IF(#REF!="S",VLOOKUP('Raw Data'!A8993,References!#REF!,2,FALSE),(VLOOKUP($S8993,References!$B$3:$C$7,2,FALSE))),"")</f>
        <v/>
      </c>
      <c r="W8993" s="74" t="str">
        <f>IFERROR(VLOOKUP($O8993,'Customer List'!$A$1:$J$488,10,FALSE),"")</f>
        <v/>
      </c>
    </row>
    <row r="8994" spans="18:23">
      <c r="R8994" s="127">
        <f t="shared" ref="R8994:R9057" si="357">L8994-K8994</f>
        <v>0</v>
      </c>
      <c r="T8994" s="128">
        <f t="shared" si="356"/>
        <v>0</v>
      </c>
      <c r="U8994" s="129" t="str">
        <f>IFERROR(IF(#REF!="S",VLOOKUP('Raw Data'!A8994,References!#REF!,2,FALSE),(VLOOKUP($S8994,References!$B$3:$C$7,2,FALSE))),"")</f>
        <v/>
      </c>
      <c r="W8994" s="74" t="str">
        <f>IFERROR(VLOOKUP($O8994,'Customer List'!$A$1:$J$488,10,FALSE),"")</f>
        <v/>
      </c>
    </row>
    <row r="8995" spans="18:23">
      <c r="R8995" s="127">
        <f t="shared" si="357"/>
        <v>0</v>
      </c>
      <c r="T8995" s="128">
        <f t="shared" si="356"/>
        <v>0</v>
      </c>
      <c r="U8995" s="129" t="str">
        <f>IFERROR(IF(#REF!="S",VLOOKUP('Raw Data'!A8995,References!#REF!,2,FALSE),(VLOOKUP($S8995,References!$B$3:$C$7,2,FALSE))),"")</f>
        <v/>
      </c>
      <c r="W8995" s="74" t="str">
        <f>IFERROR(VLOOKUP($O8995,'Customer List'!$A$1:$J$488,10,FALSE),"")</f>
        <v/>
      </c>
    </row>
    <row r="8996" spans="18:23">
      <c r="R8996" s="127">
        <f t="shared" si="357"/>
        <v>0</v>
      </c>
      <c r="T8996" s="128">
        <f t="shared" si="356"/>
        <v>0</v>
      </c>
      <c r="U8996" s="129" t="str">
        <f>IFERROR(IF(#REF!="S",VLOOKUP('Raw Data'!A8996,References!#REF!,2,FALSE),(VLOOKUP($S8996,References!$B$3:$C$7,2,FALSE))),"")</f>
        <v/>
      </c>
      <c r="W8996" s="74" t="str">
        <f>IFERROR(VLOOKUP($O8996,'Customer List'!$A$1:$J$488,10,FALSE),"")</f>
        <v/>
      </c>
    </row>
    <row r="8997" spans="18:23">
      <c r="R8997" s="127">
        <f t="shared" si="357"/>
        <v>0</v>
      </c>
      <c r="T8997" s="128">
        <f t="shared" si="356"/>
        <v>0</v>
      </c>
      <c r="U8997" s="129" t="str">
        <f>IFERROR(IF(#REF!="S",VLOOKUP('Raw Data'!A8997,References!#REF!,2,FALSE),(VLOOKUP($S8997,References!$B$3:$C$7,2,FALSE))),"")</f>
        <v/>
      </c>
      <c r="W8997" s="74" t="str">
        <f>IFERROR(VLOOKUP($O8997,'Customer List'!$A$1:$J$488,10,FALSE),"")</f>
        <v/>
      </c>
    </row>
    <row r="8998" spans="18:23">
      <c r="R8998" s="127">
        <f t="shared" si="357"/>
        <v>0</v>
      </c>
      <c r="T8998" s="128">
        <f t="shared" si="356"/>
        <v>0</v>
      </c>
      <c r="U8998" s="129" t="str">
        <f>IFERROR(IF(#REF!="S",VLOOKUP('Raw Data'!A8998,References!#REF!,2,FALSE),(VLOOKUP($S8998,References!$B$3:$C$7,2,FALSE))),"")</f>
        <v/>
      </c>
      <c r="W8998" s="74" t="str">
        <f>IFERROR(VLOOKUP($O8998,'Customer List'!$A$1:$J$488,10,FALSE),"")</f>
        <v/>
      </c>
    </row>
    <row r="8999" spans="18:23">
      <c r="R8999" s="127">
        <f t="shared" si="357"/>
        <v>0</v>
      </c>
      <c r="T8999" s="128">
        <f t="shared" si="356"/>
        <v>0</v>
      </c>
      <c r="U8999" s="129" t="str">
        <f>IFERROR(IF(#REF!="S",VLOOKUP('Raw Data'!A8999,References!#REF!,2,FALSE),(VLOOKUP($S8999,References!$B$3:$C$7,2,FALSE))),"")</f>
        <v/>
      </c>
      <c r="W8999" s="74" t="str">
        <f>IFERROR(VLOOKUP($O8999,'Customer List'!$A$1:$J$488,10,FALSE),"")</f>
        <v/>
      </c>
    </row>
    <row r="9000" spans="18:23">
      <c r="R9000" s="127">
        <f t="shared" si="357"/>
        <v>0</v>
      </c>
      <c r="T9000" s="128">
        <f t="shared" si="356"/>
        <v>0</v>
      </c>
      <c r="U9000" s="129" t="str">
        <f>IFERROR(IF(#REF!="S",VLOOKUP('Raw Data'!A9000,References!#REF!,2,FALSE),(VLOOKUP($S9000,References!$B$3:$C$7,2,FALSE))),"")</f>
        <v/>
      </c>
      <c r="W9000" s="74" t="str">
        <f>IFERROR(VLOOKUP($O9000,'Customer List'!$A$1:$J$488,10,FALSE),"")</f>
        <v/>
      </c>
    </row>
    <row r="9001" spans="18:23">
      <c r="R9001" s="127">
        <f t="shared" si="357"/>
        <v>0</v>
      </c>
      <c r="T9001" s="128">
        <f t="shared" si="356"/>
        <v>0</v>
      </c>
      <c r="U9001" s="129" t="str">
        <f>IFERROR(IF(#REF!="S",VLOOKUP('Raw Data'!A9001,References!#REF!,2,FALSE),(VLOOKUP($S9001,References!$B$3:$C$7,2,FALSE))),"")</f>
        <v/>
      </c>
      <c r="W9001" s="74" t="str">
        <f>IFERROR(VLOOKUP($O9001,'Customer List'!$A$1:$J$488,10,FALSE),"")</f>
        <v/>
      </c>
    </row>
    <row r="9002" spans="18:23">
      <c r="R9002" s="127">
        <f t="shared" si="357"/>
        <v>0</v>
      </c>
      <c r="T9002" s="128">
        <f t="shared" si="356"/>
        <v>0</v>
      </c>
      <c r="U9002" s="129" t="str">
        <f>IFERROR(IF(#REF!="S",VLOOKUP('Raw Data'!A9002,References!#REF!,2,FALSE),(VLOOKUP($S9002,References!$B$3:$C$7,2,FALSE))),"")</f>
        <v/>
      </c>
      <c r="W9002" s="74" t="str">
        <f>IFERROR(VLOOKUP($O9002,'Customer List'!$A$1:$J$488,10,FALSE),"")</f>
        <v/>
      </c>
    </row>
    <row r="9003" spans="18:23">
      <c r="R9003" s="127">
        <f t="shared" si="357"/>
        <v>0</v>
      </c>
      <c r="T9003" s="128">
        <f t="shared" si="356"/>
        <v>0</v>
      </c>
      <c r="U9003" s="129" t="str">
        <f>IFERROR(IF(#REF!="S",VLOOKUP('Raw Data'!A9003,References!#REF!,2,FALSE),(VLOOKUP($S9003,References!$B$3:$C$7,2,FALSE))),"")</f>
        <v/>
      </c>
      <c r="W9003" s="74" t="str">
        <f>IFERROR(VLOOKUP($O9003,'Customer List'!$A$1:$J$488,10,FALSE),"")</f>
        <v/>
      </c>
    </row>
    <row r="9004" spans="18:23">
      <c r="R9004" s="127">
        <f t="shared" si="357"/>
        <v>0</v>
      </c>
      <c r="T9004" s="128">
        <f t="shared" si="356"/>
        <v>0</v>
      </c>
      <c r="U9004" s="129" t="str">
        <f>IFERROR(IF(#REF!="S",VLOOKUP('Raw Data'!A9004,References!#REF!,2,FALSE),(VLOOKUP($S9004,References!$B$3:$C$7,2,FALSE))),"")</f>
        <v/>
      </c>
      <c r="W9004" s="74" t="str">
        <f>IFERROR(VLOOKUP($O9004,'Customer List'!$A$1:$J$488,10,FALSE),"")</f>
        <v/>
      </c>
    </row>
    <row r="9005" spans="18:23">
      <c r="R9005" s="127">
        <f t="shared" si="357"/>
        <v>0</v>
      </c>
      <c r="T9005" s="128">
        <f t="shared" si="356"/>
        <v>0</v>
      </c>
      <c r="U9005" s="129" t="str">
        <f>IFERROR(IF(#REF!="S",VLOOKUP('Raw Data'!A9005,References!#REF!,2,FALSE),(VLOOKUP($S9005,References!$B$3:$C$7,2,FALSE))),"")</f>
        <v/>
      </c>
      <c r="W9005" s="74" t="str">
        <f>IFERROR(VLOOKUP($O9005,'Customer List'!$A$1:$J$488,10,FALSE),"")</f>
        <v/>
      </c>
    </row>
    <row r="9006" spans="18:23">
      <c r="R9006" s="127">
        <f t="shared" si="357"/>
        <v>0</v>
      </c>
      <c r="T9006" s="128">
        <f t="shared" si="356"/>
        <v>0</v>
      </c>
      <c r="U9006" s="129" t="str">
        <f>IFERROR(IF(#REF!="S",VLOOKUP('Raw Data'!A9006,References!#REF!,2,FALSE),(VLOOKUP($S9006,References!$B$3:$C$7,2,FALSE))),"")</f>
        <v/>
      </c>
      <c r="W9006" s="74" t="str">
        <f>IFERROR(VLOOKUP($O9006,'Customer List'!$A$1:$J$488,10,FALSE),"")</f>
        <v/>
      </c>
    </row>
    <row r="9007" spans="18:23">
      <c r="R9007" s="127">
        <f t="shared" si="357"/>
        <v>0</v>
      </c>
      <c r="T9007" s="128">
        <f t="shared" si="356"/>
        <v>0</v>
      </c>
      <c r="U9007" s="129" t="str">
        <f>IFERROR(IF(#REF!="S",VLOOKUP('Raw Data'!A9007,References!#REF!,2,FALSE),(VLOOKUP($S9007,References!$B$3:$C$7,2,FALSE))),"")</f>
        <v/>
      </c>
      <c r="W9007" s="74" t="str">
        <f>IFERROR(VLOOKUP($O9007,'Customer List'!$A$1:$J$488,10,FALSE),"")</f>
        <v/>
      </c>
    </row>
    <row r="9008" spans="18:23">
      <c r="R9008" s="127">
        <f t="shared" si="357"/>
        <v>0</v>
      </c>
      <c r="T9008" s="128">
        <f t="shared" si="356"/>
        <v>0</v>
      </c>
      <c r="U9008" s="129" t="str">
        <f>IFERROR(IF(#REF!="S",VLOOKUP('Raw Data'!A9008,References!#REF!,2,FALSE),(VLOOKUP($S9008,References!$B$3:$C$7,2,FALSE))),"")</f>
        <v/>
      </c>
      <c r="W9008" s="74" t="str">
        <f>IFERROR(VLOOKUP($O9008,'Customer List'!$A$1:$J$488,10,FALSE),"")</f>
        <v/>
      </c>
    </row>
    <row r="9009" spans="18:23">
      <c r="R9009" s="127">
        <f t="shared" si="357"/>
        <v>0</v>
      </c>
      <c r="T9009" s="128">
        <f t="shared" si="356"/>
        <v>0</v>
      </c>
      <c r="U9009" s="129" t="str">
        <f>IFERROR(IF(#REF!="S",VLOOKUP('Raw Data'!A9009,References!#REF!,2,FALSE),(VLOOKUP($S9009,References!$B$3:$C$7,2,FALSE))),"")</f>
        <v/>
      </c>
      <c r="W9009" s="74" t="str">
        <f>IFERROR(VLOOKUP($O9009,'Customer List'!$A$1:$J$488,10,FALSE),"")</f>
        <v/>
      </c>
    </row>
    <row r="9010" spans="18:23">
      <c r="R9010" s="127">
        <f t="shared" si="357"/>
        <v>0</v>
      </c>
      <c r="T9010" s="128">
        <f t="shared" si="356"/>
        <v>0</v>
      </c>
      <c r="U9010" s="129" t="str">
        <f>IFERROR(IF(#REF!="S",VLOOKUP('Raw Data'!A9010,References!#REF!,2,FALSE),(VLOOKUP($S9010,References!$B$3:$C$7,2,FALSE))),"")</f>
        <v/>
      </c>
      <c r="W9010" s="74" t="str">
        <f>IFERROR(VLOOKUP($O9010,'Customer List'!$A$1:$J$488,10,FALSE),"")</f>
        <v/>
      </c>
    </row>
    <row r="9011" spans="18:23">
      <c r="R9011" s="127">
        <f t="shared" si="357"/>
        <v>0</v>
      </c>
      <c r="T9011" s="128">
        <f t="shared" si="356"/>
        <v>0</v>
      </c>
      <c r="U9011" s="129" t="str">
        <f>IFERROR(IF(#REF!="S",VLOOKUP('Raw Data'!A9011,References!#REF!,2,FALSE),(VLOOKUP($S9011,References!$B$3:$C$7,2,FALSE))),"")</f>
        <v/>
      </c>
      <c r="W9011" s="74" t="str">
        <f>IFERROR(VLOOKUP($O9011,'Customer List'!$A$1:$J$488,10,FALSE),"")</f>
        <v/>
      </c>
    </row>
    <row r="9012" spans="18:23">
      <c r="R9012" s="127">
        <f t="shared" si="357"/>
        <v>0</v>
      </c>
      <c r="T9012" s="128">
        <f t="shared" si="356"/>
        <v>0</v>
      </c>
      <c r="U9012" s="129" t="str">
        <f>IFERROR(IF(#REF!="S",VLOOKUP('Raw Data'!A9012,References!#REF!,2,FALSE),(VLOOKUP($S9012,References!$B$3:$C$7,2,FALSE))),"")</f>
        <v/>
      </c>
      <c r="W9012" s="74" t="str">
        <f>IFERROR(VLOOKUP($O9012,'Customer List'!$A$1:$J$488,10,FALSE),"")</f>
        <v/>
      </c>
    </row>
    <row r="9013" spans="18:23">
      <c r="R9013" s="127">
        <f t="shared" si="357"/>
        <v>0</v>
      </c>
      <c r="T9013" s="128">
        <f t="shared" si="356"/>
        <v>0</v>
      </c>
      <c r="U9013" s="129" t="str">
        <f>IFERROR(IF(#REF!="S",VLOOKUP('Raw Data'!A9013,References!#REF!,2,FALSE),(VLOOKUP($S9013,References!$B$3:$C$7,2,FALSE))),"")</f>
        <v/>
      </c>
      <c r="W9013" s="74" t="str">
        <f>IFERROR(VLOOKUP($O9013,'Customer List'!$A$1:$J$488,10,FALSE),"")</f>
        <v/>
      </c>
    </row>
    <row r="9014" spans="18:23">
      <c r="R9014" s="127">
        <f t="shared" si="357"/>
        <v>0</v>
      </c>
      <c r="T9014" s="128">
        <f t="shared" si="356"/>
        <v>0</v>
      </c>
      <c r="U9014" s="129" t="str">
        <f>IFERROR(IF(#REF!="S",VLOOKUP('Raw Data'!A9014,References!#REF!,2,FALSE),(VLOOKUP($S9014,References!$B$3:$C$7,2,FALSE))),"")</f>
        <v/>
      </c>
      <c r="W9014" s="74" t="str">
        <f>IFERROR(VLOOKUP($O9014,'Customer List'!$A$1:$J$488,10,FALSE),"")</f>
        <v/>
      </c>
    </row>
    <row r="9015" spans="18:23">
      <c r="R9015" s="127">
        <f t="shared" si="357"/>
        <v>0</v>
      </c>
      <c r="T9015" s="128">
        <f t="shared" si="356"/>
        <v>0</v>
      </c>
      <c r="U9015" s="129" t="str">
        <f>IFERROR(IF(#REF!="S",VLOOKUP('Raw Data'!A9015,References!#REF!,2,FALSE),(VLOOKUP($S9015,References!$B$3:$C$7,2,FALSE))),"")</f>
        <v/>
      </c>
      <c r="W9015" s="74" t="str">
        <f>IFERROR(VLOOKUP($O9015,'Customer List'!$A$1:$J$488,10,FALSE),"")</f>
        <v/>
      </c>
    </row>
    <row r="9016" spans="18:23">
      <c r="R9016" s="127">
        <f t="shared" si="357"/>
        <v>0</v>
      </c>
      <c r="T9016" s="128">
        <f t="shared" si="356"/>
        <v>0</v>
      </c>
      <c r="U9016" s="129" t="str">
        <f>IFERROR(IF(#REF!="S",VLOOKUP('Raw Data'!A9016,References!#REF!,2,FALSE),(VLOOKUP($S9016,References!$B$3:$C$7,2,FALSE))),"")</f>
        <v/>
      </c>
      <c r="W9016" s="74" t="str">
        <f>IFERROR(VLOOKUP($O9016,'Customer List'!$A$1:$J$488,10,FALSE),"")</f>
        <v/>
      </c>
    </row>
    <row r="9017" spans="18:23">
      <c r="R9017" s="127">
        <f t="shared" si="357"/>
        <v>0</v>
      </c>
      <c r="T9017" s="128">
        <f t="shared" si="356"/>
        <v>0</v>
      </c>
      <c r="U9017" s="129" t="str">
        <f>IFERROR(IF(#REF!="S",VLOOKUP('Raw Data'!A9017,References!#REF!,2,FALSE),(VLOOKUP($S9017,References!$B$3:$C$7,2,FALSE))),"")</f>
        <v/>
      </c>
      <c r="W9017" s="74" t="str">
        <f>IFERROR(VLOOKUP($O9017,'Customer List'!$A$1:$J$488,10,FALSE),"")</f>
        <v/>
      </c>
    </row>
    <row r="9018" spans="18:23">
      <c r="R9018" s="127">
        <f t="shared" si="357"/>
        <v>0</v>
      </c>
      <c r="T9018" s="128">
        <f t="shared" si="356"/>
        <v>0</v>
      </c>
      <c r="U9018" s="129" t="str">
        <f>IFERROR(IF(#REF!="S",VLOOKUP('Raw Data'!A9018,References!#REF!,2,FALSE),(VLOOKUP($S9018,References!$B$3:$C$7,2,FALSE))),"")</f>
        <v/>
      </c>
      <c r="W9018" s="74" t="str">
        <f>IFERROR(VLOOKUP($O9018,'Customer List'!$A$1:$J$488,10,FALSE),"")</f>
        <v/>
      </c>
    </row>
    <row r="9019" spans="18:23">
      <c r="R9019" s="127">
        <f t="shared" si="357"/>
        <v>0</v>
      </c>
      <c r="T9019" s="128">
        <f t="shared" si="356"/>
        <v>0</v>
      </c>
      <c r="U9019" s="129" t="str">
        <f>IFERROR(IF(#REF!="S",VLOOKUP('Raw Data'!A9019,References!#REF!,2,FALSE),(VLOOKUP($S9019,References!$B$3:$C$7,2,FALSE))),"")</f>
        <v/>
      </c>
      <c r="W9019" s="74" t="str">
        <f>IFERROR(VLOOKUP($O9019,'Customer List'!$A$1:$J$488,10,FALSE),"")</f>
        <v/>
      </c>
    </row>
    <row r="9020" spans="18:23">
      <c r="R9020" s="127">
        <f t="shared" si="357"/>
        <v>0</v>
      </c>
      <c r="T9020" s="128">
        <f t="shared" si="356"/>
        <v>0</v>
      </c>
      <c r="U9020" s="129" t="str">
        <f>IFERROR(IF(#REF!="S",VLOOKUP('Raw Data'!A9020,References!#REF!,2,FALSE),(VLOOKUP($S9020,References!$B$3:$C$7,2,FALSE))),"")</f>
        <v/>
      </c>
      <c r="W9020" s="74" t="str">
        <f>IFERROR(VLOOKUP($O9020,'Customer List'!$A$1:$J$488,10,FALSE),"")</f>
        <v/>
      </c>
    </row>
    <row r="9021" spans="18:23">
      <c r="R9021" s="127">
        <f t="shared" si="357"/>
        <v>0</v>
      </c>
      <c r="T9021" s="128">
        <f t="shared" si="356"/>
        <v>0</v>
      </c>
      <c r="U9021" s="129" t="str">
        <f>IFERROR(IF(#REF!="S",VLOOKUP('Raw Data'!A9021,References!#REF!,2,FALSE),(VLOOKUP($S9021,References!$B$3:$C$7,2,FALSE))),"")</f>
        <v/>
      </c>
      <c r="W9021" s="74" t="str">
        <f>IFERROR(VLOOKUP($O9021,'Customer List'!$A$1:$J$488,10,FALSE),"")</f>
        <v/>
      </c>
    </row>
    <row r="9022" spans="18:23">
      <c r="R9022" s="127">
        <f t="shared" si="357"/>
        <v>0</v>
      </c>
      <c r="T9022" s="128">
        <f t="shared" si="356"/>
        <v>0</v>
      </c>
      <c r="U9022" s="129" t="str">
        <f>IFERROR(IF(#REF!="S",VLOOKUP('Raw Data'!A9022,References!#REF!,2,FALSE),(VLOOKUP($S9022,References!$B$3:$C$7,2,FALSE))),"")</f>
        <v/>
      </c>
      <c r="W9022" s="74" t="str">
        <f>IFERROR(VLOOKUP($O9022,'Customer List'!$A$1:$J$488,10,FALSE),"")</f>
        <v/>
      </c>
    </row>
    <row r="9023" spans="18:23">
      <c r="R9023" s="127">
        <f t="shared" si="357"/>
        <v>0</v>
      </c>
      <c r="T9023" s="128">
        <f t="shared" si="356"/>
        <v>0</v>
      </c>
      <c r="U9023" s="129" t="str">
        <f>IFERROR(IF(#REF!="S",VLOOKUP('Raw Data'!A9023,References!#REF!,2,FALSE),(VLOOKUP($S9023,References!$B$3:$C$7,2,FALSE))),"")</f>
        <v/>
      </c>
      <c r="W9023" s="74" t="str">
        <f>IFERROR(VLOOKUP($O9023,'Customer List'!$A$1:$J$488,10,FALSE),"")</f>
        <v/>
      </c>
    </row>
    <row r="9024" spans="18:23">
      <c r="R9024" s="127">
        <f t="shared" si="357"/>
        <v>0</v>
      </c>
      <c r="T9024" s="128">
        <f t="shared" si="356"/>
        <v>0</v>
      </c>
      <c r="U9024" s="129" t="str">
        <f>IFERROR(IF(#REF!="S",VLOOKUP('Raw Data'!A9024,References!#REF!,2,FALSE),(VLOOKUP($S9024,References!$B$3:$C$7,2,FALSE))),"")</f>
        <v/>
      </c>
      <c r="W9024" s="74" t="str">
        <f>IFERROR(VLOOKUP($O9024,'Customer List'!$A$1:$J$488,10,FALSE),"")</f>
        <v/>
      </c>
    </row>
    <row r="9025" spans="18:23">
      <c r="R9025" s="127">
        <f t="shared" si="357"/>
        <v>0</v>
      </c>
      <c r="T9025" s="128">
        <f t="shared" si="356"/>
        <v>0</v>
      </c>
      <c r="U9025" s="129" t="str">
        <f>IFERROR(IF(#REF!="S",VLOOKUP('Raw Data'!A9025,References!#REF!,2,FALSE),(VLOOKUP($S9025,References!$B$3:$C$7,2,FALSE))),"")</f>
        <v/>
      </c>
      <c r="W9025" s="74" t="str">
        <f>IFERROR(VLOOKUP($O9025,'Customer List'!$A$1:$J$488,10,FALSE),"")</f>
        <v/>
      </c>
    </row>
    <row r="9026" spans="18:23">
      <c r="R9026" s="127">
        <f t="shared" si="357"/>
        <v>0</v>
      </c>
      <c r="T9026" s="128">
        <f t="shared" si="356"/>
        <v>0</v>
      </c>
      <c r="U9026" s="129" t="str">
        <f>IFERROR(IF(#REF!="S",VLOOKUP('Raw Data'!A9026,References!#REF!,2,FALSE),(VLOOKUP($S9026,References!$B$3:$C$7,2,FALSE))),"")</f>
        <v/>
      </c>
      <c r="W9026" s="74" t="str">
        <f>IFERROR(VLOOKUP($O9026,'Customer List'!$A$1:$J$488,10,FALSE),"")</f>
        <v/>
      </c>
    </row>
    <row r="9027" spans="18:23">
      <c r="R9027" s="127">
        <f t="shared" si="357"/>
        <v>0</v>
      </c>
      <c r="T9027" s="128">
        <f t="shared" si="356"/>
        <v>0</v>
      </c>
      <c r="U9027" s="129" t="str">
        <f>IFERROR(IF(#REF!="S",VLOOKUP('Raw Data'!A9027,References!#REF!,2,FALSE),(VLOOKUP($S9027,References!$B$3:$C$7,2,FALSE))),"")</f>
        <v/>
      </c>
      <c r="W9027" s="74" t="str">
        <f>IFERROR(VLOOKUP($O9027,'Customer List'!$A$1:$J$488,10,FALSE),"")</f>
        <v/>
      </c>
    </row>
    <row r="9028" spans="18:23">
      <c r="R9028" s="127">
        <f t="shared" si="357"/>
        <v>0</v>
      </c>
      <c r="T9028" s="128">
        <f t="shared" si="356"/>
        <v>0</v>
      </c>
      <c r="U9028" s="129" t="str">
        <f>IFERROR(IF(#REF!="S",VLOOKUP('Raw Data'!A9028,References!#REF!,2,FALSE),(VLOOKUP($S9028,References!$B$3:$C$7,2,FALSE))),"")</f>
        <v/>
      </c>
      <c r="W9028" s="74" t="str">
        <f>IFERROR(VLOOKUP($O9028,'Customer List'!$A$1:$J$488,10,FALSE),"")</f>
        <v/>
      </c>
    </row>
    <row r="9029" spans="18:23">
      <c r="R9029" s="127">
        <f t="shared" si="357"/>
        <v>0</v>
      </c>
      <c r="T9029" s="128">
        <f t="shared" si="356"/>
        <v>0</v>
      </c>
      <c r="U9029" s="129" t="str">
        <f>IFERROR(IF(#REF!="S",VLOOKUP('Raw Data'!A9029,References!#REF!,2,FALSE),(VLOOKUP($S9029,References!$B$3:$C$7,2,FALSE))),"")</f>
        <v/>
      </c>
      <c r="W9029" s="74" t="str">
        <f>IFERROR(VLOOKUP($O9029,'Customer List'!$A$1:$J$488,10,FALSE),"")</f>
        <v/>
      </c>
    </row>
    <row r="9030" spans="18:23">
      <c r="R9030" s="127">
        <f t="shared" si="357"/>
        <v>0</v>
      </c>
      <c r="T9030" s="128">
        <f t="shared" si="356"/>
        <v>0</v>
      </c>
      <c r="U9030" s="129" t="str">
        <f>IFERROR(IF(#REF!="S",VLOOKUP('Raw Data'!A9030,References!#REF!,2,FALSE),(VLOOKUP($S9030,References!$B$3:$C$7,2,FALSE))),"")</f>
        <v/>
      </c>
      <c r="W9030" s="74" t="str">
        <f>IFERROR(VLOOKUP($O9030,'Customer List'!$A$1:$J$488,10,FALSE),"")</f>
        <v/>
      </c>
    </row>
    <row r="9031" spans="18:23">
      <c r="R9031" s="127">
        <f t="shared" si="357"/>
        <v>0</v>
      </c>
      <c r="T9031" s="128">
        <f t="shared" si="356"/>
        <v>0</v>
      </c>
      <c r="U9031" s="129" t="str">
        <f>IFERROR(IF(#REF!="S",VLOOKUP('Raw Data'!A9031,References!#REF!,2,FALSE),(VLOOKUP($S9031,References!$B$3:$C$7,2,FALSE))),"")</f>
        <v/>
      </c>
      <c r="W9031" s="74" t="str">
        <f>IFERROR(VLOOKUP($O9031,'Customer List'!$A$1:$J$488,10,FALSE),"")</f>
        <v/>
      </c>
    </row>
    <row r="9032" spans="18:23">
      <c r="R9032" s="127">
        <f t="shared" si="357"/>
        <v>0</v>
      </c>
      <c r="T9032" s="128">
        <f t="shared" si="356"/>
        <v>0</v>
      </c>
      <c r="U9032" s="129" t="str">
        <f>IFERROR(IF(#REF!="S",VLOOKUP('Raw Data'!A9032,References!#REF!,2,FALSE),(VLOOKUP($S9032,References!$B$3:$C$7,2,FALSE))),"")</f>
        <v/>
      </c>
      <c r="W9032" s="74" t="str">
        <f>IFERROR(VLOOKUP($O9032,'Customer List'!$A$1:$J$488,10,FALSE),"")</f>
        <v/>
      </c>
    </row>
    <row r="9033" spans="18:23">
      <c r="R9033" s="127">
        <f t="shared" si="357"/>
        <v>0</v>
      </c>
      <c r="T9033" s="128">
        <f t="shared" si="356"/>
        <v>0</v>
      </c>
      <c r="U9033" s="129" t="str">
        <f>IFERROR(IF(#REF!="S",VLOOKUP('Raw Data'!A9033,References!#REF!,2,FALSE),(VLOOKUP($S9033,References!$B$3:$C$7,2,FALSE))),"")</f>
        <v/>
      </c>
      <c r="W9033" s="74" t="str">
        <f>IFERROR(VLOOKUP($O9033,'Customer List'!$A$1:$J$488,10,FALSE),"")</f>
        <v/>
      </c>
    </row>
    <row r="9034" spans="18:23">
      <c r="R9034" s="127">
        <f t="shared" si="357"/>
        <v>0</v>
      </c>
      <c r="T9034" s="128">
        <f t="shared" ref="T9034:T9097" si="358">IF(S9034="50 - Cleaning Fee",1,HOUR($R9034)+MINUTE(R9034)/60)</f>
        <v>0</v>
      </c>
      <c r="U9034" s="129" t="str">
        <f>IFERROR(IF(#REF!="S",VLOOKUP('Raw Data'!A9034,References!#REF!,2,FALSE),(VLOOKUP($S9034,References!$B$3:$C$7,2,FALSE))),"")</f>
        <v/>
      </c>
      <c r="W9034" s="74" t="str">
        <f>IFERROR(VLOOKUP($O9034,'Customer List'!$A$1:$J$488,10,FALSE),"")</f>
        <v/>
      </c>
    </row>
    <row r="9035" spans="18:23">
      <c r="R9035" s="127">
        <f t="shared" si="357"/>
        <v>0</v>
      </c>
      <c r="T9035" s="128">
        <f t="shared" si="358"/>
        <v>0</v>
      </c>
      <c r="U9035" s="129" t="str">
        <f>IFERROR(IF(#REF!="S",VLOOKUP('Raw Data'!A9035,References!#REF!,2,FALSE),(VLOOKUP($S9035,References!$B$3:$C$7,2,FALSE))),"")</f>
        <v/>
      </c>
      <c r="W9035" s="74" t="str">
        <f>IFERROR(VLOOKUP($O9035,'Customer List'!$A$1:$J$488,10,FALSE),"")</f>
        <v/>
      </c>
    </row>
    <row r="9036" spans="18:23">
      <c r="R9036" s="127">
        <f t="shared" si="357"/>
        <v>0</v>
      </c>
      <c r="T9036" s="128">
        <f t="shared" si="358"/>
        <v>0</v>
      </c>
      <c r="U9036" s="129" t="str">
        <f>IFERROR(IF(#REF!="S",VLOOKUP('Raw Data'!A9036,References!#REF!,2,FALSE),(VLOOKUP($S9036,References!$B$3:$C$7,2,FALSE))),"")</f>
        <v/>
      </c>
      <c r="W9036" s="74" t="str">
        <f>IFERROR(VLOOKUP($O9036,'Customer List'!$A$1:$J$488,10,FALSE),"")</f>
        <v/>
      </c>
    </row>
    <row r="9037" spans="18:23">
      <c r="R9037" s="127">
        <f t="shared" si="357"/>
        <v>0</v>
      </c>
      <c r="T9037" s="128">
        <f t="shared" si="358"/>
        <v>0</v>
      </c>
      <c r="U9037" s="129" t="str">
        <f>IFERROR(IF(#REF!="S",VLOOKUP('Raw Data'!A9037,References!#REF!,2,FALSE),(VLOOKUP($S9037,References!$B$3:$C$7,2,FALSE))),"")</f>
        <v/>
      </c>
      <c r="W9037" s="74" t="str">
        <f>IFERROR(VLOOKUP($O9037,'Customer List'!$A$1:$J$488,10,FALSE),"")</f>
        <v/>
      </c>
    </row>
    <row r="9038" spans="18:23">
      <c r="R9038" s="127">
        <f t="shared" si="357"/>
        <v>0</v>
      </c>
      <c r="T9038" s="128">
        <f t="shared" si="358"/>
        <v>0</v>
      </c>
      <c r="U9038" s="129" t="str">
        <f>IFERROR(IF(#REF!="S",VLOOKUP('Raw Data'!A9038,References!#REF!,2,FALSE),(VLOOKUP($S9038,References!$B$3:$C$7,2,FALSE))),"")</f>
        <v/>
      </c>
      <c r="W9038" s="74" t="str">
        <f>IFERROR(VLOOKUP($O9038,'Customer List'!$A$1:$J$488,10,FALSE),"")</f>
        <v/>
      </c>
    </row>
    <row r="9039" spans="18:23">
      <c r="R9039" s="127">
        <f t="shared" si="357"/>
        <v>0</v>
      </c>
      <c r="T9039" s="128">
        <f t="shared" si="358"/>
        <v>0</v>
      </c>
      <c r="U9039" s="129" t="str">
        <f>IFERROR(IF(#REF!="S",VLOOKUP('Raw Data'!A9039,References!#REF!,2,FALSE),(VLOOKUP($S9039,References!$B$3:$C$7,2,FALSE))),"")</f>
        <v/>
      </c>
      <c r="W9039" s="74" t="str">
        <f>IFERROR(VLOOKUP($O9039,'Customer List'!$A$1:$J$488,10,FALSE),"")</f>
        <v/>
      </c>
    </row>
    <row r="9040" spans="18:23">
      <c r="R9040" s="127">
        <f t="shared" si="357"/>
        <v>0</v>
      </c>
      <c r="T9040" s="128">
        <f t="shared" si="358"/>
        <v>0</v>
      </c>
      <c r="U9040" s="129" t="str">
        <f>IFERROR(IF(#REF!="S",VLOOKUP('Raw Data'!A9040,References!#REF!,2,FALSE),(VLOOKUP($S9040,References!$B$3:$C$7,2,FALSE))),"")</f>
        <v/>
      </c>
      <c r="W9040" s="74" t="str">
        <f>IFERROR(VLOOKUP($O9040,'Customer List'!$A$1:$J$488,10,FALSE),"")</f>
        <v/>
      </c>
    </row>
    <row r="9041" spans="18:23">
      <c r="R9041" s="127">
        <f t="shared" si="357"/>
        <v>0</v>
      </c>
      <c r="T9041" s="128">
        <f t="shared" si="358"/>
        <v>0</v>
      </c>
      <c r="U9041" s="129" t="str">
        <f>IFERROR(IF(#REF!="S",VLOOKUP('Raw Data'!A9041,References!#REF!,2,FALSE),(VLOOKUP($S9041,References!$B$3:$C$7,2,FALSE))),"")</f>
        <v/>
      </c>
      <c r="W9041" s="74" t="str">
        <f>IFERROR(VLOOKUP($O9041,'Customer List'!$A$1:$J$488,10,FALSE),"")</f>
        <v/>
      </c>
    </row>
    <row r="9042" spans="18:23">
      <c r="R9042" s="127">
        <f t="shared" si="357"/>
        <v>0</v>
      </c>
      <c r="T9042" s="128">
        <f t="shared" si="358"/>
        <v>0</v>
      </c>
      <c r="U9042" s="129" t="str">
        <f>IFERROR(IF(#REF!="S",VLOOKUP('Raw Data'!A9042,References!#REF!,2,FALSE),(VLOOKUP($S9042,References!$B$3:$C$7,2,FALSE))),"")</f>
        <v/>
      </c>
      <c r="W9042" s="74" t="str">
        <f>IFERROR(VLOOKUP($O9042,'Customer List'!$A$1:$J$488,10,FALSE),"")</f>
        <v/>
      </c>
    </row>
    <row r="9043" spans="18:23">
      <c r="R9043" s="127">
        <f t="shared" si="357"/>
        <v>0</v>
      </c>
      <c r="T9043" s="128">
        <f t="shared" si="358"/>
        <v>0</v>
      </c>
      <c r="U9043" s="129" t="str">
        <f>IFERROR(IF(#REF!="S",VLOOKUP('Raw Data'!A9043,References!#REF!,2,FALSE),(VLOOKUP($S9043,References!$B$3:$C$7,2,FALSE))),"")</f>
        <v/>
      </c>
      <c r="W9043" s="74" t="str">
        <f>IFERROR(VLOOKUP($O9043,'Customer List'!$A$1:$J$488,10,FALSE),"")</f>
        <v/>
      </c>
    </row>
    <row r="9044" spans="18:23">
      <c r="R9044" s="127">
        <f t="shared" si="357"/>
        <v>0</v>
      </c>
      <c r="T9044" s="128">
        <f t="shared" si="358"/>
        <v>0</v>
      </c>
      <c r="U9044" s="129" t="str">
        <f>IFERROR(IF(#REF!="S",VLOOKUP('Raw Data'!A9044,References!#REF!,2,FALSE),(VLOOKUP($S9044,References!$B$3:$C$7,2,FALSE))),"")</f>
        <v/>
      </c>
      <c r="W9044" s="74" t="str">
        <f>IFERROR(VLOOKUP($O9044,'Customer List'!$A$1:$J$488,10,FALSE),"")</f>
        <v/>
      </c>
    </row>
    <row r="9045" spans="18:23">
      <c r="R9045" s="127">
        <f t="shared" si="357"/>
        <v>0</v>
      </c>
      <c r="T9045" s="128">
        <f t="shared" si="358"/>
        <v>0</v>
      </c>
      <c r="U9045" s="129" t="str">
        <f>IFERROR(IF(#REF!="S",VLOOKUP('Raw Data'!A9045,References!#REF!,2,FALSE),(VLOOKUP($S9045,References!$B$3:$C$7,2,FALSE))),"")</f>
        <v/>
      </c>
      <c r="W9045" s="74" t="str">
        <f>IFERROR(VLOOKUP($O9045,'Customer List'!$A$1:$J$488,10,FALSE),"")</f>
        <v/>
      </c>
    </row>
    <row r="9046" spans="18:23">
      <c r="R9046" s="127">
        <f t="shared" si="357"/>
        <v>0</v>
      </c>
      <c r="T9046" s="128">
        <f t="shared" si="358"/>
        <v>0</v>
      </c>
      <c r="U9046" s="129" t="str">
        <f>IFERROR(IF(#REF!="S",VLOOKUP('Raw Data'!A9046,References!#REF!,2,FALSE),(VLOOKUP($S9046,References!$B$3:$C$7,2,FALSE))),"")</f>
        <v/>
      </c>
      <c r="W9046" s="74" t="str">
        <f>IFERROR(VLOOKUP($O9046,'Customer List'!$A$1:$J$488,10,FALSE),"")</f>
        <v/>
      </c>
    </row>
    <row r="9047" spans="18:23">
      <c r="R9047" s="127">
        <f t="shared" si="357"/>
        <v>0</v>
      </c>
      <c r="T9047" s="128">
        <f t="shared" si="358"/>
        <v>0</v>
      </c>
      <c r="U9047" s="129" t="str">
        <f>IFERROR(IF(#REF!="S",VLOOKUP('Raw Data'!A9047,References!#REF!,2,FALSE),(VLOOKUP($S9047,References!$B$3:$C$7,2,FALSE))),"")</f>
        <v/>
      </c>
      <c r="W9047" s="74" t="str">
        <f>IFERROR(VLOOKUP($O9047,'Customer List'!$A$1:$J$488,10,FALSE),"")</f>
        <v/>
      </c>
    </row>
    <row r="9048" spans="18:23">
      <c r="R9048" s="127">
        <f t="shared" si="357"/>
        <v>0</v>
      </c>
      <c r="T9048" s="128">
        <f t="shared" si="358"/>
        <v>0</v>
      </c>
      <c r="U9048" s="129" t="str">
        <f>IFERROR(IF(#REF!="S",VLOOKUP('Raw Data'!A9048,References!#REF!,2,FALSE),(VLOOKUP($S9048,References!$B$3:$C$7,2,FALSE))),"")</f>
        <v/>
      </c>
      <c r="W9048" s="74" t="str">
        <f>IFERROR(VLOOKUP($O9048,'Customer List'!$A$1:$J$488,10,FALSE),"")</f>
        <v/>
      </c>
    </row>
    <row r="9049" spans="18:23">
      <c r="R9049" s="127">
        <f t="shared" si="357"/>
        <v>0</v>
      </c>
      <c r="T9049" s="128">
        <f t="shared" si="358"/>
        <v>0</v>
      </c>
      <c r="U9049" s="129" t="str">
        <f>IFERROR(IF(#REF!="S",VLOOKUP('Raw Data'!A9049,References!#REF!,2,FALSE),(VLOOKUP($S9049,References!$B$3:$C$7,2,FALSE))),"")</f>
        <v/>
      </c>
      <c r="W9049" s="74" t="str">
        <f>IFERROR(VLOOKUP($O9049,'Customer List'!$A$1:$J$488,10,FALSE),"")</f>
        <v/>
      </c>
    </row>
    <row r="9050" spans="18:23">
      <c r="R9050" s="127">
        <f t="shared" si="357"/>
        <v>0</v>
      </c>
      <c r="T9050" s="128">
        <f t="shared" si="358"/>
        <v>0</v>
      </c>
      <c r="U9050" s="129" t="str">
        <f>IFERROR(IF(#REF!="S",VLOOKUP('Raw Data'!A9050,References!#REF!,2,FALSE),(VLOOKUP($S9050,References!$B$3:$C$7,2,FALSE))),"")</f>
        <v/>
      </c>
      <c r="W9050" s="74" t="str">
        <f>IFERROR(VLOOKUP($O9050,'Customer List'!$A$1:$J$488,10,FALSE),"")</f>
        <v/>
      </c>
    </row>
    <row r="9051" spans="18:23">
      <c r="R9051" s="127">
        <f t="shared" si="357"/>
        <v>0</v>
      </c>
      <c r="T9051" s="128">
        <f t="shared" si="358"/>
        <v>0</v>
      </c>
      <c r="U9051" s="129" t="str">
        <f>IFERROR(IF(#REF!="S",VLOOKUP('Raw Data'!A9051,References!#REF!,2,FALSE),(VLOOKUP($S9051,References!$B$3:$C$7,2,FALSE))),"")</f>
        <v/>
      </c>
      <c r="W9051" s="74" t="str">
        <f>IFERROR(VLOOKUP($O9051,'Customer List'!$A$1:$J$488,10,FALSE),"")</f>
        <v/>
      </c>
    </row>
    <row r="9052" spans="18:23">
      <c r="R9052" s="127">
        <f t="shared" si="357"/>
        <v>0</v>
      </c>
      <c r="T9052" s="128">
        <f t="shared" si="358"/>
        <v>0</v>
      </c>
      <c r="U9052" s="129" t="str">
        <f>IFERROR(IF(#REF!="S",VLOOKUP('Raw Data'!A9052,References!#REF!,2,FALSE),(VLOOKUP($S9052,References!$B$3:$C$7,2,FALSE))),"")</f>
        <v/>
      </c>
      <c r="W9052" s="74" t="str">
        <f>IFERROR(VLOOKUP($O9052,'Customer List'!$A$1:$J$488,10,FALSE),"")</f>
        <v/>
      </c>
    </row>
    <row r="9053" spans="18:23">
      <c r="R9053" s="127">
        <f t="shared" si="357"/>
        <v>0</v>
      </c>
      <c r="T9053" s="128">
        <f t="shared" si="358"/>
        <v>0</v>
      </c>
      <c r="U9053" s="129" t="str">
        <f>IFERROR(IF(#REF!="S",VLOOKUP('Raw Data'!A9053,References!#REF!,2,FALSE),(VLOOKUP($S9053,References!$B$3:$C$7,2,FALSE))),"")</f>
        <v/>
      </c>
      <c r="W9053" s="74" t="str">
        <f>IFERROR(VLOOKUP($O9053,'Customer List'!$A$1:$J$488,10,FALSE),"")</f>
        <v/>
      </c>
    </row>
    <row r="9054" spans="18:23">
      <c r="R9054" s="127">
        <f t="shared" si="357"/>
        <v>0</v>
      </c>
      <c r="T9054" s="128">
        <f t="shared" si="358"/>
        <v>0</v>
      </c>
      <c r="U9054" s="129" t="str">
        <f>IFERROR(IF(#REF!="S",VLOOKUP('Raw Data'!A9054,References!#REF!,2,FALSE),(VLOOKUP($S9054,References!$B$3:$C$7,2,FALSE))),"")</f>
        <v/>
      </c>
      <c r="W9054" s="74" t="str">
        <f>IFERROR(VLOOKUP($O9054,'Customer List'!$A$1:$J$488,10,FALSE),"")</f>
        <v/>
      </c>
    </row>
    <row r="9055" spans="18:23">
      <c r="R9055" s="127">
        <f t="shared" si="357"/>
        <v>0</v>
      </c>
      <c r="T9055" s="128">
        <f t="shared" si="358"/>
        <v>0</v>
      </c>
      <c r="U9055" s="129" t="str">
        <f>IFERROR(IF(#REF!="S",VLOOKUP('Raw Data'!A9055,References!#REF!,2,FALSE),(VLOOKUP($S9055,References!$B$3:$C$7,2,FALSE))),"")</f>
        <v/>
      </c>
      <c r="W9055" s="74" t="str">
        <f>IFERROR(VLOOKUP($O9055,'Customer List'!$A$1:$J$488,10,FALSE),"")</f>
        <v/>
      </c>
    </row>
    <row r="9056" spans="18:23">
      <c r="R9056" s="127">
        <f t="shared" si="357"/>
        <v>0</v>
      </c>
      <c r="T9056" s="128">
        <f t="shared" si="358"/>
        <v>0</v>
      </c>
      <c r="U9056" s="129" t="str">
        <f>IFERROR(IF(#REF!="S",VLOOKUP('Raw Data'!A9056,References!#REF!,2,FALSE),(VLOOKUP($S9056,References!$B$3:$C$7,2,FALSE))),"")</f>
        <v/>
      </c>
      <c r="W9056" s="74" t="str">
        <f>IFERROR(VLOOKUP($O9056,'Customer List'!$A$1:$J$488,10,FALSE),"")</f>
        <v/>
      </c>
    </row>
    <row r="9057" spans="18:23">
      <c r="R9057" s="127">
        <f t="shared" si="357"/>
        <v>0</v>
      </c>
      <c r="T9057" s="128">
        <f t="shared" si="358"/>
        <v>0</v>
      </c>
      <c r="U9057" s="129" t="str">
        <f>IFERROR(IF(#REF!="S",VLOOKUP('Raw Data'!A9057,References!#REF!,2,FALSE),(VLOOKUP($S9057,References!$B$3:$C$7,2,FALSE))),"")</f>
        <v/>
      </c>
      <c r="W9057" s="74" t="str">
        <f>IFERROR(VLOOKUP($O9057,'Customer List'!$A$1:$J$488,10,FALSE),"")</f>
        <v/>
      </c>
    </row>
    <row r="9058" spans="18:23">
      <c r="R9058" s="127">
        <f t="shared" ref="R9058:R9121" si="359">L9058-K9058</f>
        <v>0</v>
      </c>
      <c r="T9058" s="128">
        <f t="shared" si="358"/>
        <v>0</v>
      </c>
      <c r="U9058" s="129" t="str">
        <f>IFERROR(IF(#REF!="S",VLOOKUP('Raw Data'!A9058,References!#REF!,2,FALSE),(VLOOKUP($S9058,References!$B$3:$C$7,2,FALSE))),"")</f>
        <v/>
      </c>
      <c r="W9058" s="74" t="str">
        <f>IFERROR(VLOOKUP($O9058,'Customer List'!$A$1:$J$488,10,FALSE),"")</f>
        <v/>
      </c>
    </row>
    <row r="9059" spans="18:23">
      <c r="R9059" s="127">
        <f t="shared" si="359"/>
        <v>0</v>
      </c>
      <c r="T9059" s="128">
        <f t="shared" si="358"/>
        <v>0</v>
      </c>
      <c r="U9059" s="129" t="str">
        <f>IFERROR(IF(#REF!="S",VLOOKUP('Raw Data'!A9059,References!#REF!,2,FALSE),(VLOOKUP($S9059,References!$B$3:$C$7,2,FALSE))),"")</f>
        <v/>
      </c>
      <c r="W9059" s="74" t="str">
        <f>IFERROR(VLOOKUP($O9059,'Customer List'!$A$1:$J$488,10,FALSE),"")</f>
        <v/>
      </c>
    </row>
    <row r="9060" spans="18:23">
      <c r="R9060" s="127">
        <f t="shared" si="359"/>
        <v>0</v>
      </c>
      <c r="T9060" s="128">
        <f t="shared" si="358"/>
        <v>0</v>
      </c>
      <c r="U9060" s="129" t="str">
        <f>IFERROR(IF(#REF!="S",VLOOKUP('Raw Data'!A9060,References!#REF!,2,FALSE),(VLOOKUP($S9060,References!$B$3:$C$7,2,FALSE))),"")</f>
        <v/>
      </c>
      <c r="W9060" s="74" t="str">
        <f>IFERROR(VLOOKUP($O9060,'Customer List'!$A$1:$J$488,10,FALSE),"")</f>
        <v/>
      </c>
    </row>
    <row r="9061" spans="18:23">
      <c r="R9061" s="127">
        <f t="shared" si="359"/>
        <v>0</v>
      </c>
      <c r="T9061" s="128">
        <f t="shared" si="358"/>
        <v>0</v>
      </c>
      <c r="U9061" s="129" t="str">
        <f>IFERROR(IF(#REF!="S",VLOOKUP('Raw Data'!A9061,References!#REF!,2,FALSE),(VLOOKUP($S9061,References!$B$3:$C$7,2,FALSE))),"")</f>
        <v/>
      </c>
      <c r="W9061" s="74" t="str">
        <f>IFERROR(VLOOKUP($O9061,'Customer List'!$A$1:$J$488,10,FALSE),"")</f>
        <v/>
      </c>
    </row>
    <row r="9062" spans="18:23">
      <c r="R9062" s="127">
        <f t="shared" si="359"/>
        <v>0</v>
      </c>
      <c r="T9062" s="128">
        <f t="shared" si="358"/>
        <v>0</v>
      </c>
      <c r="U9062" s="129" t="str">
        <f>IFERROR(IF(#REF!="S",VLOOKUP('Raw Data'!A9062,References!#REF!,2,FALSE),(VLOOKUP($S9062,References!$B$3:$C$7,2,FALSE))),"")</f>
        <v/>
      </c>
      <c r="W9062" s="74" t="str">
        <f>IFERROR(VLOOKUP($O9062,'Customer List'!$A$1:$J$488,10,FALSE),"")</f>
        <v/>
      </c>
    </row>
    <row r="9063" spans="18:23">
      <c r="R9063" s="127">
        <f t="shared" si="359"/>
        <v>0</v>
      </c>
      <c r="T9063" s="128">
        <f t="shared" si="358"/>
        <v>0</v>
      </c>
      <c r="U9063" s="129" t="str">
        <f>IFERROR(IF(#REF!="S",VLOOKUP('Raw Data'!A9063,References!#REF!,2,FALSE),(VLOOKUP($S9063,References!$B$3:$C$7,2,FALSE))),"")</f>
        <v/>
      </c>
      <c r="W9063" s="74" t="str">
        <f>IFERROR(VLOOKUP($O9063,'Customer List'!$A$1:$J$488,10,FALSE),"")</f>
        <v/>
      </c>
    </row>
    <row r="9064" spans="18:23">
      <c r="R9064" s="127">
        <f t="shared" si="359"/>
        <v>0</v>
      </c>
      <c r="T9064" s="128">
        <f t="shared" si="358"/>
        <v>0</v>
      </c>
      <c r="U9064" s="129" t="str">
        <f>IFERROR(IF(#REF!="S",VLOOKUP('Raw Data'!A9064,References!#REF!,2,FALSE),(VLOOKUP($S9064,References!$B$3:$C$7,2,FALSE))),"")</f>
        <v/>
      </c>
      <c r="W9064" s="74" t="str">
        <f>IFERROR(VLOOKUP($O9064,'Customer List'!$A$1:$J$488,10,FALSE),"")</f>
        <v/>
      </c>
    </row>
    <row r="9065" spans="18:23">
      <c r="R9065" s="127">
        <f t="shared" si="359"/>
        <v>0</v>
      </c>
      <c r="T9065" s="128">
        <f t="shared" si="358"/>
        <v>0</v>
      </c>
      <c r="U9065" s="129" t="str">
        <f>IFERROR(IF(#REF!="S",VLOOKUP('Raw Data'!A9065,References!#REF!,2,FALSE),(VLOOKUP($S9065,References!$B$3:$C$7,2,FALSE))),"")</f>
        <v/>
      </c>
      <c r="W9065" s="74" t="str">
        <f>IFERROR(VLOOKUP($O9065,'Customer List'!$A$1:$J$488,10,FALSE),"")</f>
        <v/>
      </c>
    </row>
    <row r="9066" spans="18:23">
      <c r="R9066" s="127">
        <f t="shared" si="359"/>
        <v>0</v>
      </c>
      <c r="T9066" s="128">
        <f t="shared" si="358"/>
        <v>0</v>
      </c>
      <c r="U9066" s="129" t="str">
        <f>IFERROR(IF(#REF!="S",VLOOKUP('Raw Data'!A9066,References!#REF!,2,FALSE),(VLOOKUP($S9066,References!$B$3:$C$7,2,FALSE))),"")</f>
        <v/>
      </c>
      <c r="W9066" s="74" t="str">
        <f>IFERROR(VLOOKUP($O9066,'Customer List'!$A$1:$J$488,10,FALSE),"")</f>
        <v/>
      </c>
    </row>
    <row r="9067" spans="18:23">
      <c r="R9067" s="127">
        <f t="shared" si="359"/>
        <v>0</v>
      </c>
      <c r="T9067" s="128">
        <f t="shared" si="358"/>
        <v>0</v>
      </c>
      <c r="U9067" s="129" t="str">
        <f>IFERROR(IF(#REF!="S",VLOOKUP('Raw Data'!A9067,References!#REF!,2,FALSE),(VLOOKUP($S9067,References!$B$3:$C$7,2,FALSE))),"")</f>
        <v/>
      </c>
      <c r="W9067" s="74" t="str">
        <f>IFERROR(VLOOKUP($O9067,'Customer List'!$A$1:$J$488,10,FALSE),"")</f>
        <v/>
      </c>
    </row>
    <row r="9068" spans="18:23">
      <c r="R9068" s="127">
        <f t="shared" si="359"/>
        <v>0</v>
      </c>
      <c r="T9068" s="128">
        <f t="shared" si="358"/>
        <v>0</v>
      </c>
      <c r="U9068" s="129" t="str">
        <f>IFERROR(IF(#REF!="S",VLOOKUP('Raw Data'!A9068,References!#REF!,2,FALSE),(VLOOKUP($S9068,References!$B$3:$C$7,2,FALSE))),"")</f>
        <v/>
      </c>
      <c r="W9068" s="74" t="str">
        <f>IFERROR(VLOOKUP($O9068,'Customer List'!$A$1:$J$488,10,FALSE),"")</f>
        <v/>
      </c>
    </row>
    <row r="9069" spans="18:23">
      <c r="R9069" s="127">
        <f t="shared" si="359"/>
        <v>0</v>
      </c>
      <c r="T9069" s="128">
        <f t="shared" si="358"/>
        <v>0</v>
      </c>
      <c r="U9069" s="129" t="str">
        <f>IFERROR(IF(#REF!="S",VLOOKUP('Raw Data'!A9069,References!#REF!,2,FALSE),(VLOOKUP($S9069,References!$B$3:$C$7,2,FALSE))),"")</f>
        <v/>
      </c>
      <c r="W9069" s="74" t="str">
        <f>IFERROR(VLOOKUP($O9069,'Customer List'!$A$1:$J$488,10,FALSE),"")</f>
        <v/>
      </c>
    </row>
    <row r="9070" spans="18:23">
      <c r="R9070" s="127">
        <f t="shared" si="359"/>
        <v>0</v>
      </c>
      <c r="T9070" s="128">
        <f t="shared" si="358"/>
        <v>0</v>
      </c>
      <c r="U9070" s="129" t="str">
        <f>IFERROR(IF(#REF!="S",VLOOKUP('Raw Data'!A9070,References!#REF!,2,FALSE),(VLOOKUP($S9070,References!$B$3:$C$7,2,FALSE))),"")</f>
        <v/>
      </c>
      <c r="W9070" s="74" t="str">
        <f>IFERROR(VLOOKUP($O9070,'Customer List'!$A$1:$J$488,10,FALSE),"")</f>
        <v/>
      </c>
    </row>
    <row r="9071" spans="18:23">
      <c r="R9071" s="127">
        <f t="shared" si="359"/>
        <v>0</v>
      </c>
      <c r="T9071" s="128">
        <f t="shared" si="358"/>
        <v>0</v>
      </c>
      <c r="U9071" s="129" t="str">
        <f>IFERROR(IF(#REF!="S",VLOOKUP('Raw Data'!A9071,References!#REF!,2,FALSE),(VLOOKUP($S9071,References!$B$3:$C$7,2,FALSE))),"")</f>
        <v/>
      </c>
      <c r="W9071" s="74" t="str">
        <f>IFERROR(VLOOKUP($O9071,'Customer List'!$A$1:$J$488,10,FALSE),"")</f>
        <v/>
      </c>
    </row>
    <row r="9072" spans="18:23">
      <c r="R9072" s="127">
        <f t="shared" si="359"/>
        <v>0</v>
      </c>
      <c r="T9072" s="128">
        <f t="shared" si="358"/>
        <v>0</v>
      </c>
      <c r="U9072" s="129" t="str">
        <f>IFERROR(IF(#REF!="S",VLOOKUP('Raw Data'!A9072,References!#REF!,2,FALSE),(VLOOKUP($S9072,References!$B$3:$C$7,2,FALSE))),"")</f>
        <v/>
      </c>
      <c r="W9072" s="74" t="str">
        <f>IFERROR(VLOOKUP($O9072,'Customer List'!$A$1:$J$488,10,FALSE),"")</f>
        <v/>
      </c>
    </row>
    <row r="9073" spans="18:23">
      <c r="R9073" s="127">
        <f t="shared" si="359"/>
        <v>0</v>
      </c>
      <c r="T9073" s="128">
        <f t="shared" si="358"/>
        <v>0</v>
      </c>
      <c r="U9073" s="129" t="str">
        <f>IFERROR(IF(#REF!="S",VLOOKUP('Raw Data'!A9073,References!#REF!,2,FALSE),(VLOOKUP($S9073,References!$B$3:$C$7,2,FALSE))),"")</f>
        <v/>
      </c>
      <c r="W9073" s="74" t="str">
        <f>IFERROR(VLOOKUP($O9073,'Customer List'!$A$1:$J$488,10,FALSE),"")</f>
        <v/>
      </c>
    </row>
    <row r="9074" spans="18:23">
      <c r="R9074" s="127">
        <f t="shared" si="359"/>
        <v>0</v>
      </c>
      <c r="T9074" s="128">
        <f t="shared" si="358"/>
        <v>0</v>
      </c>
      <c r="U9074" s="129" t="str">
        <f>IFERROR(IF(#REF!="S",VLOOKUP('Raw Data'!A9074,References!#REF!,2,FALSE),(VLOOKUP($S9074,References!$B$3:$C$7,2,FALSE))),"")</f>
        <v/>
      </c>
      <c r="W9074" s="74" t="str">
        <f>IFERROR(VLOOKUP($O9074,'Customer List'!$A$1:$J$488,10,FALSE),"")</f>
        <v/>
      </c>
    </row>
    <row r="9075" spans="18:23">
      <c r="R9075" s="127">
        <f t="shared" si="359"/>
        <v>0</v>
      </c>
      <c r="T9075" s="128">
        <f t="shared" si="358"/>
        <v>0</v>
      </c>
      <c r="U9075" s="129" t="str">
        <f>IFERROR(IF(#REF!="S",VLOOKUP('Raw Data'!A9075,References!#REF!,2,FALSE),(VLOOKUP($S9075,References!$B$3:$C$7,2,FALSE))),"")</f>
        <v/>
      </c>
      <c r="W9075" s="74" t="str">
        <f>IFERROR(VLOOKUP($O9075,'Customer List'!$A$1:$J$488,10,FALSE),"")</f>
        <v/>
      </c>
    </row>
    <row r="9076" spans="18:23">
      <c r="R9076" s="127">
        <f t="shared" si="359"/>
        <v>0</v>
      </c>
      <c r="T9076" s="128">
        <f t="shared" si="358"/>
        <v>0</v>
      </c>
      <c r="U9076" s="129" t="str">
        <f>IFERROR(IF(#REF!="S",VLOOKUP('Raw Data'!A9076,References!#REF!,2,FALSE),(VLOOKUP($S9076,References!$B$3:$C$7,2,FALSE))),"")</f>
        <v/>
      </c>
      <c r="W9076" s="74" t="str">
        <f>IFERROR(VLOOKUP($O9076,'Customer List'!$A$1:$J$488,10,FALSE),"")</f>
        <v/>
      </c>
    </row>
    <row r="9077" spans="18:23">
      <c r="R9077" s="127">
        <f t="shared" si="359"/>
        <v>0</v>
      </c>
      <c r="T9077" s="128">
        <f t="shared" si="358"/>
        <v>0</v>
      </c>
      <c r="U9077" s="129" t="str">
        <f>IFERROR(IF(#REF!="S",VLOOKUP('Raw Data'!A9077,References!#REF!,2,FALSE),(VLOOKUP($S9077,References!$B$3:$C$7,2,FALSE))),"")</f>
        <v/>
      </c>
      <c r="W9077" s="74" t="str">
        <f>IFERROR(VLOOKUP($O9077,'Customer List'!$A$1:$J$488,10,FALSE),"")</f>
        <v/>
      </c>
    </row>
    <row r="9078" spans="18:23">
      <c r="R9078" s="127">
        <f t="shared" si="359"/>
        <v>0</v>
      </c>
      <c r="T9078" s="128">
        <f t="shared" si="358"/>
        <v>0</v>
      </c>
      <c r="U9078" s="129" t="str">
        <f>IFERROR(IF(#REF!="S",VLOOKUP('Raw Data'!A9078,References!#REF!,2,FALSE),(VLOOKUP($S9078,References!$B$3:$C$7,2,FALSE))),"")</f>
        <v/>
      </c>
      <c r="W9078" s="74" t="str">
        <f>IFERROR(VLOOKUP($O9078,'Customer List'!$A$1:$J$488,10,FALSE),"")</f>
        <v/>
      </c>
    </row>
    <row r="9079" spans="18:23">
      <c r="R9079" s="127">
        <f t="shared" si="359"/>
        <v>0</v>
      </c>
      <c r="T9079" s="128">
        <f t="shared" si="358"/>
        <v>0</v>
      </c>
      <c r="U9079" s="129" t="str">
        <f>IFERROR(IF(#REF!="S",VLOOKUP('Raw Data'!A9079,References!#REF!,2,FALSE),(VLOOKUP($S9079,References!$B$3:$C$7,2,FALSE))),"")</f>
        <v/>
      </c>
      <c r="W9079" s="74" t="str">
        <f>IFERROR(VLOOKUP($O9079,'Customer List'!$A$1:$J$488,10,FALSE),"")</f>
        <v/>
      </c>
    </row>
    <row r="9080" spans="18:23">
      <c r="R9080" s="127">
        <f t="shared" si="359"/>
        <v>0</v>
      </c>
      <c r="T9080" s="128">
        <f t="shared" si="358"/>
        <v>0</v>
      </c>
      <c r="U9080" s="129" t="str">
        <f>IFERROR(IF(#REF!="S",VLOOKUP('Raw Data'!A9080,References!#REF!,2,FALSE),(VLOOKUP($S9080,References!$B$3:$C$7,2,FALSE))),"")</f>
        <v/>
      </c>
      <c r="W9080" s="74" t="str">
        <f>IFERROR(VLOOKUP($O9080,'Customer List'!$A$1:$J$488,10,FALSE),"")</f>
        <v/>
      </c>
    </row>
    <row r="9081" spans="18:23">
      <c r="R9081" s="127">
        <f t="shared" si="359"/>
        <v>0</v>
      </c>
      <c r="T9081" s="128">
        <f t="shared" si="358"/>
        <v>0</v>
      </c>
      <c r="U9081" s="129" t="str">
        <f>IFERROR(IF(#REF!="S",VLOOKUP('Raw Data'!A9081,References!#REF!,2,FALSE),(VLOOKUP($S9081,References!$B$3:$C$7,2,FALSE))),"")</f>
        <v/>
      </c>
      <c r="W9081" s="74" t="str">
        <f>IFERROR(VLOOKUP($O9081,'Customer List'!$A$1:$J$488,10,FALSE),"")</f>
        <v/>
      </c>
    </row>
    <row r="9082" spans="18:23">
      <c r="R9082" s="127">
        <f t="shared" si="359"/>
        <v>0</v>
      </c>
      <c r="T9082" s="128">
        <f t="shared" si="358"/>
        <v>0</v>
      </c>
      <c r="U9082" s="129" t="str">
        <f>IFERROR(IF(#REF!="S",VLOOKUP('Raw Data'!A9082,References!#REF!,2,FALSE),(VLOOKUP($S9082,References!$B$3:$C$7,2,FALSE))),"")</f>
        <v/>
      </c>
      <c r="W9082" s="74" t="str">
        <f>IFERROR(VLOOKUP($O9082,'Customer List'!$A$1:$J$488,10,FALSE),"")</f>
        <v/>
      </c>
    </row>
    <row r="9083" spans="18:23">
      <c r="R9083" s="127">
        <f t="shared" si="359"/>
        <v>0</v>
      </c>
      <c r="T9083" s="128">
        <f t="shared" si="358"/>
        <v>0</v>
      </c>
      <c r="U9083" s="129" t="str">
        <f>IFERROR(IF(#REF!="S",VLOOKUP('Raw Data'!A9083,References!#REF!,2,FALSE),(VLOOKUP($S9083,References!$B$3:$C$7,2,FALSE))),"")</f>
        <v/>
      </c>
      <c r="W9083" s="74" t="str">
        <f>IFERROR(VLOOKUP($O9083,'Customer List'!$A$1:$J$488,10,FALSE),"")</f>
        <v/>
      </c>
    </row>
    <row r="9084" spans="18:23">
      <c r="R9084" s="127">
        <f t="shared" si="359"/>
        <v>0</v>
      </c>
      <c r="T9084" s="128">
        <f t="shared" si="358"/>
        <v>0</v>
      </c>
      <c r="U9084" s="129" t="str">
        <f>IFERROR(IF(#REF!="S",VLOOKUP('Raw Data'!A9084,References!#REF!,2,FALSE),(VLOOKUP($S9084,References!$B$3:$C$7,2,FALSE))),"")</f>
        <v/>
      </c>
      <c r="W9084" s="74" t="str">
        <f>IFERROR(VLOOKUP($O9084,'Customer List'!$A$1:$J$488,10,FALSE),"")</f>
        <v/>
      </c>
    </row>
    <row r="9085" spans="18:23">
      <c r="R9085" s="127">
        <f t="shared" si="359"/>
        <v>0</v>
      </c>
      <c r="T9085" s="128">
        <f t="shared" si="358"/>
        <v>0</v>
      </c>
      <c r="U9085" s="129" t="str">
        <f>IFERROR(IF(#REF!="S",VLOOKUP('Raw Data'!A9085,References!#REF!,2,FALSE),(VLOOKUP($S9085,References!$B$3:$C$7,2,FALSE))),"")</f>
        <v/>
      </c>
      <c r="W9085" s="74" t="str">
        <f>IFERROR(VLOOKUP($O9085,'Customer List'!$A$1:$J$488,10,FALSE),"")</f>
        <v/>
      </c>
    </row>
    <row r="9086" spans="18:23">
      <c r="R9086" s="127">
        <f t="shared" si="359"/>
        <v>0</v>
      </c>
      <c r="T9086" s="128">
        <f t="shared" si="358"/>
        <v>0</v>
      </c>
      <c r="U9086" s="129" t="str">
        <f>IFERROR(IF(#REF!="S",VLOOKUP('Raw Data'!A9086,References!#REF!,2,FALSE),(VLOOKUP($S9086,References!$B$3:$C$7,2,FALSE))),"")</f>
        <v/>
      </c>
      <c r="W9086" s="74" t="str">
        <f>IFERROR(VLOOKUP($O9086,'Customer List'!$A$1:$J$488,10,FALSE),"")</f>
        <v/>
      </c>
    </row>
    <row r="9087" spans="18:23">
      <c r="R9087" s="127">
        <f t="shared" si="359"/>
        <v>0</v>
      </c>
      <c r="T9087" s="128">
        <f t="shared" si="358"/>
        <v>0</v>
      </c>
      <c r="U9087" s="129" t="str">
        <f>IFERROR(IF(#REF!="S",VLOOKUP('Raw Data'!A9087,References!#REF!,2,FALSE),(VLOOKUP($S9087,References!$B$3:$C$7,2,FALSE))),"")</f>
        <v/>
      </c>
      <c r="W9087" s="74" t="str">
        <f>IFERROR(VLOOKUP($O9087,'Customer List'!$A$1:$J$488,10,FALSE),"")</f>
        <v/>
      </c>
    </row>
    <row r="9088" spans="18:23">
      <c r="R9088" s="127">
        <f t="shared" si="359"/>
        <v>0</v>
      </c>
      <c r="T9088" s="128">
        <f t="shared" si="358"/>
        <v>0</v>
      </c>
      <c r="U9088" s="129" t="str">
        <f>IFERROR(IF(#REF!="S",VLOOKUP('Raw Data'!A9088,References!#REF!,2,FALSE),(VLOOKUP($S9088,References!$B$3:$C$7,2,FALSE))),"")</f>
        <v/>
      </c>
      <c r="W9088" s="74" t="str">
        <f>IFERROR(VLOOKUP($O9088,'Customer List'!$A$1:$J$488,10,FALSE),"")</f>
        <v/>
      </c>
    </row>
    <row r="9089" spans="18:23">
      <c r="R9089" s="127">
        <f t="shared" si="359"/>
        <v>0</v>
      </c>
      <c r="T9089" s="128">
        <f t="shared" si="358"/>
        <v>0</v>
      </c>
      <c r="U9089" s="129" t="str">
        <f>IFERROR(IF(#REF!="S",VLOOKUP('Raw Data'!A9089,References!#REF!,2,FALSE),(VLOOKUP($S9089,References!$B$3:$C$7,2,FALSE))),"")</f>
        <v/>
      </c>
      <c r="W9089" s="74" t="str">
        <f>IFERROR(VLOOKUP($O9089,'Customer List'!$A$1:$J$488,10,FALSE),"")</f>
        <v/>
      </c>
    </row>
    <row r="9090" spans="18:23">
      <c r="R9090" s="127">
        <f t="shared" si="359"/>
        <v>0</v>
      </c>
      <c r="T9090" s="128">
        <f t="shared" si="358"/>
        <v>0</v>
      </c>
      <c r="U9090" s="129" t="str">
        <f>IFERROR(IF(#REF!="S",VLOOKUP('Raw Data'!A9090,References!#REF!,2,FALSE),(VLOOKUP($S9090,References!$B$3:$C$7,2,FALSE))),"")</f>
        <v/>
      </c>
      <c r="W9090" s="74" t="str">
        <f>IFERROR(VLOOKUP($O9090,'Customer List'!$A$1:$J$488,10,FALSE),"")</f>
        <v/>
      </c>
    </row>
    <row r="9091" spans="18:23">
      <c r="R9091" s="127">
        <f t="shared" si="359"/>
        <v>0</v>
      </c>
      <c r="T9091" s="128">
        <f t="shared" si="358"/>
        <v>0</v>
      </c>
      <c r="U9091" s="129" t="str">
        <f>IFERROR(IF(#REF!="S",VLOOKUP('Raw Data'!A9091,References!#REF!,2,FALSE),(VLOOKUP($S9091,References!$B$3:$C$7,2,FALSE))),"")</f>
        <v/>
      </c>
      <c r="W9091" s="74" t="str">
        <f>IFERROR(VLOOKUP($O9091,'Customer List'!$A$1:$J$488,10,FALSE),"")</f>
        <v/>
      </c>
    </row>
    <row r="9092" spans="18:23">
      <c r="R9092" s="127">
        <f t="shared" si="359"/>
        <v>0</v>
      </c>
      <c r="T9092" s="128">
        <f t="shared" si="358"/>
        <v>0</v>
      </c>
      <c r="U9092" s="129" t="str">
        <f>IFERROR(IF(#REF!="S",VLOOKUP('Raw Data'!A9092,References!#REF!,2,FALSE),(VLOOKUP($S9092,References!$B$3:$C$7,2,FALSE))),"")</f>
        <v/>
      </c>
      <c r="W9092" s="74" t="str">
        <f>IFERROR(VLOOKUP($O9092,'Customer List'!$A$1:$J$488,10,FALSE),"")</f>
        <v/>
      </c>
    </row>
    <row r="9093" spans="18:23">
      <c r="R9093" s="127">
        <f t="shared" si="359"/>
        <v>0</v>
      </c>
      <c r="T9093" s="128">
        <f t="shared" si="358"/>
        <v>0</v>
      </c>
      <c r="U9093" s="129" t="str">
        <f>IFERROR(IF(#REF!="S",VLOOKUP('Raw Data'!A9093,References!#REF!,2,FALSE),(VLOOKUP($S9093,References!$B$3:$C$7,2,FALSE))),"")</f>
        <v/>
      </c>
      <c r="W9093" s="74" t="str">
        <f>IFERROR(VLOOKUP($O9093,'Customer List'!$A$1:$J$488,10,FALSE),"")</f>
        <v/>
      </c>
    </row>
    <row r="9094" spans="18:23">
      <c r="R9094" s="127">
        <f t="shared" si="359"/>
        <v>0</v>
      </c>
      <c r="T9094" s="128">
        <f t="shared" si="358"/>
        <v>0</v>
      </c>
      <c r="U9094" s="129" t="str">
        <f>IFERROR(IF(#REF!="S",VLOOKUP('Raw Data'!A9094,References!#REF!,2,FALSE),(VLOOKUP($S9094,References!$B$3:$C$7,2,FALSE))),"")</f>
        <v/>
      </c>
      <c r="W9094" s="74" t="str">
        <f>IFERROR(VLOOKUP($O9094,'Customer List'!$A$1:$J$488,10,FALSE),"")</f>
        <v/>
      </c>
    </row>
    <row r="9095" spans="18:23">
      <c r="R9095" s="127">
        <f t="shared" si="359"/>
        <v>0</v>
      </c>
      <c r="T9095" s="128">
        <f t="shared" si="358"/>
        <v>0</v>
      </c>
      <c r="U9095" s="129" t="str">
        <f>IFERROR(IF(#REF!="S",VLOOKUP('Raw Data'!A9095,References!#REF!,2,FALSE),(VLOOKUP($S9095,References!$B$3:$C$7,2,FALSE))),"")</f>
        <v/>
      </c>
      <c r="W9095" s="74" t="str">
        <f>IFERROR(VLOOKUP($O9095,'Customer List'!$A$1:$J$488,10,FALSE),"")</f>
        <v/>
      </c>
    </row>
    <row r="9096" spans="18:23">
      <c r="R9096" s="127">
        <f t="shared" si="359"/>
        <v>0</v>
      </c>
      <c r="T9096" s="128">
        <f t="shared" si="358"/>
        <v>0</v>
      </c>
      <c r="U9096" s="129" t="str">
        <f>IFERROR(IF(#REF!="S",VLOOKUP('Raw Data'!A9096,References!#REF!,2,FALSE),(VLOOKUP($S9096,References!$B$3:$C$7,2,FALSE))),"")</f>
        <v/>
      </c>
      <c r="W9096" s="74" t="str">
        <f>IFERROR(VLOOKUP($O9096,'Customer List'!$A$1:$J$488,10,FALSE),"")</f>
        <v/>
      </c>
    </row>
    <row r="9097" spans="18:23">
      <c r="R9097" s="127">
        <f t="shared" si="359"/>
        <v>0</v>
      </c>
      <c r="T9097" s="128">
        <f t="shared" si="358"/>
        <v>0</v>
      </c>
      <c r="U9097" s="129" t="str">
        <f>IFERROR(IF(#REF!="S",VLOOKUP('Raw Data'!A9097,References!#REF!,2,FALSE),(VLOOKUP($S9097,References!$B$3:$C$7,2,FALSE))),"")</f>
        <v/>
      </c>
      <c r="W9097" s="74" t="str">
        <f>IFERROR(VLOOKUP($O9097,'Customer List'!$A$1:$J$488,10,FALSE),"")</f>
        <v/>
      </c>
    </row>
    <row r="9098" spans="18:23">
      <c r="R9098" s="127">
        <f t="shared" si="359"/>
        <v>0</v>
      </c>
      <c r="T9098" s="128">
        <f t="shared" ref="T9098:T9161" si="360">IF(S9098="50 - Cleaning Fee",1,HOUR($R9098)+MINUTE(R9098)/60)</f>
        <v>0</v>
      </c>
      <c r="U9098" s="129" t="str">
        <f>IFERROR(IF(#REF!="S",VLOOKUP('Raw Data'!A9098,References!#REF!,2,FALSE),(VLOOKUP($S9098,References!$B$3:$C$7,2,FALSE))),"")</f>
        <v/>
      </c>
      <c r="W9098" s="74" t="str">
        <f>IFERROR(VLOOKUP($O9098,'Customer List'!$A$1:$J$488,10,FALSE),"")</f>
        <v/>
      </c>
    </row>
    <row r="9099" spans="18:23">
      <c r="R9099" s="127">
        <f t="shared" si="359"/>
        <v>0</v>
      </c>
      <c r="T9099" s="128">
        <f t="shared" si="360"/>
        <v>0</v>
      </c>
      <c r="U9099" s="129" t="str">
        <f>IFERROR(IF(#REF!="S",VLOOKUP('Raw Data'!A9099,References!#REF!,2,FALSE),(VLOOKUP($S9099,References!$B$3:$C$7,2,FALSE))),"")</f>
        <v/>
      </c>
      <c r="W9099" s="74" t="str">
        <f>IFERROR(VLOOKUP($O9099,'Customer List'!$A$1:$J$488,10,FALSE),"")</f>
        <v/>
      </c>
    </row>
    <row r="9100" spans="18:23">
      <c r="R9100" s="127">
        <f t="shared" si="359"/>
        <v>0</v>
      </c>
      <c r="T9100" s="128">
        <f t="shared" si="360"/>
        <v>0</v>
      </c>
      <c r="U9100" s="129" t="str">
        <f>IFERROR(IF(#REF!="S",VLOOKUP('Raw Data'!A9100,References!#REF!,2,FALSE),(VLOOKUP($S9100,References!$B$3:$C$7,2,FALSE))),"")</f>
        <v/>
      </c>
      <c r="W9100" s="74" t="str">
        <f>IFERROR(VLOOKUP($O9100,'Customer List'!$A$1:$J$488,10,FALSE),"")</f>
        <v/>
      </c>
    </row>
    <row r="9101" spans="18:23">
      <c r="R9101" s="127">
        <f t="shared" si="359"/>
        <v>0</v>
      </c>
      <c r="T9101" s="128">
        <f t="shared" si="360"/>
        <v>0</v>
      </c>
      <c r="U9101" s="129" t="str">
        <f>IFERROR(IF(#REF!="S",VLOOKUP('Raw Data'!A9101,References!#REF!,2,FALSE),(VLOOKUP($S9101,References!$B$3:$C$7,2,FALSE))),"")</f>
        <v/>
      </c>
      <c r="W9101" s="74" t="str">
        <f>IFERROR(VLOOKUP($O9101,'Customer List'!$A$1:$J$488,10,FALSE),"")</f>
        <v/>
      </c>
    </row>
    <row r="9102" spans="18:23">
      <c r="R9102" s="127">
        <f t="shared" si="359"/>
        <v>0</v>
      </c>
      <c r="T9102" s="128">
        <f t="shared" si="360"/>
        <v>0</v>
      </c>
      <c r="U9102" s="129" t="str">
        <f>IFERROR(IF(#REF!="S",VLOOKUP('Raw Data'!A9102,References!#REF!,2,FALSE),(VLOOKUP($S9102,References!$B$3:$C$7,2,FALSE))),"")</f>
        <v/>
      </c>
      <c r="W9102" s="74" t="str">
        <f>IFERROR(VLOOKUP($O9102,'Customer List'!$A$1:$J$488,10,FALSE),"")</f>
        <v/>
      </c>
    </row>
    <row r="9103" spans="18:23">
      <c r="R9103" s="127">
        <f t="shared" si="359"/>
        <v>0</v>
      </c>
      <c r="T9103" s="128">
        <f t="shared" si="360"/>
        <v>0</v>
      </c>
      <c r="U9103" s="129" t="str">
        <f>IFERROR(IF(#REF!="S",VLOOKUP('Raw Data'!A9103,References!#REF!,2,FALSE),(VLOOKUP($S9103,References!$B$3:$C$7,2,FALSE))),"")</f>
        <v/>
      </c>
      <c r="W9103" s="74" t="str">
        <f>IFERROR(VLOOKUP($O9103,'Customer List'!$A$1:$J$488,10,FALSE),"")</f>
        <v/>
      </c>
    </row>
    <row r="9104" spans="18:23">
      <c r="R9104" s="127">
        <f t="shared" si="359"/>
        <v>0</v>
      </c>
      <c r="T9104" s="128">
        <f t="shared" si="360"/>
        <v>0</v>
      </c>
      <c r="U9104" s="129" t="str">
        <f>IFERROR(IF(#REF!="S",VLOOKUP('Raw Data'!A9104,References!#REF!,2,FALSE),(VLOOKUP($S9104,References!$B$3:$C$7,2,FALSE))),"")</f>
        <v/>
      </c>
      <c r="W9104" s="74" t="str">
        <f>IFERROR(VLOOKUP($O9104,'Customer List'!$A$1:$J$488,10,FALSE),"")</f>
        <v/>
      </c>
    </row>
    <row r="9105" spans="18:23">
      <c r="R9105" s="127">
        <f t="shared" si="359"/>
        <v>0</v>
      </c>
      <c r="T9105" s="128">
        <f t="shared" si="360"/>
        <v>0</v>
      </c>
      <c r="U9105" s="129" t="str">
        <f>IFERROR(IF(#REF!="S",VLOOKUP('Raw Data'!A9105,References!#REF!,2,FALSE),(VLOOKUP($S9105,References!$B$3:$C$7,2,FALSE))),"")</f>
        <v/>
      </c>
      <c r="W9105" s="74" t="str">
        <f>IFERROR(VLOOKUP($O9105,'Customer List'!$A$1:$J$488,10,FALSE),"")</f>
        <v/>
      </c>
    </row>
    <row r="9106" spans="18:23">
      <c r="R9106" s="127">
        <f t="shared" si="359"/>
        <v>0</v>
      </c>
      <c r="T9106" s="128">
        <f t="shared" si="360"/>
        <v>0</v>
      </c>
      <c r="U9106" s="129" t="str">
        <f>IFERROR(IF(#REF!="S",VLOOKUP('Raw Data'!A9106,References!#REF!,2,FALSE),(VLOOKUP($S9106,References!$B$3:$C$7,2,FALSE))),"")</f>
        <v/>
      </c>
      <c r="W9106" s="74" t="str">
        <f>IFERROR(VLOOKUP($O9106,'Customer List'!$A$1:$J$488,10,FALSE),"")</f>
        <v/>
      </c>
    </row>
    <row r="9107" spans="18:23">
      <c r="R9107" s="127">
        <f t="shared" si="359"/>
        <v>0</v>
      </c>
      <c r="T9107" s="128">
        <f t="shared" si="360"/>
        <v>0</v>
      </c>
      <c r="U9107" s="129" t="str">
        <f>IFERROR(IF(#REF!="S",VLOOKUP('Raw Data'!A9107,References!#REF!,2,FALSE),(VLOOKUP($S9107,References!$B$3:$C$7,2,FALSE))),"")</f>
        <v/>
      </c>
      <c r="W9107" s="74" t="str">
        <f>IFERROR(VLOOKUP($O9107,'Customer List'!$A$1:$J$488,10,FALSE),"")</f>
        <v/>
      </c>
    </row>
    <row r="9108" spans="18:23">
      <c r="R9108" s="127">
        <f t="shared" si="359"/>
        <v>0</v>
      </c>
      <c r="T9108" s="128">
        <f t="shared" si="360"/>
        <v>0</v>
      </c>
      <c r="U9108" s="129" t="str">
        <f>IFERROR(IF(#REF!="S",VLOOKUP('Raw Data'!A9108,References!#REF!,2,FALSE),(VLOOKUP($S9108,References!$B$3:$C$7,2,FALSE))),"")</f>
        <v/>
      </c>
      <c r="W9108" s="74" t="str">
        <f>IFERROR(VLOOKUP($O9108,'Customer List'!$A$1:$J$488,10,FALSE),"")</f>
        <v/>
      </c>
    </row>
    <row r="9109" spans="18:23">
      <c r="R9109" s="127">
        <f t="shared" si="359"/>
        <v>0</v>
      </c>
      <c r="T9109" s="128">
        <f t="shared" si="360"/>
        <v>0</v>
      </c>
      <c r="U9109" s="129" t="str">
        <f>IFERROR(IF(#REF!="S",VLOOKUP('Raw Data'!A9109,References!#REF!,2,FALSE),(VLOOKUP($S9109,References!$B$3:$C$7,2,FALSE))),"")</f>
        <v/>
      </c>
      <c r="W9109" s="74" t="str">
        <f>IFERROR(VLOOKUP($O9109,'Customer List'!$A$1:$J$488,10,FALSE),"")</f>
        <v/>
      </c>
    </row>
    <row r="9110" spans="18:23">
      <c r="R9110" s="127">
        <f t="shared" si="359"/>
        <v>0</v>
      </c>
      <c r="T9110" s="128">
        <f t="shared" si="360"/>
        <v>0</v>
      </c>
      <c r="U9110" s="129" t="str">
        <f>IFERROR(IF(#REF!="S",VLOOKUP('Raw Data'!A9110,References!#REF!,2,FALSE),(VLOOKUP($S9110,References!$B$3:$C$7,2,FALSE))),"")</f>
        <v/>
      </c>
      <c r="W9110" s="74" t="str">
        <f>IFERROR(VLOOKUP($O9110,'Customer List'!$A$1:$J$488,10,FALSE),"")</f>
        <v/>
      </c>
    </row>
    <row r="9111" spans="18:23">
      <c r="R9111" s="127">
        <f t="shared" si="359"/>
        <v>0</v>
      </c>
      <c r="T9111" s="128">
        <f t="shared" si="360"/>
        <v>0</v>
      </c>
      <c r="U9111" s="129" t="str">
        <f>IFERROR(IF(#REF!="S",VLOOKUP('Raw Data'!A9111,References!#REF!,2,FALSE),(VLOOKUP($S9111,References!$B$3:$C$7,2,FALSE))),"")</f>
        <v/>
      </c>
      <c r="W9111" s="74" t="str">
        <f>IFERROR(VLOOKUP($O9111,'Customer List'!$A$1:$J$488,10,FALSE),"")</f>
        <v/>
      </c>
    </row>
    <row r="9112" spans="18:23">
      <c r="R9112" s="127">
        <f t="shared" si="359"/>
        <v>0</v>
      </c>
      <c r="T9112" s="128">
        <f t="shared" si="360"/>
        <v>0</v>
      </c>
      <c r="U9112" s="129" t="str">
        <f>IFERROR(IF(#REF!="S",VLOOKUP('Raw Data'!A9112,References!#REF!,2,FALSE),(VLOOKUP($S9112,References!$B$3:$C$7,2,FALSE))),"")</f>
        <v/>
      </c>
      <c r="W9112" s="74" t="str">
        <f>IFERROR(VLOOKUP($O9112,'Customer List'!$A$1:$J$488,10,FALSE),"")</f>
        <v/>
      </c>
    </row>
    <row r="9113" spans="18:23">
      <c r="R9113" s="127">
        <f t="shared" si="359"/>
        <v>0</v>
      </c>
      <c r="T9113" s="128">
        <f t="shared" si="360"/>
        <v>0</v>
      </c>
      <c r="U9113" s="129" t="str">
        <f>IFERROR(IF(#REF!="S",VLOOKUP('Raw Data'!A9113,References!#REF!,2,FALSE),(VLOOKUP($S9113,References!$B$3:$C$7,2,FALSE))),"")</f>
        <v/>
      </c>
      <c r="W9113" s="74" t="str">
        <f>IFERROR(VLOOKUP($O9113,'Customer List'!$A$1:$J$488,10,FALSE),"")</f>
        <v/>
      </c>
    </row>
    <row r="9114" spans="18:23">
      <c r="R9114" s="127">
        <f t="shared" si="359"/>
        <v>0</v>
      </c>
      <c r="T9114" s="128">
        <f t="shared" si="360"/>
        <v>0</v>
      </c>
      <c r="U9114" s="129" t="str">
        <f>IFERROR(IF(#REF!="S",VLOOKUP('Raw Data'!A9114,References!#REF!,2,FALSE),(VLOOKUP($S9114,References!$B$3:$C$7,2,FALSE))),"")</f>
        <v/>
      </c>
      <c r="W9114" s="74" t="str">
        <f>IFERROR(VLOOKUP($O9114,'Customer List'!$A$1:$J$488,10,FALSE),"")</f>
        <v/>
      </c>
    </row>
    <row r="9115" spans="18:23">
      <c r="R9115" s="127">
        <f t="shared" si="359"/>
        <v>0</v>
      </c>
      <c r="T9115" s="128">
        <f t="shared" si="360"/>
        <v>0</v>
      </c>
      <c r="U9115" s="129" t="str">
        <f>IFERROR(IF(#REF!="S",VLOOKUP('Raw Data'!A9115,References!#REF!,2,FALSE),(VLOOKUP($S9115,References!$B$3:$C$7,2,FALSE))),"")</f>
        <v/>
      </c>
      <c r="W9115" s="74" t="str">
        <f>IFERROR(VLOOKUP($O9115,'Customer List'!$A$1:$J$488,10,FALSE),"")</f>
        <v/>
      </c>
    </row>
    <row r="9116" spans="18:23">
      <c r="R9116" s="127">
        <f t="shared" si="359"/>
        <v>0</v>
      </c>
      <c r="T9116" s="128">
        <f t="shared" si="360"/>
        <v>0</v>
      </c>
      <c r="U9116" s="129" t="str">
        <f>IFERROR(IF(#REF!="S",VLOOKUP('Raw Data'!A9116,References!#REF!,2,FALSE),(VLOOKUP($S9116,References!$B$3:$C$7,2,FALSE))),"")</f>
        <v/>
      </c>
      <c r="W9116" s="74" t="str">
        <f>IFERROR(VLOOKUP($O9116,'Customer List'!$A$1:$J$488,10,FALSE),"")</f>
        <v/>
      </c>
    </row>
    <row r="9117" spans="18:23">
      <c r="R9117" s="127">
        <f t="shared" si="359"/>
        <v>0</v>
      </c>
      <c r="T9117" s="128">
        <f t="shared" si="360"/>
        <v>0</v>
      </c>
      <c r="U9117" s="129" t="str">
        <f>IFERROR(IF(#REF!="S",VLOOKUP('Raw Data'!A9117,References!#REF!,2,FALSE),(VLOOKUP($S9117,References!$B$3:$C$7,2,FALSE))),"")</f>
        <v/>
      </c>
      <c r="W9117" s="74" t="str">
        <f>IFERROR(VLOOKUP($O9117,'Customer List'!$A$1:$J$488,10,FALSE),"")</f>
        <v/>
      </c>
    </row>
    <row r="9118" spans="18:23">
      <c r="R9118" s="127">
        <f t="shared" si="359"/>
        <v>0</v>
      </c>
      <c r="T9118" s="128">
        <f t="shared" si="360"/>
        <v>0</v>
      </c>
      <c r="U9118" s="129" t="str">
        <f>IFERROR(IF(#REF!="S",VLOOKUP('Raw Data'!A9118,References!#REF!,2,FALSE),(VLOOKUP($S9118,References!$B$3:$C$7,2,FALSE))),"")</f>
        <v/>
      </c>
      <c r="W9118" s="74" t="str">
        <f>IFERROR(VLOOKUP($O9118,'Customer List'!$A$1:$J$488,10,FALSE),"")</f>
        <v/>
      </c>
    </row>
    <row r="9119" spans="18:23">
      <c r="R9119" s="127">
        <f t="shared" si="359"/>
        <v>0</v>
      </c>
      <c r="T9119" s="128">
        <f t="shared" si="360"/>
        <v>0</v>
      </c>
      <c r="U9119" s="129" t="str">
        <f>IFERROR(IF(#REF!="S",VLOOKUP('Raw Data'!A9119,References!#REF!,2,FALSE),(VLOOKUP($S9119,References!$B$3:$C$7,2,FALSE))),"")</f>
        <v/>
      </c>
      <c r="W9119" s="74" t="str">
        <f>IFERROR(VLOOKUP($O9119,'Customer List'!$A$1:$J$488,10,FALSE),"")</f>
        <v/>
      </c>
    </row>
    <row r="9120" spans="18:23">
      <c r="R9120" s="127">
        <f t="shared" si="359"/>
        <v>0</v>
      </c>
      <c r="T9120" s="128">
        <f t="shared" si="360"/>
        <v>0</v>
      </c>
      <c r="U9120" s="129" t="str">
        <f>IFERROR(IF(#REF!="S",VLOOKUP('Raw Data'!A9120,References!#REF!,2,FALSE),(VLOOKUP($S9120,References!$B$3:$C$7,2,FALSE))),"")</f>
        <v/>
      </c>
      <c r="W9120" s="74" t="str">
        <f>IFERROR(VLOOKUP($O9120,'Customer List'!$A$1:$J$488,10,FALSE),"")</f>
        <v/>
      </c>
    </row>
    <row r="9121" spans="18:23">
      <c r="R9121" s="127">
        <f t="shared" si="359"/>
        <v>0</v>
      </c>
      <c r="T9121" s="128">
        <f t="shared" si="360"/>
        <v>0</v>
      </c>
      <c r="U9121" s="129" t="str">
        <f>IFERROR(IF(#REF!="S",VLOOKUP('Raw Data'!A9121,References!#REF!,2,FALSE),(VLOOKUP($S9121,References!$B$3:$C$7,2,FALSE))),"")</f>
        <v/>
      </c>
      <c r="W9121" s="74" t="str">
        <f>IFERROR(VLOOKUP($O9121,'Customer List'!$A$1:$J$488,10,FALSE),"")</f>
        <v/>
      </c>
    </row>
    <row r="9122" spans="18:23">
      <c r="R9122" s="127">
        <f t="shared" ref="R9122:R9185" si="361">L9122-K9122</f>
        <v>0</v>
      </c>
      <c r="T9122" s="128">
        <f t="shared" si="360"/>
        <v>0</v>
      </c>
      <c r="U9122" s="129" t="str">
        <f>IFERROR(IF(#REF!="S",VLOOKUP('Raw Data'!A9122,References!#REF!,2,FALSE),(VLOOKUP($S9122,References!$B$3:$C$7,2,FALSE))),"")</f>
        <v/>
      </c>
      <c r="W9122" s="74" t="str">
        <f>IFERROR(VLOOKUP($O9122,'Customer List'!$A$1:$J$488,10,FALSE),"")</f>
        <v/>
      </c>
    </row>
    <row r="9123" spans="18:23">
      <c r="R9123" s="127">
        <f t="shared" si="361"/>
        <v>0</v>
      </c>
      <c r="T9123" s="128">
        <f t="shared" si="360"/>
        <v>0</v>
      </c>
      <c r="U9123" s="129" t="str">
        <f>IFERROR(IF(#REF!="S",VLOOKUP('Raw Data'!A9123,References!#REF!,2,FALSE),(VLOOKUP($S9123,References!$B$3:$C$7,2,FALSE))),"")</f>
        <v/>
      </c>
      <c r="W9123" s="74" t="str">
        <f>IFERROR(VLOOKUP($O9123,'Customer List'!$A$1:$J$488,10,FALSE),"")</f>
        <v/>
      </c>
    </row>
    <row r="9124" spans="18:23">
      <c r="R9124" s="127">
        <f t="shared" si="361"/>
        <v>0</v>
      </c>
      <c r="T9124" s="128">
        <f t="shared" si="360"/>
        <v>0</v>
      </c>
      <c r="U9124" s="129" t="str">
        <f>IFERROR(IF(#REF!="S",VLOOKUP('Raw Data'!A9124,References!#REF!,2,FALSE),(VLOOKUP($S9124,References!$B$3:$C$7,2,FALSE))),"")</f>
        <v/>
      </c>
      <c r="W9124" s="74" t="str">
        <f>IFERROR(VLOOKUP($O9124,'Customer List'!$A$1:$J$488,10,FALSE),"")</f>
        <v/>
      </c>
    </row>
    <row r="9125" spans="18:23">
      <c r="R9125" s="127">
        <f t="shared" si="361"/>
        <v>0</v>
      </c>
      <c r="T9125" s="128">
        <f t="shared" si="360"/>
        <v>0</v>
      </c>
      <c r="U9125" s="129" t="str">
        <f>IFERROR(IF(#REF!="S",VLOOKUP('Raw Data'!A9125,References!#REF!,2,FALSE),(VLOOKUP($S9125,References!$B$3:$C$7,2,FALSE))),"")</f>
        <v/>
      </c>
      <c r="W9125" s="74" t="str">
        <f>IFERROR(VLOOKUP($O9125,'Customer List'!$A$1:$J$488,10,FALSE),"")</f>
        <v/>
      </c>
    </row>
    <row r="9126" spans="18:23">
      <c r="R9126" s="127">
        <f t="shared" si="361"/>
        <v>0</v>
      </c>
      <c r="T9126" s="128">
        <f t="shared" si="360"/>
        <v>0</v>
      </c>
      <c r="U9126" s="129" t="str">
        <f>IFERROR(IF(#REF!="S",VLOOKUP('Raw Data'!A9126,References!#REF!,2,FALSE),(VLOOKUP($S9126,References!$B$3:$C$7,2,FALSE))),"")</f>
        <v/>
      </c>
      <c r="W9126" s="74" t="str">
        <f>IFERROR(VLOOKUP($O9126,'Customer List'!$A$1:$J$488,10,FALSE),"")</f>
        <v/>
      </c>
    </row>
    <row r="9127" spans="18:23">
      <c r="R9127" s="127">
        <f t="shared" si="361"/>
        <v>0</v>
      </c>
      <c r="T9127" s="128">
        <f t="shared" si="360"/>
        <v>0</v>
      </c>
      <c r="U9127" s="129" t="str">
        <f>IFERROR(IF(#REF!="S",VLOOKUP('Raw Data'!A9127,References!#REF!,2,FALSE),(VLOOKUP($S9127,References!$B$3:$C$7,2,FALSE))),"")</f>
        <v/>
      </c>
      <c r="W9127" s="74" t="str">
        <f>IFERROR(VLOOKUP($O9127,'Customer List'!$A$1:$J$488,10,FALSE),"")</f>
        <v/>
      </c>
    </row>
    <row r="9128" spans="18:23">
      <c r="R9128" s="127">
        <f t="shared" si="361"/>
        <v>0</v>
      </c>
      <c r="T9128" s="128">
        <f t="shared" si="360"/>
        <v>0</v>
      </c>
      <c r="U9128" s="129" t="str">
        <f>IFERROR(IF(#REF!="S",VLOOKUP('Raw Data'!A9128,References!#REF!,2,FALSE),(VLOOKUP($S9128,References!$B$3:$C$7,2,FALSE))),"")</f>
        <v/>
      </c>
      <c r="W9128" s="74" t="str">
        <f>IFERROR(VLOOKUP($O9128,'Customer List'!$A$1:$J$488,10,FALSE),"")</f>
        <v/>
      </c>
    </row>
    <row r="9129" spans="18:23">
      <c r="R9129" s="127">
        <f t="shared" si="361"/>
        <v>0</v>
      </c>
      <c r="T9129" s="128">
        <f t="shared" si="360"/>
        <v>0</v>
      </c>
      <c r="U9129" s="129" t="str">
        <f>IFERROR(IF(#REF!="S",VLOOKUP('Raw Data'!A9129,References!#REF!,2,FALSE),(VLOOKUP($S9129,References!$B$3:$C$7,2,FALSE))),"")</f>
        <v/>
      </c>
      <c r="W9129" s="74" t="str">
        <f>IFERROR(VLOOKUP($O9129,'Customer List'!$A$1:$J$488,10,FALSE),"")</f>
        <v/>
      </c>
    </row>
    <row r="9130" spans="18:23">
      <c r="R9130" s="127">
        <f t="shared" si="361"/>
        <v>0</v>
      </c>
      <c r="T9130" s="128">
        <f t="shared" si="360"/>
        <v>0</v>
      </c>
      <c r="U9130" s="129" t="str">
        <f>IFERROR(IF(#REF!="S",VLOOKUP('Raw Data'!A9130,References!#REF!,2,FALSE),(VLOOKUP($S9130,References!$B$3:$C$7,2,FALSE))),"")</f>
        <v/>
      </c>
      <c r="W9130" s="74" t="str">
        <f>IFERROR(VLOOKUP($O9130,'Customer List'!$A$1:$J$488,10,FALSE),"")</f>
        <v/>
      </c>
    </row>
    <row r="9131" spans="18:23">
      <c r="R9131" s="127">
        <f t="shared" si="361"/>
        <v>0</v>
      </c>
      <c r="T9131" s="128">
        <f t="shared" si="360"/>
        <v>0</v>
      </c>
      <c r="U9131" s="129" t="str">
        <f>IFERROR(IF(#REF!="S",VLOOKUP('Raw Data'!A9131,References!#REF!,2,FALSE),(VLOOKUP($S9131,References!$B$3:$C$7,2,FALSE))),"")</f>
        <v/>
      </c>
      <c r="W9131" s="74" t="str">
        <f>IFERROR(VLOOKUP($O9131,'Customer List'!$A$1:$J$488,10,FALSE),"")</f>
        <v/>
      </c>
    </row>
    <row r="9132" spans="18:23">
      <c r="R9132" s="127">
        <f t="shared" si="361"/>
        <v>0</v>
      </c>
      <c r="T9132" s="128">
        <f t="shared" si="360"/>
        <v>0</v>
      </c>
      <c r="U9132" s="129" t="str">
        <f>IFERROR(IF(#REF!="S",VLOOKUP('Raw Data'!A9132,References!#REF!,2,FALSE),(VLOOKUP($S9132,References!$B$3:$C$7,2,FALSE))),"")</f>
        <v/>
      </c>
      <c r="W9132" s="74" t="str">
        <f>IFERROR(VLOOKUP($O9132,'Customer List'!$A$1:$J$488,10,FALSE),"")</f>
        <v/>
      </c>
    </row>
    <row r="9133" spans="18:23">
      <c r="R9133" s="127">
        <f t="shared" si="361"/>
        <v>0</v>
      </c>
      <c r="T9133" s="128">
        <f t="shared" si="360"/>
        <v>0</v>
      </c>
      <c r="U9133" s="129" t="str">
        <f>IFERROR(IF(#REF!="S",VLOOKUP('Raw Data'!A9133,References!#REF!,2,FALSE),(VLOOKUP($S9133,References!$B$3:$C$7,2,FALSE))),"")</f>
        <v/>
      </c>
      <c r="W9133" s="74" t="str">
        <f>IFERROR(VLOOKUP($O9133,'Customer List'!$A$1:$J$488,10,FALSE),"")</f>
        <v/>
      </c>
    </row>
    <row r="9134" spans="18:23">
      <c r="R9134" s="127">
        <f t="shared" si="361"/>
        <v>0</v>
      </c>
      <c r="T9134" s="128">
        <f t="shared" si="360"/>
        <v>0</v>
      </c>
      <c r="U9134" s="129" t="str">
        <f>IFERROR(IF(#REF!="S",VLOOKUP('Raw Data'!A9134,References!#REF!,2,FALSE),(VLOOKUP($S9134,References!$B$3:$C$7,2,FALSE))),"")</f>
        <v/>
      </c>
      <c r="W9134" s="74" t="str">
        <f>IFERROR(VLOOKUP($O9134,'Customer List'!$A$1:$J$488,10,FALSE),"")</f>
        <v/>
      </c>
    </row>
    <row r="9135" spans="18:23">
      <c r="R9135" s="127">
        <f t="shared" si="361"/>
        <v>0</v>
      </c>
      <c r="T9135" s="128">
        <f t="shared" si="360"/>
        <v>0</v>
      </c>
      <c r="U9135" s="129" t="str">
        <f>IFERROR(IF(#REF!="S",VLOOKUP('Raw Data'!A9135,References!#REF!,2,FALSE),(VLOOKUP($S9135,References!$B$3:$C$7,2,FALSE))),"")</f>
        <v/>
      </c>
      <c r="W9135" s="74" t="str">
        <f>IFERROR(VLOOKUP($O9135,'Customer List'!$A$1:$J$488,10,FALSE),"")</f>
        <v/>
      </c>
    </row>
    <row r="9136" spans="18:23">
      <c r="R9136" s="127">
        <f t="shared" si="361"/>
        <v>0</v>
      </c>
      <c r="T9136" s="128">
        <f t="shared" si="360"/>
        <v>0</v>
      </c>
      <c r="U9136" s="129" t="str">
        <f>IFERROR(IF(#REF!="S",VLOOKUP('Raw Data'!A9136,References!#REF!,2,FALSE),(VLOOKUP($S9136,References!$B$3:$C$7,2,FALSE))),"")</f>
        <v/>
      </c>
      <c r="W9136" s="74" t="str">
        <f>IFERROR(VLOOKUP($O9136,'Customer List'!$A$1:$J$488,10,FALSE),"")</f>
        <v/>
      </c>
    </row>
    <row r="9137" spans="18:23">
      <c r="R9137" s="127">
        <f t="shared" si="361"/>
        <v>0</v>
      </c>
      <c r="T9137" s="128">
        <f t="shared" si="360"/>
        <v>0</v>
      </c>
      <c r="U9137" s="129" t="str">
        <f>IFERROR(IF(#REF!="S",VLOOKUP('Raw Data'!A9137,References!#REF!,2,FALSE),(VLOOKUP($S9137,References!$B$3:$C$7,2,FALSE))),"")</f>
        <v/>
      </c>
      <c r="W9137" s="74" t="str">
        <f>IFERROR(VLOOKUP($O9137,'Customer List'!$A$1:$J$488,10,FALSE),"")</f>
        <v/>
      </c>
    </row>
    <row r="9138" spans="18:23">
      <c r="R9138" s="127">
        <f t="shared" si="361"/>
        <v>0</v>
      </c>
      <c r="T9138" s="128">
        <f t="shared" si="360"/>
        <v>0</v>
      </c>
      <c r="U9138" s="129" t="str">
        <f>IFERROR(IF(#REF!="S",VLOOKUP('Raw Data'!A9138,References!#REF!,2,FALSE),(VLOOKUP($S9138,References!$B$3:$C$7,2,FALSE))),"")</f>
        <v/>
      </c>
      <c r="W9138" s="74" t="str">
        <f>IFERROR(VLOOKUP($O9138,'Customer List'!$A$1:$J$488,10,FALSE),"")</f>
        <v/>
      </c>
    </row>
    <row r="9139" spans="18:23">
      <c r="R9139" s="127">
        <f t="shared" si="361"/>
        <v>0</v>
      </c>
      <c r="T9139" s="128">
        <f t="shared" si="360"/>
        <v>0</v>
      </c>
      <c r="U9139" s="129" t="str">
        <f>IFERROR(IF(#REF!="S",VLOOKUP('Raw Data'!A9139,References!#REF!,2,FALSE),(VLOOKUP($S9139,References!$B$3:$C$7,2,FALSE))),"")</f>
        <v/>
      </c>
      <c r="W9139" s="74" t="str">
        <f>IFERROR(VLOOKUP($O9139,'Customer List'!$A$1:$J$488,10,FALSE),"")</f>
        <v/>
      </c>
    </row>
    <row r="9140" spans="18:23">
      <c r="R9140" s="127">
        <f t="shared" si="361"/>
        <v>0</v>
      </c>
      <c r="T9140" s="128">
        <f t="shared" si="360"/>
        <v>0</v>
      </c>
      <c r="U9140" s="129" t="str">
        <f>IFERROR(IF(#REF!="S",VLOOKUP('Raw Data'!A9140,References!#REF!,2,FALSE),(VLOOKUP($S9140,References!$B$3:$C$7,2,FALSE))),"")</f>
        <v/>
      </c>
      <c r="W9140" s="74" t="str">
        <f>IFERROR(VLOOKUP($O9140,'Customer List'!$A$1:$J$488,10,FALSE),"")</f>
        <v/>
      </c>
    </row>
    <row r="9141" spans="18:23">
      <c r="R9141" s="127">
        <f t="shared" si="361"/>
        <v>0</v>
      </c>
      <c r="T9141" s="128">
        <f t="shared" si="360"/>
        <v>0</v>
      </c>
      <c r="U9141" s="129" t="str">
        <f>IFERROR(IF(#REF!="S",VLOOKUP('Raw Data'!A9141,References!#REF!,2,FALSE),(VLOOKUP($S9141,References!$B$3:$C$7,2,FALSE))),"")</f>
        <v/>
      </c>
      <c r="W9141" s="74" t="str">
        <f>IFERROR(VLOOKUP($O9141,'Customer List'!$A$1:$J$488,10,FALSE),"")</f>
        <v/>
      </c>
    </row>
    <row r="9142" spans="18:23">
      <c r="R9142" s="127">
        <f t="shared" si="361"/>
        <v>0</v>
      </c>
      <c r="T9142" s="128">
        <f t="shared" si="360"/>
        <v>0</v>
      </c>
      <c r="U9142" s="129" t="str">
        <f>IFERROR(IF(#REF!="S",VLOOKUP('Raw Data'!A9142,References!#REF!,2,FALSE),(VLOOKUP($S9142,References!$B$3:$C$7,2,FALSE))),"")</f>
        <v/>
      </c>
      <c r="W9142" s="74" t="str">
        <f>IFERROR(VLOOKUP($O9142,'Customer List'!$A$1:$J$488,10,FALSE),"")</f>
        <v/>
      </c>
    </row>
    <row r="9143" spans="18:23">
      <c r="R9143" s="127">
        <f t="shared" si="361"/>
        <v>0</v>
      </c>
      <c r="T9143" s="128">
        <f t="shared" si="360"/>
        <v>0</v>
      </c>
      <c r="U9143" s="129" t="str">
        <f>IFERROR(IF(#REF!="S",VLOOKUP('Raw Data'!A9143,References!#REF!,2,FALSE),(VLOOKUP($S9143,References!$B$3:$C$7,2,FALSE))),"")</f>
        <v/>
      </c>
      <c r="W9143" s="74" t="str">
        <f>IFERROR(VLOOKUP($O9143,'Customer List'!$A$1:$J$488,10,FALSE),"")</f>
        <v/>
      </c>
    </row>
    <row r="9144" spans="18:23">
      <c r="R9144" s="127">
        <f t="shared" si="361"/>
        <v>0</v>
      </c>
      <c r="T9144" s="128">
        <f t="shared" si="360"/>
        <v>0</v>
      </c>
      <c r="U9144" s="129" t="str">
        <f>IFERROR(IF(#REF!="S",VLOOKUP('Raw Data'!A9144,References!#REF!,2,FALSE),(VLOOKUP($S9144,References!$B$3:$C$7,2,FALSE))),"")</f>
        <v/>
      </c>
      <c r="W9144" s="74" t="str">
        <f>IFERROR(VLOOKUP($O9144,'Customer List'!$A$1:$J$488,10,FALSE),"")</f>
        <v/>
      </c>
    </row>
    <row r="9145" spans="18:23">
      <c r="R9145" s="127">
        <f t="shared" si="361"/>
        <v>0</v>
      </c>
      <c r="T9145" s="128">
        <f t="shared" si="360"/>
        <v>0</v>
      </c>
      <c r="U9145" s="129" t="str">
        <f>IFERROR(IF(#REF!="S",VLOOKUP('Raw Data'!A9145,References!#REF!,2,FALSE),(VLOOKUP($S9145,References!$B$3:$C$7,2,FALSE))),"")</f>
        <v/>
      </c>
      <c r="W9145" s="74" t="str">
        <f>IFERROR(VLOOKUP($O9145,'Customer List'!$A$1:$J$488,10,FALSE),"")</f>
        <v/>
      </c>
    </row>
    <row r="9146" spans="18:23">
      <c r="R9146" s="127">
        <f t="shared" si="361"/>
        <v>0</v>
      </c>
      <c r="T9146" s="128">
        <f t="shared" si="360"/>
        <v>0</v>
      </c>
      <c r="U9146" s="129" t="str">
        <f>IFERROR(IF(#REF!="S",VLOOKUP('Raw Data'!A9146,References!#REF!,2,FALSE),(VLOOKUP($S9146,References!$B$3:$C$7,2,FALSE))),"")</f>
        <v/>
      </c>
      <c r="W9146" s="74" t="str">
        <f>IFERROR(VLOOKUP($O9146,'Customer List'!$A$1:$J$488,10,FALSE),"")</f>
        <v/>
      </c>
    </row>
    <row r="9147" spans="18:23">
      <c r="R9147" s="127">
        <f t="shared" si="361"/>
        <v>0</v>
      </c>
      <c r="T9147" s="128">
        <f t="shared" si="360"/>
        <v>0</v>
      </c>
      <c r="U9147" s="129" t="str">
        <f>IFERROR(IF(#REF!="S",VLOOKUP('Raw Data'!A9147,References!#REF!,2,FALSE),(VLOOKUP($S9147,References!$B$3:$C$7,2,FALSE))),"")</f>
        <v/>
      </c>
      <c r="W9147" s="74" t="str">
        <f>IFERROR(VLOOKUP($O9147,'Customer List'!$A$1:$J$488,10,FALSE),"")</f>
        <v/>
      </c>
    </row>
    <row r="9148" spans="18:23">
      <c r="R9148" s="127">
        <f t="shared" si="361"/>
        <v>0</v>
      </c>
      <c r="T9148" s="128">
        <f t="shared" si="360"/>
        <v>0</v>
      </c>
      <c r="U9148" s="129" t="str">
        <f>IFERROR(IF(#REF!="S",VLOOKUP('Raw Data'!A9148,References!#REF!,2,FALSE),(VLOOKUP($S9148,References!$B$3:$C$7,2,FALSE))),"")</f>
        <v/>
      </c>
      <c r="W9148" s="74" t="str">
        <f>IFERROR(VLOOKUP($O9148,'Customer List'!$A$1:$J$488,10,FALSE),"")</f>
        <v/>
      </c>
    </row>
    <row r="9149" spans="18:23">
      <c r="R9149" s="127">
        <f t="shared" si="361"/>
        <v>0</v>
      </c>
      <c r="T9149" s="128">
        <f t="shared" si="360"/>
        <v>0</v>
      </c>
      <c r="U9149" s="129" t="str">
        <f>IFERROR(IF(#REF!="S",VLOOKUP('Raw Data'!A9149,References!#REF!,2,FALSE),(VLOOKUP($S9149,References!$B$3:$C$7,2,FALSE))),"")</f>
        <v/>
      </c>
      <c r="W9149" s="74" t="str">
        <f>IFERROR(VLOOKUP($O9149,'Customer List'!$A$1:$J$488,10,FALSE),"")</f>
        <v/>
      </c>
    </row>
    <row r="9150" spans="18:23">
      <c r="R9150" s="127">
        <f t="shared" si="361"/>
        <v>0</v>
      </c>
      <c r="T9150" s="128">
        <f t="shared" si="360"/>
        <v>0</v>
      </c>
      <c r="U9150" s="129" t="str">
        <f>IFERROR(IF(#REF!="S",VLOOKUP('Raw Data'!A9150,References!#REF!,2,FALSE),(VLOOKUP($S9150,References!$B$3:$C$7,2,FALSE))),"")</f>
        <v/>
      </c>
      <c r="W9150" s="74" t="str">
        <f>IFERROR(VLOOKUP($O9150,'Customer List'!$A$1:$J$488,10,FALSE),"")</f>
        <v/>
      </c>
    </row>
    <row r="9151" spans="18:23">
      <c r="R9151" s="127">
        <f t="shared" si="361"/>
        <v>0</v>
      </c>
      <c r="T9151" s="128">
        <f t="shared" si="360"/>
        <v>0</v>
      </c>
      <c r="U9151" s="129" t="str">
        <f>IFERROR(IF(#REF!="S",VLOOKUP('Raw Data'!A9151,References!#REF!,2,FALSE),(VLOOKUP($S9151,References!$B$3:$C$7,2,FALSE))),"")</f>
        <v/>
      </c>
      <c r="W9151" s="74" t="str">
        <f>IFERROR(VLOOKUP($O9151,'Customer List'!$A$1:$J$488,10,FALSE),"")</f>
        <v/>
      </c>
    </row>
    <row r="9152" spans="18:23">
      <c r="R9152" s="127">
        <f t="shared" si="361"/>
        <v>0</v>
      </c>
      <c r="T9152" s="128">
        <f t="shared" si="360"/>
        <v>0</v>
      </c>
      <c r="U9152" s="129" t="str">
        <f>IFERROR(IF(#REF!="S",VLOOKUP('Raw Data'!A9152,References!#REF!,2,FALSE),(VLOOKUP($S9152,References!$B$3:$C$7,2,FALSE))),"")</f>
        <v/>
      </c>
      <c r="W9152" s="74" t="str">
        <f>IFERROR(VLOOKUP($O9152,'Customer List'!$A$1:$J$488,10,FALSE),"")</f>
        <v/>
      </c>
    </row>
    <row r="9153" spans="18:23">
      <c r="R9153" s="127">
        <f t="shared" si="361"/>
        <v>0</v>
      </c>
      <c r="T9153" s="128">
        <f t="shared" si="360"/>
        <v>0</v>
      </c>
      <c r="U9153" s="129" t="str">
        <f>IFERROR(IF(#REF!="S",VLOOKUP('Raw Data'!A9153,References!#REF!,2,FALSE),(VLOOKUP($S9153,References!$B$3:$C$7,2,FALSE))),"")</f>
        <v/>
      </c>
      <c r="W9153" s="74" t="str">
        <f>IFERROR(VLOOKUP($O9153,'Customer List'!$A$1:$J$488,10,FALSE),"")</f>
        <v/>
      </c>
    </row>
    <row r="9154" spans="18:23">
      <c r="R9154" s="127">
        <f t="shared" si="361"/>
        <v>0</v>
      </c>
      <c r="T9154" s="128">
        <f t="shared" si="360"/>
        <v>0</v>
      </c>
      <c r="U9154" s="129" t="str">
        <f>IFERROR(IF(#REF!="S",VLOOKUP('Raw Data'!A9154,References!#REF!,2,FALSE),(VLOOKUP($S9154,References!$B$3:$C$7,2,FALSE))),"")</f>
        <v/>
      </c>
      <c r="W9154" s="74" t="str">
        <f>IFERROR(VLOOKUP($O9154,'Customer List'!$A$1:$J$488,10,FALSE),"")</f>
        <v/>
      </c>
    </row>
    <row r="9155" spans="18:23">
      <c r="R9155" s="127">
        <f t="shared" si="361"/>
        <v>0</v>
      </c>
      <c r="T9155" s="128">
        <f t="shared" si="360"/>
        <v>0</v>
      </c>
      <c r="U9155" s="129" t="str">
        <f>IFERROR(IF(#REF!="S",VLOOKUP('Raw Data'!A9155,References!#REF!,2,FALSE),(VLOOKUP($S9155,References!$B$3:$C$7,2,FALSE))),"")</f>
        <v/>
      </c>
      <c r="W9155" s="74" t="str">
        <f>IFERROR(VLOOKUP($O9155,'Customer List'!$A$1:$J$488,10,FALSE),"")</f>
        <v/>
      </c>
    </row>
    <row r="9156" spans="18:23">
      <c r="R9156" s="127">
        <f t="shared" si="361"/>
        <v>0</v>
      </c>
      <c r="T9156" s="128">
        <f t="shared" si="360"/>
        <v>0</v>
      </c>
      <c r="U9156" s="129" t="str">
        <f>IFERROR(IF(#REF!="S",VLOOKUP('Raw Data'!A9156,References!#REF!,2,FALSE),(VLOOKUP($S9156,References!$B$3:$C$7,2,FALSE))),"")</f>
        <v/>
      </c>
      <c r="W9156" s="74" t="str">
        <f>IFERROR(VLOOKUP($O9156,'Customer List'!$A$1:$J$488,10,FALSE),"")</f>
        <v/>
      </c>
    </row>
    <row r="9157" spans="18:23">
      <c r="R9157" s="127">
        <f t="shared" si="361"/>
        <v>0</v>
      </c>
      <c r="T9157" s="128">
        <f t="shared" si="360"/>
        <v>0</v>
      </c>
      <c r="U9157" s="129" t="str">
        <f>IFERROR(IF(#REF!="S",VLOOKUP('Raw Data'!A9157,References!#REF!,2,FALSE),(VLOOKUP($S9157,References!$B$3:$C$7,2,FALSE))),"")</f>
        <v/>
      </c>
      <c r="W9157" s="74" t="str">
        <f>IFERROR(VLOOKUP($O9157,'Customer List'!$A$1:$J$488,10,FALSE),"")</f>
        <v/>
      </c>
    </row>
    <row r="9158" spans="18:23">
      <c r="R9158" s="127">
        <f t="shared" si="361"/>
        <v>0</v>
      </c>
      <c r="T9158" s="128">
        <f t="shared" si="360"/>
        <v>0</v>
      </c>
      <c r="U9158" s="129" t="str">
        <f>IFERROR(IF(#REF!="S",VLOOKUP('Raw Data'!A9158,References!#REF!,2,FALSE),(VLOOKUP($S9158,References!$B$3:$C$7,2,FALSE))),"")</f>
        <v/>
      </c>
      <c r="W9158" s="74" t="str">
        <f>IFERROR(VLOOKUP($O9158,'Customer List'!$A$1:$J$488,10,FALSE),"")</f>
        <v/>
      </c>
    </row>
    <row r="9159" spans="18:23">
      <c r="R9159" s="127">
        <f t="shared" si="361"/>
        <v>0</v>
      </c>
      <c r="T9159" s="128">
        <f t="shared" si="360"/>
        <v>0</v>
      </c>
      <c r="U9159" s="129" t="str">
        <f>IFERROR(IF(#REF!="S",VLOOKUP('Raw Data'!A9159,References!#REF!,2,FALSE),(VLOOKUP($S9159,References!$B$3:$C$7,2,FALSE))),"")</f>
        <v/>
      </c>
      <c r="W9159" s="74" t="str">
        <f>IFERROR(VLOOKUP($O9159,'Customer List'!$A$1:$J$488,10,FALSE),"")</f>
        <v/>
      </c>
    </row>
    <row r="9160" spans="18:23">
      <c r="R9160" s="127">
        <f t="shared" si="361"/>
        <v>0</v>
      </c>
      <c r="T9160" s="128">
        <f t="shared" si="360"/>
        <v>0</v>
      </c>
      <c r="U9160" s="129" t="str">
        <f>IFERROR(IF(#REF!="S",VLOOKUP('Raw Data'!A9160,References!#REF!,2,FALSE),(VLOOKUP($S9160,References!$B$3:$C$7,2,FALSE))),"")</f>
        <v/>
      </c>
      <c r="W9160" s="74" t="str">
        <f>IFERROR(VLOOKUP($O9160,'Customer List'!$A$1:$J$488,10,FALSE),"")</f>
        <v/>
      </c>
    </row>
    <row r="9161" spans="18:23">
      <c r="R9161" s="127">
        <f t="shared" si="361"/>
        <v>0</v>
      </c>
      <c r="T9161" s="128">
        <f t="shared" si="360"/>
        <v>0</v>
      </c>
      <c r="U9161" s="129" t="str">
        <f>IFERROR(IF(#REF!="S",VLOOKUP('Raw Data'!A9161,References!#REF!,2,FALSE),(VLOOKUP($S9161,References!$B$3:$C$7,2,FALSE))),"")</f>
        <v/>
      </c>
      <c r="W9161" s="74" t="str">
        <f>IFERROR(VLOOKUP($O9161,'Customer List'!$A$1:$J$488,10,FALSE),"")</f>
        <v/>
      </c>
    </row>
    <row r="9162" spans="18:23">
      <c r="R9162" s="127">
        <f t="shared" si="361"/>
        <v>0</v>
      </c>
      <c r="T9162" s="128">
        <f t="shared" ref="T9162:T9225" si="362">IF(S9162="50 - Cleaning Fee",1,HOUR($R9162)+MINUTE(R9162)/60)</f>
        <v>0</v>
      </c>
      <c r="U9162" s="129" t="str">
        <f>IFERROR(IF(#REF!="S",VLOOKUP('Raw Data'!A9162,References!#REF!,2,FALSE),(VLOOKUP($S9162,References!$B$3:$C$7,2,FALSE))),"")</f>
        <v/>
      </c>
      <c r="W9162" s="74" t="str">
        <f>IFERROR(VLOOKUP($O9162,'Customer List'!$A$1:$J$488,10,FALSE),"")</f>
        <v/>
      </c>
    </row>
    <row r="9163" spans="18:23">
      <c r="R9163" s="127">
        <f t="shared" si="361"/>
        <v>0</v>
      </c>
      <c r="T9163" s="128">
        <f t="shared" si="362"/>
        <v>0</v>
      </c>
      <c r="U9163" s="129" t="str">
        <f>IFERROR(IF(#REF!="S",VLOOKUP('Raw Data'!A9163,References!#REF!,2,FALSE),(VLOOKUP($S9163,References!$B$3:$C$7,2,FALSE))),"")</f>
        <v/>
      </c>
      <c r="W9163" s="74" t="str">
        <f>IFERROR(VLOOKUP($O9163,'Customer List'!$A$1:$J$488,10,FALSE),"")</f>
        <v/>
      </c>
    </row>
    <row r="9164" spans="18:23">
      <c r="R9164" s="127">
        <f t="shared" si="361"/>
        <v>0</v>
      </c>
      <c r="T9164" s="128">
        <f t="shared" si="362"/>
        <v>0</v>
      </c>
      <c r="U9164" s="129" t="str">
        <f>IFERROR(IF(#REF!="S",VLOOKUP('Raw Data'!A9164,References!#REF!,2,FALSE),(VLOOKUP($S9164,References!$B$3:$C$7,2,FALSE))),"")</f>
        <v/>
      </c>
      <c r="W9164" s="74" t="str">
        <f>IFERROR(VLOOKUP($O9164,'Customer List'!$A$1:$J$488,10,FALSE),"")</f>
        <v/>
      </c>
    </row>
    <row r="9165" spans="18:23">
      <c r="R9165" s="127">
        <f t="shared" si="361"/>
        <v>0</v>
      </c>
      <c r="T9165" s="128">
        <f t="shared" si="362"/>
        <v>0</v>
      </c>
      <c r="U9165" s="129" t="str">
        <f>IFERROR(IF(#REF!="S",VLOOKUP('Raw Data'!A9165,References!#REF!,2,FALSE),(VLOOKUP($S9165,References!$B$3:$C$7,2,FALSE))),"")</f>
        <v/>
      </c>
      <c r="W9165" s="74" t="str">
        <f>IFERROR(VLOOKUP($O9165,'Customer List'!$A$1:$J$488,10,FALSE),"")</f>
        <v/>
      </c>
    </row>
    <row r="9166" spans="18:23">
      <c r="R9166" s="127">
        <f t="shared" si="361"/>
        <v>0</v>
      </c>
      <c r="T9166" s="128">
        <f t="shared" si="362"/>
        <v>0</v>
      </c>
      <c r="U9166" s="129" t="str">
        <f>IFERROR(IF(#REF!="S",VLOOKUP('Raw Data'!A9166,References!#REF!,2,FALSE),(VLOOKUP($S9166,References!$B$3:$C$7,2,FALSE))),"")</f>
        <v/>
      </c>
      <c r="W9166" s="74" t="str">
        <f>IFERROR(VLOOKUP($O9166,'Customer List'!$A$1:$J$488,10,FALSE),"")</f>
        <v/>
      </c>
    </row>
    <row r="9167" spans="18:23">
      <c r="R9167" s="127">
        <f t="shared" si="361"/>
        <v>0</v>
      </c>
      <c r="T9167" s="128">
        <f t="shared" si="362"/>
        <v>0</v>
      </c>
      <c r="U9167" s="129" t="str">
        <f>IFERROR(IF(#REF!="S",VLOOKUP('Raw Data'!A9167,References!#REF!,2,FALSE),(VLOOKUP($S9167,References!$B$3:$C$7,2,FALSE))),"")</f>
        <v/>
      </c>
      <c r="W9167" s="74" t="str">
        <f>IFERROR(VLOOKUP($O9167,'Customer List'!$A$1:$J$488,10,FALSE),"")</f>
        <v/>
      </c>
    </row>
    <row r="9168" spans="18:23">
      <c r="R9168" s="127">
        <f t="shared" si="361"/>
        <v>0</v>
      </c>
      <c r="T9168" s="128">
        <f t="shared" si="362"/>
        <v>0</v>
      </c>
      <c r="U9168" s="129" t="str">
        <f>IFERROR(IF(#REF!="S",VLOOKUP('Raw Data'!A9168,References!#REF!,2,FALSE),(VLOOKUP($S9168,References!$B$3:$C$7,2,FALSE))),"")</f>
        <v/>
      </c>
      <c r="W9168" s="74" t="str">
        <f>IFERROR(VLOOKUP($O9168,'Customer List'!$A$1:$J$488,10,FALSE),"")</f>
        <v/>
      </c>
    </row>
    <row r="9169" spans="18:23">
      <c r="R9169" s="127">
        <f t="shared" si="361"/>
        <v>0</v>
      </c>
      <c r="T9169" s="128">
        <f t="shared" si="362"/>
        <v>0</v>
      </c>
      <c r="U9169" s="129" t="str">
        <f>IFERROR(IF(#REF!="S",VLOOKUP('Raw Data'!A9169,References!#REF!,2,FALSE),(VLOOKUP($S9169,References!$B$3:$C$7,2,FALSE))),"")</f>
        <v/>
      </c>
      <c r="W9169" s="74" t="str">
        <f>IFERROR(VLOOKUP($O9169,'Customer List'!$A$1:$J$488,10,FALSE),"")</f>
        <v/>
      </c>
    </row>
    <row r="9170" spans="18:23">
      <c r="R9170" s="127">
        <f t="shared" si="361"/>
        <v>0</v>
      </c>
      <c r="T9170" s="128">
        <f t="shared" si="362"/>
        <v>0</v>
      </c>
      <c r="U9170" s="129" t="str">
        <f>IFERROR(IF(#REF!="S",VLOOKUP('Raw Data'!A9170,References!#REF!,2,FALSE),(VLOOKUP($S9170,References!$B$3:$C$7,2,FALSE))),"")</f>
        <v/>
      </c>
      <c r="W9170" s="74" t="str">
        <f>IFERROR(VLOOKUP($O9170,'Customer List'!$A$1:$J$488,10,FALSE),"")</f>
        <v/>
      </c>
    </row>
    <row r="9171" spans="18:23">
      <c r="R9171" s="127">
        <f t="shared" si="361"/>
        <v>0</v>
      </c>
      <c r="T9171" s="128">
        <f t="shared" si="362"/>
        <v>0</v>
      </c>
      <c r="U9171" s="129" t="str">
        <f>IFERROR(IF(#REF!="S",VLOOKUP('Raw Data'!A9171,References!#REF!,2,FALSE),(VLOOKUP($S9171,References!$B$3:$C$7,2,FALSE))),"")</f>
        <v/>
      </c>
      <c r="W9171" s="74" t="str">
        <f>IFERROR(VLOOKUP($O9171,'Customer List'!$A$1:$J$488,10,FALSE),"")</f>
        <v/>
      </c>
    </row>
    <row r="9172" spans="18:23">
      <c r="R9172" s="127">
        <f t="shared" si="361"/>
        <v>0</v>
      </c>
      <c r="T9172" s="128">
        <f t="shared" si="362"/>
        <v>0</v>
      </c>
      <c r="U9172" s="129" t="str">
        <f>IFERROR(IF(#REF!="S",VLOOKUP('Raw Data'!A9172,References!#REF!,2,FALSE),(VLOOKUP($S9172,References!$B$3:$C$7,2,FALSE))),"")</f>
        <v/>
      </c>
      <c r="W9172" s="74" t="str">
        <f>IFERROR(VLOOKUP($O9172,'Customer List'!$A$1:$J$488,10,FALSE),"")</f>
        <v/>
      </c>
    </row>
    <row r="9173" spans="18:23">
      <c r="R9173" s="127">
        <f t="shared" si="361"/>
        <v>0</v>
      </c>
      <c r="T9173" s="128">
        <f t="shared" si="362"/>
        <v>0</v>
      </c>
      <c r="U9173" s="129" t="str">
        <f>IFERROR(IF(#REF!="S",VLOOKUP('Raw Data'!A9173,References!#REF!,2,FALSE),(VLOOKUP($S9173,References!$B$3:$C$7,2,FALSE))),"")</f>
        <v/>
      </c>
      <c r="W9173" s="74" t="str">
        <f>IFERROR(VLOOKUP($O9173,'Customer List'!$A$1:$J$488,10,FALSE),"")</f>
        <v/>
      </c>
    </row>
    <row r="9174" spans="18:23">
      <c r="R9174" s="127">
        <f t="shared" si="361"/>
        <v>0</v>
      </c>
      <c r="T9174" s="128">
        <f t="shared" si="362"/>
        <v>0</v>
      </c>
      <c r="U9174" s="129" t="str">
        <f>IFERROR(IF(#REF!="S",VLOOKUP('Raw Data'!A9174,References!#REF!,2,FALSE),(VLOOKUP($S9174,References!$B$3:$C$7,2,FALSE))),"")</f>
        <v/>
      </c>
      <c r="W9174" s="74" t="str">
        <f>IFERROR(VLOOKUP($O9174,'Customer List'!$A$1:$J$488,10,FALSE),"")</f>
        <v/>
      </c>
    </row>
    <row r="9175" spans="18:23">
      <c r="R9175" s="127">
        <f t="shared" si="361"/>
        <v>0</v>
      </c>
      <c r="T9175" s="128">
        <f t="shared" si="362"/>
        <v>0</v>
      </c>
      <c r="U9175" s="129" t="str">
        <f>IFERROR(IF(#REF!="S",VLOOKUP('Raw Data'!A9175,References!#REF!,2,FALSE),(VLOOKUP($S9175,References!$B$3:$C$7,2,FALSE))),"")</f>
        <v/>
      </c>
      <c r="W9175" s="74" t="str">
        <f>IFERROR(VLOOKUP($O9175,'Customer List'!$A$1:$J$488,10,FALSE),"")</f>
        <v/>
      </c>
    </row>
    <row r="9176" spans="18:23">
      <c r="R9176" s="127">
        <f t="shared" si="361"/>
        <v>0</v>
      </c>
      <c r="T9176" s="128">
        <f t="shared" si="362"/>
        <v>0</v>
      </c>
      <c r="U9176" s="129" t="str">
        <f>IFERROR(IF(#REF!="S",VLOOKUP('Raw Data'!A9176,References!#REF!,2,FALSE),(VLOOKUP($S9176,References!$B$3:$C$7,2,FALSE))),"")</f>
        <v/>
      </c>
      <c r="W9176" s="74" t="str">
        <f>IFERROR(VLOOKUP($O9176,'Customer List'!$A$1:$J$488,10,FALSE),"")</f>
        <v/>
      </c>
    </row>
    <row r="9177" spans="18:23">
      <c r="R9177" s="127">
        <f t="shared" si="361"/>
        <v>0</v>
      </c>
      <c r="T9177" s="128">
        <f t="shared" si="362"/>
        <v>0</v>
      </c>
      <c r="U9177" s="129" t="str">
        <f>IFERROR(IF(#REF!="S",VLOOKUP('Raw Data'!A9177,References!#REF!,2,FALSE),(VLOOKUP($S9177,References!$B$3:$C$7,2,FALSE))),"")</f>
        <v/>
      </c>
      <c r="W9177" s="74" t="str">
        <f>IFERROR(VLOOKUP($O9177,'Customer List'!$A$1:$J$488,10,FALSE),"")</f>
        <v/>
      </c>
    </row>
    <row r="9178" spans="18:23">
      <c r="R9178" s="127">
        <f t="shared" si="361"/>
        <v>0</v>
      </c>
      <c r="T9178" s="128">
        <f t="shared" si="362"/>
        <v>0</v>
      </c>
      <c r="U9178" s="129" t="str">
        <f>IFERROR(IF(#REF!="S",VLOOKUP('Raw Data'!A9178,References!#REF!,2,FALSE),(VLOOKUP($S9178,References!$B$3:$C$7,2,FALSE))),"")</f>
        <v/>
      </c>
      <c r="W9178" s="74" t="str">
        <f>IFERROR(VLOOKUP($O9178,'Customer List'!$A$1:$J$488,10,FALSE),"")</f>
        <v/>
      </c>
    </row>
    <row r="9179" spans="18:23">
      <c r="R9179" s="127">
        <f t="shared" si="361"/>
        <v>0</v>
      </c>
      <c r="T9179" s="128">
        <f t="shared" si="362"/>
        <v>0</v>
      </c>
      <c r="U9179" s="129" t="str">
        <f>IFERROR(IF(#REF!="S",VLOOKUP('Raw Data'!A9179,References!#REF!,2,FALSE),(VLOOKUP($S9179,References!$B$3:$C$7,2,FALSE))),"")</f>
        <v/>
      </c>
      <c r="W9179" s="74" t="str">
        <f>IFERROR(VLOOKUP($O9179,'Customer List'!$A$1:$J$488,10,FALSE),"")</f>
        <v/>
      </c>
    </row>
    <row r="9180" spans="18:23">
      <c r="R9180" s="127">
        <f t="shared" si="361"/>
        <v>0</v>
      </c>
      <c r="T9180" s="128">
        <f t="shared" si="362"/>
        <v>0</v>
      </c>
      <c r="U9180" s="129" t="str">
        <f>IFERROR(IF(#REF!="S",VLOOKUP('Raw Data'!A9180,References!#REF!,2,FALSE),(VLOOKUP($S9180,References!$B$3:$C$7,2,FALSE))),"")</f>
        <v/>
      </c>
      <c r="W9180" s="74" t="str">
        <f>IFERROR(VLOOKUP($O9180,'Customer List'!$A$1:$J$488,10,FALSE),"")</f>
        <v/>
      </c>
    </row>
    <row r="9181" spans="18:23">
      <c r="R9181" s="127">
        <f t="shared" si="361"/>
        <v>0</v>
      </c>
      <c r="T9181" s="128">
        <f t="shared" si="362"/>
        <v>0</v>
      </c>
      <c r="U9181" s="129" t="str">
        <f>IFERROR(IF(#REF!="S",VLOOKUP('Raw Data'!A9181,References!#REF!,2,FALSE),(VLOOKUP($S9181,References!$B$3:$C$7,2,FALSE))),"")</f>
        <v/>
      </c>
      <c r="W9181" s="74" t="str">
        <f>IFERROR(VLOOKUP($O9181,'Customer List'!$A$1:$J$488,10,FALSE),"")</f>
        <v/>
      </c>
    </row>
    <row r="9182" spans="18:23">
      <c r="R9182" s="127">
        <f t="shared" si="361"/>
        <v>0</v>
      </c>
      <c r="T9182" s="128">
        <f t="shared" si="362"/>
        <v>0</v>
      </c>
      <c r="U9182" s="129" t="str">
        <f>IFERROR(IF(#REF!="S",VLOOKUP('Raw Data'!A9182,References!#REF!,2,FALSE),(VLOOKUP($S9182,References!$B$3:$C$7,2,FALSE))),"")</f>
        <v/>
      </c>
      <c r="W9182" s="74" t="str">
        <f>IFERROR(VLOOKUP($O9182,'Customer List'!$A$1:$J$488,10,FALSE),"")</f>
        <v/>
      </c>
    </row>
    <row r="9183" spans="18:23">
      <c r="R9183" s="127">
        <f t="shared" si="361"/>
        <v>0</v>
      </c>
      <c r="T9183" s="128">
        <f t="shared" si="362"/>
        <v>0</v>
      </c>
      <c r="U9183" s="129" t="str">
        <f>IFERROR(IF(#REF!="S",VLOOKUP('Raw Data'!A9183,References!#REF!,2,FALSE),(VLOOKUP($S9183,References!$B$3:$C$7,2,FALSE))),"")</f>
        <v/>
      </c>
      <c r="W9183" s="74" t="str">
        <f>IFERROR(VLOOKUP($O9183,'Customer List'!$A$1:$J$488,10,FALSE),"")</f>
        <v/>
      </c>
    </row>
    <row r="9184" spans="18:23">
      <c r="R9184" s="127">
        <f t="shared" si="361"/>
        <v>0</v>
      </c>
      <c r="T9184" s="128">
        <f t="shared" si="362"/>
        <v>0</v>
      </c>
      <c r="U9184" s="129" t="str">
        <f>IFERROR(IF(#REF!="S",VLOOKUP('Raw Data'!A9184,References!#REF!,2,FALSE),(VLOOKUP($S9184,References!$B$3:$C$7,2,FALSE))),"")</f>
        <v/>
      </c>
      <c r="W9184" s="74" t="str">
        <f>IFERROR(VLOOKUP($O9184,'Customer List'!$A$1:$J$488,10,FALSE),"")</f>
        <v/>
      </c>
    </row>
    <row r="9185" spans="18:23">
      <c r="R9185" s="127">
        <f t="shared" si="361"/>
        <v>0</v>
      </c>
      <c r="T9185" s="128">
        <f t="shared" si="362"/>
        <v>0</v>
      </c>
      <c r="U9185" s="129" t="str">
        <f>IFERROR(IF(#REF!="S",VLOOKUP('Raw Data'!A9185,References!#REF!,2,FALSE),(VLOOKUP($S9185,References!$B$3:$C$7,2,FALSE))),"")</f>
        <v/>
      </c>
      <c r="W9185" s="74" t="str">
        <f>IFERROR(VLOOKUP($O9185,'Customer List'!$A$1:$J$488,10,FALSE),"")</f>
        <v/>
      </c>
    </row>
    <row r="9186" spans="18:23">
      <c r="R9186" s="127">
        <f t="shared" ref="R9186:R9249" si="363">L9186-K9186</f>
        <v>0</v>
      </c>
      <c r="T9186" s="128">
        <f t="shared" si="362"/>
        <v>0</v>
      </c>
      <c r="U9186" s="129" t="str">
        <f>IFERROR(IF(#REF!="S",VLOOKUP('Raw Data'!A9186,References!#REF!,2,FALSE),(VLOOKUP($S9186,References!$B$3:$C$7,2,FALSE))),"")</f>
        <v/>
      </c>
      <c r="W9186" s="74" t="str">
        <f>IFERROR(VLOOKUP($O9186,'Customer List'!$A$1:$J$488,10,FALSE),"")</f>
        <v/>
      </c>
    </row>
    <row r="9187" spans="18:23">
      <c r="R9187" s="127">
        <f t="shared" si="363"/>
        <v>0</v>
      </c>
      <c r="T9187" s="128">
        <f t="shared" si="362"/>
        <v>0</v>
      </c>
      <c r="U9187" s="129" t="str">
        <f>IFERROR(IF(#REF!="S",VLOOKUP('Raw Data'!A9187,References!#REF!,2,FALSE),(VLOOKUP($S9187,References!$B$3:$C$7,2,FALSE))),"")</f>
        <v/>
      </c>
      <c r="W9187" s="74" t="str">
        <f>IFERROR(VLOOKUP($O9187,'Customer List'!$A$1:$J$488,10,FALSE),"")</f>
        <v/>
      </c>
    </row>
    <row r="9188" spans="18:23">
      <c r="R9188" s="127">
        <f t="shared" si="363"/>
        <v>0</v>
      </c>
      <c r="T9188" s="128">
        <f t="shared" si="362"/>
        <v>0</v>
      </c>
      <c r="U9188" s="129" t="str">
        <f>IFERROR(IF(#REF!="S",VLOOKUP('Raw Data'!A9188,References!#REF!,2,FALSE),(VLOOKUP($S9188,References!$B$3:$C$7,2,FALSE))),"")</f>
        <v/>
      </c>
      <c r="W9188" s="74" t="str">
        <f>IFERROR(VLOOKUP($O9188,'Customer List'!$A$1:$J$488,10,FALSE),"")</f>
        <v/>
      </c>
    </row>
    <row r="9189" spans="18:23">
      <c r="R9189" s="127">
        <f t="shared" si="363"/>
        <v>0</v>
      </c>
      <c r="T9189" s="128">
        <f t="shared" si="362"/>
        <v>0</v>
      </c>
      <c r="U9189" s="129" t="str">
        <f>IFERROR(IF(#REF!="S",VLOOKUP('Raw Data'!A9189,References!#REF!,2,FALSE),(VLOOKUP($S9189,References!$B$3:$C$7,2,FALSE))),"")</f>
        <v/>
      </c>
      <c r="W9189" s="74" t="str">
        <f>IFERROR(VLOOKUP($O9189,'Customer List'!$A$1:$J$488,10,FALSE),"")</f>
        <v/>
      </c>
    </row>
    <row r="9190" spans="18:23">
      <c r="R9190" s="127">
        <f t="shared" si="363"/>
        <v>0</v>
      </c>
      <c r="T9190" s="128">
        <f t="shared" si="362"/>
        <v>0</v>
      </c>
      <c r="U9190" s="129" t="str">
        <f>IFERROR(IF(#REF!="S",VLOOKUP('Raw Data'!A9190,References!#REF!,2,FALSE),(VLOOKUP($S9190,References!$B$3:$C$7,2,FALSE))),"")</f>
        <v/>
      </c>
      <c r="W9190" s="74" t="str">
        <f>IFERROR(VLOOKUP($O9190,'Customer List'!$A$1:$J$488,10,FALSE),"")</f>
        <v/>
      </c>
    </row>
    <row r="9191" spans="18:23">
      <c r="R9191" s="127">
        <f t="shared" si="363"/>
        <v>0</v>
      </c>
      <c r="T9191" s="128">
        <f t="shared" si="362"/>
        <v>0</v>
      </c>
      <c r="U9191" s="129" t="str">
        <f>IFERROR(IF(#REF!="S",VLOOKUP('Raw Data'!A9191,References!#REF!,2,FALSE),(VLOOKUP($S9191,References!$B$3:$C$7,2,FALSE))),"")</f>
        <v/>
      </c>
      <c r="W9191" s="74" t="str">
        <f>IFERROR(VLOOKUP($O9191,'Customer List'!$A$1:$J$488,10,FALSE),"")</f>
        <v/>
      </c>
    </row>
    <row r="9192" spans="18:23">
      <c r="R9192" s="127">
        <f t="shared" si="363"/>
        <v>0</v>
      </c>
      <c r="T9192" s="128">
        <f t="shared" si="362"/>
        <v>0</v>
      </c>
      <c r="U9192" s="129" t="str">
        <f>IFERROR(IF(#REF!="S",VLOOKUP('Raw Data'!A9192,References!#REF!,2,FALSE),(VLOOKUP($S9192,References!$B$3:$C$7,2,FALSE))),"")</f>
        <v/>
      </c>
      <c r="W9192" s="74" t="str">
        <f>IFERROR(VLOOKUP($O9192,'Customer List'!$A$1:$J$488,10,FALSE),"")</f>
        <v/>
      </c>
    </row>
    <row r="9193" spans="18:23">
      <c r="R9193" s="127">
        <f t="shared" si="363"/>
        <v>0</v>
      </c>
      <c r="T9193" s="128">
        <f t="shared" si="362"/>
        <v>0</v>
      </c>
      <c r="U9193" s="129" t="str">
        <f>IFERROR(IF(#REF!="S",VLOOKUP('Raw Data'!A9193,References!#REF!,2,FALSE),(VLOOKUP($S9193,References!$B$3:$C$7,2,FALSE))),"")</f>
        <v/>
      </c>
      <c r="W9193" s="74" t="str">
        <f>IFERROR(VLOOKUP($O9193,'Customer List'!$A$1:$J$488,10,FALSE),"")</f>
        <v/>
      </c>
    </row>
    <row r="9194" spans="18:23">
      <c r="R9194" s="127">
        <f t="shared" si="363"/>
        <v>0</v>
      </c>
      <c r="T9194" s="128">
        <f t="shared" si="362"/>
        <v>0</v>
      </c>
      <c r="U9194" s="129" t="str">
        <f>IFERROR(IF(#REF!="S",VLOOKUP('Raw Data'!A9194,References!#REF!,2,FALSE),(VLOOKUP($S9194,References!$B$3:$C$7,2,FALSE))),"")</f>
        <v/>
      </c>
      <c r="W9194" s="74" t="str">
        <f>IFERROR(VLOOKUP($O9194,'Customer List'!$A$1:$J$488,10,FALSE),"")</f>
        <v/>
      </c>
    </row>
    <row r="9195" spans="18:23">
      <c r="R9195" s="127">
        <f t="shared" si="363"/>
        <v>0</v>
      </c>
      <c r="T9195" s="128">
        <f t="shared" si="362"/>
        <v>0</v>
      </c>
      <c r="U9195" s="129" t="str">
        <f>IFERROR(IF(#REF!="S",VLOOKUP('Raw Data'!A9195,References!#REF!,2,FALSE),(VLOOKUP($S9195,References!$B$3:$C$7,2,FALSE))),"")</f>
        <v/>
      </c>
      <c r="W9195" s="74" t="str">
        <f>IFERROR(VLOOKUP($O9195,'Customer List'!$A$1:$J$488,10,FALSE),"")</f>
        <v/>
      </c>
    </row>
    <row r="9196" spans="18:23">
      <c r="R9196" s="127">
        <f t="shared" si="363"/>
        <v>0</v>
      </c>
      <c r="T9196" s="128">
        <f t="shared" si="362"/>
        <v>0</v>
      </c>
      <c r="U9196" s="129" t="str">
        <f>IFERROR(IF(#REF!="S",VLOOKUP('Raw Data'!A9196,References!#REF!,2,FALSE),(VLOOKUP($S9196,References!$B$3:$C$7,2,FALSE))),"")</f>
        <v/>
      </c>
      <c r="W9196" s="74" t="str">
        <f>IFERROR(VLOOKUP($O9196,'Customer List'!$A$1:$J$488,10,FALSE),"")</f>
        <v/>
      </c>
    </row>
    <row r="9197" spans="18:23">
      <c r="R9197" s="127">
        <f t="shared" si="363"/>
        <v>0</v>
      </c>
      <c r="T9197" s="128">
        <f t="shared" si="362"/>
        <v>0</v>
      </c>
      <c r="U9197" s="129" t="str">
        <f>IFERROR(IF(#REF!="S",VLOOKUP('Raw Data'!A9197,References!#REF!,2,FALSE),(VLOOKUP($S9197,References!$B$3:$C$7,2,FALSE))),"")</f>
        <v/>
      </c>
      <c r="W9197" s="74" t="str">
        <f>IFERROR(VLOOKUP($O9197,'Customer List'!$A$1:$J$488,10,FALSE),"")</f>
        <v/>
      </c>
    </row>
    <row r="9198" spans="18:23">
      <c r="R9198" s="127">
        <f t="shared" si="363"/>
        <v>0</v>
      </c>
      <c r="T9198" s="128">
        <f t="shared" si="362"/>
        <v>0</v>
      </c>
      <c r="U9198" s="129" t="str">
        <f>IFERROR(IF(#REF!="S",VLOOKUP('Raw Data'!A9198,References!#REF!,2,FALSE),(VLOOKUP($S9198,References!$B$3:$C$7,2,FALSE))),"")</f>
        <v/>
      </c>
      <c r="W9198" s="74" t="str">
        <f>IFERROR(VLOOKUP($O9198,'Customer List'!$A$1:$J$488,10,FALSE),"")</f>
        <v/>
      </c>
    </row>
    <row r="9199" spans="18:23">
      <c r="R9199" s="127">
        <f t="shared" si="363"/>
        <v>0</v>
      </c>
      <c r="T9199" s="128">
        <f t="shared" si="362"/>
        <v>0</v>
      </c>
      <c r="U9199" s="129" t="str">
        <f>IFERROR(IF(#REF!="S",VLOOKUP('Raw Data'!A9199,References!#REF!,2,FALSE),(VLOOKUP($S9199,References!$B$3:$C$7,2,FALSE))),"")</f>
        <v/>
      </c>
      <c r="W9199" s="74" t="str">
        <f>IFERROR(VLOOKUP($O9199,'Customer List'!$A$1:$J$488,10,FALSE),"")</f>
        <v/>
      </c>
    </row>
    <row r="9200" spans="18:23">
      <c r="R9200" s="127">
        <f t="shared" si="363"/>
        <v>0</v>
      </c>
      <c r="T9200" s="128">
        <f t="shared" si="362"/>
        <v>0</v>
      </c>
      <c r="U9200" s="129" t="str">
        <f>IFERROR(IF(#REF!="S",VLOOKUP('Raw Data'!A9200,References!#REF!,2,FALSE),(VLOOKUP($S9200,References!$B$3:$C$7,2,FALSE))),"")</f>
        <v/>
      </c>
      <c r="W9200" s="74" t="str">
        <f>IFERROR(VLOOKUP($O9200,'Customer List'!$A$1:$J$488,10,FALSE),"")</f>
        <v/>
      </c>
    </row>
    <row r="9201" spans="18:23">
      <c r="R9201" s="127">
        <f t="shared" si="363"/>
        <v>0</v>
      </c>
      <c r="T9201" s="128">
        <f t="shared" si="362"/>
        <v>0</v>
      </c>
      <c r="U9201" s="129" t="str">
        <f>IFERROR(IF(#REF!="S",VLOOKUP('Raw Data'!A9201,References!#REF!,2,FALSE),(VLOOKUP($S9201,References!$B$3:$C$7,2,FALSE))),"")</f>
        <v/>
      </c>
      <c r="W9201" s="74" t="str">
        <f>IFERROR(VLOOKUP($O9201,'Customer List'!$A$1:$J$488,10,FALSE),"")</f>
        <v/>
      </c>
    </row>
    <row r="9202" spans="18:23">
      <c r="R9202" s="127">
        <f t="shared" si="363"/>
        <v>0</v>
      </c>
      <c r="T9202" s="128">
        <f t="shared" si="362"/>
        <v>0</v>
      </c>
      <c r="U9202" s="129" t="str">
        <f>IFERROR(IF(#REF!="S",VLOOKUP('Raw Data'!A9202,References!#REF!,2,FALSE),(VLOOKUP($S9202,References!$B$3:$C$7,2,FALSE))),"")</f>
        <v/>
      </c>
      <c r="W9202" s="74" t="str">
        <f>IFERROR(VLOOKUP($O9202,'Customer List'!$A$1:$J$488,10,FALSE),"")</f>
        <v/>
      </c>
    </row>
    <row r="9203" spans="18:23">
      <c r="R9203" s="127">
        <f t="shared" si="363"/>
        <v>0</v>
      </c>
      <c r="T9203" s="128">
        <f t="shared" si="362"/>
        <v>0</v>
      </c>
      <c r="U9203" s="129" t="str">
        <f>IFERROR(IF(#REF!="S",VLOOKUP('Raw Data'!A9203,References!#REF!,2,FALSE),(VLOOKUP($S9203,References!$B$3:$C$7,2,FALSE))),"")</f>
        <v/>
      </c>
      <c r="W9203" s="74" t="str">
        <f>IFERROR(VLOOKUP($O9203,'Customer List'!$A$1:$J$488,10,FALSE),"")</f>
        <v/>
      </c>
    </row>
    <row r="9204" spans="18:23">
      <c r="R9204" s="127">
        <f t="shared" si="363"/>
        <v>0</v>
      </c>
      <c r="T9204" s="128">
        <f t="shared" si="362"/>
        <v>0</v>
      </c>
      <c r="U9204" s="129" t="str">
        <f>IFERROR(IF(#REF!="S",VLOOKUP('Raw Data'!A9204,References!#REF!,2,FALSE),(VLOOKUP($S9204,References!$B$3:$C$7,2,FALSE))),"")</f>
        <v/>
      </c>
      <c r="W9204" s="74" t="str">
        <f>IFERROR(VLOOKUP($O9204,'Customer List'!$A$1:$J$488,10,FALSE),"")</f>
        <v/>
      </c>
    </row>
    <row r="9205" spans="18:23">
      <c r="R9205" s="127">
        <f t="shared" si="363"/>
        <v>0</v>
      </c>
      <c r="T9205" s="128">
        <f t="shared" si="362"/>
        <v>0</v>
      </c>
      <c r="U9205" s="129" t="str">
        <f>IFERROR(IF(#REF!="S",VLOOKUP('Raw Data'!A9205,References!#REF!,2,FALSE),(VLOOKUP($S9205,References!$B$3:$C$7,2,FALSE))),"")</f>
        <v/>
      </c>
      <c r="W9205" s="74" t="str">
        <f>IFERROR(VLOOKUP($O9205,'Customer List'!$A$1:$J$488,10,FALSE),"")</f>
        <v/>
      </c>
    </row>
    <row r="9206" spans="18:23">
      <c r="R9206" s="127">
        <f t="shared" si="363"/>
        <v>0</v>
      </c>
      <c r="T9206" s="128">
        <f t="shared" si="362"/>
        <v>0</v>
      </c>
      <c r="U9206" s="129" t="str">
        <f>IFERROR(IF(#REF!="S",VLOOKUP('Raw Data'!A9206,References!#REF!,2,FALSE),(VLOOKUP($S9206,References!$B$3:$C$7,2,FALSE))),"")</f>
        <v/>
      </c>
      <c r="W9206" s="74" t="str">
        <f>IFERROR(VLOOKUP($O9206,'Customer List'!$A$1:$J$488,10,FALSE),"")</f>
        <v/>
      </c>
    </row>
    <row r="9207" spans="18:23">
      <c r="R9207" s="127">
        <f t="shared" si="363"/>
        <v>0</v>
      </c>
      <c r="T9207" s="128">
        <f t="shared" si="362"/>
        <v>0</v>
      </c>
      <c r="U9207" s="129" t="str">
        <f>IFERROR(IF(#REF!="S",VLOOKUP('Raw Data'!A9207,References!#REF!,2,FALSE),(VLOOKUP($S9207,References!$B$3:$C$7,2,FALSE))),"")</f>
        <v/>
      </c>
      <c r="W9207" s="74" t="str">
        <f>IFERROR(VLOOKUP($O9207,'Customer List'!$A$1:$J$488,10,FALSE),"")</f>
        <v/>
      </c>
    </row>
    <row r="9208" spans="18:23">
      <c r="R9208" s="127">
        <f t="shared" si="363"/>
        <v>0</v>
      </c>
      <c r="T9208" s="128">
        <f t="shared" si="362"/>
        <v>0</v>
      </c>
      <c r="U9208" s="129" t="str">
        <f>IFERROR(IF(#REF!="S",VLOOKUP('Raw Data'!A9208,References!#REF!,2,FALSE),(VLOOKUP($S9208,References!$B$3:$C$7,2,FALSE))),"")</f>
        <v/>
      </c>
      <c r="W9208" s="74" t="str">
        <f>IFERROR(VLOOKUP($O9208,'Customer List'!$A$1:$J$488,10,FALSE),"")</f>
        <v/>
      </c>
    </row>
    <row r="9209" spans="18:23">
      <c r="R9209" s="127">
        <f t="shared" si="363"/>
        <v>0</v>
      </c>
      <c r="T9209" s="128">
        <f t="shared" si="362"/>
        <v>0</v>
      </c>
      <c r="U9209" s="129" t="str">
        <f>IFERROR(IF(#REF!="S",VLOOKUP('Raw Data'!A9209,References!#REF!,2,FALSE),(VLOOKUP($S9209,References!$B$3:$C$7,2,FALSE))),"")</f>
        <v/>
      </c>
      <c r="W9209" s="74" t="str">
        <f>IFERROR(VLOOKUP($O9209,'Customer List'!$A$1:$J$488,10,FALSE),"")</f>
        <v/>
      </c>
    </row>
    <row r="9210" spans="18:23">
      <c r="R9210" s="127">
        <f t="shared" si="363"/>
        <v>0</v>
      </c>
      <c r="T9210" s="128">
        <f t="shared" si="362"/>
        <v>0</v>
      </c>
      <c r="U9210" s="129" t="str">
        <f>IFERROR(IF(#REF!="S",VLOOKUP('Raw Data'!A9210,References!#REF!,2,FALSE),(VLOOKUP($S9210,References!$B$3:$C$7,2,FALSE))),"")</f>
        <v/>
      </c>
      <c r="W9210" s="74" t="str">
        <f>IFERROR(VLOOKUP($O9210,'Customer List'!$A$1:$J$488,10,FALSE),"")</f>
        <v/>
      </c>
    </row>
    <row r="9211" spans="18:23">
      <c r="R9211" s="127">
        <f t="shared" si="363"/>
        <v>0</v>
      </c>
      <c r="T9211" s="128">
        <f t="shared" si="362"/>
        <v>0</v>
      </c>
      <c r="U9211" s="129" t="str">
        <f>IFERROR(IF(#REF!="S",VLOOKUP('Raw Data'!A9211,References!#REF!,2,FALSE),(VLOOKUP($S9211,References!$B$3:$C$7,2,FALSE))),"")</f>
        <v/>
      </c>
      <c r="W9211" s="74" t="str">
        <f>IFERROR(VLOOKUP($O9211,'Customer List'!$A$1:$J$488,10,FALSE),"")</f>
        <v/>
      </c>
    </row>
    <row r="9212" spans="18:23">
      <c r="R9212" s="127">
        <f t="shared" si="363"/>
        <v>0</v>
      </c>
      <c r="T9212" s="128">
        <f t="shared" si="362"/>
        <v>0</v>
      </c>
      <c r="U9212" s="129" t="str">
        <f>IFERROR(IF(#REF!="S",VLOOKUP('Raw Data'!A9212,References!#REF!,2,FALSE),(VLOOKUP($S9212,References!$B$3:$C$7,2,FALSE))),"")</f>
        <v/>
      </c>
      <c r="W9212" s="74" t="str">
        <f>IFERROR(VLOOKUP($O9212,'Customer List'!$A$1:$J$488,10,FALSE),"")</f>
        <v/>
      </c>
    </row>
    <row r="9213" spans="18:23">
      <c r="R9213" s="127">
        <f t="shared" si="363"/>
        <v>0</v>
      </c>
      <c r="T9213" s="128">
        <f t="shared" si="362"/>
        <v>0</v>
      </c>
      <c r="U9213" s="129" t="str">
        <f>IFERROR(IF(#REF!="S",VLOOKUP('Raw Data'!A9213,References!#REF!,2,FALSE),(VLOOKUP($S9213,References!$B$3:$C$7,2,FALSE))),"")</f>
        <v/>
      </c>
      <c r="W9213" s="74" t="str">
        <f>IFERROR(VLOOKUP($O9213,'Customer List'!$A$1:$J$488,10,FALSE),"")</f>
        <v/>
      </c>
    </row>
    <row r="9214" spans="18:23">
      <c r="R9214" s="127">
        <f t="shared" si="363"/>
        <v>0</v>
      </c>
      <c r="T9214" s="128">
        <f t="shared" si="362"/>
        <v>0</v>
      </c>
      <c r="U9214" s="129" t="str">
        <f>IFERROR(IF(#REF!="S",VLOOKUP('Raw Data'!A9214,References!#REF!,2,FALSE),(VLOOKUP($S9214,References!$B$3:$C$7,2,FALSE))),"")</f>
        <v/>
      </c>
      <c r="W9214" s="74" t="str">
        <f>IFERROR(VLOOKUP($O9214,'Customer List'!$A$1:$J$488,10,FALSE),"")</f>
        <v/>
      </c>
    </row>
    <row r="9215" spans="18:23">
      <c r="R9215" s="127">
        <f t="shared" si="363"/>
        <v>0</v>
      </c>
      <c r="T9215" s="128">
        <f t="shared" si="362"/>
        <v>0</v>
      </c>
      <c r="U9215" s="129" t="str">
        <f>IFERROR(IF(#REF!="S",VLOOKUP('Raw Data'!A9215,References!#REF!,2,FALSE),(VLOOKUP($S9215,References!$B$3:$C$7,2,FALSE))),"")</f>
        <v/>
      </c>
      <c r="W9215" s="74" t="str">
        <f>IFERROR(VLOOKUP($O9215,'Customer List'!$A$1:$J$488,10,FALSE),"")</f>
        <v/>
      </c>
    </row>
    <row r="9216" spans="18:23">
      <c r="R9216" s="127">
        <f t="shared" si="363"/>
        <v>0</v>
      </c>
      <c r="T9216" s="128">
        <f t="shared" si="362"/>
        <v>0</v>
      </c>
      <c r="U9216" s="129" t="str">
        <f>IFERROR(IF(#REF!="S",VLOOKUP('Raw Data'!A9216,References!#REF!,2,FALSE),(VLOOKUP($S9216,References!$B$3:$C$7,2,FALSE))),"")</f>
        <v/>
      </c>
      <c r="W9216" s="74" t="str">
        <f>IFERROR(VLOOKUP($O9216,'Customer List'!$A$1:$J$488,10,FALSE),"")</f>
        <v/>
      </c>
    </row>
    <row r="9217" spans="18:23">
      <c r="R9217" s="127">
        <f t="shared" si="363"/>
        <v>0</v>
      </c>
      <c r="T9217" s="128">
        <f t="shared" si="362"/>
        <v>0</v>
      </c>
      <c r="U9217" s="129" t="str">
        <f>IFERROR(IF(#REF!="S",VLOOKUP('Raw Data'!A9217,References!#REF!,2,FALSE),(VLOOKUP($S9217,References!$B$3:$C$7,2,FALSE))),"")</f>
        <v/>
      </c>
      <c r="W9217" s="74" t="str">
        <f>IFERROR(VLOOKUP($O9217,'Customer List'!$A$1:$J$488,10,FALSE),"")</f>
        <v/>
      </c>
    </row>
    <row r="9218" spans="18:23">
      <c r="R9218" s="127">
        <f t="shared" si="363"/>
        <v>0</v>
      </c>
      <c r="T9218" s="128">
        <f t="shared" si="362"/>
        <v>0</v>
      </c>
      <c r="U9218" s="129" t="str">
        <f>IFERROR(IF(#REF!="S",VLOOKUP('Raw Data'!A9218,References!#REF!,2,FALSE),(VLOOKUP($S9218,References!$B$3:$C$7,2,FALSE))),"")</f>
        <v/>
      </c>
      <c r="W9218" s="74" t="str">
        <f>IFERROR(VLOOKUP($O9218,'Customer List'!$A$1:$J$488,10,FALSE),"")</f>
        <v/>
      </c>
    </row>
    <row r="9219" spans="18:23">
      <c r="R9219" s="127">
        <f t="shared" si="363"/>
        <v>0</v>
      </c>
      <c r="T9219" s="128">
        <f t="shared" si="362"/>
        <v>0</v>
      </c>
      <c r="U9219" s="129" t="str">
        <f>IFERROR(IF(#REF!="S",VLOOKUP('Raw Data'!A9219,References!#REF!,2,FALSE),(VLOOKUP($S9219,References!$B$3:$C$7,2,FALSE))),"")</f>
        <v/>
      </c>
      <c r="W9219" s="74" t="str">
        <f>IFERROR(VLOOKUP($O9219,'Customer List'!$A$1:$J$488,10,FALSE),"")</f>
        <v/>
      </c>
    </row>
    <row r="9220" spans="18:23">
      <c r="R9220" s="127">
        <f t="shared" si="363"/>
        <v>0</v>
      </c>
      <c r="T9220" s="128">
        <f t="shared" si="362"/>
        <v>0</v>
      </c>
      <c r="U9220" s="129" t="str">
        <f>IFERROR(IF(#REF!="S",VLOOKUP('Raw Data'!A9220,References!#REF!,2,FALSE),(VLOOKUP($S9220,References!$B$3:$C$7,2,FALSE))),"")</f>
        <v/>
      </c>
      <c r="W9220" s="74" t="str">
        <f>IFERROR(VLOOKUP($O9220,'Customer List'!$A$1:$J$488,10,FALSE),"")</f>
        <v/>
      </c>
    </row>
    <row r="9221" spans="18:23">
      <c r="R9221" s="127">
        <f t="shared" si="363"/>
        <v>0</v>
      </c>
      <c r="T9221" s="128">
        <f t="shared" si="362"/>
        <v>0</v>
      </c>
      <c r="U9221" s="129" t="str">
        <f>IFERROR(IF(#REF!="S",VLOOKUP('Raw Data'!A9221,References!#REF!,2,FALSE),(VLOOKUP($S9221,References!$B$3:$C$7,2,FALSE))),"")</f>
        <v/>
      </c>
      <c r="W9221" s="74" t="str">
        <f>IFERROR(VLOOKUP($O9221,'Customer List'!$A$1:$J$488,10,FALSE),"")</f>
        <v/>
      </c>
    </row>
    <row r="9222" spans="18:23">
      <c r="R9222" s="127">
        <f t="shared" si="363"/>
        <v>0</v>
      </c>
      <c r="T9222" s="128">
        <f t="shared" si="362"/>
        <v>0</v>
      </c>
      <c r="U9222" s="129" t="str">
        <f>IFERROR(IF(#REF!="S",VLOOKUP('Raw Data'!A9222,References!#REF!,2,FALSE),(VLOOKUP($S9222,References!$B$3:$C$7,2,FALSE))),"")</f>
        <v/>
      </c>
      <c r="W9222" s="74" t="str">
        <f>IFERROR(VLOOKUP($O9222,'Customer List'!$A$1:$J$488,10,FALSE),"")</f>
        <v/>
      </c>
    </row>
    <row r="9223" spans="18:23">
      <c r="R9223" s="127">
        <f t="shared" si="363"/>
        <v>0</v>
      </c>
      <c r="T9223" s="128">
        <f t="shared" si="362"/>
        <v>0</v>
      </c>
      <c r="U9223" s="129" t="str">
        <f>IFERROR(IF(#REF!="S",VLOOKUP('Raw Data'!A9223,References!#REF!,2,FALSE),(VLOOKUP($S9223,References!$B$3:$C$7,2,FALSE))),"")</f>
        <v/>
      </c>
      <c r="W9223" s="74" t="str">
        <f>IFERROR(VLOOKUP($O9223,'Customer List'!$A$1:$J$488,10,FALSE),"")</f>
        <v/>
      </c>
    </row>
    <row r="9224" spans="18:23">
      <c r="R9224" s="127">
        <f t="shared" si="363"/>
        <v>0</v>
      </c>
      <c r="T9224" s="128">
        <f t="shared" si="362"/>
        <v>0</v>
      </c>
      <c r="U9224" s="129" t="str">
        <f>IFERROR(IF(#REF!="S",VLOOKUP('Raw Data'!A9224,References!#REF!,2,FALSE),(VLOOKUP($S9224,References!$B$3:$C$7,2,FALSE))),"")</f>
        <v/>
      </c>
      <c r="W9224" s="74" t="str">
        <f>IFERROR(VLOOKUP($O9224,'Customer List'!$A$1:$J$488,10,FALSE),"")</f>
        <v/>
      </c>
    </row>
    <row r="9225" spans="18:23">
      <c r="R9225" s="127">
        <f t="shared" si="363"/>
        <v>0</v>
      </c>
      <c r="T9225" s="128">
        <f t="shared" si="362"/>
        <v>0</v>
      </c>
      <c r="U9225" s="129" t="str">
        <f>IFERROR(IF(#REF!="S",VLOOKUP('Raw Data'!A9225,References!#REF!,2,FALSE),(VLOOKUP($S9225,References!$B$3:$C$7,2,FALSE))),"")</f>
        <v/>
      </c>
      <c r="W9225" s="74" t="str">
        <f>IFERROR(VLOOKUP($O9225,'Customer List'!$A$1:$J$488,10,FALSE),"")</f>
        <v/>
      </c>
    </row>
    <row r="9226" spans="18:23">
      <c r="R9226" s="127">
        <f t="shared" si="363"/>
        <v>0</v>
      </c>
      <c r="T9226" s="128">
        <f t="shared" ref="T9226:T9289" si="364">IF(S9226="50 - Cleaning Fee",1,HOUR($R9226)+MINUTE(R9226)/60)</f>
        <v>0</v>
      </c>
      <c r="U9226" s="129" t="str">
        <f>IFERROR(IF(#REF!="S",VLOOKUP('Raw Data'!A9226,References!#REF!,2,FALSE),(VLOOKUP($S9226,References!$B$3:$C$7,2,FALSE))),"")</f>
        <v/>
      </c>
      <c r="W9226" s="74" t="str">
        <f>IFERROR(VLOOKUP($O9226,'Customer List'!$A$1:$J$488,10,FALSE),"")</f>
        <v/>
      </c>
    </row>
    <row r="9227" spans="18:23">
      <c r="R9227" s="127">
        <f t="shared" si="363"/>
        <v>0</v>
      </c>
      <c r="T9227" s="128">
        <f t="shared" si="364"/>
        <v>0</v>
      </c>
      <c r="U9227" s="129" t="str">
        <f>IFERROR(IF(#REF!="S",VLOOKUP('Raw Data'!A9227,References!#REF!,2,FALSE),(VLOOKUP($S9227,References!$B$3:$C$7,2,FALSE))),"")</f>
        <v/>
      </c>
      <c r="W9227" s="74" t="str">
        <f>IFERROR(VLOOKUP($O9227,'Customer List'!$A$1:$J$488,10,FALSE),"")</f>
        <v/>
      </c>
    </row>
    <row r="9228" spans="18:23">
      <c r="R9228" s="127">
        <f t="shared" si="363"/>
        <v>0</v>
      </c>
      <c r="T9228" s="128">
        <f t="shared" si="364"/>
        <v>0</v>
      </c>
      <c r="U9228" s="129" t="str">
        <f>IFERROR(IF(#REF!="S",VLOOKUP('Raw Data'!A9228,References!#REF!,2,FALSE),(VLOOKUP($S9228,References!$B$3:$C$7,2,FALSE))),"")</f>
        <v/>
      </c>
      <c r="W9228" s="74" t="str">
        <f>IFERROR(VLOOKUP($O9228,'Customer List'!$A$1:$J$488,10,FALSE),"")</f>
        <v/>
      </c>
    </row>
    <row r="9229" spans="18:23">
      <c r="R9229" s="127">
        <f t="shared" si="363"/>
        <v>0</v>
      </c>
      <c r="T9229" s="128">
        <f t="shared" si="364"/>
        <v>0</v>
      </c>
      <c r="U9229" s="129" t="str">
        <f>IFERROR(IF(#REF!="S",VLOOKUP('Raw Data'!A9229,References!#REF!,2,FALSE),(VLOOKUP($S9229,References!$B$3:$C$7,2,FALSE))),"")</f>
        <v/>
      </c>
      <c r="W9229" s="74" t="str">
        <f>IFERROR(VLOOKUP($O9229,'Customer List'!$A$1:$J$488,10,FALSE),"")</f>
        <v/>
      </c>
    </row>
    <row r="9230" spans="18:23">
      <c r="R9230" s="127">
        <f t="shared" si="363"/>
        <v>0</v>
      </c>
      <c r="T9230" s="128">
        <f t="shared" si="364"/>
        <v>0</v>
      </c>
      <c r="U9230" s="129" t="str">
        <f>IFERROR(IF(#REF!="S",VLOOKUP('Raw Data'!A9230,References!#REF!,2,FALSE),(VLOOKUP($S9230,References!$B$3:$C$7,2,FALSE))),"")</f>
        <v/>
      </c>
      <c r="W9230" s="74" t="str">
        <f>IFERROR(VLOOKUP($O9230,'Customer List'!$A$1:$J$488,10,FALSE),"")</f>
        <v/>
      </c>
    </row>
    <row r="9231" spans="18:23">
      <c r="R9231" s="127">
        <f t="shared" si="363"/>
        <v>0</v>
      </c>
      <c r="T9231" s="128">
        <f t="shared" si="364"/>
        <v>0</v>
      </c>
      <c r="U9231" s="129" t="str">
        <f>IFERROR(IF(#REF!="S",VLOOKUP('Raw Data'!A9231,References!#REF!,2,FALSE),(VLOOKUP($S9231,References!$B$3:$C$7,2,FALSE))),"")</f>
        <v/>
      </c>
      <c r="W9231" s="74" t="str">
        <f>IFERROR(VLOOKUP($O9231,'Customer List'!$A$1:$J$488,10,FALSE),"")</f>
        <v/>
      </c>
    </row>
    <row r="9232" spans="18:23">
      <c r="R9232" s="127">
        <f t="shared" si="363"/>
        <v>0</v>
      </c>
      <c r="T9232" s="128">
        <f t="shared" si="364"/>
        <v>0</v>
      </c>
      <c r="U9232" s="129" t="str">
        <f>IFERROR(IF(#REF!="S",VLOOKUP('Raw Data'!A9232,References!#REF!,2,FALSE),(VLOOKUP($S9232,References!$B$3:$C$7,2,FALSE))),"")</f>
        <v/>
      </c>
      <c r="W9232" s="74" t="str">
        <f>IFERROR(VLOOKUP($O9232,'Customer List'!$A$1:$J$488,10,FALSE),"")</f>
        <v/>
      </c>
    </row>
    <row r="9233" spans="18:23">
      <c r="R9233" s="127">
        <f t="shared" si="363"/>
        <v>0</v>
      </c>
      <c r="T9233" s="128">
        <f t="shared" si="364"/>
        <v>0</v>
      </c>
      <c r="U9233" s="129" t="str">
        <f>IFERROR(IF(#REF!="S",VLOOKUP('Raw Data'!A9233,References!#REF!,2,FALSE),(VLOOKUP($S9233,References!$B$3:$C$7,2,FALSE))),"")</f>
        <v/>
      </c>
      <c r="W9233" s="74" t="str">
        <f>IFERROR(VLOOKUP($O9233,'Customer List'!$A$1:$J$488,10,FALSE),"")</f>
        <v/>
      </c>
    </row>
    <row r="9234" spans="18:23">
      <c r="R9234" s="127">
        <f t="shared" si="363"/>
        <v>0</v>
      </c>
      <c r="T9234" s="128">
        <f t="shared" si="364"/>
        <v>0</v>
      </c>
      <c r="U9234" s="129" t="str">
        <f>IFERROR(IF(#REF!="S",VLOOKUP('Raw Data'!A9234,References!#REF!,2,FALSE),(VLOOKUP($S9234,References!$B$3:$C$7,2,FALSE))),"")</f>
        <v/>
      </c>
      <c r="W9234" s="74" t="str">
        <f>IFERROR(VLOOKUP($O9234,'Customer List'!$A$1:$J$488,10,FALSE),"")</f>
        <v/>
      </c>
    </row>
    <row r="9235" spans="18:23">
      <c r="R9235" s="127">
        <f t="shared" si="363"/>
        <v>0</v>
      </c>
      <c r="T9235" s="128">
        <f t="shared" si="364"/>
        <v>0</v>
      </c>
      <c r="U9235" s="129" t="str">
        <f>IFERROR(IF(#REF!="S",VLOOKUP('Raw Data'!A9235,References!#REF!,2,FALSE),(VLOOKUP($S9235,References!$B$3:$C$7,2,FALSE))),"")</f>
        <v/>
      </c>
      <c r="W9235" s="74" t="str">
        <f>IFERROR(VLOOKUP($O9235,'Customer List'!$A$1:$J$488,10,FALSE),"")</f>
        <v/>
      </c>
    </row>
    <row r="9236" spans="18:23">
      <c r="R9236" s="127">
        <f t="shared" si="363"/>
        <v>0</v>
      </c>
      <c r="T9236" s="128">
        <f t="shared" si="364"/>
        <v>0</v>
      </c>
      <c r="U9236" s="129" t="str">
        <f>IFERROR(IF(#REF!="S",VLOOKUP('Raw Data'!A9236,References!#REF!,2,FALSE),(VLOOKUP($S9236,References!$B$3:$C$7,2,FALSE))),"")</f>
        <v/>
      </c>
      <c r="W9236" s="74" t="str">
        <f>IFERROR(VLOOKUP($O9236,'Customer List'!$A$1:$J$488,10,FALSE),"")</f>
        <v/>
      </c>
    </row>
    <row r="9237" spans="18:23">
      <c r="R9237" s="127">
        <f t="shared" si="363"/>
        <v>0</v>
      </c>
      <c r="T9237" s="128">
        <f t="shared" si="364"/>
        <v>0</v>
      </c>
      <c r="U9237" s="129" t="str">
        <f>IFERROR(IF(#REF!="S",VLOOKUP('Raw Data'!A9237,References!#REF!,2,FALSE),(VLOOKUP($S9237,References!$B$3:$C$7,2,FALSE))),"")</f>
        <v/>
      </c>
      <c r="W9237" s="74" t="str">
        <f>IFERROR(VLOOKUP($O9237,'Customer List'!$A$1:$J$488,10,FALSE),"")</f>
        <v/>
      </c>
    </row>
    <row r="9238" spans="18:23">
      <c r="R9238" s="127">
        <f t="shared" si="363"/>
        <v>0</v>
      </c>
      <c r="T9238" s="128">
        <f t="shared" si="364"/>
        <v>0</v>
      </c>
      <c r="U9238" s="129" t="str">
        <f>IFERROR(IF(#REF!="S",VLOOKUP('Raw Data'!A9238,References!#REF!,2,FALSE),(VLOOKUP($S9238,References!$B$3:$C$7,2,FALSE))),"")</f>
        <v/>
      </c>
      <c r="W9238" s="74" t="str">
        <f>IFERROR(VLOOKUP($O9238,'Customer List'!$A$1:$J$488,10,FALSE),"")</f>
        <v/>
      </c>
    </row>
    <row r="9239" spans="18:23">
      <c r="R9239" s="127">
        <f t="shared" si="363"/>
        <v>0</v>
      </c>
      <c r="T9239" s="128">
        <f t="shared" si="364"/>
        <v>0</v>
      </c>
      <c r="U9239" s="129" t="str">
        <f>IFERROR(IF(#REF!="S",VLOOKUP('Raw Data'!A9239,References!#REF!,2,FALSE),(VLOOKUP($S9239,References!$B$3:$C$7,2,FALSE))),"")</f>
        <v/>
      </c>
      <c r="W9239" s="74" t="str">
        <f>IFERROR(VLOOKUP($O9239,'Customer List'!$A$1:$J$488,10,FALSE),"")</f>
        <v/>
      </c>
    </row>
    <row r="9240" spans="18:23">
      <c r="R9240" s="127">
        <f t="shared" si="363"/>
        <v>0</v>
      </c>
      <c r="T9240" s="128">
        <f t="shared" si="364"/>
        <v>0</v>
      </c>
      <c r="U9240" s="129" t="str">
        <f>IFERROR(IF(#REF!="S",VLOOKUP('Raw Data'!A9240,References!#REF!,2,FALSE),(VLOOKUP($S9240,References!$B$3:$C$7,2,FALSE))),"")</f>
        <v/>
      </c>
      <c r="W9240" s="74" t="str">
        <f>IFERROR(VLOOKUP($O9240,'Customer List'!$A$1:$J$488,10,FALSE),"")</f>
        <v/>
      </c>
    </row>
    <row r="9241" spans="18:23">
      <c r="R9241" s="127">
        <f t="shared" si="363"/>
        <v>0</v>
      </c>
      <c r="T9241" s="128">
        <f t="shared" si="364"/>
        <v>0</v>
      </c>
      <c r="U9241" s="129" t="str">
        <f>IFERROR(IF(#REF!="S",VLOOKUP('Raw Data'!A9241,References!#REF!,2,FALSE),(VLOOKUP($S9241,References!$B$3:$C$7,2,FALSE))),"")</f>
        <v/>
      </c>
      <c r="W9241" s="74" t="str">
        <f>IFERROR(VLOOKUP($O9241,'Customer List'!$A$1:$J$488,10,FALSE),"")</f>
        <v/>
      </c>
    </row>
    <row r="9242" spans="18:23">
      <c r="R9242" s="127">
        <f t="shared" si="363"/>
        <v>0</v>
      </c>
      <c r="T9242" s="128">
        <f t="shared" si="364"/>
        <v>0</v>
      </c>
      <c r="U9242" s="129" t="str">
        <f>IFERROR(IF(#REF!="S",VLOOKUP('Raw Data'!A9242,References!#REF!,2,FALSE),(VLOOKUP($S9242,References!$B$3:$C$7,2,FALSE))),"")</f>
        <v/>
      </c>
      <c r="W9242" s="74" t="str">
        <f>IFERROR(VLOOKUP($O9242,'Customer List'!$A$1:$J$488,10,FALSE),"")</f>
        <v/>
      </c>
    </row>
    <row r="9243" spans="18:23">
      <c r="R9243" s="127">
        <f t="shared" si="363"/>
        <v>0</v>
      </c>
      <c r="T9243" s="128">
        <f t="shared" si="364"/>
        <v>0</v>
      </c>
      <c r="U9243" s="129" t="str">
        <f>IFERROR(IF(#REF!="S",VLOOKUP('Raw Data'!A9243,References!#REF!,2,FALSE),(VLOOKUP($S9243,References!$B$3:$C$7,2,FALSE))),"")</f>
        <v/>
      </c>
      <c r="W9243" s="74" t="str">
        <f>IFERROR(VLOOKUP($O9243,'Customer List'!$A$1:$J$488,10,FALSE),"")</f>
        <v/>
      </c>
    </row>
    <row r="9244" spans="18:23">
      <c r="R9244" s="127">
        <f t="shared" si="363"/>
        <v>0</v>
      </c>
      <c r="T9244" s="128">
        <f t="shared" si="364"/>
        <v>0</v>
      </c>
      <c r="U9244" s="129" t="str">
        <f>IFERROR(IF(#REF!="S",VLOOKUP('Raw Data'!A9244,References!#REF!,2,FALSE),(VLOOKUP($S9244,References!$B$3:$C$7,2,FALSE))),"")</f>
        <v/>
      </c>
      <c r="W9244" s="74" t="str">
        <f>IFERROR(VLOOKUP($O9244,'Customer List'!$A$1:$J$488,10,FALSE),"")</f>
        <v/>
      </c>
    </row>
    <row r="9245" spans="18:23">
      <c r="R9245" s="127">
        <f t="shared" si="363"/>
        <v>0</v>
      </c>
      <c r="T9245" s="128">
        <f t="shared" si="364"/>
        <v>0</v>
      </c>
      <c r="U9245" s="129" t="str">
        <f>IFERROR(IF(#REF!="S",VLOOKUP('Raw Data'!A9245,References!#REF!,2,FALSE),(VLOOKUP($S9245,References!$B$3:$C$7,2,FALSE))),"")</f>
        <v/>
      </c>
      <c r="W9245" s="74" t="str">
        <f>IFERROR(VLOOKUP($O9245,'Customer List'!$A$1:$J$488,10,FALSE),"")</f>
        <v/>
      </c>
    </row>
    <row r="9246" spans="18:23">
      <c r="R9246" s="127">
        <f t="shared" si="363"/>
        <v>0</v>
      </c>
      <c r="T9246" s="128">
        <f t="shared" si="364"/>
        <v>0</v>
      </c>
      <c r="U9246" s="129" t="str">
        <f>IFERROR(IF(#REF!="S",VLOOKUP('Raw Data'!A9246,References!#REF!,2,FALSE),(VLOOKUP($S9246,References!$B$3:$C$7,2,FALSE))),"")</f>
        <v/>
      </c>
      <c r="W9246" s="74" t="str">
        <f>IFERROR(VLOOKUP($O9246,'Customer List'!$A$1:$J$488,10,FALSE),"")</f>
        <v/>
      </c>
    </row>
    <row r="9247" spans="18:23">
      <c r="R9247" s="127">
        <f t="shared" si="363"/>
        <v>0</v>
      </c>
      <c r="T9247" s="128">
        <f t="shared" si="364"/>
        <v>0</v>
      </c>
      <c r="U9247" s="129" t="str">
        <f>IFERROR(IF(#REF!="S",VLOOKUP('Raw Data'!A9247,References!#REF!,2,FALSE),(VLOOKUP($S9247,References!$B$3:$C$7,2,FALSE))),"")</f>
        <v/>
      </c>
      <c r="W9247" s="74" t="str">
        <f>IFERROR(VLOOKUP($O9247,'Customer List'!$A$1:$J$488,10,FALSE),"")</f>
        <v/>
      </c>
    </row>
    <row r="9248" spans="18:23">
      <c r="R9248" s="127">
        <f t="shared" si="363"/>
        <v>0</v>
      </c>
      <c r="T9248" s="128">
        <f t="shared" si="364"/>
        <v>0</v>
      </c>
      <c r="U9248" s="129" t="str">
        <f>IFERROR(IF(#REF!="S",VLOOKUP('Raw Data'!A9248,References!#REF!,2,FALSE),(VLOOKUP($S9248,References!$B$3:$C$7,2,FALSE))),"")</f>
        <v/>
      </c>
      <c r="W9248" s="74" t="str">
        <f>IFERROR(VLOOKUP($O9248,'Customer List'!$A$1:$J$488,10,FALSE),"")</f>
        <v/>
      </c>
    </row>
    <row r="9249" spans="18:23">
      <c r="R9249" s="127">
        <f t="shared" si="363"/>
        <v>0</v>
      </c>
      <c r="T9249" s="128">
        <f t="shared" si="364"/>
        <v>0</v>
      </c>
      <c r="U9249" s="129" t="str">
        <f>IFERROR(IF(#REF!="S",VLOOKUP('Raw Data'!A9249,References!#REF!,2,FALSE),(VLOOKUP($S9249,References!$B$3:$C$7,2,FALSE))),"")</f>
        <v/>
      </c>
      <c r="W9249" s="74" t="str">
        <f>IFERROR(VLOOKUP($O9249,'Customer List'!$A$1:$J$488,10,FALSE),"")</f>
        <v/>
      </c>
    </row>
    <row r="9250" spans="18:23">
      <c r="R9250" s="127">
        <f t="shared" ref="R9250:R9313" si="365">L9250-K9250</f>
        <v>0</v>
      </c>
      <c r="T9250" s="128">
        <f t="shared" si="364"/>
        <v>0</v>
      </c>
      <c r="U9250" s="129" t="str">
        <f>IFERROR(IF(#REF!="S",VLOOKUP('Raw Data'!A9250,References!#REF!,2,FALSE),(VLOOKUP($S9250,References!$B$3:$C$7,2,FALSE))),"")</f>
        <v/>
      </c>
      <c r="W9250" s="74" t="str">
        <f>IFERROR(VLOOKUP($O9250,'Customer List'!$A$1:$J$488,10,FALSE),"")</f>
        <v/>
      </c>
    </row>
    <row r="9251" spans="18:23">
      <c r="R9251" s="127">
        <f t="shared" si="365"/>
        <v>0</v>
      </c>
      <c r="T9251" s="128">
        <f t="shared" si="364"/>
        <v>0</v>
      </c>
      <c r="U9251" s="129" t="str">
        <f>IFERROR(IF(#REF!="S",VLOOKUP('Raw Data'!A9251,References!#REF!,2,FALSE),(VLOOKUP($S9251,References!$B$3:$C$7,2,FALSE))),"")</f>
        <v/>
      </c>
      <c r="W9251" s="74" t="str">
        <f>IFERROR(VLOOKUP($O9251,'Customer List'!$A$1:$J$488,10,FALSE),"")</f>
        <v/>
      </c>
    </row>
    <row r="9252" spans="18:23">
      <c r="R9252" s="127">
        <f t="shared" si="365"/>
        <v>0</v>
      </c>
      <c r="T9252" s="128">
        <f t="shared" si="364"/>
        <v>0</v>
      </c>
      <c r="U9252" s="129" t="str">
        <f>IFERROR(IF(#REF!="S",VLOOKUP('Raw Data'!A9252,References!#REF!,2,FALSE),(VLOOKUP($S9252,References!$B$3:$C$7,2,FALSE))),"")</f>
        <v/>
      </c>
      <c r="W9252" s="74" t="str">
        <f>IFERROR(VLOOKUP($O9252,'Customer List'!$A$1:$J$488,10,FALSE),"")</f>
        <v/>
      </c>
    </row>
    <row r="9253" spans="18:23">
      <c r="R9253" s="127">
        <f t="shared" si="365"/>
        <v>0</v>
      </c>
      <c r="T9253" s="128">
        <f t="shared" si="364"/>
        <v>0</v>
      </c>
      <c r="U9253" s="129" t="str">
        <f>IFERROR(IF(#REF!="S",VLOOKUP('Raw Data'!A9253,References!#REF!,2,FALSE),(VLOOKUP($S9253,References!$B$3:$C$7,2,FALSE))),"")</f>
        <v/>
      </c>
      <c r="W9253" s="74" t="str">
        <f>IFERROR(VLOOKUP($O9253,'Customer List'!$A$1:$J$488,10,FALSE),"")</f>
        <v/>
      </c>
    </row>
    <row r="9254" spans="18:23">
      <c r="R9254" s="127">
        <f t="shared" si="365"/>
        <v>0</v>
      </c>
      <c r="T9254" s="128">
        <f t="shared" si="364"/>
        <v>0</v>
      </c>
      <c r="U9254" s="129" t="str">
        <f>IFERROR(IF(#REF!="S",VLOOKUP('Raw Data'!A9254,References!#REF!,2,FALSE),(VLOOKUP($S9254,References!$B$3:$C$7,2,FALSE))),"")</f>
        <v/>
      </c>
      <c r="W9254" s="74" t="str">
        <f>IFERROR(VLOOKUP($O9254,'Customer List'!$A$1:$J$488,10,FALSE),"")</f>
        <v/>
      </c>
    </row>
    <row r="9255" spans="18:23">
      <c r="R9255" s="127">
        <f t="shared" si="365"/>
        <v>0</v>
      </c>
      <c r="T9255" s="128">
        <f t="shared" si="364"/>
        <v>0</v>
      </c>
      <c r="U9255" s="129" t="str">
        <f>IFERROR(IF(#REF!="S",VLOOKUP('Raw Data'!A9255,References!#REF!,2,FALSE),(VLOOKUP($S9255,References!$B$3:$C$7,2,FALSE))),"")</f>
        <v/>
      </c>
      <c r="W9255" s="74" t="str">
        <f>IFERROR(VLOOKUP($O9255,'Customer List'!$A$1:$J$488,10,FALSE),"")</f>
        <v/>
      </c>
    </row>
    <row r="9256" spans="18:23">
      <c r="R9256" s="127">
        <f t="shared" si="365"/>
        <v>0</v>
      </c>
      <c r="T9256" s="128">
        <f t="shared" si="364"/>
        <v>0</v>
      </c>
      <c r="U9256" s="129" t="str">
        <f>IFERROR(IF(#REF!="S",VLOOKUP('Raw Data'!A9256,References!#REF!,2,FALSE),(VLOOKUP($S9256,References!$B$3:$C$7,2,FALSE))),"")</f>
        <v/>
      </c>
      <c r="W9256" s="74" t="str">
        <f>IFERROR(VLOOKUP($O9256,'Customer List'!$A$1:$J$488,10,FALSE),"")</f>
        <v/>
      </c>
    </row>
    <row r="9257" spans="18:23">
      <c r="R9257" s="127">
        <f t="shared" si="365"/>
        <v>0</v>
      </c>
      <c r="T9257" s="128">
        <f t="shared" si="364"/>
        <v>0</v>
      </c>
      <c r="U9257" s="129" t="str">
        <f>IFERROR(IF(#REF!="S",VLOOKUP('Raw Data'!A9257,References!#REF!,2,FALSE),(VLOOKUP($S9257,References!$B$3:$C$7,2,FALSE))),"")</f>
        <v/>
      </c>
      <c r="W9257" s="74" t="str">
        <f>IFERROR(VLOOKUP($O9257,'Customer List'!$A$1:$J$488,10,FALSE),"")</f>
        <v/>
      </c>
    </row>
    <row r="9258" spans="18:23">
      <c r="R9258" s="127">
        <f t="shared" si="365"/>
        <v>0</v>
      </c>
      <c r="T9258" s="128">
        <f t="shared" si="364"/>
        <v>0</v>
      </c>
      <c r="U9258" s="129" t="str">
        <f>IFERROR(IF(#REF!="S",VLOOKUP('Raw Data'!A9258,References!#REF!,2,FALSE),(VLOOKUP($S9258,References!$B$3:$C$7,2,FALSE))),"")</f>
        <v/>
      </c>
      <c r="W9258" s="74" t="str">
        <f>IFERROR(VLOOKUP($O9258,'Customer List'!$A$1:$J$488,10,FALSE),"")</f>
        <v/>
      </c>
    </row>
    <row r="9259" spans="18:23">
      <c r="R9259" s="127">
        <f t="shared" si="365"/>
        <v>0</v>
      </c>
      <c r="T9259" s="128">
        <f t="shared" si="364"/>
        <v>0</v>
      </c>
      <c r="U9259" s="129" t="str">
        <f>IFERROR(IF(#REF!="S",VLOOKUP('Raw Data'!A9259,References!#REF!,2,FALSE),(VLOOKUP($S9259,References!$B$3:$C$7,2,FALSE))),"")</f>
        <v/>
      </c>
      <c r="W9259" s="74" t="str">
        <f>IFERROR(VLOOKUP($O9259,'Customer List'!$A$1:$J$488,10,FALSE),"")</f>
        <v/>
      </c>
    </row>
    <row r="9260" spans="18:23">
      <c r="R9260" s="127">
        <f t="shared" si="365"/>
        <v>0</v>
      </c>
      <c r="T9260" s="128">
        <f t="shared" si="364"/>
        <v>0</v>
      </c>
      <c r="U9260" s="129" t="str">
        <f>IFERROR(IF(#REF!="S",VLOOKUP('Raw Data'!A9260,References!#REF!,2,FALSE),(VLOOKUP($S9260,References!$B$3:$C$7,2,FALSE))),"")</f>
        <v/>
      </c>
      <c r="W9260" s="74" t="str">
        <f>IFERROR(VLOOKUP($O9260,'Customer List'!$A$1:$J$488,10,FALSE),"")</f>
        <v/>
      </c>
    </row>
    <row r="9261" spans="18:23">
      <c r="R9261" s="127">
        <f t="shared" si="365"/>
        <v>0</v>
      </c>
      <c r="T9261" s="128">
        <f t="shared" si="364"/>
        <v>0</v>
      </c>
      <c r="U9261" s="129" t="str">
        <f>IFERROR(IF(#REF!="S",VLOOKUP('Raw Data'!A9261,References!#REF!,2,FALSE),(VLOOKUP($S9261,References!$B$3:$C$7,2,FALSE))),"")</f>
        <v/>
      </c>
      <c r="W9261" s="74" t="str">
        <f>IFERROR(VLOOKUP($O9261,'Customer List'!$A$1:$J$488,10,FALSE),"")</f>
        <v/>
      </c>
    </row>
    <row r="9262" spans="18:23">
      <c r="R9262" s="127">
        <f t="shared" si="365"/>
        <v>0</v>
      </c>
      <c r="T9262" s="128">
        <f t="shared" si="364"/>
        <v>0</v>
      </c>
      <c r="U9262" s="129" t="str">
        <f>IFERROR(IF(#REF!="S",VLOOKUP('Raw Data'!A9262,References!#REF!,2,FALSE),(VLOOKUP($S9262,References!$B$3:$C$7,2,FALSE))),"")</f>
        <v/>
      </c>
      <c r="W9262" s="74" t="str">
        <f>IFERROR(VLOOKUP($O9262,'Customer List'!$A$1:$J$488,10,FALSE),"")</f>
        <v/>
      </c>
    </row>
    <row r="9263" spans="18:23">
      <c r="R9263" s="127">
        <f t="shared" si="365"/>
        <v>0</v>
      </c>
      <c r="T9263" s="128">
        <f t="shared" si="364"/>
        <v>0</v>
      </c>
      <c r="U9263" s="129" t="str">
        <f>IFERROR(IF(#REF!="S",VLOOKUP('Raw Data'!A9263,References!#REF!,2,FALSE),(VLOOKUP($S9263,References!$B$3:$C$7,2,FALSE))),"")</f>
        <v/>
      </c>
      <c r="W9263" s="74" t="str">
        <f>IFERROR(VLOOKUP($O9263,'Customer List'!$A$1:$J$488,10,FALSE),"")</f>
        <v/>
      </c>
    </row>
    <row r="9264" spans="18:23">
      <c r="R9264" s="127">
        <f t="shared" si="365"/>
        <v>0</v>
      </c>
      <c r="T9264" s="128">
        <f t="shared" si="364"/>
        <v>0</v>
      </c>
      <c r="U9264" s="129" t="str">
        <f>IFERROR(IF(#REF!="S",VLOOKUP('Raw Data'!A9264,References!#REF!,2,FALSE),(VLOOKUP($S9264,References!$B$3:$C$7,2,FALSE))),"")</f>
        <v/>
      </c>
      <c r="W9264" s="74" t="str">
        <f>IFERROR(VLOOKUP($O9264,'Customer List'!$A$1:$J$488,10,FALSE),"")</f>
        <v/>
      </c>
    </row>
    <row r="9265" spans="18:23">
      <c r="R9265" s="127">
        <f t="shared" si="365"/>
        <v>0</v>
      </c>
      <c r="T9265" s="128">
        <f t="shared" si="364"/>
        <v>0</v>
      </c>
      <c r="U9265" s="129" t="str">
        <f>IFERROR(IF(#REF!="S",VLOOKUP('Raw Data'!A9265,References!#REF!,2,FALSE),(VLOOKUP($S9265,References!$B$3:$C$7,2,FALSE))),"")</f>
        <v/>
      </c>
      <c r="W9265" s="74" t="str">
        <f>IFERROR(VLOOKUP($O9265,'Customer List'!$A$1:$J$488,10,FALSE),"")</f>
        <v/>
      </c>
    </row>
    <row r="9266" spans="18:23">
      <c r="R9266" s="127">
        <f t="shared" si="365"/>
        <v>0</v>
      </c>
      <c r="T9266" s="128">
        <f t="shared" si="364"/>
        <v>0</v>
      </c>
      <c r="U9266" s="129" t="str">
        <f>IFERROR(IF(#REF!="S",VLOOKUP('Raw Data'!A9266,References!#REF!,2,FALSE),(VLOOKUP($S9266,References!$B$3:$C$7,2,FALSE))),"")</f>
        <v/>
      </c>
      <c r="W9266" s="74" t="str">
        <f>IFERROR(VLOOKUP($O9266,'Customer List'!$A$1:$J$488,10,FALSE),"")</f>
        <v/>
      </c>
    </row>
    <row r="9267" spans="18:23">
      <c r="R9267" s="127">
        <f t="shared" si="365"/>
        <v>0</v>
      </c>
      <c r="T9267" s="128">
        <f t="shared" si="364"/>
        <v>0</v>
      </c>
      <c r="U9267" s="129" t="str">
        <f>IFERROR(IF(#REF!="S",VLOOKUP('Raw Data'!A9267,References!#REF!,2,FALSE),(VLOOKUP($S9267,References!$B$3:$C$7,2,FALSE))),"")</f>
        <v/>
      </c>
      <c r="W9267" s="74" t="str">
        <f>IFERROR(VLOOKUP($O9267,'Customer List'!$A$1:$J$488,10,FALSE),"")</f>
        <v/>
      </c>
    </row>
    <row r="9268" spans="18:23">
      <c r="R9268" s="127">
        <f t="shared" si="365"/>
        <v>0</v>
      </c>
      <c r="T9268" s="128">
        <f t="shared" si="364"/>
        <v>0</v>
      </c>
      <c r="U9268" s="129" t="str">
        <f>IFERROR(IF(#REF!="S",VLOOKUP('Raw Data'!A9268,References!#REF!,2,FALSE),(VLOOKUP($S9268,References!$B$3:$C$7,2,FALSE))),"")</f>
        <v/>
      </c>
      <c r="W9268" s="74" t="str">
        <f>IFERROR(VLOOKUP($O9268,'Customer List'!$A$1:$J$488,10,FALSE),"")</f>
        <v/>
      </c>
    </row>
    <row r="9269" spans="18:23">
      <c r="R9269" s="127">
        <f t="shared" si="365"/>
        <v>0</v>
      </c>
      <c r="T9269" s="128">
        <f t="shared" si="364"/>
        <v>0</v>
      </c>
      <c r="U9269" s="129" t="str">
        <f>IFERROR(IF(#REF!="S",VLOOKUP('Raw Data'!A9269,References!#REF!,2,FALSE),(VLOOKUP($S9269,References!$B$3:$C$7,2,FALSE))),"")</f>
        <v/>
      </c>
      <c r="W9269" s="74" t="str">
        <f>IFERROR(VLOOKUP($O9269,'Customer List'!$A$1:$J$488,10,FALSE),"")</f>
        <v/>
      </c>
    </row>
    <row r="9270" spans="18:23">
      <c r="R9270" s="127">
        <f t="shared" si="365"/>
        <v>0</v>
      </c>
      <c r="T9270" s="128">
        <f t="shared" si="364"/>
        <v>0</v>
      </c>
      <c r="U9270" s="129" t="str">
        <f>IFERROR(IF(#REF!="S",VLOOKUP('Raw Data'!A9270,References!#REF!,2,FALSE),(VLOOKUP($S9270,References!$B$3:$C$7,2,FALSE))),"")</f>
        <v/>
      </c>
      <c r="W9270" s="74" t="str">
        <f>IFERROR(VLOOKUP($O9270,'Customer List'!$A$1:$J$488,10,FALSE),"")</f>
        <v/>
      </c>
    </row>
    <row r="9271" spans="18:23">
      <c r="R9271" s="127">
        <f t="shared" si="365"/>
        <v>0</v>
      </c>
      <c r="T9271" s="128">
        <f t="shared" si="364"/>
        <v>0</v>
      </c>
      <c r="U9271" s="129" t="str">
        <f>IFERROR(IF(#REF!="S",VLOOKUP('Raw Data'!A9271,References!#REF!,2,FALSE),(VLOOKUP($S9271,References!$B$3:$C$7,2,FALSE))),"")</f>
        <v/>
      </c>
      <c r="W9271" s="74" t="str">
        <f>IFERROR(VLOOKUP($O9271,'Customer List'!$A$1:$J$488,10,FALSE),"")</f>
        <v/>
      </c>
    </row>
    <row r="9272" spans="18:23">
      <c r="R9272" s="127">
        <f t="shared" si="365"/>
        <v>0</v>
      </c>
      <c r="T9272" s="128">
        <f t="shared" si="364"/>
        <v>0</v>
      </c>
      <c r="U9272" s="129" t="str">
        <f>IFERROR(IF(#REF!="S",VLOOKUP('Raw Data'!A9272,References!#REF!,2,FALSE),(VLOOKUP($S9272,References!$B$3:$C$7,2,FALSE))),"")</f>
        <v/>
      </c>
      <c r="W9272" s="74" t="str">
        <f>IFERROR(VLOOKUP($O9272,'Customer List'!$A$1:$J$488,10,FALSE),"")</f>
        <v/>
      </c>
    </row>
    <row r="9273" spans="18:23">
      <c r="R9273" s="127">
        <f t="shared" si="365"/>
        <v>0</v>
      </c>
      <c r="T9273" s="128">
        <f t="shared" si="364"/>
        <v>0</v>
      </c>
      <c r="U9273" s="129" t="str">
        <f>IFERROR(IF(#REF!="S",VLOOKUP('Raw Data'!A9273,References!#REF!,2,FALSE),(VLOOKUP($S9273,References!$B$3:$C$7,2,FALSE))),"")</f>
        <v/>
      </c>
      <c r="W9273" s="74" t="str">
        <f>IFERROR(VLOOKUP($O9273,'Customer List'!$A$1:$J$488,10,FALSE),"")</f>
        <v/>
      </c>
    </row>
    <row r="9274" spans="18:23">
      <c r="R9274" s="127">
        <f t="shared" si="365"/>
        <v>0</v>
      </c>
      <c r="T9274" s="128">
        <f t="shared" si="364"/>
        <v>0</v>
      </c>
      <c r="U9274" s="129" t="str">
        <f>IFERROR(IF(#REF!="S",VLOOKUP('Raw Data'!A9274,References!#REF!,2,FALSE),(VLOOKUP($S9274,References!$B$3:$C$7,2,FALSE))),"")</f>
        <v/>
      </c>
      <c r="W9274" s="74" t="str">
        <f>IFERROR(VLOOKUP($O9274,'Customer List'!$A$1:$J$488,10,FALSE),"")</f>
        <v/>
      </c>
    </row>
    <row r="9275" spans="18:23">
      <c r="R9275" s="127">
        <f t="shared" si="365"/>
        <v>0</v>
      </c>
      <c r="T9275" s="128">
        <f t="shared" si="364"/>
        <v>0</v>
      </c>
      <c r="U9275" s="129" t="str">
        <f>IFERROR(IF(#REF!="S",VLOOKUP('Raw Data'!A9275,References!#REF!,2,FALSE),(VLOOKUP($S9275,References!$B$3:$C$7,2,FALSE))),"")</f>
        <v/>
      </c>
      <c r="W9275" s="74" t="str">
        <f>IFERROR(VLOOKUP($O9275,'Customer List'!$A$1:$J$488,10,FALSE),"")</f>
        <v/>
      </c>
    </row>
    <row r="9276" spans="18:23">
      <c r="R9276" s="127">
        <f t="shared" si="365"/>
        <v>0</v>
      </c>
      <c r="T9276" s="128">
        <f t="shared" si="364"/>
        <v>0</v>
      </c>
      <c r="U9276" s="129" t="str">
        <f>IFERROR(IF(#REF!="S",VLOOKUP('Raw Data'!A9276,References!#REF!,2,FALSE),(VLOOKUP($S9276,References!$B$3:$C$7,2,FALSE))),"")</f>
        <v/>
      </c>
      <c r="W9276" s="74" t="str">
        <f>IFERROR(VLOOKUP($O9276,'Customer List'!$A$1:$J$488,10,FALSE),"")</f>
        <v/>
      </c>
    </row>
    <row r="9277" spans="18:23">
      <c r="R9277" s="127">
        <f t="shared" si="365"/>
        <v>0</v>
      </c>
      <c r="T9277" s="128">
        <f t="shared" si="364"/>
        <v>0</v>
      </c>
      <c r="U9277" s="129" t="str">
        <f>IFERROR(IF(#REF!="S",VLOOKUP('Raw Data'!A9277,References!#REF!,2,FALSE),(VLOOKUP($S9277,References!$B$3:$C$7,2,FALSE))),"")</f>
        <v/>
      </c>
      <c r="W9277" s="74" t="str">
        <f>IFERROR(VLOOKUP($O9277,'Customer List'!$A$1:$J$488,10,FALSE),"")</f>
        <v/>
      </c>
    </row>
    <row r="9278" spans="18:23">
      <c r="R9278" s="127">
        <f t="shared" si="365"/>
        <v>0</v>
      </c>
      <c r="T9278" s="128">
        <f t="shared" si="364"/>
        <v>0</v>
      </c>
      <c r="U9278" s="129" t="str">
        <f>IFERROR(IF(#REF!="S",VLOOKUP('Raw Data'!A9278,References!#REF!,2,FALSE),(VLOOKUP($S9278,References!$B$3:$C$7,2,FALSE))),"")</f>
        <v/>
      </c>
      <c r="W9278" s="74" t="str">
        <f>IFERROR(VLOOKUP($O9278,'Customer List'!$A$1:$J$488,10,FALSE),"")</f>
        <v/>
      </c>
    </row>
    <row r="9279" spans="18:23">
      <c r="R9279" s="127">
        <f t="shared" si="365"/>
        <v>0</v>
      </c>
      <c r="T9279" s="128">
        <f t="shared" si="364"/>
        <v>0</v>
      </c>
      <c r="U9279" s="129" t="str">
        <f>IFERROR(IF(#REF!="S",VLOOKUP('Raw Data'!A9279,References!#REF!,2,FALSE),(VLOOKUP($S9279,References!$B$3:$C$7,2,FALSE))),"")</f>
        <v/>
      </c>
      <c r="W9279" s="74" t="str">
        <f>IFERROR(VLOOKUP($O9279,'Customer List'!$A$1:$J$488,10,FALSE),"")</f>
        <v/>
      </c>
    </row>
    <row r="9280" spans="18:23">
      <c r="R9280" s="127">
        <f t="shared" si="365"/>
        <v>0</v>
      </c>
      <c r="T9280" s="128">
        <f t="shared" si="364"/>
        <v>0</v>
      </c>
      <c r="U9280" s="129" t="str">
        <f>IFERROR(IF(#REF!="S",VLOOKUP('Raw Data'!A9280,References!#REF!,2,FALSE),(VLOOKUP($S9280,References!$B$3:$C$7,2,FALSE))),"")</f>
        <v/>
      </c>
      <c r="W9280" s="74" t="str">
        <f>IFERROR(VLOOKUP($O9280,'Customer List'!$A$1:$J$488,10,FALSE),"")</f>
        <v/>
      </c>
    </row>
    <row r="9281" spans="18:23">
      <c r="R9281" s="127">
        <f t="shared" si="365"/>
        <v>0</v>
      </c>
      <c r="T9281" s="128">
        <f t="shared" si="364"/>
        <v>0</v>
      </c>
      <c r="U9281" s="129" t="str">
        <f>IFERROR(IF(#REF!="S",VLOOKUP('Raw Data'!A9281,References!#REF!,2,FALSE),(VLOOKUP($S9281,References!$B$3:$C$7,2,FALSE))),"")</f>
        <v/>
      </c>
      <c r="W9281" s="74" t="str">
        <f>IFERROR(VLOOKUP($O9281,'Customer List'!$A$1:$J$488,10,FALSE),"")</f>
        <v/>
      </c>
    </row>
    <row r="9282" spans="18:23">
      <c r="R9282" s="127">
        <f t="shared" si="365"/>
        <v>0</v>
      </c>
      <c r="T9282" s="128">
        <f t="shared" si="364"/>
        <v>0</v>
      </c>
      <c r="U9282" s="129" t="str">
        <f>IFERROR(IF(#REF!="S",VLOOKUP('Raw Data'!A9282,References!#REF!,2,FALSE),(VLOOKUP($S9282,References!$B$3:$C$7,2,FALSE))),"")</f>
        <v/>
      </c>
      <c r="W9282" s="74" t="str">
        <f>IFERROR(VLOOKUP($O9282,'Customer List'!$A$1:$J$488,10,FALSE),"")</f>
        <v/>
      </c>
    </row>
    <row r="9283" spans="18:23">
      <c r="R9283" s="127">
        <f t="shared" si="365"/>
        <v>0</v>
      </c>
      <c r="T9283" s="128">
        <f t="shared" si="364"/>
        <v>0</v>
      </c>
      <c r="U9283" s="129" t="str">
        <f>IFERROR(IF(#REF!="S",VLOOKUP('Raw Data'!A9283,References!#REF!,2,FALSE),(VLOOKUP($S9283,References!$B$3:$C$7,2,FALSE))),"")</f>
        <v/>
      </c>
      <c r="W9283" s="74" t="str">
        <f>IFERROR(VLOOKUP($O9283,'Customer List'!$A$1:$J$488,10,FALSE),"")</f>
        <v/>
      </c>
    </row>
    <row r="9284" spans="18:23">
      <c r="R9284" s="127">
        <f t="shared" si="365"/>
        <v>0</v>
      </c>
      <c r="T9284" s="128">
        <f t="shared" si="364"/>
        <v>0</v>
      </c>
      <c r="U9284" s="129" t="str">
        <f>IFERROR(IF(#REF!="S",VLOOKUP('Raw Data'!A9284,References!#REF!,2,FALSE),(VLOOKUP($S9284,References!$B$3:$C$7,2,FALSE))),"")</f>
        <v/>
      </c>
      <c r="W9284" s="74" t="str">
        <f>IFERROR(VLOOKUP($O9284,'Customer List'!$A$1:$J$488,10,FALSE),"")</f>
        <v/>
      </c>
    </row>
    <row r="9285" spans="18:23">
      <c r="R9285" s="127">
        <f t="shared" si="365"/>
        <v>0</v>
      </c>
      <c r="T9285" s="128">
        <f t="shared" si="364"/>
        <v>0</v>
      </c>
      <c r="U9285" s="129" t="str">
        <f>IFERROR(IF(#REF!="S",VLOOKUP('Raw Data'!A9285,References!#REF!,2,FALSE),(VLOOKUP($S9285,References!$B$3:$C$7,2,FALSE))),"")</f>
        <v/>
      </c>
      <c r="W9285" s="74" t="str">
        <f>IFERROR(VLOOKUP($O9285,'Customer List'!$A$1:$J$488,10,FALSE),"")</f>
        <v/>
      </c>
    </row>
    <row r="9286" spans="18:23">
      <c r="R9286" s="127">
        <f t="shared" si="365"/>
        <v>0</v>
      </c>
      <c r="T9286" s="128">
        <f t="shared" si="364"/>
        <v>0</v>
      </c>
      <c r="U9286" s="129" t="str">
        <f>IFERROR(IF(#REF!="S",VLOOKUP('Raw Data'!A9286,References!#REF!,2,FALSE),(VLOOKUP($S9286,References!$B$3:$C$7,2,FALSE))),"")</f>
        <v/>
      </c>
      <c r="W9286" s="74" t="str">
        <f>IFERROR(VLOOKUP($O9286,'Customer List'!$A$1:$J$488,10,FALSE),"")</f>
        <v/>
      </c>
    </row>
    <row r="9287" spans="18:23">
      <c r="R9287" s="127">
        <f t="shared" si="365"/>
        <v>0</v>
      </c>
      <c r="T9287" s="128">
        <f t="shared" si="364"/>
        <v>0</v>
      </c>
      <c r="U9287" s="129" t="str">
        <f>IFERROR(IF(#REF!="S",VLOOKUP('Raw Data'!A9287,References!#REF!,2,FALSE),(VLOOKUP($S9287,References!$B$3:$C$7,2,FALSE))),"")</f>
        <v/>
      </c>
      <c r="W9287" s="74" t="str">
        <f>IFERROR(VLOOKUP($O9287,'Customer List'!$A$1:$J$488,10,FALSE),"")</f>
        <v/>
      </c>
    </row>
    <row r="9288" spans="18:23">
      <c r="R9288" s="127">
        <f t="shared" si="365"/>
        <v>0</v>
      </c>
      <c r="T9288" s="128">
        <f t="shared" si="364"/>
        <v>0</v>
      </c>
      <c r="U9288" s="129" t="str">
        <f>IFERROR(IF(#REF!="S",VLOOKUP('Raw Data'!A9288,References!#REF!,2,FALSE),(VLOOKUP($S9288,References!$B$3:$C$7,2,FALSE))),"")</f>
        <v/>
      </c>
      <c r="W9288" s="74" t="str">
        <f>IFERROR(VLOOKUP($O9288,'Customer List'!$A$1:$J$488,10,FALSE),"")</f>
        <v/>
      </c>
    </row>
    <row r="9289" spans="18:23">
      <c r="R9289" s="127">
        <f t="shared" si="365"/>
        <v>0</v>
      </c>
      <c r="T9289" s="128">
        <f t="shared" si="364"/>
        <v>0</v>
      </c>
      <c r="U9289" s="129" t="str">
        <f>IFERROR(IF(#REF!="S",VLOOKUP('Raw Data'!A9289,References!#REF!,2,FALSE),(VLOOKUP($S9289,References!$B$3:$C$7,2,FALSE))),"")</f>
        <v/>
      </c>
      <c r="W9289" s="74" t="str">
        <f>IFERROR(VLOOKUP($O9289,'Customer List'!$A$1:$J$488,10,FALSE),"")</f>
        <v/>
      </c>
    </row>
    <row r="9290" spans="18:23">
      <c r="R9290" s="127">
        <f t="shared" si="365"/>
        <v>0</v>
      </c>
      <c r="T9290" s="128">
        <f t="shared" ref="T9290:T9353" si="366">IF(S9290="50 - Cleaning Fee",1,HOUR($R9290)+MINUTE(R9290)/60)</f>
        <v>0</v>
      </c>
      <c r="U9290" s="129" t="str">
        <f>IFERROR(IF(#REF!="S",VLOOKUP('Raw Data'!A9290,References!#REF!,2,FALSE),(VLOOKUP($S9290,References!$B$3:$C$7,2,FALSE))),"")</f>
        <v/>
      </c>
      <c r="W9290" s="74" t="str">
        <f>IFERROR(VLOOKUP($O9290,'Customer List'!$A$1:$J$488,10,FALSE),"")</f>
        <v/>
      </c>
    </row>
    <row r="9291" spans="18:23">
      <c r="R9291" s="127">
        <f t="shared" si="365"/>
        <v>0</v>
      </c>
      <c r="T9291" s="128">
        <f t="shared" si="366"/>
        <v>0</v>
      </c>
      <c r="U9291" s="129" t="str">
        <f>IFERROR(IF(#REF!="S",VLOOKUP('Raw Data'!A9291,References!#REF!,2,FALSE),(VLOOKUP($S9291,References!$B$3:$C$7,2,FALSE))),"")</f>
        <v/>
      </c>
      <c r="W9291" s="74" t="str">
        <f>IFERROR(VLOOKUP($O9291,'Customer List'!$A$1:$J$488,10,FALSE),"")</f>
        <v/>
      </c>
    </row>
    <row r="9292" spans="18:23">
      <c r="R9292" s="127">
        <f t="shared" si="365"/>
        <v>0</v>
      </c>
      <c r="T9292" s="128">
        <f t="shared" si="366"/>
        <v>0</v>
      </c>
      <c r="U9292" s="129" t="str">
        <f>IFERROR(IF(#REF!="S",VLOOKUP('Raw Data'!A9292,References!#REF!,2,FALSE),(VLOOKUP($S9292,References!$B$3:$C$7,2,FALSE))),"")</f>
        <v/>
      </c>
      <c r="W9292" s="74" t="str">
        <f>IFERROR(VLOOKUP($O9292,'Customer List'!$A$1:$J$488,10,FALSE),"")</f>
        <v/>
      </c>
    </row>
    <row r="9293" spans="18:23">
      <c r="R9293" s="127">
        <f t="shared" si="365"/>
        <v>0</v>
      </c>
      <c r="T9293" s="128">
        <f t="shared" si="366"/>
        <v>0</v>
      </c>
      <c r="U9293" s="129" t="str">
        <f>IFERROR(IF(#REF!="S",VLOOKUP('Raw Data'!A9293,References!#REF!,2,FALSE),(VLOOKUP($S9293,References!$B$3:$C$7,2,FALSE))),"")</f>
        <v/>
      </c>
      <c r="W9293" s="74" t="str">
        <f>IFERROR(VLOOKUP($O9293,'Customer List'!$A$1:$J$488,10,FALSE),"")</f>
        <v/>
      </c>
    </row>
    <row r="9294" spans="18:23">
      <c r="R9294" s="127">
        <f t="shared" si="365"/>
        <v>0</v>
      </c>
      <c r="T9294" s="128">
        <f t="shared" si="366"/>
        <v>0</v>
      </c>
      <c r="U9294" s="129" t="str">
        <f>IFERROR(IF(#REF!="S",VLOOKUP('Raw Data'!A9294,References!#REF!,2,FALSE),(VLOOKUP($S9294,References!$B$3:$C$7,2,FALSE))),"")</f>
        <v/>
      </c>
      <c r="W9294" s="74" t="str">
        <f>IFERROR(VLOOKUP($O9294,'Customer List'!$A$1:$J$488,10,FALSE),"")</f>
        <v/>
      </c>
    </row>
    <row r="9295" spans="18:23">
      <c r="R9295" s="127">
        <f t="shared" si="365"/>
        <v>0</v>
      </c>
      <c r="T9295" s="128">
        <f t="shared" si="366"/>
        <v>0</v>
      </c>
      <c r="U9295" s="129" t="str">
        <f>IFERROR(IF(#REF!="S",VLOOKUP('Raw Data'!A9295,References!#REF!,2,FALSE),(VLOOKUP($S9295,References!$B$3:$C$7,2,FALSE))),"")</f>
        <v/>
      </c>
      <c r="W9295" s="74" t="str">
        <f>IFERROR(VLOOKUP($O9295,'Customer List'!$A$1:$J$488,10,FALSE),"")</f>
        <v/>
      </c>
    </row>
    <row r="9296" spans="18:23">
      <c r="R9296" s="127">
        <f t="shared" si="365"/>
        <v>0</v>
      </c>
      <c r="T9296" s="128">
        <f t="shared" si="366"/>
        <v>0</v>
      </c>
      <c r="U9296" s="129" t="str">
        <f>IFERROR(IF(#REF!="S",VLOOKUP('Raw Data'!A9296,References!#REF!,2,FALSE),(VLOOKUP($S9296,References!$B$3:$C$7,2,FALSE))),"")</f>
        <v/>
      </c>
      <c r="W9296" s="74" t="str">
        <f>IFERROR(VLOOKUP($O9296,'Customer List'!$A$1:$J$488,10,FALSE),"")</f>
        <v/>
      </c>
    </row>
    <row r="9297" spans="18:23">
      <c r="R9297" s="127">
        <f t="shared" si="365"/>
        <v>0</v>
      </c>
      <c r="T9297" s="128">
        <f t="shared" si="366"/>
        <v>0</v>
      </c>
      <c r="U9297" s="129" t="str">
        <f>IFERROR(IF(#REF!="S",VLOOKUP('Raw Data'!A9297,References!#REF!,2,FALSE),(VLOOKUP($S9297,References!$B$3:$C$7,2,FALSE))),"")</f>
        <v/>
      </c>
      <c r="W9297" s="74" t="str">
        <f>IFERROR(VLOOKUP($O9297,'Customer List'!$A$1:$J$488,10,FALSE),"")</f>
        <v/>
      </c>
    </row>
    <row r="9298" spans="18:23">
      <c r="R9298" s="127">
        <f t="shared" si="365"/>
        <v>0</v>
      </c>
      <c r="T9298" s="128">
        <f t="shared" si="366"/>
        <v>0</v>
      </c>
      <c r="U9298" s="129" t="str">
        <f>IFERROR(IF(#REF!="S",VLOOKUP('Raw Data'!A9298,References!#REF!,2,FALSE),(VLOOKUP($S9298,References!$B$3:$C$7,2,FALSE))),"")</f>
        <v/>
      </c>
      <c r="W9298" s="74" t="str">
        <f>IFERROR(VLOOKUP($O9298,'Customer List'!$A$1:$J$488,10,FALSE),"")</f>
        <v/>
      </c>
    </row>
    <row r="9299" spans="18:23">
      <c r="R9299" s="127">
        <f t="shared" si="365"/>
        <v>0</v>
      </c>
      <c r="T9299" s="128">
        <f t="shared" si="366"/>
        <v>0</v>
      </c>
      <c r="U9299" s="129" t="str">
        <f>IFERROR(IF(#REF!="S",VLOOKUP('Raw Data'!A9299,References!#REF!,2,FALSE),(VLOOKUP($S9299,References!$B$3:$C$7,2,FALSE))),"")</f>
        <v/>
      </c>
      <c r="W9299" s="74" t="str">
        <f>IFERROR(VLOOKUP($O9299,'Customer List'!$A$1:$J$488,10,FALSE),"")</f>
        <v/>
      </c>
    </row>
    <row r="9300" spans="18:23">
      <c r="R9300" s="127">
        <f t="shared" si="365"/>
        <v>0</v>
      </c>
      <c r="T9300" s="128">
        <f t="shared" si="366"/>
        <v>0</v>
      </c>
      <c r="U9300" s="129" t="str">
        <f>IFERROR(IF(#REF!="S",VLOOKUP('Raw Data'!A9300,References!#REF!,2,FALSE),(VLOOKUP($S9300,References!$B$3:$C$7,2,FALSE))),"")</f>
        <v/>
      </c>
      <c r="W9300" s="74" t="str">
        <f>IFERROR(VLOOKUP($O9300,'Customer List'!$A$1:$J$488,10,FALSE),"")</f>
        <v/>
      </c>
    </row>
    <row r="9301" spans="18:23">
      <c r="R9301" s="127">
        <f t="shared" si="365"/>
        <v>0</v>
      </c>
      <c r="T9301" s="128">
        <f t="shared" si="366"/>
        <v>0</v>
      </c>
      <c r="U9301" s="129" t="str">
        <f>IFERROR(IF(#REF!="S",VLOOKUP('Raw Data'!A9301,References!#REF!,2,FALSE),(VLOOKUP($S9301,References!$B$3:$C$7,2,FALSE))),"")</f>
        <v/>
      </c>
      <c r="W9301" s="74" t="str">
        <f>IFERROR(VLOOKUP($O9301,'Customer List'!$A$1:$J$488,10,FALSE),"")</f>
        <v/>
      </c>
    </row>
    <row r="9302" spans="18:23">
      <c r="R9302" s="127">
        <f t="shared" si="365"/>
        <v>0</v>
      </c>
      <c r="T9302" s="128">
        <f t="shared" si="366"/>
        <v>0</v>
      </c>
      <c r="U9302" s="129" t="str">
        <f>IFERROR(IF(#REF!="S",VLOOKUP('Raw Data'!A9302,References!#REF!,2,FALSE),(VLOOKUP($S9302,References!$B$3:$C$7,2,FALSE))),"")</f>
        <v/>
      </c>
      <c r="W9302" s="74" t="str">
        <f>IFERROR(VLOOKUP($O9302,'Customer List'!$A$1:$J$488,10,FALSE),"")</f>
        <v/>
      </c>
    </row>
    <row r="9303" spans="18:23">
      <c r="R9303" s="127">
        <f t="shared" si="365"/>
        <v>0</v>
      </c>
      <c r="T9303" s="128">
        <f t="shared" si="366"/>
        <v>0</v>
      </c>
      <c r="U9303" s="129" t="str">
        <f>IFERROR(IF(#REF!="S",VLOOKUP('Raw Data'!A9303,References!#REF!,2,FALSE),(VLOOKUP($S9303,References!$B$3:$C$7,2,FALSE))),"")</f>
        <v/>
      </c>
      <c r="W9303" s="74" t="str">
        <f>IFERROR(VLOOKUP($O9303,'Customer List'!$A$1:$J$488,10,FALSE),"")</f>
        <v/>
      </c>
    </row>
    <row r="9304" spans="18:23">
      <c r="R9304" s="127">
        <f t="shared" si="365"/>
        <v>0</v>
      </c>
      <c r="T9304" s="128">
        <f t="shared" si="366"/>
        <v>0</v>
      </c>
      <c r="U9304" s="129" t="str">
        <f>IFERROR(IF(#REF!="S",VLOOKUP('Raw Data'!A9304,References!#REF!,2,FALSE),(VLOOKUP($S9304,References!$B$3:$C$7,2,FALSE))),"")</f>
        <v/>
      </c>
      <c r="W9304" s="74" t="str">
        <f>IFERROR(VLOOKUP($O9304,'Customer List'!$A$1:$J$488,10,FALSE),"")</f>
        <v/>
      </c>
    </row>
    <row r="9305" spans="18:23">
      <c r="R9305" s="127">
        <f t="shared" si="365"/>
        <v>0</v>
      </c>
      <c r="T9305" s="128">
        <f t="shared" si="366"/>
        <v>0</v>
      </c>
      <c r="U9305" s="129" t="str">
        <f>IFERROR(IF(#REF!="S",VLOOKUP('Raw Data'!A9305,References!#REF!,2,FALSE),(VLOOKUP($S9305,References!$B$3:$C$7,2,FALSE))),"")</f>
        <v/>
      </c>
      <c r="W9305" s="74" t="str">
        <f>IFERROR(VLOOKUP($O9305,'Customer List'!$A$1:$J$488,10,FALSE),"")</f>
        <v/>
      </c>
    </row>
    <row r="9306" spans="18:23">
      <c r="R9306" s="127">
        <f t="shared" si="365"/>
        <v>0</v>
      </c>
      <c r="T9306" s="128">
        <f t="shared" si="366"/>
        <v>0</v>
      </c>
      <c r="U9306" s="129" t="str">
        <f>IFERROR(IF(#REF!="S",VLOOKUP('Raw Data'!A9306,References!#REF!,2,FALSE),(VLOOKUP($S9306,References!$B$3:$C$7,2,FALSE))),"")</f>
        <v/>
      </c>
      <c r="W9306" s="74" t="str">
        <f>IFERROR(VLOOKUP($O9306,'Customer List'!$A$1:$J$488,10,FALSE),"")</f>
        <v/>
      </c>
    </row>
    <row r="9307" spans="18:23">
      <c r="R9307" s="127">
        <f t="shared" si="365"/>
        <v>0</v>
      </c>
      <c r="T9307" s="128">
        <f t="shared" si="366"/>
        <v>0</v>
      </c>
      <c r="U9307" s="129" t="str">
        <f>IFERROR(IF(#REF!="S",VLOOKUP('Raw Data'!A9307,References!#REF!,2,FALSE),(VLOOKUP($S9307,References!$B$3:$C$7,2,FALSE))),"")</f>
        <v/>
      </c>
      <c r="W9307" s="74" t="str">
        <f>IFERROR(VLOOKUP($O9307,'Customer List'!$A$1:$J$488,10,FALSE),"")</f>
        <v/>
      </c>
    </row>
    <row r="9308" spans="18:23">
      <c r="R9308" s="127">
        <f t="shared" si="365"/>
        <v>0</v>
      </c>
      <c r="T9308" s="128">
        <f t="shared" si="366"/>
        <v>0</v>
      </c>
      <c r="U9308" s="129" t="str">
        <f>IFERROR(IF(#REF!="S",VLOOKUP('Raw Data'!A9308,References!#REF!,2,FALSE),(VLOOKUP($S9308,References!$B$3:$C$7,2,FALSE))),"")</f>
        <v/>
      </c>
      <c r="W9308" s="74" t="str">
        <f>IFERROR(VLOOKUP($O9308,'Customer List'!$A$1:$J$488,10,FALSE),"")</f>
        <v/>
      </c>
    </row>
    <row r="9309" spans="18:23">
      <c r="R9309" s="127">
        <f t="shared" si="365"/>
        <v>0</v>
      </c>
      <c r="T9309" s="128">
        <f t="shared" si="366"/>
        <v>0</v>
      </c>
      <c r="U9309" s="129" t="str">
        <f>IFERROR(IF(#REF!="S",VLOOKUP('Raw Data'!A9309,References!#REF!,2,FALSE),(VLOOKUP($S9309,References!$B$3:$C$7,2,FALSE))),"")</f>
        <v/>
      </c>
      <c r="W9309" s="74" t="str">
        <f>IFERROR(VLOOKUP($O9309,'Customer List'!$A$1:$J$488,10,FALSE),"")</f>
        <v/>
      </c>
    </row>
    <row r="9310" spans="18:23">
      <c r="R9310" s="127">
        <f t="shared" si="365"/>
        <v>0</v>
      </c>
      <c r="T9310" s="128">
        <f t="shared" si="366"/>
        <v>0</v>
      </c>
      <c r="U9310" s="129" t="str">
        <f>IFERROR(IF(#REF!="S",VLOOKUP('Raw Data'!A9310,References!#REF!,2,FALSE),(VLOOKUP($S9310,References!$B$3:$C$7,2,FALSE))),"")</f>
        <v/>
      </c>
      <c r="W9310" s="74" t="str">
        <f>IFERROR(VLOOKUP($O9310,'Customer List'!$A$1:$J$488,10,FALSE),"")</f>
        <v/>
      </c>
    </row>
    <row r="9311" spans="18:23">
      <c r="R9311" s="127">
        <f t="shared" si="365"/>
        <v>0</v>
      </c>
      <c r="T9311" s="128">
        <f t="shared" si="366"/>
        <v>0</v>
      </c>
      <c r="U9311" s="129" t="str">
        <f>IFERROR(IF(#REF!="S",VLOOKUP('Raw Data'!A9311,References!#REF!,2,FALSE),(VLOOKUP($S9311,References!$B$3:$C$7,2,FALSE))),"")</f>
        <v/>
      </c>
      <c r="W9311" s="74" t="str">
        <f>IFERROR(VLOOKUP($O9311,'Customer List'!$A$1:$J$488,10,FALSE),"")</f>
        <v/>
      </c>
    </row>
    <row r="9312" spans="18:23">
      <c r="R9312" s="127">
        <f t="shared" si="365"/>
        <v>0</v>
      </c>
      <c r="T9312" s="128">
        <f t="shared" si="366"/>
        <v>0</v>
      </c>
      <c r="U9312" s="129" t="str">
        <f>IFERROR(IF(#REF!="S",VLOOKUP('Raw Data'!A9312,References!#REF!,2,FALSE),(VLOOKUP($S9312,References!$B$3:$C$7,2,FALSE))),"")</f>
        <v/>
      </c>
      <c r="W9312" s="74" t="str">
        <f>IFERROR(VLOOKUP($O9312,'Customer List'!$A$1:$J$488,10,FALSE),"")</f>
        <v/>
      </c>
    </row>
    <row r="9313" spans="18:23">
      <c r="R9313" s="127">
        <f t="shared" si="365"/>
        <v>0</v>
      </c>
      <c r="T9313" s="128">
        <f t="shared" si="366"/>
        <v>0</v>
      </c>
      <c r="U9313" s="129" t="str">
        <f>IFERROR(IF(#REF!="S",VLOOKUP('Raw Data'!A9313,References!#REF!,2,FALSE),(VLOOKUP($S9313,References!$B$3:$C$7,2,FALSE))),"")</f>
        <v/>
      </c>
      <c r="W9313" s="74" t="str">
        <f>IFERROR(VLOOKUP($O9313,'Customer List'!$A$1:$J$488,10,FALSE),"")</f>
        <v/>
      </c>
    </row>
    <row r="9314" spans="18:23">
      <c r="R9314" s="127">
        <f t="shared" ref="R9314:R9377" si="367">L9314-K9314</f>
        <v>0</v>
      </c>
      <c r="T9314" s="128">
        <f t="shared" si="366"/>
        <v>0</v>
      </c>
      <c r="U9314" s="129" t="str">
        <f>IFERROR(IF(#REF!="S",VLOOKUP('Raw Data'!A9314,References!#REF!,2,FALSE),(VLOOKUP($S9314,References!$B$3:$C$7,2,FALSE))),"")</f>
        <v/>
      </c>
      <c r="W9314" s="74" t="str">
        <f>IFERROR(VLOOKUP($O9314,'Customer List'!$A$1:$J$488,10,FALSE),"")</f>
        <v/>
      </c>
    </row>
    <row r="9315" spans="18:23">
      <c r="R9315" s="127">
        <f t="shared" si="367"/>
        <v>0</v>
      </c>
      <c r="T9315" s="128">
        <f t="shared" si="366"/>
        <v>0</v>
      </c>
      <c r="U9315" s="129" t="str">
        <f>IFERROR(IF(#REF!="S",VLOOKUP('Raw Data'!A9315,References!#REF!,2,FALSE),(VLOOKUP($S9315,References!$B$3:$C$7,2,FALSE))),"")</f>
        <v/>
      </c>
      <c r="W9315" s="74" t="str">
        <f>IFERROR(VLOOKUP($O9315,'Customer List'!$A$1:$J$488,10,FALSE),"")</f>
        <v/>
      </c>
    </row>
    <row r="9316" spans="18:23">
      <c r="R9316" s="127">
        <f t="shared" si="367"/>
        <v>0</v>
      </c>
      <c r="T9316" s="128">
        <f t="shared" si="366"/>
        <v>0</v>
      </c>
      <c r="U9316" s="129" t="str">
        <f>IFERROR(IF(#REF!="S",VLOOKUP('Raw Data'!A9316,References!#REF!,2,FALSE),(VLOOKUP($S9316,References!$B$3:$C$7,2,FALSE))),"")</f>
        <v/>
      </c>
      <c r="W9316" s="74" t="str">
        <f>IFERROR(VLOOKUP($O9316,'Customer List'!$A$1:$J$488,10,FALSE),"")</f>
        <v/>
      </c>
    </row>
    <row r="9317" spans="18:23">
      <c r="R9317" s="127">
        <f t="shared" si="367"/>
        <v>0</v>
      </c>
      <c r="T9317" s="128">
        <f t="shared" si="366"/>
        <v>0</v>
      </c>
      <c r="U9317" s="129" t="str">
        <f>IFERROR(IF(#REF!="S",VLOOKUP('Raw Data'!A9317,References!#REF!,2,FALSE),(VLOOKUP($S9317,References!$B$3:$C$7,2,FALSE))),"")</f>
        <v/>
      </c>
      <c r="W9317" s="74" t="str">
        <f>IFERROR(VLOOKUP($O9317,'Customer List'!$A$1:$J$488,10,FALSE),"")</f>
        <v/>
      </c>
    </row>
    <row r="9318" spans="18:23">
      <c r="R9318" s="127">
        <f t="shared" si="367"/>
        <v>0</v>
      </c>
      <c r="T9318" s="128">
        <f t="shared" si="366"/>
        <v>0</v>
      </c>
      <c r="U9318" s="129" t="str">
        <f>IFERROR(IF(#REF!="S",VLOOKUP('Raw Data'!A9318,References!#REF!,2,FALSE),(VLOOKUP($S9318,References!$B$3:$C$7,2,FALSE))),"")</f>
        <v/>
      </c>
      <c r="W9318" s="74" t="str">
        <f>IFERROR(VLOOKUP($O9318,'Customer List'!$A$1:$J$488,10,FALSE),"")</f>
        <v/>
      </c>
    </row>
    <row r="9319" spans="18:23">
      <c r="R9319" s="127">
        <f t="shared" si="367"/>
        <v>0</v>
      </c>
      <c r="T9319" s="128">
        <f t="shared" si="366"/>
        <v>0</v>
      </c>
      <c r="U9319" s="129" t="str">
        <f>IFERROR(IF(#REF!="S",VLOOKUP('Raw Data'!A9319,References!#REF!,2,FALSE),(VLOOKUP($S9319,References!$B$3:$C$7,2,FALSE))),"")</f>
        <v/>
      </c>
      <c r="W9319" s="74" t="str">
        <f>IFERROR(VLOOKUP($O9319,'Customer List'!$A$1:$J$488,10,FALSE),"")</f>
        <v/>
      </c>
    </row>
    <row r="9320" spans="18:23">
      <c r="R9320" s="127">
        <f t="shared" si="367"/>
        <v>0</v>
      </c>
      <c r="T9320" s="128">
        <f t="shared" si="366"/>
        <v>0</v>
      </c>
      <c r="U9320" s="129" t="str">
        <f>IFERROR(IF(#REF!="S",VLOOKUP('Raw Data'!A9320,References!#REF!,2,FALSE),(VLOOKUP($S9320,References!$B$3:$C$7,2,FALSE))),"")</f>
        <v/>
      </c>
      <c r="W9320" s="74" t="str">
        <f>IFERROR(VLOOKUP($O9320,'Customer List'!$A$1:$J$488,10,FALSE),"")</f>
        <v/>
      </c>
    </row>
    <row r="9321" spans="18:23">
      <c r="R9321" s="127">
        <f t="shared" si="367"/>
        <v>0</v>
      </c>
      <c r="T9321" s="128">
        <f t="shared" si="366"/>
        <v>0</v>
      </c>
      <c r="U9321" s="129" t="str">
        <f>IFERROR(IF(#REF!="S",VLOOKUP('Raw Data'!A9321,References!#REF!,2,FALSE),(VLOOKUP($S9321,References!$B$3:$C$7,2,FALSE))),"")</f>
        <v/>
      </c>
      <c r="W9321" s="74" t="str">
        <f>IFERROR(VLOOKUP($O9321,'Customer List'!$A$1:$J$488,10,FALSE),"")</f>
        <v/>
      </c>
    </row>
    <row r="9322" spans="18:23">
      <c r="R9322" s="127">
        <f t="shared" si="367"/>
        <v>0</v>
      </c>
      <c r="T9322" s="128">
        <f t="shared" si="366"/>
        <v>0</v>
      </c>
      <c r="U9322" s="129" t="str">
        <f>IFERROR(IF(#REF!="S",VLOOKUP('Raw Data'!A9322,References!#REF!,2,FALSE),(VLOOKUP($S9322,References!$B$3:$C$7,2,FALSE))),"")</f>
        <v/>
      </c>
      <c r="W9322" s="74" t="str">
        <f>IFERROR(VLOOKUP($O9322,'Customer List'!$A$1:$J$488,10,FALSE),"")</f>
        <v/>
      </c>
    </row>
    <row r="9323" spans="18:23">
      <c r="R9323" s="127">
        <f t="shared" si="367"/>
        <v>0</v>
      </c>
      <c r="T9323" s="128">
        <f t="shared" si="366"/>
        <v>0</v>
      </c>
      <c r="U9323" s="129" t="str">
        <f>IFERROR(IF(#REF!="S",VLOOKUP('Raw Data'!A9323,References!#REF!,2,FALSE),(VLOOKUP($S9323,References!$B$3:$C$7,2,FALSE))),"")</f>
        <v/>
      </c>
      <c r="W9323" s="74" t="str">
        <f>IFERROR(VLOOKUP($O9323,'Customer List'!$A$1:$J$488,10,FALSE),"")</f>
        <v/>
      </c>
    </row>
    <row r="9324" spans="18:23">
      <c r="R9324" s="127">
        <f t="shared" si="367"/>
        <v>0</v>
      </c>
      <c r="T9324" s="128">
        <f t="shared" si="366"/>
        <v>0</v>
      </c>
      <c r="U9324" s="129" t="str">
        <f>IFERROR(IF(#REF!="S",VLOOKUP('Raw Data'!A9324,References!#REF!,2,FALSE),(VLOOKUP($S9324,References!$B$3:$C$7,2,FALSE))),"")</f>
        <v/>
      </c>
      <c r="W9324" s="74" t="str">
        <f>IFERROR(VLOOKUP($O9324,'Customer List'!$A$1:$J$488,10,FALSE),"")</f>
        <v/>
      </c>
    </row>
    <row r="9325" spans="18:23">
      <c r="R9325" s="127">
        <f t="shared" si="367"/>
        <v>0</v>
      </c>
      <c r="T9325" s="128">
        <f t="shared" si="366"/>
        <v>0</v>
      </c>
      <c r="U9325" s="129" t="str">
        <f>IFERROR(IF(#REF!="S",VLOOKUP('Raw Data'!A9325,References!#REF!,2,FALSE),(VLOOKUP($S9325,References!$B$3:$C$7,2,FALSE))),"")</f>
        <v/>
      </c>
      <c r="W9325" s="74" t="str">
        <f>IFERROR(VLOOKUP($O9325,'Customer List'!$A$1:$J$488,10,FALSE),"")</f>
        <v/>
      </c>
    </row>
    <row r="9326" spans="18:23">
      <c r="R9326" s="127">
        <f t="shared" si="367"/>
        <v>0</v>
      </c>
      <c r="T9326" s="128">
        <f t="shared" si="366"/>
        <v>0</v>
      </c>
      <c r="U9326" s="129" t="str">
        <f>IFERROR(IF(#REF!="S",VLOOKUP('Raw Data'!A9326,References!#REF!,2,FALSE),(VLOOKUP($S9326,References!$B$3:$C$7,2,FALSE))),"")</f>
        <v/>
      </c>
      <c r="W9326" s="74" t="str">
        <f>IFERROR(VLOOKUP($O9326,'Customer List'!$A$1:$J$488,10,FALSE),"")</f>
        <v/>
      </c>
    </row>
    <row r="9327" spans="18:23">
      <c r="R9327" s="127">
        <f t="shared" si="367"/>
        <v>0</v>
      </c>
      <c r="T9327" s="128">
        <f t="shared" si="366"/>
        <v>0</v>
      </c>
      <c r="U9327" s="129" t="str">
        <f>IFERROR(IF(#REF!="S",VLOOKUP('Raw Data'!A9327,References!#REF!,2,FALSE),(VLOOKUP($S9327,References!$B$3:$C$7,2,FALSE))),"")</f>
        <v/>
      </c>
      <c r="W9327" s="74" t="str">
        <f>IFERROR(VLOOKUP($O9327,'Customer List'!$A$1:$J$488,10,FALSE),"")</f>
        <v/>
      </c>
    </row>
    <row r="9328" spans="18:23">
      <c r="R9328" s="127">
        <f t="shared" si="367"/>
        <v>0</v>
      </c>
      <c r="T9328" s="128">
        <f t="shared" si="366"/>
        <v>0</v>
      </c>
      <c r="U9328" s="129" t="str">
        <f>IFERROR(IF(#REF!="S",VLOOKUP('Raw Data'!A9328,References!#REF!,2,FALSE),(VLOOKUP($S9328,References!$B$3:$C$7,2,FALSE))),"")</f>
        <v/>
      </c>
      <c r="W9328" s="74" t="str">
        <f>IFERROR(VLOOKUP($O9328,'Customer List'!$A$1:$J$488,10,FALSE),"")</f>
        <v/>
      </c>
    </row>
    <row r="9329" spans="18:23">
      <c r="R9329" s="127">
        <f t="shared" si="367"/>
        <v>0</v>
      </c>
      <c r="T9329" s="128">
        <f t="shared" si="366"/>
        <v>0</v>
      </c>
      <c r="U9329" s="129" t="str">
        <f>IFERROR(IF(#REF!="S",VLOOKUP('Raw Data'!A9329,References!#REF!,2,FALSE),(VLOOKUP($S9329,References!$B$3:$C$7,2,FALSE))),"")</f>
        <v/>
      </c>
      <c r="W9329" s="74" t="str">
        <f>IFERROR(VLOOKUP($O9329,'Customer List'!$A$1:$J$488,10,FALSE),"")</f>
        <v/>
      </c>
    </row>
    <row r="9330" spans="18:23">
      <c r="R9330" s="127">
        <f t="shared" si="367"/>
        <v>0</v>
      </c>
      <c r="T9330" s="128">
        <f t="shared" si="366"/>
        <v>0</v>
      </c>
      <c r="U9330" s="129" t="str">
        <f>IFERROR(IF(#REF!="S",VLOOKUP('Raw Data'!A9330,References!#REF!,2,FALSE),(VLOOKUP($S9330,References!$B$3:$C$7,2,FALSE))),"")</f>
        <v/>
      </c>
      <c r="W9330" s="74" t="str">
        <f>IFERROR(VLOOKUP($O9330,'Customer List'!$A$1:$J$488,10,FALSE),"")</f>
        <v/>
      </c>
    </row>
    <row r="9331" spans="18:23">
      <c r="R9331" s="127">
        <f t="shared" si="367"/>
        <v>0</v>
      </c>
      <c r="T9331" s="128">
        <f t="shared" si="366"/>
        <v>0</v>
      </c>
      <c r="U9331" s="129" t="str">
        <f>IFERROR(IF(#REF!="S",VLOOKUP('Raw Data'!A9331,References!#REF!,2,FALSE),(VLOOKUP($S9331,References!$B$3:$C$7,2,FALSE))),"")</f>
        <v/>
      </c>
      <c r="W9331" s="74" t="str">
        <f>IFERROR(VLOOKUP($O9331,'Customer List'!$A$1:$J$488,10,FALSE),"")</f>
        <v/>
      </c>
    </row>
    <row r="9332" spans="18:23">
      <c r="R9332" s="127">
        <f t="shared" si="367"/>
        <v>0</v>
      </c>
      <c r="T9332" s="128">
        <f t="shared" si="366"/>
        <v>0</v>
      </c>
      <c r="U9332" s="129" t="str">
        <f>IFERROR(IF(#REF!="S",VLOOKUP('Raw Data'!A9332,References!#REF!,2,FALSE),(VLOOKUP($S9332,References!$B$3:$C$7,2,FALSE))),"")</f>
        <v/>
      </c>
      <c r="W9332" s="74" t="str">
        <f>IFERROR(VLOOKUP($O9332,'Customer List'!$A$1:$J$488,10,FALSE),"")</f>
        <v/>
      </c>
    </row>
    <row r="9333" spans="18:23">
      <c r="R9333" s="127">
        <f t="shared" si="367"/>
        <v>0</v>
      </c>
      <c r="T9333" s="128">
        <f t="shared" si="366"/>
        <v>0</v>
      </c>
      <c r="U9333" s="129" t="str">
        <f>IFERROR(IF(#REF!="S",VLOOKUP('Raw Data'!A9333,References!#REF!,2,FALSE),(VLOOKUP($S9333,References!$B$3:$C$7,2,FALSE))),"")</f>
        <v/>
      </c>
      <c r="W9333" s="74" t="str">
        <f>IFERROR(VLOOKUP($O9333,'Customer List'!$A$1:$J$488,10,FALSE),"")</f>
        <v/>
      </c>
    </row>
    <row r="9334" spans="18:23">
      <c r="R9334" s="127">
        <f t="shared" si="367"/>
        <v>0</v>
      </c>
      <c r="T9334" s="128">
        <f t="shared" si="366"/>
        <v>0</v>
      </c>
      <c r="U9334" s="129" t="str">
        <f>IFERROR(IF(#REF!="S",VLOOKUP('Raw Data'!A9334,References!#REF!,2,FALSE),(VLOOKUP($S9334,References!$B$3:$C$7,2,FALSE))),"")</f>
        <v/>
      </c>
      <c r="W9334" s="74" t="str">
        <f>IFERROR(VLOOKUP($O9334,'Customer List'!$A$1:$J$488,10,FALSE),"")</f>
        <v/>
      </c>
    </row>
    <row r="9335" spans="18:23">
      <c r="R9335" s="127">
        <f t="shared" si="367"/>
        <v>0</v>
      </c>
      <c r="T9335" s="128">
        <f t="shared" si="366"/>
        <v>0</v>
      </c>
      <c r="U9335" s="129" t="str">
        <f>IFERROR(IF(#REF!="S",VLOOKUP('Raw Data'!A9335,References!#REF!,2,FALSE),(VLOOKUP($S9335,References!$B$3:$C$7,2,FALSE))),"")</f>
        <v/>
      </c>
      <c r="W9335" s="74" t="str">
        <f>IFERROR(VLOOKUP($O9335,'Customer List'!$A$1:$J$488,10,FALSE),"")</f>
        <v/>
      </c>
    </row>
    <row r="9336" spans="18:23">
      <c r="R9336" s="127">
        <f t="shared" si="367"/>
        <v>0</v>
      </c>
      <c r="T9336" s="128">
        <f t="shared" si="366"/>
        <v>0</v>
      </c>
      <c r="U9336" s="129" t="str">
        <f>IFERROR(IF(#REF!="S",VLOOKUP('Raw Data'!A9336,References!#REF!,2,FALSE),(VLOOKUP($S9336,References!$B$3:$C$7,2,FALSE))),"")</f>
        <v/>
      </c>
      <c r="W9336" s="74" t="str">
        <f>IFERROR(VLOOKUP($O9336,'Customer List'!$A$1:$J$488,10,FALSE),"")</f>
        <v/>
      </c>
    </row>
    <row r="9337" spans="18:23">
      <c r="R9337" s="127">
        <f t="shared" si="367"/>
        <v>0</v>
      </c>
      <c r="T9337" s="128">
        <f t="shared" si="366"/>
        <v>0</v>
      </c>
      <c r="U9337" s="129" t="str">
        <f>IFERROR(IF(#REF!="S",VLOOKUP('Raw Data'!A9337,References!#REF!,2,FALSE),(VLOOKUP($S9337,References!$B$3:$C$7,2,FALSE))),"")</f>
        <v/>
      </c>
      <c r="W9337" s="74" t="str">
        <f>IFERROR(VLOOKUP($O9337,'Customer List'!$A$1:$J$488,10,FALSE),"")</f>
        <v/>
      </c>
    </row>
    <row r="9338" spans="18:23">
      <c r="R9338" s="127">
        <f t="shared" si="367"/>
        <v>0</v>
      </c>
      <c r="T9338" s="128">
        <f t="shared" si="366"/>
        <v>0</v>
      </c>
      <c r="U9338" s="129" t="str">
        <f>IFERROR(IF(#REF!="S",VLOOKUP('Raw Data'!A9338,References!#REF!,2,FALSE),(VLOOKUP($S9338,References!$B$3:$C$7,2,FALSE))),"")</f>
        <v/>
      </c>
      <c r="W9338" s="74" t="str">
        <f>IFERROR(VLOOKUP($O9338,'Customer List'!$A$1:$J$488,10,FALSE),"")</f>
        <v/>
      </c>
    </row>
    <row r="9339" spans="18:23">
      <c r="R9339" s="127">
        <f t="shared" si="367"/>
        <v>0</v>
      </c>
      <c r="T9339" s="128">
        <f t="shared" si="366"/>
        <v>0</v>
      </c>
      <c r="U9339" s="129" t="str">
        <f>IFERROR(IF(#REF!="S",VLOOKUP('Raw Data'!A9339,References!#REF!,2,FALSE),(VLOOKUP($S9339,References!$B$3:$C$7,2,FALSE))),"")</f>
        <v/>
      </c>
      <c r="W9339" s="74" t="str">
        <f>IFERROR(VLOOKUP($O9339,'Customer List'!$A$1:$J$488,10,FALSE),"")</f>
        <v/>
      </c>
    </row>
    <row r="9340" spans="18:23">
      <c r="R9340" s="127">
        <f t="shared" si="367"/>
        <v>0</v>
      </c>
      <c r="T9340" s="128">
        <f t="shared" si="366"/>
        <v>0</v>
      </c>
      <c r="U9340" s="129" t="str">
        <f>IFERROR(IF(#REF!="S",VLOOKUP('Raw Data'!A9340,References!#REF!,2,FALSE),(VLOOKUP($S9340,References!$B$3:$C$7,2,FALSE))),"")</f>
        <v/>
      </c>
      <c r="W9340" s="74" t="str">
        <f>IFERROR(VLOOKUP($O9340,'Customer List'!$A$1:$J$488,10,FALSE),"")</f>
        <v/>
      </c>
    </row>
    <row r="9341" spans="18:23">
      <c r="R9341" s="127">
        <f t="shared" si="367"/>
        <v>0</v>
      </c>
      <c r="T9341" s="128">
        <f t="shared" si="366"/>
        <v>0</v>
      </c>
      <c r="U9341" s="129" t="str">
        <f>IFERROR(IF(#REF!="S",VLOOKUP('Raw Data'!A9341,References!#REF!,2,FALSE),(VLOOKUP($S9341,References!$B$3:$C$7,2,FALSE))),"")</f>
        <v/>
      </c>
      <c r="W9341" s="74" t="str">
        <f>IFERROR(VLOOKUP($O9341,'Customer List'!$A$1:$J$488,10,FALSE),"")</f>
        <v/>
      </c>
    </row>
    <row r="9342" spans="18:23">
      <c r="R9342" s="127">
        <f t="shared" si="367"/>
        <v>0</v>
      </c>
      <c r="T9342" s="128">
        <f t="shared" si="366"/>
        <v>0</v>
      </c>
      <c r="U9342" s="129" t="str">
        <f>IFERROR(IF(#REF!="S",VLOOKUP('Raw Data'!A9342,References!#REF!,2,FALSE),(VLOOKUP($S9342,References!$B$3:$C$7,2,FALSE))),"")</f>
        <v/>
      </c>
      <c r="W9342" s="74" t="str">
        <f>IFERROR(VLOOKUP($O9342,'Customer List'!$A$1:$J$488,10,FALSE),"")</f>
        <v/>
      </c>
    </row>
    <row r="9343" spans="18:23">
      <c r="R9343" s="127">
        <f t="shared" si="367"/>
        <v>0</v>
      </c>
      <c r="T9343" s="128">
        <f t="shared" si="366"/>
        <v>0</v>
      </c>
      <c r="U9343" s="129" t="str">
        <f>IFERROR(IF(#REF!="S",VLOOKUP('Raw Data'!A9343,References!#REF!,2,FALSE),(VLOOKUP($S9343,References!$B$3:$C$7,2,FALSE))),"")</f>
        <v/>
      </c>
      <c r="W9343" s="74" t="str">
        <f>IFERROR(VLOOKUP($O9343,'Customer List'!$A$1:$J$488,10,FALSE),"")</f>
        <v/>
      </c>
    </row>
    <row r="9344" spans="18:23">
      <c r="R9344" s="127">
        <f t="shared" si="367"/>
        <v>0</v>
      </c>
      <c r="T9344" s="128">
        <f t="shared" si="366"/>
        <v>0</v>
      </c>
      <c r="U9344" s="129" t="str">
        <f>IFERROR(IF(#REF!="S",VLOOKUP('Raw Data'!A9344,References!#REF!,2,FALSE),(VLOOKUP($S9344,References!$B$3:$C$7,2,FALSE))),"")</f>
        <v/>
      </c>
      <c r="W9344" s="74" t="str">
        <f>IFERROR(VLOOKUP($O9344,'Customer List'!$A$1:$J$488,10,FALSE),"")</f>
        <v/>
      </c>
    </row>
    <row r="9345" spans="18:23">
      <c r="R9345" s="127">
        <f t="shared" si="367"/>
        <v>0</v>
      </c>
      <c r="T9345" s="128">
        <f t="shared" si="366"/>
        <v>0</v>
      </c>
      <c r="U9345" s="129" t="str">
        <f>IFERROR(IF(#REF!="S",VLOOKUP('Raw Data'!A9345,References!#REF!,2,FALSE),(VLOOKUP($S9345,References!$B$3:$C$7,2,FALSE))),"")</f>
        <v/>
      </c>
      <c r="W9345" s="74" t="str">
        <f>IFERROR(VLOOKUP($O9345,'Customer List'!$A$1:$J$488,10,FALSE),"")</f>
        <v/>
      </c>
    </row>
    <row r="9346" spans="18:23">
      <c r="R9346" s="127">
        <f t="shared" si="367"/>
        <v>0</v>
      </c>
      <c r="T9346" s="128">
        <f t="shared" si="366"/>
        <v>0</v>
      </c>
      <c r="U9346" s="129" t="str">
        <f>IFERROR(IF(#REF!="S",VLOOKUP('Raw Data'!A9346,References!#REF!,2,FALSE),(VLOOKUP($S9346,References!$B$3:$C$7,2,FALSE))),"")</f>
        <v/>
      </c>
      <c r="W9346" s="74" t="str">
        <f>IFERROR(VLOOKUP($O9346,'Customer List'!$A$1:$J$488,10,FALSE),"")</f>
        <v/>
      </c>
    </row>
    <row r="9347" spans="18:23">
      <c r="R9347" s="127">
        <f t="shared" si="367"/>
        <v>0</v>
      </c>
      <c r="T9347" s="128">
        <f t="shared" si="366"/>
        <v>0</v>
      </c>
      <c r="U9347" s="129" t="str">
        <f>IFERROR(IF(#REF!="S",VLOOKUP('Raw Data'!A9347,References!#REF!,2,FALSE),(VLOOKUP($S9347,References!$B$3:$C$7,2,FALSE))),"")</f>
        <v/>
      </c>
      <c r="W9347" s="74" t="str">
        <f>IFERROR(VLOOKUP($O9347,'Customer List'!$A$1:$J$488,10,FALSE),"")</f>
        <v/>
      </c>
    </row>
    <row r="9348" spans="18:23">
      <c r="R9348" s="127">
        <f t="shared" si="367"/>
        <v>0</v>
      </c>
      <c r="T9348" s="128">
        <f t="shared" si="366"/>
        <v>0</v>
      </c>
      <c r="U9348" s="129" t="str">
        <f>IFERROR(IF(#REF!="S",VLOOKUP('Raw Data'!A9348,References!#REF!,2,FALSE),(VLOOKUP($S9348,References!$B$3:$C$7,2,FALSE))),"")</f>
        <v/>
      </c>
      <c r="W9348" s="74" t="str">
        <f>IFERROR(VLOOKUP($O9348,'Customer List'!$A$1:$J$488,10,FALSE),"")</f>
        <v/>
      </c>
    </row>
    <row r="9349" spans="18:23">
      <c r="R9349" s="127">
        <f t="shared" si="367"/>
        <v>0</v>
      </c>
      <c r="T9349" s="128">
        <f t="shared" si="366"/>
        <v>0</v>
      </c>
      <c r="U9349" s="129" t="str">
        <f>IFERROR(IF(#REF!="S",VLOOKUP('Raw Data'!A9349,References!#REF!,2,FALSE),(VLOOKUP($S9349,References!$B$3:$C$7,2,FALSE))),"")</f>
        <v/>
      </c>
      <c r="W9349" s="74" t="str">
        <f>IFERROR(VLOOKUP($O9349,'Customer List'!$A$1:$J$488,10,FALSE),"")</f>
        <v/>
      </c>
    </row>
    <row r="9350" spans="18:23">
      <c r="R9350" s="127">
        <f t="shared" si="367"/>
        <v>0</v>
      </c>
      <c r="T9350" s="128">
        <f t="shared" si="366"/>
        <v>0</v>
      </c>
      <c r="U9350" s="129" t="str">
        <f>IFERROR(IF(#REF!="S",VLOOKUP('Raw Data'!A9350,References!#REF!,2,FALSE),(VLOOKUP($S9350,References!$B$3:$C$7,2,FALSE))),"")</f>
        <v/>
      </c>
      <c r="W9350" s="74" t="str">
        <f>IFERROR(VLOOKUP($O9350,'Customer List'!$A$1:$J$488,10,FALSE),"")</f>
        <v/>
      </c>
    </row>
    <row r="9351" spans="18:23">
      <c r="R9351" s="127">
        <f t="shared" si="367"/>
        <v>0</v>
      </c>
      <c r="T9351" s="128">
        <f t="shared" si="366"/>
        <v>0</v>
      </c>
      <c r="U9351" s="129" t="str">
        <f>IFERROR(IF(#REF!="S",VLOOKUP('Raw Data'!A9351,References!#REF!,2,FALSE),(VLOOKUP($S9351,References!$B$3:$C$7,2,FALSE))),"")</f>
        <v/>
      </c>
      <c r="W9351" s="74" t="str">
        <f>IFERROR(VLOOKUP($O9351,'Customer List'!$A$1:$J$488,10,FALSE),"")</f>
        <v/>
      </c>
    </row>
    <row r="9352" spans="18:23">
      <c r="R9352" s="127">
        <f t="shared" si="367"/>
        <v>0</v>
      </c>
      <c r="T9352" s="128">
        <f t="shared" si="366"/>
        <v>0</v>
      </c>
      <c r="U9352" s="129" t="str">
        <f>IFERROR(IF(#REF!="S",VLOOKUP('Raw Data'!A9352,References!#REF!,2,FALSE),(VLOOKUP($S9352,References!$B$3:$C$7,2,FALSE))),"")</f>
        <v/>
      </c>
      <c r="W9352" s="74" t="str">
        <f>IFERROR(VLOOKUP($O9352,'Customer List'!$A$1:$J$488,10,FALSE),"")</f>
        <v/>
      </c>
    </row>
    <row r="9353" spans="18:23">
      <c r="R9353" s="127">
        <f t="shared" si="367"/>
        <v>0</v>
      </c>
      <c r="T9353" s="128">
        <f t="shared" si="366"/>
        <v>0</v>
      </c>
      <c r="U9353" s="129" t="str">
        <f>IFERROR(IF(#REF!="S",VLOOKUP('Raw Data'!A9353,References!#REF!,2,FALSE),(VLOOKUP($S9353,References!$B$3:$C$7,2,FALSE))),"")</f>
        <v/>
      </c>
      <c r="W9353" s="74" t="str">
        <f>IFERROR(VLOOKUP($O9353,'Customer List'!$A$1:$J$488,10,FALSE),"")</f>
        <v/>
      </c>
    </row>
    <row r="9354" spans="18:23">
      <c r="R9354" s="127">
        <f t="shared" si="367"/>
        <v>0</v>
      </c>
      <c r="T9354" s="128">
        <f t="shared" ref="T9354:T9417" si="368">IF(S9354="50 - Cleaning Fee",1,HOUR($R9354)+MINUTE(R9354)/60)</f>
        <v>0</v>
      </c>
      <c r="U9354" s="129" t="str">
        <f>IFERROR(IF(#REF!="S",VLOOKUP('Raw Data'!A9354,References!#REF!,2,FALSE),(VLOOKUP($S9354,References!$B$3:$C$7,2,FALSE))),"")</f>
        <v/>
      </c>
      <c r="W9354" s="74" t="str">
        <f>IFERROR(VLOOKUP($O9354,'Customer List'!$A$1:$J$488,10,FALSE),"")</f>
        <v/>
      </c>
    </row>
    <row r="9355" spans="18:23">
      <c r="R9355" s="127">
        <f t="shared" si="367"/>
        <v>0</v>
      </c>
      <c r="T9355" s="128">
        <f t="shared" si="368"/>
        <v>0</v>
      </c>
      <c r="U9355" s="129" t="str">
        <f>IFERROR(IF(#REF!="S",VLOOKUP('Raw Data'!A9355,References!#REF!,2,FALSE),(VLOOKUP($S9355,References!$B$3:$C$7,2,FALSE))),"")</f>
        <v/>
      </c>
      <c r="W9355" s="74" t="str">
        <f>IFERROR(VLOOKUP($O9355,'Customer List'!$A$1:$J$488,10,FALSE),"")</f>
        <v/>
      </c>
    </row>
    <row r="9356" spans="18:23">
      <c r="R9356" s="127">
        <f t="shared" si="367"/>
        <v>0</v>
      </c>
      <c r="T9356" s="128">
        <f t="shared" si="368"/>
        <v>0</v>
      </c>
      <c r="U9356" s="129" t="str">
        <f>IFERROR(IF(#REF!="S",VLOOKUP('Raw Data'!A9356,References!#REF!,2,FALSE),(VLOOKUP($S9356,References!$B$3:$C$7,2,FALSE))),"")</f>
        <v/>
      </c>
      <c r="W9356" s="74" t="str">
        <f>IFERROR(VLOOKUP($O9356,'Customer List'!$A$1:$J$488,10,FALSE),"")</f>
        <v/>
      </c>
    </row>
    <row r="9357" spans="18:23">
      <c r="R9357" s="127">
        <f t="shared" si="367"/>
        <v>0</v>
      </c>
      <c r="T9357" s="128">
        <f t="shared" si="368"/>
        <v>0</v>
      </c>
      <c r="U9357" s="129" t="str">
        <f>IFERROR(IF(#REF!="S",VLOOKUP('Raw Data'!A9357,References!#REF!,2,FALSE),(VLOOKUP($S9357,References!$B$3:$C$7,2,FALSE))),"")</f>
        <v/>
      </c>
      <c r="W9357" s="74" t="str">
        <f>IFERROR(VLOOKUP($O9357,'Customer List'!$A$1:$J$488,10,FALSE),"")</f>
        <v/>
      </c>
    </row>
    <row r="9358" spans="18:23">
      <c r="R9358" s="127">
        <f t="shared" si="367"/>
        <v>0</v>
      </c>
      <c r="T9358" s="128">
        <f t="shared" si="368"/>
        <v>0</v>
      </c>
      <c r="U9358" s="129" t="str">
        <f>IFERROR(IF(#REF!="S",VLOOKUP('Raw Data'!A9358,References!#REF!,2,FALSE),(VLOOKUP($S9358,References!$B$3:$C$7,2,FALSE))),"")</f>
        <v/>
      </c>
      <c r="W9358" s="74" t="str">
        <f>IFERROR(VLOOKUP($O9358,'Customer List'!$A$1:$J$488,10,FALSE),"")</f>
        <v/>
      </c>
    </row>
    <row r="9359" spans="18:23">
      <c r="R9359" s="127">
        <f t="shared" si="367"/>
        <v>0</v>
      </c>
      <c r="T9359" s="128">
        <f t="shared" si="368"/>
        <v>0</v>
      </c>
      <c r="U9359" s="129" t="str">
        <f>IFERROR(IF(#REF!="S",VLOOKUP('Raw Data'!A9359,References!#REF!,2,FALSE),(VLOOKUP($S9359,References!$B$3:$C$7,2,FALSE))),"")</f>
        <v/>
      </c>
      <c r="W9359" s="74" t="str">
        <f>IFERROR(VLOOKUP($O9359,'Customer List'!$A$1:$J$488,10,FALSE),"")</f>
        <v/>
      </c>
    </row>
    <row r="9360" spans="18:23">
      <c r="R9360" s="127">
        <f t="shared" si="367"/>
        <v>0</v>
      </c>
      <c r="T9360" s="128">
        <f t="shared" si="368"/>
        <v>0</v>
      </c>
      <c r="U9360" s="129" t="str">
        <f>IFERROR(IF(#REF!="S",VLOOKUP('Raw Data'!A9360,References!#REF!,2,FALSE),(VLOOKUP($S9360,References!$B$3:$C$7,2,FALSE))),"")</f>
        <v/>
      </c>
      <c r="W9360" s="74" t="str">
        <f>IFERROR(VLOOKUP($O9360,'Customer List'!$A$1:$J$488,10,FALSE),"")</f>
        <v/>
      </c>
    </row>
    <row r="9361" spans="18:23">
      <c r="R9361" s="127">
        <f t="shared" si="367"/>
        <v>0</v>
      </c>
      <c r="T9361" s="128">
        <f t="shared" si="368"/>
        <v>0</v>
      </c>
      <c r="U9361" s="129" t="str">
        <f>IFERROR(IF(#REF!="S",VLOOKUP('Raw Data'!A9361,References!#REF!,2,FALSE),(VLOOKUP($S9361,References!$B$3:$C$7,2,FALSE))),"")</f>
        <v/>
      </c>
      <c r="W9361" s="74" t="str">
        <f>IFERROR(VLOOKUP($O9361,'Customer List'!$A$1:$J$488,10,FALSE),"")</f>
        <v/>
      </c>
    </row>
    <row r="9362" spans="18:23">
      <c r="R9362" s="127">
        <f t="shared" si="367"/>
        <v>0</v>
      </c>
      <c r="T9362" s="128">
        <f t="shared" si="368"/>
        <v>0</v>
      </c>
      <c r="U9362" s="129" t="str">
        <f>IFERROR(IF(#REF!="S",VLOOKUP('Raw Data'!A9362,References!#REF!,2,FALSE),(VLOOKUP($S9362,References!$B$3:$C$7,2,FALSE))),"")</f>
        <v/>
      </c>
      <c r="W9362" s="74" t="str">
        <f>IFERROR(VLOOKUP($O9362,'Customer List'!$A$1:$J$488,10,FALSE),"")</f>
        <v/>
      </c>
    </row>
    <row r="9363" spans="18:23">
      <c r="R9363" s="127">
        <f t="shared" si="367"/>
        <v>0</v>
      </c>
      <c r="T9363" s="128">
        <f t="shared" si="368"/>
        <v>0</v>
      </c>
      <c r="U9363" s="129" t="str">
        <f>IFERROR(IF(#REF!="S",VLOOKUP('Raw Data'!A9363,References!#REF!,2,FALSE),(VLOOKUP($S9363,References!$B$3:$C$7,2,FALSE))),"")</f>
        <v/>
      </c>
      <c r="W9363" s="74" t="str">
        <f>IFERROR(VLOOKUP($O9363,'Customer List'!$A$1:$J$488,10,FALSE),"")</f>
        <v/>
      </c>
    </row>
    <row r="9364" spans="18:23">
      <c r="R9364" s="127">
        <f t="shared" si="367"/>
        <v>0</v>
      </c>
      <c r="T9364" s="128">
        <f t="shared" si="368"/>
        <v>0</v>
      </c>
      <c r="U9364" s="129" t="str">
        <f>IFERROR(IF(#REF!="S",VLOOKUP('Raw Data'!A9364,References!#REF!,2,FALSE),(VLOOKUP($S9364,References!$B$3:$C$7,2,FALSE))),"")</f>
        <v/>
      </c>
      <c r="W9364" s="74" t="str">
        <f>IFERROR(VLOOKUP($O9364,'Customer List'!$A$1:$J$488,10,FALSE),"")</f>
        <v/>
      </c>
    </row>
    <row r="9365" spans="18:23">
      <c r="R9365" s="127">
        <f t="shared" si="367"/>
        <v>0</v>
      </c>
      <c r="T9365" s="128">
        <f t="shared" si="368"/>
        <v>0</v>
      </c>
      <c r="U9365" s="129" t="str">
        <f>IFERROR(IF(#REF!="S",VLOOKUP('Raw Data'!A9365,References!#REF!,2,FALSE),(VLOOKUP($S9365,References!$B$3:$C$7,2,FALSE))),"")</f>
        <v/>
      </c>
      <c r="W9365" s="74" t="str">
        <f>IFERROR(VLOOKUP($O9365,'Customer List'!$A$1:$J$488,10,FALSE),"")</f>
        <v/>
      </c>
    </row>
    <row r="9366" spans="18:23">
      <c r="R9366" s="127">
        <f t="shared" si="367"/>
        <v>0</v>
      </c>
      <c r="T9366" s="128">
        <f t="shared" si="368"/>
        <v>0</v>
      </c>
      <c r="U9366" s="129" t="str">
        <f>IFERROR(IF(#REF!="S",VLOOKUP('Raw Data'!A9366,References!#REF!,2,FALSE),(VLOOKUP($S9366,References!$B$3:$C$7,2,FALSE))),"")</f>
        <v/>
      </c>
      <c r="W9366" s="74" t="str">
        <f>IFERROR(VLOOKUP($O9366,'Customer List'!$A$1:$J$488,10,FALSE),"")</f>
        <v/>
      </c>
    </row>
    <row r="9367" spans="18:23">
      <c r="R9367" s="127">
        <f t="shared" si="367"/>
        <v>0</v>
      </c>
      <c r="T9367" s="128">
        <f t="shared" si="368"/>
        <v>0</v>
      </c>
      <c r="U9367" s="129" t="str">
        <f>IFERROR(IF(#REF!="S",VLOOKUP('Raw Data'!A9367,References!#REF!,2,FALSE),(VLOOKUP($S9367,References!$B$3:$C$7,2,FALSE))),"")</f>
        <v/>
      </c>
      <c r="W9367" s="74" t="str">
        <f>IFERROR(VLOOKUP($O9367,'Customer List'!$A$1:$J$488,10,FALSE),"")</f>
        <v/>
      </c>
    </row>
    <row r="9368" spans="18:23">
      <c r="R9368" s="127">
        <f t="shared" si="367"/>
        <v>0</v>
      </c>
      <c r="T9368" s="128">
        <f t="shared" si="368"/>
        <v>0</v>
      </c>
      <c r="U9368" s="129" t="str">
        <f>IFERROR(IF(#REF!="S",VLOOKUP('Raw Data'!A9368,References!#REF!,2,FALSE),(VLOOKUP($S9368,References!$B$3:$C$7,2,FALSE))),"")</f>
        <v/>
      </c>
      <c r="W9368" s="74" t="str">
        <f>IFERROR(VLOOKUP($O9368,'Customer List'!$A$1:$J$488,10,FALSE),"")</f>
        <v/>
      </c>
    </row>
    <row r="9369" spans="18:23">
      <c r="R9369" s="127">
        <f t="shared" si="367"/>
        <v>0</v>
      </c>
      <c r="T9369" s="128">
        <f t="shared" si="368"/>
        <v>0</v>
      </c>
      <c r="U9369" s="129" t="str">
        <f>IFERROR(IF(#REF!="S",VLOOKUP('Raw Data'!A9369,References!#REF!,2,FALSE),(VLOOKUP($S9369,References!$B$3:$C$7,2,FALSE))),"")</f>
        <v/>
      </c>
      <c r="W9369" s="74" t="str">
        <f>IFERROR(VLOOKUP($O9369,'Customer List'!$A$1:$J$488,10,FALSE),"")</f>
        <v/>
      </c>
    </row>
    <row r="9370" spans="18:23">
      <c r="R9370" s="127">
        <f t="shared" si="367"/>
        <v>0</v>
      </c>
      <c r="T9370" s="128">
        <f t="shared" si="368"/>
        <v>0</v>
      </c>
      <c r="U9370" s="129" t="str">
        <f>IFERROR(IF(#REF!="S",VLOOKUP('Raw Data'!A9370,References!#REF!,2,FALSE),(VLOOKUP($S9370,References!$B$3:$C$7,2,FALSE))),"")</f>
        <v/>
      </c>
      <c r="W9370" s="74" t="str">
        <f>IFERROR(VLOOKUP($O9370,'Customer List'!$A$1:$J$488,10,FALSE),"")</f>
        <v/>
      </c>
    </row>
    <row r="9371" spans="18:23">
      <c r="R9371" s="127">
        <f t="shared" si="367"/>
        <v>0</v>
      </c>
      <c r="T9371" s="128">
        <f t="shared" si="368"/>
        <v>0</v>
      </c>
      <c r="U9371" s="129" t="str">
        <f>IFERROR(IF(#REF!="S",VLOOKUP('Raw Data'!A9371,References!#REF!,2,FALSE),(VLOOKUP($S9371,References!$B$3:$C$7,2,FALSE))),"")</f>
        <v/>
      </c>
      <c r="W9371" s="74" t="str">
        <f>IFERROR(VLOOKUP($O9371,'Customer List'!$A$1:$J$488,10,FALSE),"")</f>
        <v/>
      </c>
    </row>
    <row r="9372" spans="18:23">
      <c r="R9372" s="127">
        <f t="shared" si="367"/>
        <v>0</v>
      </c>
      <c r="T9372" s="128">
        <f t="shared" si="368"/>
        <v>0</v>
      </c>
      <c r="U9372" s="129" t="str">
        <f>IFERROR(IF(#REF!="S",VLOOKUP('Raw Data'!A9372,References!#REF!,2,FALSE),(VLOOKUP($S9372,References!$B$3:$C$7,2,FALSE))),"")</f>
        <v/>
      </c>
      <c r="W9372" s="74" t="str">
        <f>IFERROR(VLOOKUP($O9372,'Customer List'!$A$1:$J$488,10,FALSE),"")</f>
        <v/>
      </c>
    </row>
    <row r="9373" spans="18:23">
      <c r="R9373" s="127">
        <f t="shared" si="367"/>
        <v>0</v>
      </c>
      <c r="T9373" s="128">
        <f t="shared" si="368"/>
        <v>0</v>
      </c>
      <c r="U9373" s="129" t="str">
        <f>IFERROR(IF(#REF!="S",VLOOKUP('Raw Data'!A9373,References!#REF!,2,FALSE),(VLOOKUP($S9373,References!$B$3:$C$7,2,FALSE))),"")</f>
        <v/>
      </c>
      <c r="W9373" s="74" t="str">
        <f>IFERROR(VLOOKUP($O9373,'Customer List'!$A$1:$J$488,10,FALSE),"")</f>
        <v/>
      </c>
    </row>
    <row r="9374" spans="18:23">
      <c r="R9374" s="127">
        <f t="shared" si="367"/>
        <v>0</v>
      </c>
      <c r="T9374" s="128">
        <f t="shared" si="368"/>
        <v>0</v>
      </c>
      <c r="U9374" s="129" t="str">
        <f>IFERROR(IF(#REF!="S",VLOOKUP('Raw Data'!A9374,References!#REF!,2,FALSE),(VLOOKUP($S9374,References!$B$3:$C$7,2,FALSE))),"")</f>
        <v/>
      </c>
      <c r="W9374" s="74" t="str">
        <f>IFERROR(VLOOKUP($O9374,'Customer List'!$A$1:$J$488,10,FALSE),"")</f>
        <v/>
      </c>
    </row>
    <row r="9375" spans="18:23">
      <c r="R9375" s="127">
        <f t="shared" si="367"/>
        <v>0</v>
      </c>
      <c r="T9375" s="128">
        <f t="shared" si="368"/>
        <v>0</v>
      </c>
      <c r="U9375" s="129" t="str">
        <f>IFERROR(IF(#REF!="S",VLOOKUP('Raw Data'!A9375,References!#REF!,2,FALSE),(VLOOKUP($S9375,References!$B$3:$C$7,2,FALSE))),"")</f>
        <v/>
      </c>
      <c r="W9375" s="74" t="str">
        <f>IFERROR(VLOOKUP($O9375,'Customer List'!$A$1:$J$488,10,FALSE),"")</f>
        <v/>
      </c>
    </row>
    <row r="9376" spans="18:23">
      <c r="R9376" s="127">
        <f t="shared" si="367"/>
        <v>0</v>
      </c>
      <c r="T9376" s="128">
        <f t="shared" si="368"/>
        <v>0</v>
      </c>
      <c r="U9376" s="129" t="str">
        <f>IFERROR(IF(#REF!="S",VLOOKUP('Raw Data'!A9376,References!#REF!,2,FALSE),(VLOOKUP($S9376,References!$B$3:$C$7,2,FALSE))),"")</f>
        <v/>
      </c>
      <c r="W9376" s="74" t="str">
        <f>IFERROR(VLOOKUP($O9376,'Customer List'!$A$1:$J$488,10,FALSE),"")</f>
        <v/>
      </c>
    </row>
    <row r="9377" spans="18:23">
      <c r="R9377" s="127">
        <f t="shared" si="367"/>
        <v>0</v>
      </c>
      <c r="T9377" s="128">
        <f t="shared" si="368"/>
        <v>0</v>
      </c>
      <c r="U9377" s="129" t="str">
        <f>IFERROR(IF(#REF!="S",VLOOKUP('Raw Data'!A9377,References!#REF!,2,FALSE),(VLOOKUP($S9377,References!$B$3:$C$7,2,FALSE))),"")</f>
        <v/>
      </c>
      <c r="W9377" s="74" t="str">
        <f>IFERROR(VLOOKUP($O9377,'Customer List'!$A$1:$J$488,10,FALSE),"")</f>
        <v/>
      </c>
    </row>
    <row r="9378" spans="18:23">
      <c r="R9378" s="127">
        <f t="shared" ref="R9378:R9441" si="369">L9378-K9378</f>
        <v>0</v>
      </c>
      <c r="T9378" s="128">
        <f t="shared" si="368"/>
        <v>0</v>
      </c>
      <c r="U9378" s="129" t="str">
        <f>IFERROR(IF(#REF!="S",VLOOKUP('Raw Data'!A9378,References!#REF!,2,FALSE),(VLOOKUP($S9378,References!$B$3:$C$7,2,FALSE))),"")</f>
        <v/>
      </c>
      <c r="W9378" s="74" t="str">
        <f>IFERROR(VLOOKUP($O9378,'Customer List'!$A$1:$J$488,10,FALSE),"")</f>
        <v/>
      </c>
    </row>
    <row r="9379" spans="18:23">
      <c r="R9379" s="127">
        <f t="shared" si="369"/>
        <v>0</v>
      </c>
      <c r="T9379" s="128">
        <f t="shared" si="368"/>
        <v>0</v>
      </c>
      <c r="U9379" s="129" t="str">
        <f>IFERROR(IF(#REF!="S",VLOOKUP('Raw Data'!A9379,References!#REF!,2,FALSE),(VLOOKUP($S9379,References!$B$3:$C$7,2,FALSE))),"")</f>
        <v/>
      </c>
      <c r="W9379" s="74" t="str">
        <f>IFERROR(VLOOKUP($O9379,'Customer List'!$A$1:$J$488,10,FALSE),"")</f>
        <v/>
      </c>
    </row>
    <row r="9380" spans="18:23">
      <c r="R9380" s="127">
        <f t="shared" si="369"/>
        <v>0</v>
      </c>
      <c r="T9380" s="128">
        <f t="shared" si="368"/>
        <v>0</v>
      </c>
      <c r="U9380" s="129" t="str">
        <f>IFERROR(IF(#REF!="S",VLOOKUP('Raw Data'!A9380,References!#REF!,2,FALSE),(VLOOKUP($S9380,References!$B$3:$C$7,2,FALSE))),"")</f>
        <v/>
      </c>
      <c r="W9380" s="74" t="str">
        <f>IFERROR(VLOOKUP($O9380,'Customer List'!$A$1:$J$488,10,FALSE),"")</f>
        <v/>
      </c>
    </row>
    <row r="9381" spans="18:23">
      <c r="R9381" s="127">
        <f t="shared" si="369"/>
        <v>0</v>
      </c>
      <c r="T9381" s="128">
        <f t="shared" si="368"/>
        <v>0</v>
      </c>
      <c r="U9381" s="129" t="str">
        <f>IFERROR(IF(#REF!="S",VLOOKUP('Raw Data'!A9381,References!#REF!,2,FALSE),(VLOOKUP($S9381,References!$B$3:$C$7,2,FALSE))),"")</f>
        <v/>
      </c>
      <c r="W9381" s="74" t="str">
        <f>IFERROR(VLOOKUP($O9381,'Customer List'!$A$1:$J$488,10,FALSE),"")</f>
        <v/>
      </c>
    </row>
    <row r="9382" spans="18:23">
      <c r="R9382" s="127">
        <f t="shared" si="369"/>
        <v>0</v>
      </c>
      <c r="T9382" s="128">
        <f t="shared" si="368"/>
        <v>0</v>
      </c>
      <c r="U9382" s="129" t="str">
        <f>IFERROR(IF(#REF!="S",VLOOKUP('Raw Data'!A9382,References!#REF!,2,FALSE),(VLOOKUP($S9382,References!$B$3:$C$7,2,FALSE))),"")</f>
        <v/>
      </c>
      <c r="W9382" s="74" t="str">
        <f>IFERROR(VLOOKUP($O9382,'Customer List'!$A$1:$J$488,10,FALSE),"")</f>
        <v/>
      </c>
    </row>
    <row r="9383" spans="18:23">
      <c r="R9383" s="127">
        <f t="shared" si="369"/>
        <v>0</v>
      </c>
      <c r="T9383" s="128">
        <f t="shared" si="368"/>
        <v>0</v>
      </c>
      <c r="U9383" s="129" t="str">
        <f>IFERROR(IF(#REF!="S",VLOOKUP('Raw Data'!A9383,References!#REF!,2,FALSE),(VLOOKUP($S9383,References!$B$3:$C$7,2,FALSE))),"")</f>
        <v/>
      </c>
      <c r="W9383" s="74" t="str">
        <f>IFERROR(VLOOKUP($O9383,'Customer List'!$A$1:$J$488,10,FALSE),"")</f>
        <v/>
      </c>
    </row>
    <row r="9384" spans="18:23">
      <c r="R9384" s="127">
        <f t="shared" si="369"/>
        <v>0</v>
      </c>
      <c r="T9384" s="128">
        <f t="shared" si="368"/>
        <v>0</v>
      </c>
      <c r="U9384" s="129" t="str">
        <f>IFERROR(IF(#REF!="S",VLOOKUP('Raw Data'!A9384,References!#REF!,2,FALSE),(VLOOKUP($S9384,References!$B$3:$C$7,2,FALSE))),"")</f>
        <v/>
      </c>
      <c r="W9384" s="74" t="str">
        <f>IFERROR(VLOOKUP($O9384,'Customer List'!$A$1:$J$488,10,FALSE),"")</f>
        <v/>
      </c>
    </row>
    <row r="9385" spans="18:23">
      <c r="R9385" s="127">
        <f t="shared" si="369"/>
        <v>0</v>
      </c>
      <c r="T9385" s="128">
        <f t="shared" si="368"/>
        <v>0</v>
      </c>
      <c r="U9385" s="129" t="str">
        <f>IFERROR(IF(#REF!="S",VLOOKUP('Raw Data'!A9385,References!#REF!,2,FALSE),(VLOOKUP($S9385,References!$B$3:$C$7,2,FALSE))),"")</f>
        <v/>
      </c>
      <c r="W9385" s="74" t="str">
        <f>IFERROR(VLOOKUP($O9385,'Customer List'!$A$1:$J$488,10,FALSE),"")</f>
        <v/>
      </c>
    </row>
    <row r="9386" spans="18:23">
      <c r="R9386" s="127">
        <f t="shared" si="369"/>
        <v>0</v>
      </c>
      <c r="T9386" s="128">
        <f t="shared" si="368"/>
        <v>0</v>
      </c>
      <c r="U9386" s="129" t="str">
        <f>IFERROR(IF(#REF!="S",VLOOKUP('Raw Data'!A9386,References!#REF!,2,FALSE),(VLOOKUP($S9386,References!$B$3:$C$7,2,FALSE))),"")</f>
        <v/>
      </c>
      <c r="W9386" s="74" t="str">
        <f>IFERROR(VLOOKUP($O9386,'Customer List'!$A$1:$J$488,10,FALSE),"")</f>
        <v/>
      </c>
    </row>
    <row r="9387" spans="18:23">
      <c r="R9387" s="127">
        <f t="shared" si="369"/>
        <v>0</v>
      </c>
      <c r="T9387" s="128">
        <f t="shared" si="368"/>
        <v>0</v>
      </c>
      <c r="U9387" s="129" t="str">
        <f>IFERROR(IF(#REF!="S",VLOOKUP('Raw Data'!A9387,References!#REF!,2,FALSE),(VLOOKUP($S9387,References!$B$3:$C$7,2,FALSE))),"")</f>
        <v/>
      </c>
      <c r="W9387" s="74" t="str">
        <f>IFERROR(VLOOKUP($O9387,'Customer List'!$A$1:$J$488,10,FALSE),"")</f>
        <v/>
      </c>
    </row>
    <row r="9388" spans="18:23">
      <c r="R9388" s="127">
        <f t="shared" si="369"/>
        <v>0</v>
      </c>
      <c r="T9388" s="128">
        <f t="shared" si="368"/>
        <v>0</v>
      </c>
      <c r="U9388" s="129" t="str">
        <f>IFERROR(IF(#REF!="S",VLOOKUP('Raw Data'!A9388,References!#REF!,2,FALSE),(VLOOKUP($S9388,References!$B$3:$C$7,2,FALSE))),"")</f>
        <v/>
      </c>
      <c r="W9388" s="74" t="str">
        <f>IFERROR(VLOOKUP($O9388,'Customer List'!$A$1:$J$488,10,FALSE),"")</f>
        <v/>
      </c>
    </row>
    <row r="9389" spans="18:23">
      <c r="R9389" s="127">
        <f t="shared" si="369"/>
        <v>0</v>
      </c>
      <c r="T9389" s="128">
        <f t="shared" si="368"/>
        <v>0</v>
      </c>
      <c r="U9389" s="129" t="str">
        <f>IFERROR(IF(#REF!="S",VLOOKUP('Raw Data'!A9389,References!#REF!,2,FALSE),(VLOOKUP($S9389,References!$B$3:$C$7,2,FALSE))),"")</f>
        <v/>
      </c>
      <c r="W9389" s="74" t="str">
        <f>IFERROR(VLOOKUP($O9389,'Customer List'!$A$1:$J$488,10,FALSE),"")</f>
        <v/>
      </c>
    </row>
    <row r="9390" spans="18:23">
      <c r="R9390" s="127">
        <f t="shared" si="369"/>
        <v>0</v>
      </c>
      <c r="T9390" s="128">
        <f t="shared" si="368"/>
        <v>0</v>
      </c>
      <c r="U9390" s="129" t="str">
        <f>IFERROR(IF(#REF!="S",VLOOKUP('Raw Data'!A9390,References!#REF!,2,FALSE),(VLOOKUP($S9390,References!$B$3:$C$7,2,FALSE))),"")</f>
        <v/>
      </c>
      <c r="W9390" s="74" t="str">
        <f>IFERROR(VLOOKUP($O9390,'Customer List'!$A$1:$J$488,10,FALSE),"")</f>
        <v/>
      </c>
    </row>
    <row r="9391" spans="18:23">
      <c r="R9391" s="127">
        <f t="shared" si="369"/>
        <v>0</v>
      </c>
      <c r="T9391" s="128">
        <f t="shared" si="368"/>
        <v>0</v>
      </c>
      <c r="U9391" s="129" t="str">
        <f>IFERROR(IF(#REF!="S",VLOOKUP('Raw Data'!A9391,References!#REF!,2,FALSE),(VLOOKUP($S9391,References!$B$3:$C$7,2,FALSE))),"")</f>
        <v/>
      </c>
      <c r="W9391" s="74" t="str">
        <f>IFERROR(VLOOKUP($O9391,'Customer List'!$A$1:$J$488,10,FALSE),"")</f>
        <v/>
      </c>
    </row>
    <row r="9392" spans="18:23">
      <c r="R9392" s="127">
        <f t="shared" si="369"/>
        <v>0</v>
      </c>
      <c r="T9392" s="128">
        <f t="shared" si="368"/>
        <v>0</v>
      </c>
      <c r="U9392" s="129" t="str">
        <f>IFERROR(IF(#REF!="S",VLOOKUP('Raw Data'!A9392,References!#REF!,2,FALSE),(VLOOKUP($S9392,References!$B$3:$C$7,2,FALSE))),"")</f>
        <v/>
      </c>
      <c r="W9392" s="74" t="str">
        <f>IFERROR(VLOOKUP($O9392,'Customer List'!$A$1:$J$488,10,FALSE),"")</f>
        <v/>
      </c>
    </row>
    <row r="9393" spans="18:23">
      <c r="R9393" s="127">
        <f t="shared" si="369"/>
        <v>0</v>
      </c>
      <c r="T9393" s="128">
        <f t="shared" si="368"/>
        <v>0</v>
      </c>
      <c r="U9393" s="129" t="str">
        <f>IFERROR(IF(#REF!="S",VLOOKUP('Raw Data'!A9393,References!#REF!,2,FALSE),(VLOOKUP($S9393,References!$B$3:$C$7,2,FALSE))),"")</f>
        <v/>
      </c>
      <c r="W9393" s="74" t="str">
        <f>IFERROR(VLOOKUP($O9393,'Customer List'!$A$1:$J$488,10,FALSE),"")</f>
        <v/>
      </c>
    </row>
    <row r="9394" spans="18:23">
      <c r="R9394" s="127">
        <f t="shared" si="369"/>
        <v>0</v>
      </c>
      <c r="T9394" s="128">
        <f t="shared" si="368"/>
        <v>0</v>
      </c>
      <c r="U9394" s="129" t="str">
        <f>IFERROR(IF(#REF!="S",VLOOKUP('Raw Data'!A9394,References!#REF!,2,FALSE),(VLOOKUP($S9394,References!$B$3:$C$7,2,FALSE))),"")</f>
        <v/>
      </c>
      <c r="W9394" s="74" t="str">
        <f>IFERROR(VLOOKUP($O9394,'Customer List'!$A$1:$J$488,10,FALSE),"")</f>
        <v/>
      </c>
    </row>
    <row r="9395" spans="18:23">
      <c r="R9395" s="127">
        <f t="shared" si="369"/>
        <v>0</v>
      </c>
      <c r="T9395" s="128">
        <f t="shared" si="368"/>
        <v>0</v>
      </c>
      <c r="U9395" s="129" t="str">
        <f>IFERROR(IF(#REF!="S",VLOOKUP('Raw Data'!A9395,References!#REF!,2,FALSE),(VLOOKUP($S9395,References!$B$3:$C$7,2,FALSE))),"")</f>
        <v/>
      </c>
      <c r="W9395" s="74" t="str">
        <f>IFERROR(VLOOKUP($O9395,'Customer List'!$A$1:$J$488,10,FALSE),"")</f>
        <v/>
      </c>
    </row>
    <row r="9396" spans="18:23">
      <c r="R9396" s="127">
        <f t="shared" si="369"/>
        <v>0</v>
      </c>
      <c r="T9396" s="128">
        <f t="shared" si="368"/>
        <v>0</v>
      </c>
      <c r="U9396" s="129" t="str">
        <f>IFERROR(IF(#REF!="S",VLOOKUP('Raw Data'!A9396,References!#REF!,2,FALSE),(VLOOKUP($S9396,References!$B$3:$C$7,2,FALSE))),"")</f>
        <v/>
      </c>
      <c r="W9396" s="74" t="str">
        <f>IFERROR(VLOOKUP($O9396,'Customer List'!$A$1:$J$488,10,FALSE),"")</f>
        <v/>
      </c>
    </row>
    <row r="9397" spans="18:23">
      <c r="R9397" s="127">
        <f t="shared" si="369"/>
        <v>0</v>
      </c>
      <c r="T9397" s="128">
        <f t="shared" si="368"/>
        <v>0</v>
      </c>
      <c r="U9397" s="129" t="str">
        <f>IFERROR(IF(#REF!="S",VLOOKUP('Raw Data'!A9397,References!#REF!,2,FALSE),(VLOOKUP($S9397,References!$B$3:$C$7,2,FALSE))),"")</f>
        <v/>
      </c>
      <c r="W9397" s="74" t="str">
        <f>IFERROR(VLOOKUP($O9397,'Customer List'!$A$1:$J$488,10,FALSE),"")</f>
        <v/>
      </c>
    </row>
    <row r="9398" spans="18:23">
      <c r="R9398" s="127">
        <f t="shared" si="369"/>
        <v>0</v>
      </c>
      <c r="T9398" s="128">
        <f t="shared" si="368"/>
        <v>0</v>
      </c>
      <c r="U9398" s="129" t="str">
        <f>IFERROR(IF(#REF!="S",VLOOKUP('Raw Data'!A9398,References!#REF!,2,FALSE),(VLOOKUP($S9398,References!$B$3:$C$7,2,FALSE))),"")</f>
        <v/>
      </c>
      <c r="W9398" s="74" t="str">
        <f>IFERROR(VLOOKUP($O9398,'Customer List'!$A$1:$J$488,10,FALSE),"")</f>
        <v/>
      </c>
    </row>
    <row r="9399" spans="18:23">
      <c r="R9399" s="127">
        <f t="shared" si="369"/>
        <v>0</v>
      </c>
      <c r="T9399" s="128">
        <f t="shared" si="368"/>
        <v>0</v>
      </c>
      <c r="U9399" s="129" t="str">
        <f>IFERROR(IF(#REF!="S",VLOOKUP('Raw Data'!A9399,References!#REF!,2,FALSE),(VLOOKUP($S9399,References!$B$3:$C$7,2,FALSE))),"")</f>
        <v/>
      </c>
      <c r="W9399" s="74" t="str">
        <f>IFERROR(VLOOKUP($O9399,'Customer List'!$A$1:$J$488,10,FALSE),"")</f>
        <v/>
      </c>
    </row>
    <row r="9400" spans="18:23">
      <c r="R9400" s="127">
        <f t="shared" si="369"/>
        <v>0</v>
      </c>
      <c r="T9400" s="128">
        <f t="shared" si="368"/>
        <v>0</v>
      </c>
      <c r="U9400" s="129" t="str">
        <f>IFERROR(IF(#REF!="S",VLOOKUP('Raw Data'!A9400,References!#REF!,2,FALSE),(VLOOKUP($S9400,References!$B$3:$C$7,2,FALSE))),"")</f>
        <v/>
      </c>
      <c r="W9400" s="74" t="str">
        <f>IFERROR(VLOOKUP($O9400,'Customer List'!$A$1:$J$488,10,FALSE),"")</f>
        <v/>
      </c>
    </row>
    <row r="9401" spans="18:23">
      <c r="R9401" s="127">
        <f t="shared" si="369"/>
        <v>0</v>
      </c>
      <c r="T9401" s="128">
        <f t="shared" si="368"/>
        <v>0</v>
      </c>
      <c r="U9401" s="129" t="str">
        <f>IFERROR(IF(#REF!="S",VLOOKUP('Raw Data'!A9401,References!#REF!,2,FALSE),(VLOOKUP($S9401,References!$B$3:$C$7,2,FALSE))),"")</f>
        <v/>
      </c>
      <c r="W9401" s="74" t="str">
        <f>IFERROR(VLOOKUP($O9401,'Customer List'!$A$1:$J$488,10,FALSE),"")</f>
        <v/>
      </c>
    </row>
    <row r="9402" spans="18:23">
      <c r="R9402" s="127">
        <f t="shared" si="369"/>
        <v>0</v>
      </c>
      <c r="T9402" s="128">
        <f t="shared" si="368"/>
        <v>0</v>
      </c>
      <c r="U9402" s="129" t="str">
        <f>IFERROR(IF(#REF!="S",VLOOKUP('Raw Data'!A9402,References!#REF!,2,FALSE),(VLOOKUP($S9402,References!$B$3:$C$7,2,FALSE))),"")</f>
        <v/>
      </c>
      <c r="W9402" s="74" t="str">
        <f>IFERROR(VLOOKUP($O9402,'Customer List'!$A$1:$J$488,10,FALSE),"")</f>
        <v/>
      </c>
    </row>
    <row r="9403" spans="18:23">
      <c r="R9403" s="127">
        <f t="shared" si="369"/>
        <v>0</v>
      </c>
      <c r="T9403" s="128">
        <f t="shared" si="368"/>
        <v>0</v>
      </c>
      <c r="U9403" s="129" t="str">
        <f>IFERROR(IF(#REF!="S",VLOOKUP('Raw Data'!A9403,References!#REF!,2,FALSE),(VLOOKUP($S9403,References!$B$3:$C$7,2,FALSE))),"")</f>
        <v/>
      </c>
      <c r="W9403" s="74" t="str">
        <f>IFERROR(VLOOKUP($O9403,'Customer List'!$A$1:$J$488,10,FALSE),"")</f>
        <v/>
      </c>
    </row>
    <row r="9404" spans="18:23">
      <c r="R9404" s="127">
        <f t="shared" si="369"/>
        <v>0</v>
      </c>
      <c r="T9404" s="128">
        <f t="shared" si="368"/>
        <v>0</v>
      </c>
      <c r="U9404" s="129" t="str">
        <f>IFERROR(IF(#REF!="S",VLOOKUP('Raw Data'!A9404,References!#REF!,2,FALSE),(VLOOKUP($S9404,References!$B$3:$C$7,2,FALSE))),"")</f>
        <v/>
      </c>
      <c r="W9404" s="74" t="str">
        <f>IFERROR(VLOOKUP($O9404,'Customer List'!$A$1:$J$488,10,FALSE),"")</f>
        <v/>
      </c>
    </row>
    <row r="9405" spans="18:23">
      <c r="R9405" s="127">
        <f t="shared" si="369"/>
        <v>0</v>
      </c>
      <c r="T9405" s="128">
        <f t="shared" si="368"/>
        <v>0</v>
      </c>
      <c r="U9405" s="129" t="str">
        <f>IFERROR(IF(#REF!="S",VLOOKUP('Raw Data'!A9405,References!#REF!,2,FALSE),(VLOOKUP($S9405,References!$B$3:$C$7,2,FALSE))),"")</f>
        <v/>
      </c>
      <c r="W9405" s="74" t="str">
        <f>IFERROR(VLOOKUP($O9405,'Customer List'!$A$1:$J$488,10,FALSE),"")</f>
        <v/>
      </c>
    </row>
    <row r="9406" spans="18:23">
      <c r="R9406" s="127">
        <f t="shared" si="369"/>
        <v>0</v>
      </c>
      <c r="T9406" s="128">
        <f t="shared" si="368"/>
        <v>0</v>
      </c>
      <c r="U9406" s="129" t="str">
        <f>IFERROR(IF(#REF!="S",VLOOKUP('Raw Data'!A9406,References!#REF!,2,FALSE),(VLOOKUP($S9406,References!$B$3:$C$7,2,FALSE))),"")</f>
        <v/>
      </c>
      <c r="W9406" s="74" t="str">
        <f>IFERROR(VLOOKUP($O9406,'Customer List'!$A$1:$J$488,10,FALSE),"")</f>
        <v/>
      </c>
    </row>
    <row r="9407" spans="18:23">
      <c r="R9407" s="127">
        <f t="shared" si="369"/>
        <v>0</v>
      </c>
      <c r="T9407" s="128">
        <f t="shared" si="368"/>
        <v>0</v>
      </c>
      <c r="U9407" s="129" t="str">
        <f>IFERROR(IF(#REF!="S",VLOOKUP('Raw Data'!A9407,References!#REF!,2,FALSE),(VLOOKUP($S9407,References!$B$3:$C$7,2,FALSE))),"")</f>
        <v/>
      </c>
      <c r="W9407" s="74" t="str">
        <f>IFERROR(VLOOKUP($O9407,'Customer List'!$A$1:$J$488,10,FALSE),"")</f>
        <v/>
      </c>
    </row>
    <row r="9408" spans="18:23">
      <c r="R9408" s="127">
        <f t="shared" si="369"/>
        <v>0</v>
      </c>
      <c r="T9408" s="128">
        <f t="shared" si="368"/>
        <v>0</v>
      </c>
      <c r="U9408" s="129" t="str">
        <f>IFERROR(IF(#REF!="S",VLOOKUP('Raw Data'!A9408,References!#REF!,2,FALSE),(VLOOKUP($S9408,References!$B$3:$C$7,2,FALSE))),"")</f>
        <v/>
      </c>
      <c r="W9408" s="74" t="str">
        <f>IFERROR(VLOOKUP($O9408,'Customer List'!$A$1:$J$488,10,FALSE),"")</f>
        <v/>
      </c>
    </row>
    <row r="9409" spans="18:23">
      <c r="R9409" s="127">
        <f t="shared" si="369"/>
        <v>0</v>
      </c>
      <c r="T9409" s="128">
        <f t="shared" si="368"/>
        <v>0</v>
      </c>
      <c r="U9409" s="129" t="str">
        <f>IFERROR(IF(#REF!="S",VLOOKUP('Raw Data'!A9409,References!#REF!,2,FALSE),(VLOOKUP($S9409,References!$B$3:$C$7,2,FALSE))),"")</f>
        <v/>
      </c>
      <c r="W9409" s="74" t="str">
        <f>IFERROR(VLOOKUP($O9409,'Customer List'!$A$1:$J$488,10,FALSE),"")</f>
        <v/>
      </c>
    </row>
    <row r="9410" spans="18:23">
      <c r="R9410" s="127">
        <f t="shared" si="369"/>
        <v>0</v>
      </c>
      <c r="T9410" s="128">
        <f t="shared" si="368"/>
        <v>0</v>
      </c>
      <c r="U9410" s="129" t="str">
        <f>IFERROR(IF(#REF!="S",VLOOKUP('Raw Data'!A9410,References!#REF!,2,FALSE),(VLOOKUP($S9410,References!$B$3:$C$7,2,FALSE))),"")</f>
        <v/>
      </c>
      <c r="W9410" s="74" t="str">
        <f>IFERROR(VLOOKUP($O9410,'Customer List'!$A$1:$J$488,10,FALSE),"")</f>
        <v/>
      </c>
    </row>
    <row r="9411" spans="18:23">
      <c r="R9411" s="127">
        <f t="shared" si="369"/>
        <v>0</v>
      </c>
      <c r="T9411" s="128">
        <f t="shared" si="368"/>
        <v>0</v>
      </c>
      <c r="U9411" s="129" t="str">
        <f>IFERROR(IF(#REF!="S",VLOOKUP('Raw Data'!A9411,References!#REF!,2,FALSE),(VLOOKUP($S9411,References!$B$3:$C$7,2,FALSE))),"")</f>
        <v/>
      </c>
      <c r="W9411" s="74" t="str">
        <f>IFERROR(VLOOKUP($O9411,'Customer List'!$A$1:$J$488,10,FALSE),"")</f>
        <v/>
      </c>
    </row>
    <row r="9412" spans="18:23">
      <c r="R9412" s="127">
        <f t="shared" si="369"/>
        <v>0</v>
      </c>
      <c r="T9412" s="128">
        <f t="shared" si="368"/>
        <v>0</v>
      </c>
      <c r="U9412" s="129" t="str">
        <f>IFERROR(IF(#REF!="S",VLOOKUP('Raw Data'!A9412,References!#REF!,2,FALSE),(VLOOKUP($S9412,References!$B$3:$C$7,2,FALSE))),"")</f>
        <v/>
      </c>
      <c r="W9412" s="74" t="str">
        <f>IFERROR(VLOOKUP($O9412,'Customer List'!$A$1:$J$488,10,FALSE),"")</f>
        <v/>
      </c>
    </row>
    <row r="9413" spans="18:23">
      <c r="R9413" s="127">
        <f t="shared" si="369"/>
        <v>0</v>
      </c>
      <c r="T9413" s="128">
        <f t="shared" si="368"/>
        <v>0</v>
      </c>
      <c r="U9413" s="129" t="str">
        <f>IFERROR(IF(#REF!="S",VLOOKUP('Raw Data'!A9413,References!#REF!,2,FALSE),(VLOOKUP($S9413,References!$B$3:$C$7,2,FALSE))),"")</f>
        <v/>
      </c>
      <c r="W9413" s="74" t="str">
        <f>IFERROR(VLOOKUP($O9413,'Customer List'!$A$1:$J$488,10,FALSE),"")</f>
        <v/>
      </c>
    </row>
    <row r="9414" spans="18:23">
      <c r="R9414" s="127">
        <f t="shared" si="369"/>
        <v>0</v>
      </c>
      <c r="T9414" s="128">
        <f t="shared" si="368"/>
        <v>0</v>
      </c>
      <c r="U9414" s="129" t="str">
        <f>IFERROR(IF(#REF!="S",VLOOKUP('Raw Data'!A9414,References!#REF!,2,FALSE),(VLOOKUP($S9414,References!$B$3:$C$7,2,FALSE))),"")</f>
        <v/>
      </c>
      <c r="W9414" s="74" t="str">
        <f>IFERROR(VLOOKUP($O9414,'Customer List'!$A$1:$J$488,10,FALSE),"")</f>
        <v/>
      </c>
    </row>
    <row r="9415" spans="18:23">
      <c r="R9415" s="127">
        <f t="shared" si="369"/>
        <v>0</v>
      </c>
      <c r="T9415" s="128">
        <f t="shared" si="368"/>
        <v>0</v>
      </c>
      <c r="U9415" s="129" t="str">
        <f>IFERROR(IF(#REF!="S",VLOOKUP('Raw Data'!A9415,References!#REF!,2,FALSE),(VLOOKUP($S9415,References!$B$3:$C$7,2,FALSE))),"")</f>
        <v/>
      </c>
      <c r="W9415" s="74" t="str">
        <f>IFERROR(VLOOKUP($O9415,'Customer List'!$A$1:$J$488,10,FALSE),"")</f>
        <v/>
      </c>
    </row>
    <row r="9416" spans="18:23">
      <c r="R9416" s="127">
        <f t="shared" si="369"/>
        <v>0</v>
      </c>
      <c r="T9416" s="128">
        <f t="shared" si="368"/>
        <v>0</v>
      </c>
      <c r="U9416" s="129" t="str">
        <f>IFERROR(IF(#REF!="S",VLOOKUP('Raw Data'!A9416,References!#REF!,2,FALSE),(VLOOKUP($S9416,References!$B$3:$C$7,2,FALSE))),"")</f>
        <v/>
      </c>
      <c r="W9416" s="74" t="str">
        <f>IFERROR(VLOOKUP($O9416,'Customer List'!$A$1:$J$488,10,FALSE),"")</f>
        <v/>
      </c>
    </row>
    <row r="9417" spans="18:23">
      <c r="R9417" s="127">
        <f t="shared" si="369"/>
        <v>0</v>
      </c>
      <c r="T9417" s="128">
        <f t="shared" si="368"/>
        <v>0</v>
      </c>
      <c r="U9417" s="129" t="str">
        <f>IFERROR(IF(#REF!="S",VLOOKUP('Raw Data'!A9417,References!#REF!,2,FALSE),(VLOOKUP($S9417,References!$B$3:$C$7,2,FALSE))),"")</f>
        <v/>
      </c>
      <c r="W9417" s="74" t="str">
        <f>IFERROR(VLOOKUP($O9417,'Customer List'!$A$1:$J$488,10,FALSE),"")</f>
        <v/>
      </c>
    </row>
    <row r="9418" spans="18:23">
      <c r="R9418" s="127">
        <f t="shared" si="369"/>
        <v>0</v>
      </c>
      <c r="T9418" s="128">
        <f t="shared" ref="T9418:T9465" si="370">IF(S9418="50 - Cleaning Fee",1,HOUR($R9418)+MINUTE(R9418)/60)</f>
        <v>0</v>
      </c>
      <c r="U9418" s="129" t="str">
        <f>IFERROR(IF(#REF!="S",VLOOKUP('Raw Data'!A9418,References!#REF!,2,FALSE),(VLOOKUP($S9418,References!$B$3:$C$7,2,FALSE))),"")</f>
        <v/>
      </c>
      <c r="W9418" s="74" t="str">
        <f>IFERROR(VLOOKUP($O9418,'Customer List'!$A$1:$J$488,10,FALSE),"")</f>
        <v/>
      </c>
    </row>
    <row r="9419" spans="18:23">
      <c r="R9419" s="127">
        <f t="shared" si="369"/>
        <v>0</v>
      </c>
      <c r="T9419" s="128">
        <f t="shared" si="370"/>
        <v>0</v>
      </c>
      <c r="U9419" s="129" t="str">
        <f>IFERROR(IF(#REF!="S",VLOOKUP('Raw Data'!A9419,References!#REF!,2,FALSE),(VLOOKUP($S9419,References!$B$3:$C$7,2,FALSE))),"")</f>
        <v/>
      </c>
      <c r="W9419" s="74" t="str">
        <f>IFERROR(VLOOKUP($O9419,'Customer List'!$A$1:$J$488,10,FALSE),"")</f>
        <v/>
      </c>
    </row>
    <row r="9420" spans="18:23">
      <c r="R9420" s="127">
        <f t="shared" si="369"/>
        <v>0</v>
      </c>
      <c r="T9420" s="128">
        <f t="shared" si="370"/>
        <v>0</v>
      </c>
      <c r="U9420" s="129" t="str">
        <f>IFERROR(IF(#REF!="S",VLOOKUP('Raw Data'!A9420,References!#REF!,2,FALSE),(VLOOKUP($S9420,References!$B$3:$C$7,2,FALSE))),"")</f>
        <v/>
      </c>
      <c r="W9420" s="74" t="str">
        <f>IFERROR(VLOOKUP($O9420,'Customer List'!$A$1:$J$488,10,FALSE),"")</f>
        <v/>
      </c>
    </row>
    <row r="9421" spans="18:23">
      <c r="R9421" s="127">
        <f t="shared" si="369"/>
        <v>0</v>
      </c>
      <c r="T9421" s="128">
        <f t="shared" si="370"/>
        <v>0</v>
      </c>
      <c r="U9421" s="129" t="str">
        <f>IFERROR(IF(#REF!="S",VLOOKUP('Raw Data'!A9421,References!#REF!,2,FALSE),(VLOOKUP($S9421,References!$B$3:$C$7,2,FALSE))),"")</f>
        <v/>
      </c>
      <c r="W9421" s="74" t="str">
        <f>IFERROR(VLOOKUP($O9421,'Customer List'!$A$1:$J$488,10,FALSE),"")</f>
        <v/>
      </c>
    </row>
    <row r="9422" spans="18:23">
      <c r="R9422" s="127">
        <f t="shared" si="369"/>
        <v>0</v>
      </c>
      <c r="T9422" s="128">
        <f t="shared" si="370"/>
        <v>0</v>
      </c>
      <c r="U9422" s="129" t="str">
        <f>IFERROR(IF(#REF!="S",VLOOKUP('Raw Data'!A9422,References!#REF!,2,FALSE),(VLOOKUP($S9422,References!$B$3:$C$7,2,FALSE))),"")</f>
        <v/>
      </c>
      <c r="W9422" s="74" t="str">
        <f>IFERROR(VLOOKUP($O9422,'Customer List'!$A$1:$J$488,10,FALSE),"")</f>
        <v/>
      </c>
    </row>
    <row r="9423" spans="18:23">
      <c r="R9423" s="127">
        <f t="shared" si="369"/>
        <v>0</v>
      </c>
      <c r="T9423" s="128">
        <f t="shared" si="370"/>
        <v>0</v>
      </c>
      <c r="U9423" s="129" t="str">
        <f>IFERROR(IF(#REF!="S",VLOOKUP('Raw Data'!A9423,References!#REF!,2,FALSE),(VLOOKUP($S9423,References!$B$3:$C$7,2,FALSE))),"")</f>
        <v/>
      </c>
      <c r="W9423" s="74" t="str">
        <f>IFERROR(VLOOKUP($O9423,'Customer List'!$A$1:$J$488,10,FALSE),"")</f>
        <v/>
      </c>
    </row>
    <row r="9424" spans="18:23">
      <c r="R9424" s="127">
        <f t="shared" si="369"/>
        <v>0</v>
      </c>
      <c r="T9424" s="128">
        <f t="shared" si="370"/>
        <v>0</v>
      </c>
      <c r="U9424" s="129" t="str">
        <f>IFERROR(IF(#REF!="S",VLOOKUP('Raw Data'!A9424,References!#REF!,2,FALSE),(VLOOKUP($S9424,References!$B$3:$C$7,2,FALSE))),"")</f>
        <v/>
      </c>
      <c r="W9424" s="74" t="str">
        <f>IFERROR(VLOOKUP($O9424,'Customer List'!$A$1:$J$488,10,FALSE),"")</f>
        <v/>
      </c>
    </row>
    <row r="9425" spans="18:23">
      <c r="R9425" s="127">
        <f t="shared" si="369"/>
        <v>0</v>
      </c>
      <c r="T9425" s="128">
        <f t="shared" si="370"/>
        <v>0</v>
      </c>
      <c r="U9425" s="129" t="str">
        <f>IFERROR(IF(#REF!="S",VLOOKUP('Raw Data'!A9425,References!#REF!,2,FALSE),(VLOOKUP($S9425,References!$B$3:$C$7,2,FALSE))),"")</f>
        <v/>
      </c>
      <c r="W9425" s="74" t="str">
        <f>IFERROR(VLOOKUP($O9425,'Customer List'!$A$1:$J$488,10,FALSE),"")</f>
        <v/>
      </c>
    </row>
    <row r="9426" spans="18:23">
      <c r="R9426" s="127">
        <f t="shared" si="369"/>
        <v>0</v>
      </c>
      <c r="T9426" s="128">
        <f t="shared" si="370"/>
        <v>0</v>
      </c>
      <c r="U9426" s="129" t="str">
        <f>IFERROR(IF(#REF!="S",VLOOKUP('Raw Data'!A9426,References!#REF!,2,FALSE),(VLOOKUP($S9426,References!$B$3:$C$7,2,FALSE))),"")</f>
        <v/>
      </c>
      <c r="W9426" s="74" t="str">
        <f>IFERROR(VLOOKUP($O9426,'Customer List'!$A$1:$J$488,10,FALSE),"")</f>
        <v/>
      </c>
    </row>
    <row r="9427" spans="18:23">
      <c r="R9427" s="127">
        <f t="shared" si="369"/>
        <v>0</v>
      </c>
      <c r="T9427" s="128">
        <f t="shared" si="370"/>
        <v>0</v>
      </c>
      <c r="U9427" s="129" t="str">
        <f>IFERROR(IF(#REF!="S",VLOOKUP('Raw Data'!A9427,References!#REF!,2,FALSE),(VLOOKUP($S9427,References!$B$3:$C$7,2,FALSE))),"")</f>
        <v/>
      </c>
      <c r="W9427" s="74" t="str">
        <f>IFERROR(VLOOKUP($O9427,'Customer List'!$A$1:$J$488,10,FALSE),"")</f>
        <v/>
      </c>
    </row>
    <row r="9428" spans="18:23">
      <c r="R9428" s="127">
        <f t="shared" si="369"/>
        <v>0</v>
      </c>
      <c r="T9428" s="128">
        <f t="shared" si="370"/>
        <v>0</v>
      </c>
      <c r="U9428" s="129" t="str">
        <f>IFERROR(IF(#REF!="S",VLOOKUP('Raw Data'!A9428,References!#REF!,2,FALSE),(VLOOKUP($S9428,References!$B$3:$C$7,2,FALSE))),"")</f>
        <v/>
      </c>
      <c r="W9428" s="74" t="str">
        <f>IFERROR(VLOOKUP($O9428,'Customer List'!$A$1:$J$488,10,FALSE),"")</f>
        <v/>
      </c>
    </row>
    <row r="9429" spans="18:23">
      <c r="R9429" s="127">
        <f t="shared" si="369"/>
        <v>0</v>
      </c>
      <c r="T9429" s="128">
        <f t="shared" si="370"/>
        <v>0</v>
      </c>
      <c r="U9429" s="129" t="str">
        <f>IFERROR(IF(#REF!="S",VLOOKUP('Raw Data'!A9429,References!#REF!,2,FALSE),(VLOOKUP($S9429,References!$B$3:$C$7,2,FALSE))),"")</f>
        <v/>
      </c>
      <c r="W9429" s="74" t="str">
        <f>IFERROR(VLOOKUP($O9429,'Customer List'!$A$1:$J$488,10,FALSE),"")</f>
        <v/>
      </c>
    </row>
    <row r="9430" spans="18:23">
      <c r="R9430" s="127">
        <f t="shared" si="369"/>
        <v>0</v>
      </c>
      <c r="T9430" s="128">
        <f t="shared" si="370"/>
        <v>0</v>
      </c>
      <c r="U9430" s="129" t="str">
        <f>IFERROR(IF(#REF!="S",VLOOKUP('Raw Data'!A9430,References!#REF!,2,FALSE),(VLOOKUP($S9430,References!$B$3:$C$7,2,FALSE))),"")</f>
        <v/>
      </c>
      <c r="W9430" s="74" t="str">
        <f>IFERROR(VLOOKUP($O9430,'Customer List'!$A$1:$J$488,10,FALSE),"")</f>
        <v/>
      </c>
    </row>
    <row r="9431" spans="18:23">
      <c r="R9431" s="127">
        <f t="shared" si="369"/>
        <v>0</v>
      </c>
      <c r="T9431" s="128">
        <f t="shared" si="370"/>
        <v>0</v>
      </c>
      <c r="U9431" s="129" t="str">
        <f>IFERROR(IF(#REF!="S",VLOOKUP('Raw Data'!A9431,References!#REF!,2,FALSE),(VLOOKUP($S9431,References!$B$3:$C$7,2,FALSE))),"")</f>
        <v/>
      </c>
      <c r="W9431" s="74" t="str">
        <f>IFERROR(VLOOKUP($O9431,'Customer List'!$A$1:$J$488,10,FALSE),"")</f>
        <v/>
      </c>
    </row>
    <row r="9432" spans="18:23">
      <c r="R9432" s="127">
        <f t="shared" si="369"/>
        <v>0</v>
      </c>
      <c r="T9432" s="128">
        <f t="shared" si="370"/>
        <v>0</v>
      </c>
      <c r="U9432" s="129" t="str">
        <f>IFERROR(IF(#REF!="S",VLOOKUP('Raw Data'!A9432,References!#REF!,2,FALSE),(VLOOKUP($S9432,References!$B$3:$C$7,2,FALSE))),"")</f>
        <v/>
      </c>
      <c r="W9432" s="74" t="str">
        <f>IFERROR(VLOOKUP($O9432,'Customer List'!$A$1:$J$488,10,FALSE),"")</f>
        <v/>
      </c>
    </row>
    <row r="9433" spans="18:23">
      <c r="R9433" s="127">
        <f t="shared" si="369"/>
        <v>0</v>
      </c>
      <c r="T9433" s="128">
        <f t="shared" si="370"/>
        <v>0</v>
      </c>
      <c r="U9433" s="129" t="str">
        <f>IFERROR(IF(#REF!="S",VLOOKUP('Raw Data'!A9433,References!#REF!,2,FALSE),(VLOOKUP($S9433,References!$B$3:$C$7,2,FALSE))),"")</f>
        <v/>
      </c>
      <c r="W9433" s="74" t="str">
        <f>IFERROR(VLOOKUP($O9433,'Customer List'!$A$1:$J$488,10,FALSE),"")</f>
        <v/>
      </c>
    </row>
    <row r="9434" spans="18:23">
      <c r="R9434" s="127">
        <f t="shared" si="369"/>
        <v>0</v>
      </c>
      <c r="T9434" s="128">
        <f t="shared" si="370"/>
        <v>0</v>
      </c>
      <c r="U9434" s="129" t="str">
        <f>IFERROR(IF(#REF!="S",VLOOKUP('Raw Data'!A9434,References!#REF!,2,FALSE),(VLOOKUP($S9434,References!$B$3:$C$7,2,FALSE))),"")</f>
        <v/>
      </c>
      <c r="W9434" s="74" t="str">
        <f>IFERROR(VLOOKUP($O9434,'Customer List'!$A$1:$J$488,10,FALSE),"")</f>
        <v/>
      </c>
    </row>
    <row r="9435" spans="18:23">
      <c r="R9435" s="127">
        <f t="shared" si="369"/>
        <v>0</v>
      </c>
      <c r="T9435" s="128">
        <f t="shared" si="370"/>
        <v>0</v>
      </c>
      <c r="U9435" s="129" t="str">
        <f>IFERROR(IF(#REF!="S",VLOOKUP('Raw Data'!A9435,References!#REF!,2,FALSE),(VLOOKUP($S9435,References!$B$3:$C$7,2,FALSE))),"")</f>
        <v/>
      </c>
      <c r="W9435" s="74" t="str">
        <f>IFERROR(VLOOKUP($O9435,'Customer List'!$A$1:$J$488,10,FALSE),"")</f>
        <v/>
      </c>
    </row>
    <row r="9436" spans="18:23">
      <c r="R9436" s="127">
        <f t="shared" si="369"/>
        <v>0</v>
      </c>
      <c r="T9436" s="128">
        <f t="shared" si="370"/>
        <v>0</v>
      </c>
      <c r="U9436" s="129" t="str">
        <f>IFERROR(IF(#REF!="S",VLOOKUP('Raw Data'!A9436,References!#REF!,2,FALSE),(VLOOKUP($S9436,References!$B$3:$C$7,2,FALSE))),"")</f>
        <v/>
      </c>
      <c r="W9436" s="74" t="str">
        <f>IFERROR(VLOOKUP($O9436,'Customer List'!$A$1:$J$488,10,FALSE),"")</f>
        <v/>
      </c>
    </row>
    <row r="9437" spans="18:23">
      <c r="R9437" s="127">
        <f t="shared" si="369"/>
        <v>0</v>
      </c>
      <c r="T9437" s="128">
        <f t="shared" si="370"/>
        <v>0</v>
      </c>
      <c r="U9437" s="129" t="str">
        <f>IFERROR(IF(#REF!="S",VLOOKUP('Raw Data'!A9437,References!#REF!,2,FALSE),(VLOOKUP($S9437,References!$B$3:$C$7,2,FALSE))),"")</f>
        <v/>
      </c>
      <c r="W9437" s="74" t="str">
        <f>IFERROR(VLOOKUP($O9437,'Customer List'!$A$1:$J$488,10,FALSE),"")</f>
        <v/>
      </c>
    </row>
    <row r="9438" spans="18:23">
      <c r="R9438" s="127">
        <f t="shared" si="369"/>
        <v>0</v>
      </c>
      <c r="T9438" s="128">
        <f t="shared" si="370"/>
        <v>0</v>
      </c>
      <c r="U9438" s="129" t="str">
        <f>IFERROR(IF(#REF!="S",VLOOKUP('Raw Data'!A9438,References!#REF!,2,FALSE),(VLOOKUP($S9438,References!$B$3:$C$7,2,FALSE))),"")</f>
        <v/>
      </c>
      <c r="W9438" s="74" t="str">
        <f>IFERROR(VLOOKUP($O9438,'Customer List'!$A$1:$J$488,10,FALSE),"")</f>
        <v/>
      </c>
    </row>
    <row r="9439" spans="18:23">
      <c r="R9439" s="127">
        <f t="shared" si="369"/>
        <v>0</v>
      </c>
      <c r="T9439" s="128">
        <f t="shared" si="370"/>
        <v>0</v>
      </c>
      <c r="U9439" s="129" t="str">
        <f>IFERROR(IF(#REF!="S",VLOOKUP('Raw Data'!A9439,References!#REF!,2,FALSE),(VLOOKUP($S9439,References!$B$3:$C$7,2,FALSE))),"")</f>
        <v/>
      </c>
      <c r="W9439" s="74" t="str">
        <f>IFERROR(VLOOKUP($O9439,'Customer List'!$A$1:$J$488,10,FALSE),"")</f>
        <v/>
      </c>
    </row>
    <row r="9440" spans="18:23">
      <c r="R9440" s="127">
        <f t="shared" si="369"/>
        <v>0</v>
      </c>
      <c r="T9440" s="128">
        <f t="shared" si="370"/>
        <v>0</v>
      </c>
      <c r="U9440" s="129" t="str">
        <f>IFERROR(IF(#REF!="S",VLOOKUP('Raw Data'!A9440,References!#REF!,2,FALSE),(VLOOKUP($S9440,References!$B$3:$C$7,2,FALSE))),"")</f>
        <v/>
      </c>
      <c r="W9440" s="74" t="str">
        <f>IFERROR(VLOOKUP($O9440,'Customer List'!$A$1:$J$488,10,FALSE),"")</f>
        <v/>
      </c>
    </row>
    <row r="9441" spans="18:23">
      <c r="R9441" s="127">
        <f t="shared" si="369"/>
        <v>0</v>
      </c>
      <c r="T9441" s="128">
        <f t="shared" si="370"/>
        <v>0</v>
      </c>
      <c r="U9441" s="129" t="str">
        <f>IFERROR(IF(#REF!="S",VLOOKUP('Raw Data'!A9441,References!#REF!,2,FALSE),(VLOOKUP($S9441,References!$B$3:$C$7,2,FALSE))),"")</f>
        <v/>
      </c>
      <c r="W9441" s="74" t="str">
        <f>IFERROR(VLOOKUP($O9441,'Customer List'!$A$1:$J$488,10,FALSE),"")</f>
        <v/>
      </c>
    </row>
    <row r="9442" spans="18:23">
      <c r="R9442" s="127">
        <f t="shared" ref="R9442:R9505" si="371">L9442-K9442</f>
        <v>0</v>
      </c>
      <c r="T9442" s="128">
        <f t="shared" si="370"/>
        <v>0</v>
      </c>
      <c r="U9442" s="129" t="str">
        <f>IFERROR(IF(#REF!="S",VLOOKUP('Raw Data'!A9442,References!#REF!,2,FALSE),(VLOOKUP($S9442,References!$B$3:$C$7,2,FALSE))),"")</f>
        <v/>
      </c>
      <c r="W9442" s="74" t="str">
        <f>IFERROR(VLOOKUP($O9442,'Customer List'!$A$1:$J$488,10,FALSE),"")</f>
        <v/>
      </c>
    </row>
    <row r="9443" spans="18:23">
      <c r="R9443" s="127">
        <f t="shared" si="371"/>
        <v>0</v>
      </c>
      <c r="T9443" s="128">
        <f t="shared" si="370"/>
        <v>0</v>
      </c>
      <c r="U9443" s="129" t="str">
        <f>IFERROR(IF(#REF!="S",VLOOKUP('Raw Data'!A9443,References!#REF!,2,FALSE),(VLOOKUP($S9443,References!$B$3:$C$7,2,FALSE))),"")</f>
        <v/>
      </c>
      <c r="W9443" s="74" t="str">
        <f>IFERROR(VLOOKUP($O9443,'Customer List'!$A$1:$J$488,10,FALSE),"")</f>
        <v/>
      </c>
    </row>
    <row r="9444" spans="18:23">
      <c r="R9444" s="127">
        <f t="shared" si="371"/>
        <v>0</v>
      </c>
      <c r="T9444" s="128">
        <f t="shared" si="370"/>
        <v>0</v>
      </c>
      <c r="U9444" s="129" t="str">
        <f>IFERROR(IF(#REF!="S",VLOOKUP('Raw Data'!A9444,References!#REF!,2,FALSE),(VLOOKUP($S9444,References!$B$3:$C$7,2,FALSE))),"")</f>
        <v/>
      </c>
      <c r="W9444" s="74" t="str">
        <f>IFERROR(VLOOKUP($O9444,'Customer List'!$A$1:$J$488,10,FALSE),"")</f>
        <v/>
      </c>
    </row>
    <row r="9445" spans="18:23">
      <c r="R9445" s="127">
        <f t="shared" si="371"/>
        <v>0</v>
      </c>
      <c r="T9445" s="128">
        <f t="shared" si="370"/>
        <v>0</v>
      </c>
      <c r="U9445" s="129" t="str">
        <f>IFERROR(IF(#REF!="S",VLOOKUP('Raw Data'!A9445,References!#REF!,2,FALSE),(VLOOKUP($S9445,References!$B$3:$C$7,2,FALSE))),"")</f>
        <v/>
      </c>
      <c r="W9445" s="74" t="str">
        <f>IFERROR(VLOOKUP($O9445,'Customer List'!$A$1:$J$488,10,FALSE),"")</f>
        <v/>
      </c>
    </row>
    <row r="9446" spans="18:23">
      <c r="R9446" s="127">
        <f t="shared" si="371"/>
        <v>0</v>
      </c>
      <c r="T9446" s="128">
        <f t="shared" si="370"/>
        <v>0</v>
      </c>
      <c r="U9446" s="129" t="str">
        <f>IFERROR(IF(#REF!="S",VLOOKUP('Raw Data'!A9446,References!#REF!,2,FALSE),(VLOOKUP($S9446,References!$B$3:$C$7,2,FALSE))),"")</f>
        <v/>
      </c>
      <c r="W9446" s="74" t="str">
        <f>IFERROR(VLOOKUP($O9446,'Customer List'!$A$1:$J$488,10,FALSE),"")</f>
        <v/>
      </c>
    </row>
    <row r="9447" spans="18:23">
      <c r="R9447" s="127">
        <f t="shared" si="371"/>
        <v>0</v>
      </c>
      <c r="T9447" s="128">
        <f t="shared" si="370"/>
        <v>0</v>
      </c>
      <c r="U9447" s="129" t="str">
        <f>IFERROR(IF(#REF!="S",VLOOKUP('Raw Data'!A9447,References!#REF!,2,FALSE),(VLOOKUP($S9447,References!$B$3:$C$7,2,FALSE))),"")</f>
        <v/>
      </c>
      <c r="W9447" s="74" t="str">
        <f>IFERROR(VLOOKUP($O9447,'Customer List'!$A$1:$J$488,10,FALSE),"")</f>
        <v/>
      </c>
    </row>
    <row r="9448" spans="18:23">
      <c r="R9448" s="127">
        <f t="shared" si="371"/>
        <v>0</v>
      </c>
      <c r="T9448" s="128">
        <f t="shared" si="370"/>
        <v>0</v>
      </c>
      <c r="U9448" s="129" t="str">
        <f>IFERROR(IF(#REF!="S",VLOOKUP('Raw Data'!A9448,References!#REF!,2,FALSE),(VLOOKUP($S9448,References!$B$3:$C$7,2,FALSE))),"")</f>
        <v/>
      </c>
      <c r="W9448" s="74" t="str">
        <f>IFERROR(VLOOKUP($O9448,'Customer List'!$A$1:$J$488,10,FALSE),"")</f>
        <v/>
      </c>
    </row>
    <row r="9449" spans="18:23">
      <c r="R9449" s="127">
        <f t="shared" si="371"/>
        <v>0</v>
      </c>
      <c r="T9449" s="128">
        <f t="shared" si="370"/>
        <v>0</v>
      </c>
      <c r="U9449" s="129" t="str">
        <f>IFERROR(IF(#REF!="S",VLOOKUP('Raw Data'!A9449,References!#REF!,2,FALSE),(VLOOKUP($S9449,References!$B$3:$C$7,2,FALSE))),"")</f>
        <v/>
      </c>
      <c r="W9449" s="74" t="str">
        <f>IFERROR(VLOOKUP($O9449,'Customer List'!$A$1:$J$488,10,FALSE),"")</f>
        <v/>
      </c>
    </row>
    <row r="9450" spans="18:23">
      <c r="R9450" s="127">
        <f t="shared" si="371"/>
        <v>0</v>
      </c>
      <c r="T9450" s="128">
        <f t="shared" si="370"/>
        <v>0</v>
      </c>
      <c r="U9450" s="129" t="str">
        <f>IFERROR(IF(#REF!="S",VLOOKUP('Raw Data'!A9450,References!#REF!,2,FALSE),(VLOOKUP($S9450,References!$B$3:$C$7,2,FALSE))),"")</f>
        <v/>
      </c>
      <c r="W9450" s="74" t="str">
        <f>IFERROR(VLOOKUP($O9450,'Customer List'!$A$1:$J$488,10,FALSE),"")</f>
        <v/>
      </c>
    </row>
    <row r="9451" spans="18:23">
      <c r="R9451" s="127">
        <f t="shared" si="371"/>
        <v>0</v>
      </c>
      <c r="T9451" s="128">
        <f t="shared" si="370"/>
        <v>0</v>
      </c>
      <c r="U9451" s="129" t="str">
        <f>IFERROR(IF(#REF!="S",VLOOKUP('Raw Data'!A9451,References!#REF!,2,FALSE),(VLOOKUP($S9451,References!$B$3:$C$7,2,FALSE))),"")</f>
        <v/>
      </c>
      <c r="W9451" s="74" t="str">
        <f>IFERROR(VLOOKUP($O9451,'Customer List'!$A$1:$J$488,10,FALSE),"")</f>
        <v/>
      </c>
    </row>
    <row r="9452" spans="18:23">
      <c r="R9452" s="127">
        <f t="shared" si="371"/>
        <v>0</v>
      </c>
      <c r="T9452" s="128">
        <f t="shared" si="370"/>
        <v>0</v>
      </c>
      <c r="U9452" s="129" t="str">
        <f>IFERROR(IF(#REF!="S",VLOOKUP('Raw Data'!A9452,References!#REF!,2,FALSE),(VLOOKUP($S9452,References!$B$3:$C$7,2,FALSE))),"")</f>
        <v/>
      </c>
      <c r="W9452" s="74" t="str">
        <f>IFERROR(VLOOKUP($O9452,'Customer List'!$A$1:$J$488,10,FALSE),"")</f>
        <v/>
      </c>
    </row>
    <row r="9453" spans="18:23">
      <c r="R9453" s="127">
        <f t="shared" si="371"/>
        <v>0</v>
      </c>
      <c r="T9453" s="128">
        <f t="shared" si="370"/>
        <v>0</v>
      </c>
      <c r="U9453" s="129" t="str">
        <f>IFERROR(IF(#REF!="S",VLOOKUP('Raw Data'!A9453,References!#REF!,2,FALSE),(VLOOKUP($S9453,References!$B$3:$C$7,2,FALSE))),"")</f>
        <v/>
      </c>
      <c r="W9453" s="74" t="str">
        <f>IFERROR(VLOOKUP($O9453,'Customer List'!$A$1:$J$488,10,FALSE),"")</f>
        <v/>
      </c>
    </row>
    <row r="9454" spans="18:23">
      <c r="R9454" s="127">
        <f t="shared" si="371"/>
        <v>0</v>
      </c>
      <c r="T9454" s="128">
        <f t="shared" si="370"/>
        <v>0</v>
      </c>
      <c r="U9454" s="129" t="str">
        <f>IFERROR(IF(#REF!="S",VLOOKUP('Raw Data'!A9454,References!#REF!,2,FALSE),(VLOOKUP($S9454,References!$B$3:$C$7,2,FALSE))),"")</f>
        <v/>
      </c>
      <c r="W9454" s="74" t="str">
        <f>IFERROR(VLOOKUP($O9454,'Customer List'!$A$1:$J$488,10,FALSE),"")</f>
        <v/>
      </c>
    </row>
    <row r="9455" spans="18:23">
      <c r="R9455" s="127">
        <f t="shared" si="371"/>
        <v>0</v>
      </c>
      <c r="T9455" s="128">
        <f t="shared" si="370"/>
        <v>0</v>
      </c>
      <c r="U9455" s="129" t="str">
        <f>IFERROR(IF(#REF!="S",VLOOKUP('Raw Data'!A9455,References!#REF!,2,FALSE),(VLOOKUP($S9455,References!$B$3:$C$7,2,FALSE))),"")</f>
        <v/>
      </c>
      <c r="W9455" s="74" t="str">
        <f>IFERROR(VLOOKUP($O9455,'Customer List'!$A$1:$J$488,10,FALSE),"")</f>
        <v/>
      </c>
    </row>
    <row r="9456" spans="18:23">
      <c r="R9456" s="127">
        <f t="shared" si="371"/>
        <v>0</v>
      </c>
      <c r="T9456" s="128">
        <f t="shared" si="370"/>
        <v>0</v>
      </c>
      <c r="U9456" s="129" t="str">
        <f>IFERROR(IF(#REF!="S",VLOOKUP('Raw Data'!A9456,References!#REF!,2,FALSE),(VLOOKUP($S9456,References!$B$3:$C$7,2,FALSE))),"")</f>
        <v/>
      </c>
      <c r="W9456" s="74" t="str">
        <f>IFERROR(VLOOKUP($O9456,'Customer List'!$A$1:$J$488,10,FALSE),"")</f>
        <v/>
      </c>
    </row>
    <row r="9457" spans="18:23">
      <c r="R9457" s="127">
        <f t="shared" si="371"/>
        <v>0</v>
      </c>
      <c r="T9457" s="128">
        <f t="shared" si="370"/>
        <v>0</v>
      </c>
      <c r="U9457" s="129" t="str">
        <f>IFERROR(IF(#REF!="S",VLOOKUP('Raw Data'!A9457,References!#REF!,2,FALSE),(VLOOKUP($S9457,References!$B$3:$C$7,2,FALSE))),"")</f>
        <v/>
      </c>
      <c r="W9457" s="74" t="str">
        <f>IFERROR(VLOOKUP($O9457,'Customer List'!$A$1:$J$488,10,FALSE),"")</f>
        <v/>
      </c>
    </row>
    <row r="9458" spans="18:23">
      <c r="R9458" s="127">
        <f t="shared" si="371"/>
        <v>0</v>
      </c>
      <c r="T9458" s="128">
        <f t="shared" si="370"/>
        <v>0</v>
      </c>
      <c r="U9458" s="129" t="str">
        <f>IFERROR(IF(#REF!="S",VLOOKUP('Raw Data'!A9458,References!#REF!,2,FALSE),(VLOOKUP($S9458,References!$B$3:$C$7,2,FALSE))),"")</f>
        <v/>
      </c>
      <c r="W9458" s="74" t="str">
        <f>IFERROR(VLOOKUP($O9458,'Customer List'!$A$1:$J$488,10,FALSE),"")</f>
        <v/>
      </c>
    </row>
    <row r="9459" spans="18:23">
      <c r="R9459" s="127">
        <f t="shared" si="371"/>
        <v>0</v>
      </c>
      <c r="T9459" s="128">
        <f t="shared" si="370"/>
        <v>0</v>
      </c>
      <c r="U9459" s="129" t="str">
        <f>IFERROR(IF(#REF!="S",VLOOKUP('Raw Data'!A9459,References!#REF!,2,FALSE),(VLOOKUP($S9459,References!$B$3:$C$7,2,FALSE))),"")</f>
        <v/>
      </c>
      <c r="W9459" s="74" t="str">
        <f>IFERROR(VLOOKUP($O9459,'Customer List'!$A$1:$J$488,10,FALSE),"")</f>
        <v/>
      </c>
    </row>
    <row r="9460" spans="18:23">
      <c r="R9460" s="127">
        <f t="shared" si="371"/>
        <v>0</v>
      </c>
      <c r="T9460" s="128">
        <f t="shared" si="370"/>
        <v>0</v>
      </c>
      <c r="U9460" s="129" t="str">
        <f>IFERROR(IF(#REF!="S",VLOOKUP('Raw Data'!A9460,References!#REF!,2,FALSE),(VLOOKUP($S9460,References!$B$3:$C$7,2,FALSE))),"")</f>
        <v/>
      </c>
      <c r="W9460" s="74" t="str">
        <f>IFERROR(VLOOKUP($O9460,'Customer List'!$A$1:$J$488,10,FALSE),"")</f>
        <v/>
      </c>
    </row>
    <row r="9461" spans="18:23">
      <c r="R9461" s="127">
        <f t="shared" si="371"/>
        <v>0</v>
      </c>
      <c r="T9461" s="128">
        <f t="shared" si="370"/>
        <v>0</v>
      </c>
      <c r="U9461" s="129" t="str">
        <f>IFERROR(IF(#REF!="S",VLOOKUP('Raw Data'!A9461,References!#REF!,2,FALSE),(VLOOKUP($S9461,References!$B$3:$C$7,2,FALSE))),"")</f>
        <v/>
      </c>
      <c r="W9461" s="74" t="str">
        <f>IFERROR(VLOOKUP($O9461,'Customer List'!$A$1:$J$488,10,FALSE),"")</f>
        <v/>
      </c>
    </row>
    <row r="9462" spans="18:23">
      <c r="R9462" s="127">
        <f t="shared" si="371"/>
        <v>0</v>
      </c>
      <c r="T9462" s="128">
        <f t="shared" si="370"/>
        <v>0</v>
      </c>
      <c r="U9462" s="129" t="str">
        <f>IFERROR(IF(#REF!="S",VLOOKUP('Raw Data'!A9462,References!#REF!,2,FALSE),(VLOOKUP($S9462,References!$B$3:$C$7,2,FALSE))),"")</f>
        <v/>
      </c>
      <c r="W9462" s="74" t="str">
        <f>IFERROR(VLOOKUP($O9462,'Customer List'!$A$1:$J$488,10,FALSE),"")</f>
        <v/>
      </c>
    </row>
    <row r="9463" spans="18:23">
      <c r="R9463" s="127">
        <f t="shared" si="371"/>
        <v>0</v>
      </c>
      <c r="T9463" s="128">
        <f t="shared" si="370"/>
        <v>0</v>
      </c>
      <c r="U9463" s="129" t="str">
        <f>IFERROR(IF(#REF!="S",VLOOKUP('Raw Data'!A9463,References!#REF!,2,FALSE),(VLOOKUP($S9463,References!$B$3:$C$7,2,FALSE))),"")</f>
        <v/>
      </c>
      <c r="W9463" s="74" t="str">
        <f>IFERROR(VLOOKUP($O9463,'Customer List'!$A$1:$J$488,10,FALSE),"")</f>
        <v/>
      </c>
    </row>
    <row r="9464" spans="18:23">
      <c r="R9464" s="127">
        <f t="shared" si="371"/>
        <v>0</v>
      </c>
      <c r="T9464" s="128">
        <f t="shared" si="370"/>
        <v>0</v>
      </c>
      <c r="U9464" s="129" t="str">
        <f>IFERROR(IF(#REF!="S",VLOOKUP('Raw Data'!A9464,References!#REF!,2,FALSE),(VLOOKUP($S9464,References!$B$3:$C$7,2,FALSE))),"")</f>
        <v/>
      </c>
      <c r="W9464" s="74" t="str">
        <f>IFERROR(VLOOKUP($O9464,'Customer List'!$A$1:$J$488,10,FALSE),"")</f>
        <v/>
      </c>
    </row>
    <row r="9465" spans="18:23">
      <c r="R9465" s="127">
        <f t="shared" si="371"/>
        <v>0</v>
      </c>
      <c r="T9465" s="128">
        <f t="shared" si="370"/>
        <v>0</v>
      </c>
      <c r="U9465" s="129" t="str">
        <f>IFERROR(IF(#REF!="S",VLOOKUP('Raw Data'!A9465,References!#REF!,2,FALSE),(VLOOKUP($S9465,References!$B$3:$C$7,2,FALSE))),"")</f>
        <v/>
      </c>
      <c r="W9465" s="74" t="str">
        <f>IFERROR(VLOOKUP($O9465,'Customer List'!$A$1:$J$488,10,FALSE),"")</f>
        <v/>
      </c>
    </row>
    <row r="9466" spans="18:23">
      <c r="R9466" s="127">
        <f t="shared" si="371"/>
        <v>0</v>
      </c>
      <c r="U9466" s="129" t="str">
        <f>IFERROR(IF(#REF!="S",VLOOKUP('Raw Data'!A9466,References!#REF!,2,FALSE),(VLOOKUP($S9466,References!$B$3:$C$7,2,FALSE))),"")</f>
        <v/>
      </c>
      <c r="W9466" s="74" t="str">
        <f>IFERROR(VLOOKUP($O9466,'Customer List'!$A$1:$J$488,10,FALSE),"")</f>
        <v/>
      </c>
    </row>
    <row r="9467" spans="18:23">
      <c r="R9467" s="127">
        <f t="shared" si="371"/>
        <v>0</v>
      </c>
      <c r="U9467" s="129" t="str">
        <f>IFERROR(IF(#REF!="S",VLOOKUP('Raw Data'!A9467,References!#REF!,2,FALSE),(VLOOKUP($S9467,References!$B$3:$C$7,2,FALSE))),"")</f>
        <v/>
      </c>
      <c r="W9467" s="74" t="str">
        <f>IFERROR(VLOOKUP($O9467,'Customer List'!$A$1:$J$488,10,FALSE),"")</f>
        <v/>
      </c>
    </row>
    <row r="9468" spans="18:23">
      <c r="R9468" s="127">
        <f t="shared" si="371"/>
        <v>0</v>
      </c>
      <c r="U9468" s="129" t="str">
        <f>IFERROR(IF(#REF!="S",VLOOKUP('Raw Data'!A9468,References!#REF!,2,FALSE),(VLOOKUP($S9468,References!$B$3:$C$7,2,FALSE))),"")</f>
        <v/>
      </c>
      <c r="W9468" s="74" t="str">
        <f>IFERROR(VLOOKUP($O9468,'Customer List'!$A$1:$J$488,10,FALSE),"")</f>
        <v/>
      </c>
    </row>
    <row r="9469" spans="18:23">
      <c r="R9469" s="127">
        <f t="shared" si="371"/>
        <v>0</v>
      </c>
      <c r="U9469" s="129" t="str">
        <f>IFERROR(IF(#REF!="S",VLOOKUP('Raw Data'!A9469,References!#REF!,2,FALSE),(VLOOKUP($S9469,References!$B$3:$C$7,2,FALSE))),"")</f>
        <v/>
      </c>
      <c r="W9469" s="74" t="str">
        <f>IFERROR(VLOOKUP($O9469,'Customer List'!$A$1:$J$488,10,FALSE),"")</f>
        <v/>
      </c>
    </row>
    <row r="9470" spans="18:23">
      <c r="R9470" s="127">
        <f t="shared" si="371"/>
        <v>0</v>
      </c>
      <c r="U9470" s="129" t="str">
        <f>IFERROR(IF(#REF!="S",VLOOKUP('Raw Data'!A9470,References!#REF!,2,FALSE),(VLOOKUP($S9470,References!$B$3:$C$7,2,FALSE))),"")</f>
        <v/>
      </c>
      <c r="W9470" s="74" t="str">
        <f>IFERROR(VLOOKUP($O9470,'Customer List'!$A$1:$J$488,10,FALSE),"")</f>
        <v/>
      </c>
    </row>
    <row r="9471" spans="18:23">
      <c r="R9471" s="127">
        <f t="shared" si="371"/>
        <v>0</v>
      </c>
      <c r="U9471" s="129" t="str">
        <f>IFERROR(IF(#REF!="S",VLOOKUP('Raw Data'!A9471,References!#REF!,2,FALSE),(VLOOKUP($S9471,References!$B$3:$C$7,2,FALSE))),"")</f>
        <v/>
      </c>
      <c r="W9471" s="74" t="str">
        <f>IFERROR(VLOOKUP($O9471,'Customer List'!$A$1:$J$488,10,FALSE),"")</f>
        <v/>
      </c>
    </row>
    <row r="9472" spans="18:23">
      <c r="R9472" s="127">
        <f t="shared" si="371"/>
        <v>0</v>
      </c>
      <c r="U9472" s="129" t="str">
        <f>IFERROR(IF(#REF!="S",VLOOKUP('Raw Data'!A9472,References!#REF!,2,FALSE),(VLOOKUP($S9472,References!$B$3:$C$7,2,FALSE))),"")</f>
        <v/>
      </c>
      <c r="W9472" s="74" t="str">
        <f>IFERROR(VLOOKUP($O9472,'Customer List'!$A$1:$J$488,10,FALSE),"")</f>
        <v/>
      </c>
    </row>
    <row r="9473" spans="18:23">
      <c r="R9473" s="127">
        <f t="shared" si="371"/>
        <v>0</v>
      </c>
      <c r="U9473" s="129" t="str">
        <f>IFERROR(IF(#REF!="S",VLOOKUP('Raw Data'!A9473,References!#REF!,2,FALSE),(VLOOKUP($S9473,References!$B$3:$C$7,2,FALSE))),"")</f>
        <v/>
      </c>
      <c r="W9473" s="74" t="str">
        <f>IFERROR(VLOOKUP($O9473,'Customer List'!$A$1:$J$488,10,FALSE),"")</f>
        <v/>
      </c>
    </row>
    <row r="9474" spans="18:23">
      <c r="R9474" s="127">
        <f t="shared" si="371"/>
        <v>0</v>
      </c>
      <c r="U9474" s="129" t="str">
        <f>IFERROR(IF(#REF!="S",VLOOKUP('Raw Data'!A9474,References!#REF!,2,FALSE),(VLOOKUP($S9474,References!$B$3:$C$7,2,FALSE))),"")</f>
        <v/>
      </c>
      <c r="W9474" s="74" t="str">
        <f>IFERROR(VLOOKUP($O9474,'Customer List'!$A$1:$J$488,10,FALSE),"")</f>
        <v/>
      </c>
    </row>
    <row r="9475" spans="18:23">
      <c r="R9475" s="127">
        <f t="shared" si="371"/>
        <v>0</v>
      </c>
      <c r="U9475" s="129" t="str">
        <f>IFERROR(IF(#REF!="S",VLOOKUP('Raw Data'!A9475,References!#REF!,2,FALSE),(VLOOKUP($S9475,References!$B$3:$C$7,2,FALSE))),"")</f>
        <v/>
      </c>
      <c r="W9475" s="74" t="str">
        <f>IFERROR(VLOOKUP($O9475,'Customer List'!$A$1:$J$488,10,FALSE),"")</f>
        <v/>
      </c>
    </row>
    <row r="9476" spans="18:23">
      <c r="R9476" s="127">
        <f t="shared" si="371"/>
        <v>0</v>
      </c>
      <c r="U9476" s="129" t="str">
        <f>IFERROR(IF(#REF!="S",VLOOKUP('Raw Data'!A9476,References!#REF!,2,FALSE),(VLOOKUP($S9476,References!$B$3:$C$7,2,FALSE))),"")</f>
        <v/>
      </c>
      <c r="W9476" s="74" t="str">
        <f>IFERROR(VLOOKUP($O9476,'Customer List'!$A$1:$J$488,10,FALSE),"")</f>
        <v/>
      </c>
    </row>
    <row r="9477" spans="18:23">
      <c r="R9477" s="127">
        <f t="shared" si="371"/>
        <v>0</v>
      </c>
      <c r="U9477" s="129" t="str">
        <f>IFERROR(IF(#REF!="S",VLOOKUP('Raw Data'!A9477,References!#REF!,2,FALSE),(VLOOKUP($S9477,References!$B$3:$C$7,2,FALSE))),"")</f>
        <v/>
      </c>
      <c r="W9477" s="74" t="str">
        <f>IFERROR(VLOOKUP($O9477,'Customer List'!$A$1:$J$488,10,FALSE),"")</f>
        <v/>
      </c>
    </row>
    <row r="9478" spans="18:23">
      <c r="R9478" s="127">
        <f t="shared" si="371"/>
        <v>0</v>
      </c>
      <c r="U9478" s="129" t="str">
        <f>IFERROR(IF(#REF!="S",VLOOKUP('Raw Data'!A9478,References!#REF!,2,FALSE),(VLOOKUP($S9478,References!$B$3:$C$7,2,FALSE))),"")</f>
        <v/>
      </c>
      <c r="W9478" s="74" t="str">
        <f>IFERROR(VLOOKUP($O9478,'Customer List'!$A$1:$J$488,10,FALSE),"")</f>
        <v/>
      </c>
    </row>
    <row r="9479" spans="18:23">
      <c r="R9479" s="127">
        <f t="shared" si="371"/>
        <v>0</v>
      </c>
      <c r="U9479" s="129" t="str">
        <f>IFERROR(IF(#REF!="S",VLOOKUP('Raw Data'!A9479,References!#REF!,2,FALSE),(VLOOKUP($S9479,References!$B$3:$C$7,2,FALSE))),"")</f>
        <v/>
      </c>
      <c r="W9479" s="74" t="str">
        <f>IFERROR(VLOOKUP($O9479,'Customer List'!$A$1:$J$488,10,FALSE),"")</f>
        <v/>
      </c>
    </row>
    <row r="9480" spans="18:23">
      <c r="R9480" s="127">
        <f t="shared" si="371"/>
        <v>0</v>
      </c>
      <c r="U9480" s="129" t="str">
        <f>IFERROR(IF(#REF!="S",VLOOKUP('Raw Data'!A9480,References!#REF!,2,FALSE),(VLOOKUP($S9480,References!$B$3:$C$7,2,FALSE))),"")</f>
        <v/>
      </c>
      <c r="W9480" s="74" t="str">
        <f>IFERROR(VLOOKUP($O9480,'Customer List'!$A$1:$J$488,10,FALSE),"")</f>
        <v/>
      </c>
    </row>
    <row r="9481" spans="18:23">
      <c r="R9481" s="127">
        <f t="shared" si="371"/>
        <v>0</v>
      </c>
      <c r="U9481" s="129" t="str">
        <f>IFERROR(IF(#REF!="S",VLOOKUP('Raw Data'!A9481,References!#REF!,2,FALSE),(VLOOKUP($S9481,References!$B$3:$C$7,2,FALSE))),"")</f>
        <v/>
      </c>
      <c r="W9481" s="74" t="str">
        <f>IFERROR(VLOOKUP($O9481,'Customer List'!$A$1:$J$488,10,FALSE),"")</f>
        <v/>
      </c>
    </row>
    <row r="9482" spans="18:23">
      <c r="R9482" s="127">
        <f t="shared" si="371"/>
        <v>0</v>
      </c>
      <c r="U9482" s="129" t="str">
        <f>IFERROR(IF(#REF!="S",VLOOKUP('Raw Data'!A9482,References!#REF!,2,FALSE),(VLOOKUP($S9482,References!$B$3:$C$7,2,FALSE))),"")</f>
        <v/>
      </c>
      <c r="W9482" s="74" t="str">
        <f>IFERROR(VLOOKUP($O9482,'Customer List'!$A$1:$J$488,10,FALSE),"")</f>
        <v/>
      </c>
    </row>
    <row r="9483" spans="18:23">
      <c r="R9483" s="127">
        <f t="shared" si="371"/>
        <v>0</v>
      </c>
      <c r="U9483" s="129" t="str">
        <f>IFERROR(IF(#REF!="S",VLOOKUP('Raw Data'!A9483,References!#REF!,2,FALSE),(VLOOKUP($S9483,References!$B$3:$C$7,2,FALSE))),"")</f>
        <v/>
      </c>
      <c r="W9483" s="74" t="str">
        <f>IFERROR(VLOOKUP($O9483,'Customer List'!$A$1:$J$488,10,FALSE),"")</f>
        <v/>
      </c>
    </row>
    <row r="9484" spans="18:23">
      <c r="R9484" s="127">
        <f t="shared" si="371"/>
        <v>0</v>
      </c>
      <c r="U9484" s="129" t="str">
        <f>IFERROR(IF(#REF!="S",VLOOKUP('Raw Data'!A9484,References!#REF!,2,FALSE),(VLOOKUP($S9484,References!$B$3:$C$7,2,FALSE))),"")</f>
        <v/>
      </c>
      <c r="W9484" s="74" t="str">
        <f>IFERROR(VLOOKUP($O9484,'Customer List'!$A$1:$J$488,10,FALSE),"")</f>
        <v/>
      </c>
    </row>
    <row r="9485" spans="18:23">
      <c r="R9485" s="127">
        <f t="shared" si="371"/>
        <v>0</v>
      </c>
      <c r="U9485" s="129" t="str">
        <f>IFERROR(IF(#REF!="S",VLOOKUP('Raw Data'!A9485,References!#REF!,2,FALSE),(VLOOKUP($S9485,References!$B$3:$C$7,2,FALSE))),"")</f>
        <v/>
      </c>
      <c r="W9485" s="74" t="str">
        <f>IFERROR(VLOOKUP($O9485,'Customer List'!$A$1:$J$488,10,FALSE),"")</f>
        <v/>
      </c>
    </row>
    <row r="9486" spans="18:23">
      <c r="R9486" s="127">
        <f t="shared" si="371"/>
        <v>0</v>
      </c>
      <c r="U9486" s="129" t="str">
        <f>IFERROR(IF(#REF!="S",VLOOKUP('Raw Data'!A9486,References!#REF!,2,FALSE),(VLOOKUP($S9486,References!$B$3:$C$7,2,FALSE))),"")</f>
        <v/>
      </c>
      <c r="W9486" s="74" t="str">
        <f>IFERROR(VLOOKUP($O9486,'Customer List'!$A$1:$J$488,10,FALSE),"")</f>
        <v/>
      </c>
    </row>
    <row r="9487" spans="18:23">
      <c r="R9487" s="127">
        <f t="shared" si="371"/>
        <v>0</v>
      </c>
      <c r="U9487" s="129" t="str">
        <f>IFERROR(IF(#REF!="S",VLOOKUP('Raw Data'!A9487,References!#REF!,2,FALSE),(VLOOKUP($S9487,References!$B$3:$C$7,2,FALSE))),"")</f>
        <v/>
      </c>
      <c r="W9487" s="74" t="str">
        <f>IFERROR(VLOOKUP($O9487,'Customer List'!$A$1:$J$488,10,FALSE),"")</f>
        <v/>
      </c>
    </row>
    <row r="9488" spans="18:23">
      <c r="R9488" s="127">
        <f t="shared" si="371"/>
        <v>0</v>
      </c>
      <c r="U9488" s="129" t="str">
        <f>IFERROR(IF(#REF!="S",VLOOKUP('Raw Data'!A9488,References!#REF!,2,FALSE),(VLOOKUP($S9488,References!$B$3:$C$7,2,FALSE))),"")</f>
        <v/>
      </c>
      <c r="W9488" s="74" t="str">
        <f>IFERROR(VLOOKUP($O9488,'Customer List'!$A$1:$J$488,10,FALSE),"")</f>
        <v/>
      </c>
    </row>
    <row r="9489" spans="18:23">
      <c r="R9489" s="127">
        <f t="shared" si="371"/>
        <v>0</v>
      </c>
      <c r="U9489" s="129" t="str">
        <f>IFERROR(IF(#REF!="S",VLOOKUP('Raw Data'!A9489,References!#REF!,2,FALSE),(VLOOKUP($S9489,References!$B$3:$C$7,2,FALSE))),"")</f>
        <v/>
      </c>
      <c r="W9489" s="74" t="str">
        <f>IFERROR(VLOOKUP($O9489,'Customer List'!$A$1:$J$488,10,FALSE),"")</f>
        <v/>
      </c>
    </row>
    <row r="9490" spans="18:23">
      <c r="R9490" s="127">
        <f t="shared" si="371"/>
        <v>0</v>
      </c>
      <c r="U9490" s="129" t="str">
        <f>IFERROR(IF(#REF!="S",VLOOKUP('Raw Data'!A9490,References!#REF!,2,FALSE),(VLOOKUP($S9490,References!$B$3:$C$7,2,FALSE))),"")</f>
        <v/>
      </c>
      <c r="W9490" s="74" t="str">
        <f>IFERROR(VLOOKUP($O9490,'Customer List'!$A$1:$J$488,10,FALSE),"")</f>
        <v/>
      </c>
    </row>
    <row r="9491" spans="18:23">
      <c r="R9491" s="127">
        <f t="shared" si="371"/>
        <v>0</v>
      </c>
      <c r="U9491" s="129" t="str">
        <f>IFERROR(IF(#REF!="S",VLOOKUP('Raw Data'!A9491,References!#REF!,2,FALSE),(VLOOKUP($S9491,References!$B$3:$C$7,2,FALSE))),"")</f>
        <v/>
      </c>
      <c r="W9491" s="74" t="str">
        <f>IFERROR(VLOOKUP($O9491,'Customer List'!$A$1:$J$488,10,FALSE),"")</f>
        <v/>
      </c>
    </row>
    <row r="9492" spans="18:23">
      <c r="R9492" s="127">
        <f t="shared" si="371"/>
        <v>0</v>
      </c>
      <c r="U9492" s="129" t="str">
        <f>IFERROR(IF(#REF!="S",VLOOKUP('Raw Data'!A9492,References!#REF!,2,FALSE),(VLOOKUP($S9492,References!$B$3:$C$7,2,FALSE))),"")</f>
        <v/>
      </c>
      <c r="W9492" s="74" t="str">
        <f>IFERROR(VLOOKUP($O9492,'Customer List'!$A$1:$J$488,10,FALSE),"")</f>
        <v/>
      </c>
    </row>
    <row r="9493" spans="18:23">
      <c r="R9493" s="127">
        <f t="shared" si="371"/>
        <v>0</v>
      </c>
      <c r="U9493" s="129" t="str">
        <f>IFERROR(IF(#REF!="S",VLOOKUP('Raw Data'!A9493,References!#REF!,2,FALSE),(VLOOKUP($S9493,References!$B$3:$C$7,2,FALSE))),"")</f>
        <v/>
      </c>
      <c r="W9493" s="74" t="str">
        <f>IFERROR(VLOOKUP($O9493,'Customer List'!$A$1:$J$488,10,FALSE),"")</f>
        <v/>
      </c>
    </row>
    <row r="9494" spans="18:23">
      <c r="R9494" s="127">
        <f t="shared" si="371"/>
        <v>0</v>
      </c>
      <c r="U9494" s="129" t="str">
        <f>IFERROR(IF(#REF!="S",VLOOKUP('Raw Data'!A9494,References!#REF!,2,FALSE),(VLOOKUP($S9494,References!$B$3:$C$7,2,FALSE))),"")</f>
        <v/>
      </c>
      <c r="W9494" s="74" t="str">
        <f>IFERROR(VLOOKUP($O9494,'Customer List'!$A$1:$J$488,10,FALSE),"")</f>
        <v/>
      </c>
    </row>
    <row r="9495" spans="18:23">
      <c r="R9495" s="127">
        <f t="shared" si="371"/>
        <v>0</v>
      </c>
      <c r="U9495" s="129" t="str">
        <f>IFERROR(IF(#REF!="S",VLOOKUP('Raw Data'!A9495,References!#REF!,2,FALSE),(VLOOKUP($S9495,References!$B$3:$C$7,2,FALSE))),"")</f>
        <v/>
      </c>
      <c r="W9495" s="74" t="str">
        <f>IFERROR(VLOOKUP($O9495,'Customer List'!$A$1:$J$488,10,FALSE),"")</f>
        <v/>
      </c>
    </row>
    <row r="9496" spans="18:23">
      <c r="R9496" s="127">
        <f t="shared" si="371"/>
        <v>0</v>
      </c>
      <c r="U9496" s="129" t="str">
        <f>IFERROR(IF(#REF!="S",VLOOKUP('Raw Data'!A9496,References!#REF!,2,FALSE),(VLOOKUP($S9496,References!$B$3:$C$7,2,FALSE))),"")</f>
        <v/>
      </c>
      <c r="W9496" s="74" t="str">
        <f>IFERROR(VLOOKUP($O9496,'Customer List'!$A$1:$J$488,10,FALSE),"")</f>
        <v/>
      </c>
    </row>
    <row r="9497" spans="18:23">
      <c r="R9497" s="127">
        <f t="shared" si="371"/>
        <v>0</v>
      </c>
      <c r="U9497" s="129" t="str">
        <f>IFERROR(IF(#REF!="S",VLOOKUP('Raw Data'!A9497,References!#REF!,2,FALSE),(VLOOKUP($S9497,References!$B$3:$C$7,2,FALSE))),"")</f>
        <v/>
      </c>
      <c r="W9497" s="74" t="str">
        <f>IFERROR(VLOOKUP($O9497,'Customer List'!$A$1:$J$488,10,FALSE),"")</f>
        <v/>
      </c>
    </row>
    <row r="9498" spans="18:23">
      <c r="R9498" s="127">
        <f t="shared" si="371"/>
        <v>0</v>
      </c>
      <c r="U9498" s="129" t="str">
        <f>IFERROR(IF(#REF!="S",VLOOKUP('Raw Data'!A9498,References!#REF!,2,FALSE),(VLOOKUP($S9498,References!$B$3:$C$7,2,FALSE))),"")</f>
        <v/>
      </c>
      <c r="W9498" s="74" t="str">
        <f>IFERROR(VLOOKUP($O9498,'Customer List'!$A$1:$J$488,10,FALSE),"")</f>
        <v/>
      </c>
    </row>
    <row r="9499" spans="18:23">
      <c r="R9499" s="127">
        <f t="shared" si="371"/>
        <v>0</v>
      </c>
      <c r="U9499" s="129" t="str">
        <f>IFERROR(IF(#REF!="S",VLOOKUP('Raw Data'!A9499,References!#REF!,2,FALSE),(VLOOKUP($S9499,References!$B$3:$C$7,2,FALSE))),"")</f>
        <v/>
      </c>
      <c r="W9499" s="74" t="str">
        <f>IFERROR(VLOOKUP($O9499,'Customer List'!$A$1:$J$488,10,FALSE),"")</f>
        <v/>
      </c>
    </row>
    <row r="9500" spans="18:23">
      <c r="R9500" s="127">
        <f t="shared" si="371"/>
        <v>0</v>
      </c>
      <c r="U9500" s="129" t="str">
        <f>IFERROR(IF(#REF!="S",VLOOKUP('Raw Data'!A9500,References!#REF!,2,FALSE),(VLOOKUP($S9500,References!$B$3:$C$7,2,FALSE))),"")</f>
        <v/>
      </c>
      <c r="W9500" s="74" t="str">
        <f>IFERROR(VLOOKUP($O9500,'Customer List'!$A$1:$J$488,10,FALSE),"")</f>
        <v/>
      </c>
    </row>
    <row r="9501" spans="18:23">
      <c r="R9501" s="127">
        <f t="shared" si="371"/>
        <v>0</v>
      </c>
      <c r="U9501" s="129" t="str">
        <f>IFERROR(IF(#REF!="S",VLOOKUP('Raw Data'!A9501,References!#REF!,2,FALSE),(VLOOKUP($S9501,References!$B$3:$C$7,2,FALSE))),"")</f>
        <v/>
      </c>
      <c r="W9501" s="74" t="str">
        <f>IFERROR(VLOOKUP($O9501,'Customer List'!$A$1:$J$488,10,FALSE),"")</f>
        <v/>
      </c>
    </row>
    <row r="9502" spans="18:23">
      <c r="R9502" s="127">
        <f t="shared" si="371"/>
        <v>0</v>
      </c>
      <c r="U9502" s="129" t="str">
        <f>IFERROR(IF(#REF!="S",VLOOKUP('Raw Data'!A9502,References!#REF!,2,FALSE),(VLOOKUP($S9502,References!$B$3:$C$7,2,FALSE))),"")</f>
        <v/>
      </c>
      <c r="W9502" s="74" t="str">
        <f>IFERROR(VLOOKUP($O9502,'Customer List'!$A$1:$J$488,10,FALSE),"")</f>
        <v/>
      </c>
    </row>
    <row r="9503" spans="18:23">
      <c r="R9503" s="127">
        <f t="shared" si="371"/>
        <v>0</v>
      </c>
      <c r="U9503" s="129" t="str">
        <f>IFERROR(IF(#REF!="S",VLOOKUP('Raw Data'!A9503,References!#REF!,2,FALSE),(VLOOKUP($S9503,References!$B$3:$C$7,2,FALSE))),"")</f>
        <v/>
      </c>
      <c r="W9503" s="74" t="str">
        <f>IFERROR(VLOOKUP($O9503,'Customer List'!$A$1:$J$488,10,FALSE),"")</f>
        <v/>
      </c>
    </row>
    <row r="9504" spans="18:23">
      <c r="R9504" s="127">
        <f t="shared" si="371"/>
        <v>0</v>
      </c>
      <c r="U9504" s="129" t="str">
        <f>IFERROR(IF(#REF!="S",VLOOKUP('Raw Data'!A9504,References!#REF!,2,FALSE),(VLOOKUP($S9504,References!$B$3:$C$7,2,FALSE))),"")</f>
        <v/>
      </c>
      <c r="W9504" s="74" t="str">
        <f>IFERROR(VLOOKUP($O9504,'Customer List'!$A$1:$J$488,10,FALSE),"")</f>
        <v/>
      </c>
    </row>
    <row r="9505" spans="18:23">
      <c r="R9505" s="127">
        <f t="shared" si="371"/>
        <v>0</v>
      </c>
      <c r="U9505" s="129" t="str">
        <f>IFERROR(IF(#REF!="S",VLOOKUP('Raw Data'!A9505,References!#REF!,2,FALSE),(VLOOKUP($S9505,References!$B$3:$C$7,2,FALSE))),"")</f>
        <v/>
      </c>
      <c r="W9505" s="74" t="str">
        <f>IFERROR(VLOOKUP($O9505,'Customer List'!$A$1:$J$488,10,FALSE),"")</f>
        <v/>
      </c>
    </row>
    <row r="9506" spans="18:23">
      <c r="R9506" s="127">
        <f t="shared" ref="R9506:R9569" si="372">L9506-K9506</f>
        <v>0</v>
      </c>
      <c r="U9506" s="129" t="str">
        <f>IFERROR(IF(#REF!="S",VLOOKUP('Raw Data'!A9506,References!#REF!,2,FALSE),(VLOOKUP($S9506,References!$B$3:$C$7,2,FALSE))),"")</f>
        <v/>
      </c>
      <c r="W9506" s="74" t="str">
        <f>IFERROR(VLOOKUP($O9506,'Customer List'!$A$1:$J$488,10,FALSE),"")</f>
        <v/>
      </c>
    </row>
    <row r="9507" spans="18:23">
      <c r="R9507" s="127">
        <f t="shared" si="372"/>
        <v>0</v>
      </c>
      <c r="U9507" s="129" t="str">
        <f>IFERROR(IF(#REF!="S",VLOOKUP('Raw Data'!A9507,References!#REF!,2,FALSE),(VLOOKUP($S9507,References!$B$3:$C$7,2,FALSE))),"")</f>
        <v/>
      </c>
      <c r="W9507" s="74" t="str">
        <f>IFERROR(VLOOKUP($O9507,'Customer List'!$A$1:$J$488,10,FALSE),"")</f>
        <v/>
      </c>
    </row>
    <row r="9508" spans="18:23">
      <c r="R9508" s="127">
        <f t="shared" si="372"/>
        <v>0</v>
      </c>
      <c r="U9508" s="129" t="str">
        <f>IFERROR(IF(#REF!="S",VLOOKUP('Raw Data'!A9508,References!#REF!,2,FALSE),(VLOOKUP($S9508,References!$B$3:$C$7,2,FALSE))),"")</f>
        <v/>
      </c>
      <c r="W9508" s="74" t="str">
        <f>IFERROR(VLOOKUP($O9508,'Customer List'!$A$1:$J$488,10,FALSE),"")</f>
        <v/>
      </c>
    </row>
    <row r="9509" spans="18:23">
      <c r="R9509" s="127">
        <f t="shared" si="372"/>
        <v>0</v>
      </c>
      <c r="U9509" s="129" t="str">
        <f>IFERROR(IF(#REF!="S",VLOOKUP('Raw Data'!A9509,References!#REF!,2,FALSE),(VLOOKUP($S9509,References!$B$3:$C$7,2,FALSE))),"")</f>
        <v/>
      </c>
      <c r="W9509" s="74" t="str">
        <f>IFERROR(VLOOKUP($O9509,'Customer List'!$A$1:$J$488,10,FALSE),"")</f>
        <v/>
      </c>
    </row>
    <row r="9510" spans="18:23">
      <c r="R9510" s="127">
        <f t="shared" si="372"/>
        <v>0</v>
      </c>
      <c r="U9510" s="129" t="str">
        <f>IFERROR(IF(#REF!="S",VLOOKUP('Raw Data'!A9510,References!#REF!,2,FALSE),(VLOOKUP($S9510,References!$B$3:$C$7,2,FALSE))),"")</f>
        <v/>
      </c>
      <c r="W9510" s="74" t="str">
        <f>IFERROR(VLOOKUP($O9510,'Customer List'!$A$1:$J$488,10,FALSE),"")</f>
        <v/>
      </c>
    </row>
    <row r="9511" spans="18:23">
      <c r="R9511" s="127">
        <f t="shared" si="372"/>
        <v>0</v>
      </c>
      <c r="U9511" s="129" t="str">
        <f>IFERROR(IF(#REF!="S",VLOOKUP('Raw Data'!A9511,References!#REF!,2,FALSE),(VLOOKUP($S9511,References!$B$3:$C$7,2,FALSE))),"")</f>
        <v/>
      </c>
      <c r="W9511" s="74" t="str">
        <f>IFERROR(VLOOKUP($O9511,'Customer List'!$A$1:$J$488,10,FALSE),"")</f>
        <v/>
      </c>
    </row>
    <row r="9512" spans="18:23">
      <c r="R9512" s="127">
        <f t="shared" si="372"/>
        <v>0</v>
      </c>
      <c r="U9512" s="129" t="str">
        <f>IFERROR(IF(#REF!="S",VLOOKUP('Raw Data'!A9512,References!#REF!,2,FALSE),(VLOOKUP($S9512,References!$B$3:$C$7,2,FALSE))),"")</f>
        <v/>
      </c>
      <c r="W9512" s="74" t="str">
        <f>IFERROR(VLOOKUP($O9512,'Customer List'!$A$1:$J$488,10,FALSE),"")</f>
        <v/>
      </c>
    </row>
    <row r="9513" spans="18:23">
      <c r="R9513" s="127">
        <f t="shared" si="372"/>
        <v>0</v>
      </c>
      <c r="U9513" s="129" t="str">
        <f>IFERROR(IF(#REF!="S",VLOOKUP('Raw Data'!A9513,References!#REF!,2,FALSE),(VLOOKUP($S9513,References!$B$3:$C$7,2,FALSE))),"")</f>
        <v/>
      </c>
      <c r="W9513" s="74" t="str">
        <f>IFERROR(VLOOKUP($O9513,'Customer List'!$A$1:$J$488,10,FALSE),"")</f>
        <v/>
      </c>
    </row>
    <row r="9514" spans="18:23">
      <c r="R9514" s="127">
        <f t="shared" si="372"/>
        <v>0</v>
      </c>
      <c r="U9514" s="129" t="str">
        <f>IFERROR(IF(#REF!="S",VLOOKUP('Raw Data'!A9514,References!#REF!,2,FALSE),(VLOOKUP($S9514,References!$B$3:$C$7,2,FALSE))),"")</f>
        <v/>
      </c>
      <c r="W9514" s="74" t="str">
        <f>IFERROR(VLOOKUP($O9514,'Customer List'!$A$1:$J$488,10,FALSE),"")</f>
        <v/>
      </c>
    </row>
    <row r="9515" spans="18:23">
      <c r="R9515" s="127">
        <f t="shared" si="372"/>
        <v>0</v>
      </c>
      <c r="U9515" s="129" t="str">
        <f>IFERROR(IF(#REF!="S",VLOOKUP('Raw Data'!A9515,References!#REF!,2,FALSE),(VLOOKUP($S9515,References!$B$3:$C$7,2,FALSE))),"")</f>
        <v/>
      </c>
      <c r="W9515" s="74" t="str">
        <f>IFERROR(VLOOKUP($O9515,'Customer List'!$A$1:$J$488,10,FALSE),"")</f>
        <v/>
      </c>
    </row>
    <row r="9516" spans="18:23">
      <c r="R9516" s="127">
        <f t="shared" si="372"/>
        <v>0</v>
      </c>
      <c r="U9516" s="129" t="str">
        <f>IFERROR(IF(#REF!="S",VLOOKUP('Raw Data'!A9516,References!#REF!,2,FALSE),(VLOOKUP($S9516,References!$B$3:$C$7,2,FALSE))),"")</f>
        <v/>
      </c>
      <c r="W9516" s="74" t="str">
        <f>IFERROR(VLOOKUP($O9516,'Customer List'!$A$1:$J$488,10,FALSE),"")</f>
        <v/>
      </c>
    </row>
    <row r="9517" spans="18:23">
      <c r="R9517" s="127">
        <f t="shared" si="372"/>
        <v>0</v>
      </c>
      <c r="U9517" s="129" t="str">
        <f>IFERROR(IF(#REF!="S",VLOOKUP('Raw Data'!A9517,References!#REF!,2,FALSE),(VLOOKUP($S9517,References!$B$3:$C$7,2,FALSE))),"")</f>
        <v/>
      </c>
      <c r="W9517" s="74" t="str">
        <f>IFERROR(VLOOKUP($O9517,'Customer List'!$A$1:$J$488,10,FALSE),"")</f>
        <v/>
      </c>
    </row>
    <row r="9518" spans="18:23">
      <c r="R9518" s="127">
        <f t="shared" si="372"/>
        <v>0</v>
      </c>
      <c r="U9518" s="129" t="str">
        <f>IFERROR(IF(#REF!="S",VLOOKUP('Raw Data'!A9518,References!#REF!,2,FALSE),(VLOOKUP($S9518,References!$B$3:$C$7,2,FALSE))),"")</f>
        <v/>
      </c>
      <c r="W9518" s="74" t="str">
        <f>IFERROR(VLOOKUP($O9518,'Customer List'!$A$1:$J$488,10,FALSE),"")</f>
        <v/>
      </c>
    </row>
    <row r="9519" spans="18:23">
      <c r="R9519" s="127">
        <f t="shared" si="372"/>
        <v>0</v>
      </c>
      <c r="U9519" s="129" t="str">
        <f>IFERROR(IF(#REF!="S",VLOOKUP('Raw Data'!A9519,References!#REF!,2,FALSE),(VLOOKUP($S9519,References!$B$3:$C$7,2,FALSE))),"")</f>
        <v/>
      </c>
      <c r="W9519" s="74" t="str">
        <f>IFERROR(VLOOKUP($O9519,'Customer List'!$A$1:$J$488,10,FALSE),"")</f>
        <v/>
      </c>
    </row>
    <row r="9520" spans="18:23">
      <c r="R9520" s="127">
        <f t="shared" si="372"/>
        <v>0</v>
      </c>
      <c r="U9520" s="129" t="str">
        <f>IFERROR(IF(#REF!="S",VLOOKUP('Raw Data'!A9520,References!#REF!,2,FALSE),(VLOOKUP($S9520,References!$B$3:$C$7,2,FALSE))),"")</f>
        <v/>
      </c>
      <c r="W9520" s="74" t="str">
        <f>IFERROR(VLOOKUP($O9520,'Customer List'!$A$1:$J$488,10,FALSE),"")</f>
        <v/>
      </c>
    </row>
    <row r="9521" spans="18:23">
      <c r="R9521" s="127">
        <f t="shared" si="372"/>
        <v>0</v>
      </c>
      <c r="U9521" s="129" t="str">
        <f>IFERROR(IF(#REF!="S",VLOOKUP('Raw Data'!A9521,References!#REF!,2,FALSE),(VLOOKUP($S9521,References!$B$3:$C$7,2,FALSE))),"")</f>
        <v/>
      </c>
      <c r="W9521" s="74" t="str">
        <f>IFERROR(VLOOKUP($O9521,'Customer List'!$A$1:$J$488,10,FALSE),"")</f>
        <v/>
      </c>
    </row>
    <row r="9522" spans="18:23">
      <c r="R9522" s="127">
        <f t="shared" si="372"/>
        <v>0</v>
      </c>
      <c r="U9522" s="129" t="str">
        <f>IFERROR(IF(#REF!="S",VLOOKUP('Raw Data'!A9522,References!#REF!,2,FALSE),(VLOOKUP($S9522,References!$B$3:$C$7,2,FALSE))),"")</f>
        <v/>
      </c>
      <c r="W9522" s="74" t="str">
        <f>IFERROR(VLOOKUP($O9522,'Customer List'!$A$1:$J$488,10,FALSE),"")</f>
        <v/>
      </c>
    </row>
    <row r="9523" spans="18:23">
      <c r="R9523" s="127">
        <f t="shared" si="372"/>
        <v>0</v>
      </c>
      <c r="U9523" s="129" t="str">
        <f>IFERROR(IF(#REF!="S",VLOOKUP('Raw Data'!A9523,References!#REF!,2,FALSE),(VLOOKUP($S9523,References!$B$3:$C$7,2,FALSE))),"")</f>
        <v/>
      </c>
      <c r="W9523" s="74" t="str">
        <f>IFERROR(VLOOKUP($O9523,'Customer List'!$A$1:$J$488,10,FALSE),"")</f>
        <v/>
      </c>
    </row>
    <row r="9524" spans="18:23">
      <c r="R9524" s="127">
        <f t="shared" si="372"/>
        <v>0</v>
      </c>
      <c r="U9524" s="129" t="str">
        <f>IFERROR(IF(#REF!="S",VLOOKUP('Raw Data'!A9524,References!#REF!,2,FALSE),(VLOOKUP($S9524,References!$B$3:$C$7,2,FALSE))),"")</f>
        <v/>
      </c>
      <c r="W9524" s="74" t="str">
        <f>IFERROR(VLOOKUP($O9524,'Customer List'!$A$1:$J$488,10,FALSE),"")</f>
        <v/>
      </c>
    </row>
    <row r="9525" spans="18:23">
      <c r="R9525" s="127">
        <f t="shared" si="372"/>
        <v>0</v>
      </c>
      <c r="U9525" s="129" t="str">
        <f>IFERROR(IF(#REF!="S",VLOOKUP('Raw Data'!A9525,References!#REF!,2,FALSE),(VLOOKUP($S9525,References!$B$3:$C$7,2,FALSE))),"")</f>
        <v/>
      </c>
      <c r="W9525" s="74" t="str">
        <f>IFERROR(VLOOKUP($O9525,'Customer List'!$A$1:$J$488,10,FALSE),"")</f>
        <v/>
      </c>
    </row>
    <row r="9526" spans="18:23">
      <c r="R9526" s="127">
        <f t="shared" si="372"/>
        <v>0</v>
      </c>
      <c r="U9526" s="129" t="str">
        <f>IFERROR(IF(#REF!="S",VLOOKUP('Raw Data'!A9526,References!#REF!,2,FALSE),(VLOOKUP($S9526,References!$B$3:$C$7,2,FALSE))),"")</f>
        <v/>
      </c>
      <c r="W9526" s="74" t="str">
        <f>IFERROR(VLOOKUP($O9526,'Customer List'!$A$1:$J$488,10,FALSE),"")</f>
        <v/>
      </c>
    </row>
    <row r="9527" spans="18:23">
      <c r="R9527" s="127">
        <f t="shared" si="372"/>
        <v>0</v>
      </c>
      <c r="U9527" s="129" t="str">
        <f>IFERROR(IF(#REF!="S",VLOOKUP('Raw Data'!A9527,References!#REF!,2,FALSE),(VLOOKUP($S9527,References!$B$3:$C$7,2,FALSE))),"")</f>
        <v/>
      </c>
      <c r="W9527" s="74" t="str">
        <f>IFERROR(VLOOKUP($O9527,'Customer List'!$A$1:$J$488,10,FALSE),"")</f>
        <v/>
      </c>
    </row>
    <row r="9528" spans="18:23">
      <c r="R9528" s="127">
        <f t="shared" si="372"/>
        <v>0</v>
      </c>
      <c r="U9528" s="129" t="str">
        <f>IFERROR(IF(#REF!="S",VLOOKUP('Raw Data'!A9528,References!#REF!,2,FALSE),(VLOOKUP($S9528,References!$B$3:$C$7,2,FALSE))),"")</f>
        <v/>
      </c>
      <c r="W9528" s="74" t="str">
        <f>IFERROR(VLOOKUP($O9528,'Customer List'!$A$1:$J$488,10,FALSE),"")</f>
        <v/>
      </c>
    </row>
    <row r="9529" spans="18:23">
      <c r="R9529" s="127">
        <f t="shared" si="372"/>
        <v>0</v>
      </c>
      <c r="U9529" s="129" t="str">
        <f>IFERROR(IF(#REF!="S",VLOOKUP('Raw Data'!A9529,References!#REF!,2,FALSE),(VLOOKUP($S9529,References!$B$3:$C$7,2,FALSE))),"")</f>
        <v/>
      </c>
      <c r="W9529" s="74" t="str">
        <f>IFERROR(VLOOKUP($O9529,'Customer List'!$A$1:$J$488,10,FALSE),"")</f>
        <v/>
      </c>
    </row>
    <row r="9530" spans="18:23">
      <c r="R9530" s="127">
        <f t="shared" si="372"/>
        <v>0</v>
      </c>
      <c r="U9530" s="129" t="str">
        <f>IFERROR(IF(#REF!="S",VLOOKUP('Raw Data'!A9530,References!#REF!,2,FALSE),(VLOOKUP($S9530,References!$B$3:$C$7,2,FALSE))),"")</f>
        <v/>
      </c>
      <c r="W9530" s="74" t="str">
        <f>IFERROR(VLOOKUP($O9530,'Customer List'!$A$1:$J$488,10,FALSE),"")</f>
        <v/>
      </c>
    </row>
    <row r="9531" spans="18:23">
      <c r="R9531" s="127">
        <f t="shared" si="372"/>
        <v>0</v>
      </c>
      <c r="U9531" s="129" t="str">
        <f>IFERROR(IF(#REF!="S",VLOOKUP('Raw Data'!A9531,References!#REF!,2,FALSE),(VLOOKUP($S9531,References!$B$3:$C$7,2,FALSE))),"")</f>
        <v/>
      </c>
      <c r="W9531" s="74" t="str">
        <f>IFERROR(VLOOKUP($O9531,'Customer List'!$A$1:$J$488,10,FALSE),"")</f>
        <v/>
      </c>
    </row>
    <row r="9532" spans="18:23">
      <c r="R9532" s="127">
        <f t="shared" si="372"/>
        <v>0</v>
      </c>
      <c r="U9532" s="129" t="str">
        <f>IFERROR(IF(#REF!="S",VLOOKUP('Raw Data'!A9532,References!#REF!,2,FALSE),(VLOOKUP($S9532,References!$B$3:$C$7,2,FALSE))),"")</f>
        <v/>
      </c>
      <c r="W9532" s="74" t="str">
        <f>IFERROR(VLOOKUP($O9532,'Customer List'!$A$1:$J$488,10,FALSE),"")</f>
        <v/>
      </c>
    </row>
    <row r="9533" spans="18:23">
      <c r="R9533" s="127">
        <f t="shared" si="372"/>
        <v>0</v>
      </c>
      <c r="U9533" s="129" t="str">
        <f>IFERROR(IF(#REF!="S",VLOOKUP('Raw Data'!A9533,References!#REF!,2,FALSE),(VLOOKUP($S9533,References!$B$3:$C$7,2,FALSE))),"")</f>
        <v/>
      </c>
      <c r="W9533" s="74" t="str">
        <f>IFERROR(VLOOKUP($O9533,'Customer List'!$A$1:$J$488,10,FALSE),"")</f>
        <v/>
      </c>
    </row>
    <row r="9534" spans="18:23">
      <c r="R9534" s="127">
        <f t="shared" si="372"/>
        <v>0</v>
      </c>
      <c r="U9534" s="129" t="str">
        <f>IFERROR(IF(#REF!="S",VLOOKUP('Raw Data'!A9534,References!#REF!,2,FALSE),(VLOOKUP($S9534,References!$B$3:$C$7,2,FALSE))),"")</f>
        <v/>
      </c>
      <c r="W9534" s="74" t="str">
        <f>IFERROR(VLOOKUP($O9534,'Customer List'!$A$1:$J$488,10,FALSE),"")</f>
        <v/>
      </c>
    </row>
    <row r="9535" spans="18:23">
      <c r="R9535" s="127">
        <f t="shared" si="372"/>
        <v>0</v>
      </c>
      <c r="U9535" s="129" t="str">
        <f>IFERROR(IF(#REF!="S",VLOOKUP('Raw Data'!A9535,References!#REF!,2,FALSE),(VLOOKUP($S9535,References!$B$3:$C$7,2,FALSE))),"")</f>
        <v/>
      </c>
      <c r="W9535" s="74" t="str">
        <f>IFERROR(VLOOKUP($O9535,'Customer List'!$A$1:$J$488,10,FALSE),"")</f>
        <v/>
      </c>
    </row>
    <row r="9536" spans="18:23">
      <c r="R9536" s="127">
        <f t="shared" si="372"/>
        <v>0</v>
      </c>
      <c r="U9536" s="129" t="str">
        <f>IFERROR(IF(#REF!="S",VLOOKUP('Raw Data'!A9536,References!#REF!,2,FALSE),(VLOOKUP($S9536,References!$B$3:$C$7,2,FALSE))),"")</f>
        <v/>
      </c>
      <c r="W9536" s="74" t="str">
        <f>IFERROR(VLOOKUP($O9536,'Customer List'!$A$1:$J$488,10,FALSE),"")</f>
        <v/>
      </c>
    </row>
    <row r="9537" spans="18:23">
      <c r="R9537" s="127">
        <f t="shared" si="372"/>
        <v>0</v>
      </c>
      <c r="U9537" s="129" t="str">
        <f>IFERROR(IF(#REF!="S",VLOOKUP('Raw Data'!A9537,References!#REF!,2,FALSE),(VLOOKUP($S9537,References!$B$3:$C$7,2,FALSE))),"")</f>
        <v/>
      </c>
      <c r="W9537" s="74" t="str">
        <f>IFERROR(VLOOKUP($O9537,'Customer List'!$A$1:$J$488,10,FALSE),"")</f>
        <v/>
      </c>
    </row>
    <row r="9538" spans="18:23">
      <c r="R9538" s="127">
        <f t="shared" si="372"/>
        <v>0</v>
      </c>
      <c r="U9538" s="129" t="str">
        <f>IFERROR(IF(#REF!="S",VLOOKUP('Raw Data'!A9538,References!#REF!,2,FALSE),(VLOOKUP($S9538,References!$B$3:$C$7,2,FALSE))),"")</f>
        <v/>
      </c>
      <c r="W9538" s="74" t="str">
        <f>IFERROR(VLOOKUP($O9538,'Customer List'!$A$1:$J$488,10,FALSE),"")</f>
        <v/>
      </c>
    </row>
    <row r="9539" spans="18:23">
      <c r="R9539" s="127">
        <f t="shared" si="372"/>
        <v>0</v>
      </c>
      <c r="U9539" s="129" t="str">
        <f>IFERROR(IF(#REF!="S",VLOOKUP('Raw Data'!A9539,References!#REF!,2,FALSE),(VLOOKUP($S9539,References!$B$3:$C$7,2,FALSE))),"")</f>
        <v/>
      </c>
      <c r="W9539" s="74" t="str">
        <f>IFERROR(VLOOKUP($O9539,'Customer List'!$A$1:$J$488,10,FALSE),"")</f>
        <v/>
      </c>
    </row>
    <row r="9540" spans="18:23">
      <c r="R9540" s="127">
        <f t="shared" si="372"/>
        <v>0</v>
      </c>
      <c r="U9540" s="129" t="str">
        <f>IFERROR(IF(#REF!="S",VLOOKUP('Raw Data'!A9540,References!#REF!,2,FALSE),(VLOOKUP($S9540,References!$B$3:$C$7,2,FALSE))),"")</f>
        <v/>
      </c>
      <c r="W9540" s="74" t="str">
        <f>IFERROR(VLOOKUP($O9540,'Customer List'!$A$1:$J$488,10,FALSE),"")</f>
        <v/>
      </c>
    </row>
    <row r="9541" spans="18:23">
      <c r="R9541" s="127">
        <f t="shared" si="372"/>
        <v>0</v>
      </c>
      <c r="U9541" s="129" t="str">
        <f>IFERROR(IF(#REF!="S",VLOOKUP('Raw Data'!A9541,References!#REF!,2,FALSE),(VLOOKUP($S9541,References!$B$3:$C$7,2,FALSE))),"")</f>
        <v/>
      </c>
      <c r="W9541" s="74" t="str">
        <f>IFERROR(VLOOKUP($O9541,'Customer List'!$A$1:$J$488,10,FALSE),"")</f>
        <v/>
      </c>
    </row>
    <row r="9542" spans="18:23">
      <c r="R9542" s="127">
        <f t="shared" si="372"/>
        <v>0</v>
      </c>
      <c r="U9542" s="129" t="str">
        <f>IFERROR(IF(#REF!="S",VLOOKUP('Raw Data'!A9542,References!#REF!,2,FALSE),(VLOOKUP($S9542,References!$B$3:$C$7,2,FALSE))),"")</f>
        <v/>
      </c>
      <c r="W9542" s="74" t="str">
        <f>IFERROR(VLOOKUP($O9542,'Customer List'!$A$1:$J$488,10,FALSE),"")</f>
        <v/>
      </c>
    </row>
    <row r="9543" spans="18:23">
      <c r="R9543" s="127">
        <f t="shared" si="372"/>
        <v>0</v>
      </c>
      <c r="U9543" s="129" t="str">
        <f>IFERROR(IF(#REF!="S",VLOOKUP('Raw Data'!A9543,References!#REF!,2,FALSE),(VLOOKUP($S9543,References!$B$3:$C$7,2,FALSE))),"")</f>
        <v/>
      </c>
      <c r="W9543" s="74" t="str">
        <f>IFERROR(VLOOKUP($O9543,'Customer List'!$A$1:$J$488,10,FALSE),"")</f>
        <v/>
      </c>
    </row>
    <row r="9544" spans="18:23">
      <c r="R9544" s="127">
        <f t="shared" si="372"/>
        <v>0</v>
      </c>
      <c r="U9544" s="129" t="str">
        <f>IFERROR(IF(#REF!="S",VLOOKUP('Raw Data'!A9544,References!#REF!,2,FALSE),(VLOOKUP($S9544,References!$B$3:$C$7,2,FALSE))),"")</f>
        <v/>
      </c>
      <c r="W9544" s="74" t="str">
        <f>IFERROR(VLOOKUP($O9544,'Customer List'!$A$1:$J$488,10,FALSE),"")</f>
        <v/>
      </c>
    </row>
    <row r="9545" spans="18:23">
      <c r="R9545" s="127">
        <f t="shared" si="372"/>
        <v>0</v>
      </c>
      <c r="U9545" s="129" t="str">
        <f>IFERROR(IF(#REF!="S",VLOOKUP('Raw Data'!A9545,References!#REF!,2,FALSE),(VLOOKUP($S9545,References!$B$3:$C$7,2,FALSE))),"")</f>
        <v/>
      </c>
      <c r="W9545" s="74" t="str">
        <f>IFERROR(VLOOKUP($O9545,'Customer List'!$A$1:$J$488,10,FALSE),"")</f>
        <v/>
      </c>
    </row>
    <row r="9546" spans="18:23">
      <c r="R9546" s="127">
        <f t="shared" si="372"/>
        <v>0</v>
      </c>
      <c r="U9546" s="129" t="str">
        <f>IFERROR(IF(#REF!="S",VLOOKUP('Raw Data'!A9546,References!#REF!,2,FALSE),(VLOOKUP($S9546,References!$B$3:$C$7,2,FALSE))),"")</f>
        <v/>
      </c>
      <c r="W9546" s="74" t="str">
        <f>IFERROR(VLOOKUP($O9546,'Customer List'!$A$1:$J$488,10,FALSE),"")</f>
        <v/>
      </c>
    </row>
    <row r="9547" spans="18:23">
      <c r="R9547" s="127">
        <f t="shared" si="372"/>
        <v>0</v>
      </c>
      <c r="U9547" s="129" t="str">
        <f>IFERROR(IF(#REF!="S",VLOOKUP('Raw Data'!A9547,References!#REF!,2,FALSE),(VLOOKUP($S9547,References!$B$3:$C$7,2,FALSE))),"")</f>
        <v/>
      </c>
      <c r="W9547" s="74" t="str">
        <f>IFERROR(VLOOKUP($O9547,'Customer List'!$A$1:$J$488,10,FALSE),"")</f>
        <v/>
      </c>
    </row>
    <row r="9548" spans="18:23">
      <c r="R9548" s="127">
        <f t="shared" si="372"/>
        <v>0</v>
      </c>
      <c r="U9548" s="129" t="str">
        <f>IFERROR(IF(#REF!="S",VLOOKUP('Raw Data'!A9548,References!#REF!,2,FALSE),(VLOOKUP($S9548,References!$B$3:$C$7,2,FALSE))),"")</f>
        <v/>
      </c>
      <c r="W9548" s="74" t="str">
        <f>IFERROR(VLOOKUP($O9548,'Customer List'!$A$1:$J$488,10,FALSE),"")</f>
        <v/>
      </c>
    </row>
    <row r="9549" spans="18:23">
      <c r="R9549" s="127">
        <f t="shared" si="372"/>
        <v>0</v>
      </c>
      <c r="U9549" s="129" t="str">
        <f>IFERROR(IF(#REF!="S",VLOOKUP('Raw Data'!A9549,References!#REF!,2,FALSE),(VLOOKUP($S9549,References!$B$3:$C$7,2,FALSE))),"")</f>
        <v/>
      </c>
      <c r="W9549" s="74" t="str">
        <f>IFERROR(VLOOKUP($O9549,'Customer List'!$A$1:$J$488,10,FALSE),"")</f>
        <v/>
      </c>
    </row>
    <row r="9550" spans="18:23">
      <c r="R9550" s="127">
        <f t="shared" si="372"/>
        <v>0</v>
      </c>
      <c r="U9550" s="129" t="str">
        <f>IFERROR(IF(#REF!="S",VLOOKUP('Raw Data'!A9550,References!#REF!,2,FALSE),(VLOOKUP($S9550,References!$B$3:$C$7,2,FALSE))),"")</f>
        <v/>
      </c>
      <c r="W9550" s="74" t="str">
        <f>IFERROR(VLOOKUP($O9550,'Customer List'!$A$1:$J$488,10,FALSE),"")</f>
        <v/>
      </c>
    </row>
    <row r="9551" spans="18:23">
      <c r="R9551" s="127">
        <f t="shared" si="372"/>
        <v>0</v>
      </c>
      <c r="U9551" s="129" t="str">
        <f>IFERROR(IF(#REF!="S",VLOOKUP('Raw Data'!A9551,References!#REF!,2,FALSE),(VLOOKUP($S9551,References!$B$3:$C$7,2,FALSE))),"")</f>
        <v/>
      </c>
      <c r="W9551" s="74" t="str">
        <f>IFERROR(VLOOKUP($O9551,'Customer List'!$A$1:$J$488,10,FALSE),"")</f>
        <v/>
      </c>
    </row>
    <row r="9552" spans="18:23">
      <c r="R9552" s="127">
        <f t="shared" si="372"/>
        <v>0</v>
      </c>
      <c r="U9552" s="129" t="str">
        <f>IFERROR(IF(#REF!="S",VLOOKUP('Raw Data'!A9552,References!#REF!,2,FALSE),(VLOOKUP($S9552,References!$B$3:$C$7,2,FALSE))),"")</f>
        <v/>
      </c>
      <c r="W9552" s="74" t="str">
        <f>IFERROR(VLOOKUP($O9552,'Customer List'!$A$1:$J$488,10,FALSE),"")</f>
        <v/>
      </c>
    </row>
    <row r="9553" spans="18:23">
      <c r="R9553" s="127">
        <f t="shared" si="372"/>
        <v>0</v>
      </c>
      <c r="U9553" s="129" t="str">
        <f>IFERROR(IF(#REF!="S",VLOOKUP('Raw Data'!A9553,References!#REF!,2,FALSE),(VLOOKUP($S9553,References!$B$3:$C$7,2,FALSE))),"")</f>
        <v/>
      </c>
      <c r="W9553" s="74" t="str">
        <f>IFERROR(VLOOKUP($O9553,'Customer List'!$A$1:$J$488,10,FALSE),"")</f>
        <v/>
      </c>
    </row>
    <row r="9554" spans="18:23">
      <c r="R9554" s="127">
        <f t="shared" si="372"/>
        <v>0</v>
      </c>
      <c r="U9554" s="129" t="str">
        <f>IFERROR(IF(#REF!="S",VLOOKUP('Raw Data'!A9554,References!#REF!,2,FALSE),(VLOOKUP($S9554,References!$B$3:$C$7,2,FALSE))),"")</f>
        <v/>
      </c>
      <c r="W9554" s="74" t="str">
        <f>IFERROR(VLOOKUP($O9554,'Customer List'!$A$1:$J$488,10,FALSE),"")</f>
        <v/>
      </c>
    </row>
    <row r="9555" spans="18:23">
      <c r="R9555" s="127">
        <f t="shared" si="372"/>
        <v>0</v>
      </c>
      <c r="U9555" s="129" t="str">
        <f>IFERROR(IF(#REF!="S",VLOOKUP('Raw Data'!A9555,References!#REF!,2,FALSE),(VLOOKUP($S9555,References!$B$3:$C$7,2,FALSE))),"")</f>
        <v/>
      </c>
      <c r="W9555" s="74" t="str">
        <f>IFERROR(VLOOKUP($O9555,'Customer List'!$A$1:$J$488,10,FALSE),"")</f>
        <v/>
      </c>
    </row>
    <row r="9556" spans="18:23">
      <c r="R9556" s="127">
        <f t="shared" si="372"/>
        <v>0</v>
      </c>
      <c r="U9556" s="129" t="str">
        <f>IFERROR(IF(#REF!="S",VLOOKUP('Raw Data'!A9556,References!#REF!,2,FALSE),(VLOOKUP($S9556,References!$B$3:$C$7,2,FALSE))),"")</f>
        <v/>
      </c>
      <c r="W9556" s="74" t="str">
        <f>IFERROR(VLOOKUP($O9556,'Customer List'!$A$1:$J$488,10,FALSE),"")</f>
        <v/>
      </c>
    </row>
    <row r="9557" spans="18:23">
      <c r="R9557" s="127">
        <f t="shared" si="372"/>
        <v>0</v>
      </c>
      <c r="U9557" s="129" t="str">
        <f>IFERROR(IF(#REF!="S",VLOOKUP('Raw Data'!A9557,References!#REF!,2,FALSE),(VLOOKUP($S9557,References!$B$3:$C$7,2,FALSE))),"")</f>
        <v/>
      </c>
      <c r="W9557" s="74" t="str">
        <f>IFERROR(VLOOKUP($O9557,'Customer List'!$A$1:$J$488,10,FALSE),"")</f>
        <v/>
      </c>
    </row>
    <row r="9558" spans="18:23">
      <c r="R9558" s="127">
        <f t="shared" si="372"/>
        <v>0</v>
      </c>
      <c r="U9558" s="129" t="str">
        <f>IFERROR(IF(#REF!="S",VLOOKUP('Raw Data'!A9558,References!#REF!,2,FALSE),(VLOOKUP($S9558,References!$B$3:$C$7,2,FALSE))),"")</f>
        <v/>
      </c>
      <c r="W9558" s="74" t="str">
        <f>IFERROR(VLOOKUP($O9558,'Customer List'!$A$1:$J$488,10,FALSE),"")</f>
        <v/>
      </c>
    </row>
    <row r="9559" spans="18:23">
      <c r="R9559" s="127">
        <f t="shared" si="372"/>
        <v>0</v>
      </c>
      <c r="U9559" s="129" t="str">
        <f>IFERROR(IF(#REF!="S",VLOOKUP('Raw Data'!A9559,References!#REF!,2,FALSE),(VLOOKUP($S9559,References!$B$3:$C$7,2,FALSE))),"")</f>
        <v/>
      </c>
      <c r="W9559" s="74" t="str">
        <f>IFERROR(VLOOKUP($O9559,'Customer List'!$A$1:$J$488,10,FALSE),"")</f>
        <v/>
      </c>
    </row>
    <row r="9560" spans="18:23">
      <c r="R9560" s="127">
        <f t="shared" si="372"/>
        <v>0</v>
      </c>
      <c r="U9560" s="129" t="str">
        <f>IFERROR(IF(#REF!="S",VLOOKUP('Raw Data'!A9560,References!#REF!,2,FALSE),(VLOOKUP($S9560,References!$B$3:$C$7,2,FALSE))),"")</f>
        <v/>
      </c>
      <c r="W9560" s="74" t="str">
        <f>IFERROR(VLOOKUP($O9560,'Customer List'!$A$1:$J$488,10,FALSE),"")</f>
        <v/>
      </c>
    </row>
    <row r="9561" spans="18:23">
      <c r="R9561" s="127">
        <f t="shared" si="372"/>
        <v>0</v>
      </c>
      <c r="U9561" s="129" t="str">
        <f>IFERROR(IF(#REF!="S",VLOOKUP('Raw Data'!A9561,References!#REF!,2,FALSE),(VLOOKUP($S9561,References!$B$3:$C$7,2,FALSE))),"")</f>
        <v/>
      </c>
      <c r="W9561" s="74" t="str">
        <f>IFERROR(VLOOKUP($O9561,'Customer List'!$A$1:$J$488,10,FALSE),"")</f>
        <v/>
      </c>
    </row>
    <row r="9562" spans="18:23">
      <c r="R9562" s="127">
        <f t="shared" si="372"/>
        <v>0</v>
      </c>
      <c r="U9562" s="129" t="str">
        <f>IFERROR(IF(#REF!="S",VLOOKUP('Raw Data'!A9562,References!#REF!,2,FALSE),(VLOOKUP($S9562,References!$B$3:$C$7,2,FALSE))),"")</f>
        <v/>
      </c>
      <c r="W9562" s="74" t="str">
        <f>IFERROR(VLOOKUP($O9562,'Customer List'!$A$1:$J$488,10,FALSE),"")</f>
        <v/>
      </c>
    </row>
    <row r="9563" spans="18:23">
      <c r="R9563" s="127">
        <f t="shared" si="372"/>
        <v>0</v>
      </c>
      <c r="U9563" s="129" t="str">
        <f>IFERROR(IF(#REF!="S",VLOOKUP('Raw Data'!A9563,References!#REF!,2,FALSE),(VLOOKUP($S9563,References!$B$3:$C$7,2,FALSE))),"")</f>
        <v/>
      </c>
      <c r="W9563" s="74" t="str">
        <f>IFERROR(VLOOKUP($O9563,'Customer List'!$A$1:$J$488,10,FALSE),"")</f>
        <v/>
      </c>
    </row>
    <row r="9564" spans="18:23">
      <c r="R9564" s="127">
        <f t="shared" si="372"/>
        <v>0</v>
      </c>
      <c r="U9564" s="129" t="str">
        <f>IFERROR(IF(#REF!="S",VLOOKUP('Raw Data'!A9564,References!#REF!,2,FALSE),(VLOOKUP($S9564,References!$B$3:$C$7,2,FALSE))),"")</f>
        <v/>
      </c>
      <c r="W9564" s="74" t="str">
        <f>IFERROR(VLOOKUP($O9564,'Customer List'!$A$1:$J$488,10,FALSE),"")</f>
        <v/>
      </c>
    </row>
    <row r="9565" spans="18:23">
      <c r="R9565" s="127">
        <f t="shared" si="372"/>
        <v>0</v>
      </c>
      <c r="U9565" s="129" t="str">
        <f>IFERROR(IF(#REF!="S",VLOOKUP('Raw Data'!A9565,References!#REF!,2,FALSE),(VLOOKUP($S9565,References!$B$3:$C$7,2,FALSE))),"")</f>
        <v/>
      </c>
      <c r="W9565" s="74" t="str">
        <f>IFERROR(VLOOKUP($O9565,'Customer List'!$A$1:$J$488,10,FALSE),"")</f>
        <v/>
      </c>
    </row>
    <row r="9566" spans="18:23">
      <c r="R9566" s="127">
        <f t="shared" si="372"/>
        <v>0</v>
      </c>
      <c r="U9566" s="129" t="str">
        <f>IFERROR(IF(#REF!="S",VLOOKUP('Raw Data'!A9566,References!#REF!,2,FALSE),(VLOOKUP($S9566,References!$B$3:$C$7,2,FALSE))),"")</f>
        <v/>
      </c>
      <c r="W9566" s="74" t="str">
        <f>IFERROR(VLOOKUP($O9566,'Customer List'!$A$1:$J$488,10,FALSE),"")</f>
        <v/>
      </c>
    </row>
    <row r="9567" spans="18:23">
      <c r="R9567" s="127">
        <f t="shared" si="372"/>
        <v>0</v>
      </c>
      <c r="U9567" s="129" t="str">
        <f>IFERROR(IF(#REF!="S",VLOOKUP('Raw Data'!A9567,References!#REF!,2,FALSE),(VLOOKUP($S9567,References!$B$3:$C$7,2,FALSE))),"")</f>
        <v/>
      </c>
      <c r="W9567" s="74" t="str">
        <f>IFERROR(VLOOKUP($O9567,'Customer List'!$A$1:$J$488,10,FALSE),"")</f>
        <v/>
      </c>
    </row>
    <row r="9568" spans="18:23">
      <c r="R9568" s="127">
        <f t="shared" si="372"/>
        <v>0</v>
      </c>
      <c r="U9568" s="129" t="str">
        <f>IFERROR(IF(#REF!="S",VLOOKUP('Raw Data'!A9568,References!#REF!,2,FALSE),(VLOOKUP($S9568,References!$B$3:$C$7,2,FALSE))),"")</f>
        <v/>
      </c>
      <c r="W9568" s="74" t="str">
        <f>IFERROR(VLOOKUP($O9568,'Customer List'!$A$1:$J$488,10,FALSE),"")</f>
        <v/>
      </c>
    </row>
    <row r="9569" spans="18:23">
      <c r="R9569" s="127">
        <f t="shared" si="372"/>
        <v>0</v>
      </c>
      <c r="U9569" s="129" t="str">
        <f>IFERROR(IF(#REF!="S",VLOOKUP('Raw Data'!A9569,References!#REF!,2,FALSE),(VLOOKUP($S9569,References!$B$3:$C$7,2,FALSE))),"")</f>
        <v/>
      </c>
      <c r="W9569" s="74" t="str">
        <f>IFERROR(VLOOKUP($O9569,'Customer List'!$A$1:$J$488,10,FALSE),"")</f>
        <v/>
      </c>
    </row>
    <row r="9570" spans="18:23">
      <c r="R9570" s="127">
        <f t="shared" ref="R9570:R9633" si="373">L9570-K9570</f>
        <v>0</v>
      </c>
      <c r="U9570" s="129" t="str">
        <f>IFERROR(IF(#REF!="S",VLOOKUP('Raw Data'!A9570,References!#REF!,2,FALSE),(VLOOKUP($S9570,References!$B$3:$C$7,2,FALSE))),"")</f>
        <v/>
      </c>
      <c r="W9570" s="74" t="str">
        <f>IFERROR(VLOOKUP($O9570,'Customer List'!$A$1:$J$488,10,FALSE),"")</f>
        <v/>
      </c>
    </row>
    <row r="9571" spans="18:23">
      <c r="R9571" s="127">
        <f t="shared" si="373"/>
        <v>0</v>
      </c>
      <c r="U9571" s="129" t="str">
        <f>IFERROR(IF(#REF!="S",VLOOKUP('Raw Data'!A9571,References!#REF!,2,FALSE),(VLOOKUP($S9571,References!$B$3:$C$7,2,FALSE))),"")</f>
        <v/>
      </c>
      <c r="W9571" s="74" t="str">
        <f>IFERROR(VLOOKUP($O9571,'Customer List'!$A$1:$J$488,10,FALSE),"")</f>
        <v/>
      </c>
    </row>
    <row r="9572" spans="18:23">
      <c r="R9572" s="127">
        <f t="shared" si="373"/>
        <v>0</v>
      </c>
      <c r="U9572" s="129" t="str">
        <f>IFERROR(IF(#REF!="S",VLOOKUP('Raw Data'!A9572,References!#REF!,2,FALSE),(VLOOKUP($S9572,References!$B$3:$C$7,2,FALSE))),"")</f>
        <v/>
      </c>
      <c r="W9572" s="74" t="str">
        <f>IFERROR(VLOOKUP($O9572,'Customer List'!$A$1:$J$488,10,FALSE),"")</f>
        <v/>
      </c>
    </row>
    <row r="9573" spans="18:23">
      <c r="R9573" s="127">
        <f t="shared" si="373"/>
        <v>0</v>
      </c>
      <c r="U9573" s="129" t="str">
        <f>IFERROR(IF(#REF!="S",VLOOKUP('Raw Data'!A9573,References!#REF!,2,FALSE),(VLOOKUP($S9573,References!$B$3:$C$7,2,FALSE))),"")</f>
        <v/>
      </c>
      <c r="W9573" s="74" t="str">
        <f>IFERROR(VLOOKUP($O9573,'Customer List'!$A$1:$J$488,10,FALSE),"")</f>
        <v/>
      </c>
    </row>
    <row r="9574" spans="18:23">
      <c r="R9574" s="127">
        <f t="shared" si="373"/>
        <v>0</v>
      </c>
      <c r="U9574" s="129" t="str">
        <f>IFERROR(IF(#REF!="S",VLOOKUP('Raw Data'!A9574,References!#REF!,2,FALSE),(VLOOKUP($S9574,References!$B$3:$C$7,2,FALSE))),"")</f>
        <v/>
      </c>
      <c r="W9574" s="74" t="str">
        <f>IFERROR(VLOOKUP($O9574,'Customer List'!$A$1:$J$488,10,FALSE),"")</f>
        <v/>
      </c>
    </row>
    <row r="9575" spans="18:23">
      <c r="R9575" s="127">
        <f t="shared" si="373"/>
        <v>0</v>
      </c>
      <c r="U9575" s="129" t="str">
        <f>IFERROR(IF(#REF!="S",VLOOKUP('Raw Data'!A9575,References!#REF!,2,FALSE),(VLOOKUP($S9575,References!$B$3:$C$7,2,FALSE))),"")</f>
        <v/>
      </c>
      <c r="W9575" s="74" t="str">
        <f>IFERROR(VLOOKUP($O9575,'Customer List'!$A$1:$J$488,10,FALSE),"")</f>
        <v/>
      </c>
    </row>
    <row r="9576" spans="18:23">
      <c r="R9576" s="127">
        <f t="shared" si="373"/>
        <v>0</v>
      </c>
      <c r="U9576" s="129" t="str">
        <f>IFERROR(IF(#REF!="S",VLOOKUP('Raw Data'!A9576,References!#REF!,2,FALSE),(VLOOKUP($S9576,References!$B$3:$C$7,2,FALSE))),"")</f>
        <v/>
      </c>
      <c r="W9576" s="74" t="str">
        <f>IFERROR(VLOOKUP($O9576,'Customer List'!$A$1:$J$488,10,FALSE),"")</f>
        <v/>
      </c>
    </row>
    <row r="9577" spans="18:23">
      <c r="R9577" s="127">
        <f t="shared" si="373"/>
        <v>0</v>
      </c>
      <c r="U9577" s="129" t="str">
        <f>IFERROR(IF(#REF!="S",VLOOKUP('Raw Data'!A9577,References!#REF!,2,FALSE),(VLOOKUP($S9577,References!$B$3:$C$7,2,FALSE))),"")</f>
        <v/>
      </c>
      <c r="W9577" s="74" t="str">
        <f>IFERROR(VLOOKUP($O9577,'Customer List'!$A$1:$J$488,10,FALSE),"")</f>
        <v/>
      </c>
    </row>
    <row r="9578" spans="18:23">
      <c r="R9578" s="127">
        <f t="shared" si="373"/>
        <v>0</v>
      </c>
      <c r="U9578" s="129" t="str">
        <f>IFERROR(IF(#REF!="S",VLOOKUP('Raw Data'!A9578,References!#REF!,2,FALSE),(VLOOKUP($S9578,References!$B$3:$C$7,2,FALSE))),"")</f>
        <v/>
      </c>
      <c r="W9578" s="74" t="str">
        <f>IFERROR(VLOOKUP($O9578,'Customer List'!$A$1:$J$488,10,FALSE),"")</f>
        <v/>
      </c>
    </row>
    <row r="9579" spans="18:23">
      <c r="R9579" s="127">
        <f t="shared" si="373"/>
        <v>0</v>
      </c>
      <c r="U9579" s="129" t="str">
        <f>IFERROR(IF(#REF!="S",VLOOKUP('Raw Data'!A9579,References!#REF!,2,FALSE),(VLOOKUP($S9579,References!$B$3:$C$7,2,FALSE))),"")</f>
        <v/>
      </c>
      <c r="W9579" s="74" t="str">
        <f>IFERROR(VLOOKUP($O9579,'Customer List'!$A$1:$J$488,10,FALSE),"")</f>
        <v/>
      </c>
    </row>
    <row r="9580" spans="18:23">
      <c r="R9580" s="127">
        <f t="shared" si="373"/>
        <v>0</v>
      </c>
      <c r="U9580" s="129" t="str">
        <f>IFERROR(IF(#REF!="S",VLOOKUP('Raw Data'!A9580,References!#REF!,2,FALSE),(VLOOKUP($S9580,References!$B$3:$C$7,2,FALSE))),"")</f>
        <v/>
      </c>
      <c r="W9580" s="74" t="str">
        <f>IFERROR(VLOOKUP($O9580,'Customer List'!$A$1:$J$488,10,FALSE),"")</f>
        <v/>
      </c>
    </row>
    <row r="9581" spans="18:23">
      <c r="R9581" s="127">
        <f t="shared" si="373"/>
        <v>0</v>
      </c>
      <c r="U9581" s="129" t="str">
        <f>IFERROR(IF(#REF!="S",VLOOKUP('Raw Data'!A9581,References!#REF!,2,FALSE),(VLOOKUP($S9581,References!$B$3:$C$7,2,FALSE))),"")</f>
        <v/>
      </c>
      <c r="W9581" s="74" t="str">
        <f>IFERROR(VLOOKUP($O9581,'Customer List'!$A$1:$J$488,10,FALSE),"")</f>
        <v/>
      </c>
    </row>
    <row r="9582" spans="18:23">
      <c r="R9582" s="127">
        <f t="shared" si="373"/>
        <v>0</v>
      </c>
      <c r="U9582" s="129" t="str">
        <f>IFERROR(IF(#REF!="S",VLOOKUP('Raw Data'!A9582,References!#REF!,2,FALSE),(VLOOKUP($S9582,References!$B$3:$C$7,2,FALSE))),"")</f>
        <v/>
      </c>
      <c r="W9582" s="74" t="str">
        <f>IFERROR(VLOOKUP($O9582,'Customer List'!$A$1:$J$488,10,FALSE),"")</f>
        <v/>
      </c>
    </row>
    <row r="9583" spans="18:23">
      <c r="R9583" s="127">
        <f t="shared" si="373"/>
        <v>0</v>
      </c>
      <c r="U9583" s="129" t="str">
        <f>IFERROR(IF(#REF!="S",VLOOKUP('Raw Data'!A9583,References!#REF!,2,FALSE),(VLOOKUP($S9583,References!$B$3:$C$7,2,FALSE))),"")</f>
        <v/>
      </c>
      <c r="W9583" s="74" t="str">
        <f>IFERROR(VLOOKUP($O9583,'Customer List'!$A$1:$J$488,10,FALSE),"")</f>
        <v/>
      </c>
    </row>
    <row r="9584" spans="18:23">
      <c r="R9584" s="127">
        <f t="shared" si="373"/>
        <v>0</v>
      </c>
      <c r="U9584" s="129" t="str">
        <f>IFERROR(IF(#REF!="S",VLOOKUP('Raw Data'!A9584,References!#REF!,2,FALSE),(VLOOKUP($S9584,References!$B$3:$C$7,2,FALSE))),"")</f>
        <v/>
      </c>
      <c r="W9584" s="74" t="str">
        <f>IFERROR(VLOOKUP($O9584,'Customer List'!$A$1:$J$488,10,FALSE),"")</f>
        <v/>
      </c>
    </row>
    <row r="9585" spans="18:23">
      <c r="R9585" s="127">
        <f t="shared" si="373"/>
        <v>0</v>
      </c>
      <c r="U9585" s="129" t="str">
        <f>IFERROR(IF(#REF!="S",VLOOKUP('Raw Data'!A9585,References!#REF!,2,FALSE),(VLOOKUP($S9585,References!$B$3:$C$7,2,FALSE))),"")</f>
        <v/>
      </c>
      <c r="W9585" s="74" t="str">
        <f>IFERROR(VLOOKUP($O9585,'Customer List'!$A$1:$J$488,10,FALSE),"")</f>
        <v/>
      </c>
    </row>
    <row r="9586" spans="18:23">
      <c r="R9586" s="127">
        <f t="shared" si="373"/>
        <v>0</v>
      </c>
      <c r="U9586" s="129" t="str">
        <f>IFERROR(IF(#REF!="S",VLOOKUP('Raw Data'!A9586,References!#REF!,2,FALSE),(VLOOKUP($S9586,References!$B$3:$C$7,2,FALSE))),"")</f>
        <v/>
      </c>
      <c r="W9586" s="74" t="str">
        <f>IFERROR(VLOOKUP($O9586,'Customer List'!$A$1:$J$488,10,FALSE),"")</f>
        <v/>
      </c>
    </row>
    <row r="9587" spans="18:23">
      <c r="R9587" s="127">
        <f t="shared" si="373"/>
        <v>0</v>
      </c>
      <c r="U9587" s="129" t="str">
        <f>IFERROR(IF(#REF!="S",VLOOKUP('Raw Data'!A9587,References!#REF!,2,FALSE),(VLOOKUP($S9587,References!$B$3:$C$7,2,FALSE))),"")</f>
        <v/>
      </c>
      <c r="W9587" s="74" t="str">
        <f>IFERROR(VLOOKUP($O9587,'Customer List'!$A$1:$J$488,10,FALSE),"")</f>
        <v/>
      </c>
    </row>
    <row r="9588" spans="18:23">
      <c r="R9588" s="127">
        <f t="shared" si="373"/>
        <v>0</v>
      </c>
      <c r="U9588" s="129" t="str">
        <f>IFERROR(IF(#REF!="S",VLOOKUP('Raw Data'!A9588,References!#REF!,2,FALSE),(VLOOKUP($S9588,References!$B$3:$C$7,2,FALSE))),"")</f>
        <v/>
      </c>
      <c r="W9588" s="74" t="str">
        <f>IFERROR(VLOOKUP($O9588,'Customer List'!$A$1:$J$488,10,FALSE),"")</f>
        <v/>
      </c>
    </row>
    <row r="9589" spans="18:23">
      <c r="R9589" s="127">
        <f t="shared" si="373"/>
        <v>0</v>
      </c>
      <c r="U9589" s="129" t="str">
        <f>IFERROR(IF(#REF!="S",VLOOKUP('Raw Data'!A9589,References!#REF!,2,FALSE),(VLOOKUP($S9589,References!$B$3:$C$7,2,FALSE))),"")</f>
        <v/>
      </c>
      <c r="W9589" s="74" t="str">
        <f>IFERROR(VLOOKUP($O9589,'Customer List'!$A$1:$J$488,10,FALSE),"")</f>
        <v/>
      </c>
    </row>
    <row r="9590" spans="18:23">
      <c r="R9590" s="127">
        <f t="shared" si="373"/>
        <v>0</v>
      </c>
      <c r="U9590" s="129" t="str">
        <f>IFERROR(IF(#REF!="S",VLOOKUP('Raw Data'!A9590,References!#REF!,2,FALSE),(VLOOKUP($S9590,References!$B$3:$C$7,2,FALSE))),"")</f>
        <v/>
      </c>
      <c r="W9590" s="74" t="str">
        <f>IFERROR(VLOOKUP($O9590,'Customer List'!$A$1:$J$488,10,FALSE),"")</f>
        <v/>
      </c>
    </row>
    <row r="9591" spans="18:23">
      <c r="R9591" s="127">
        <f t="shared" si="373"/>
        <v>0</v>
      </c>
      <c r="U9591" s="129" t="str">
        <f>IFERROR(IF(#REF!="S",VLOOKUP('Raw Data'!A9591,References!#REF!,2,FALSE),(VLOOKUP($S9591,References!$B$3:$C$7,2,FALSE))),"")</f>
        <v/>
      </c>
      <c r="W9591" s="74" t="str">
        <f>IFERROR(VLOOKUP($O9591,'Customer List'!$A$1:$J$488,10,FALSE),"")</f>
        <v/>
      </c>
    </row>
    <row r="9592" spans="18:23">
      <c r="R9592" s="127">
        <f t="shared" si="373"/>
        <v>0</v>
      </c>
      <c r="U9592" s="129" t="str">
        <f>IFERROR(IF(#REF!="S",VLOOKUP('Raw Data'!A9592,References!#REF!,2,FALSE),(VLOOKUP($S9592,References!$B$3:$C$7,2,FALSE))),"")</f>
        <v/>
      </c>
      <c r="W9592" s="74" t="str">
        <f>IFERROR(VLOOKUP($O9592,'Customer List'!$A$1:$J$488,10,FALSE),"")</f>
        <v/>
      </c>
    </row>
    <row r="9593" spans="18:23">
      <c r="R9593" s="127">
        <f t="shared" si="373"/>
        <v>0</v>
      </c>
      <c r="U9593" s="129" t="str">
        <f>IFERROR(IF(#REF!="S",VLOOKUP('Raw Data'!A9593,References!#REF!,2,FALSE),(VLOOKUP($S9593,References!$B$3:$C$7,2,FALSE))),"")</f>
        <v/>
      </c>
      <c r="W9593" s="74" t="str">
        <f>IFERROR(VLOOKUP($O9593,'Customer List'!$A$1:$J$488,10,FALSE),"")</f>
        <v/>
      </c>
    </row>
    <row r="9594" spans="18:23">
      <c r="R9594" s="127">
        <f t="shared" si="373"/>
        <v>0</v>
      </c>
      <c r="U9594" s="129" t="str">
        <f>IFERROR(IF(#REF!="S",VLOOKUP('Raw Data'!A9594,References!#REF!,2,FALSE),(VLOOKUP($S9594,References!$B$3:$C$7,2,FALSE))),"")</f>
        <v/>
      </c>
      <c r="W9594" s="74" t="str">
        <f>IFERROR(VLOOKUP($O9594,'Customer List'!$A$1:$J$488,10,FALSE),"")</f>
        <v/>
      </c>
    </row>
    <row r="9595" spans="18:23">
      <c r="R9595" s="127">
        <f t="shared" si="373"/>
        <v>0</v>
      </c>
      <c r="U9595" s="129" t="str">
        <f>IFERROR(IF(#REF!="S",VLOOKUP('Raw Data'!A9595,References!#REF!,2,FALSE),(VLOOKUP($S9595,References!$B$3:$C$7,2,FALSE))),"")</f>
        <v/>
      </c>
      <c r="W9595" s="74" t="str">
        <f>IFERROR(VLOOKUP($O9595,'Customer List'!$A$1:$J$488,10,FALSE),"")</f>
        <v/>
      </c>
    </row>
    <row r="9596" spans="18:23">
      <c r="R9596" s="127">
        <f t="shared" si="373"/>
        <v>0</v>
      </c>
      <c r="U9596" s="129" t="str">
        <f>IFERROR(IF(#REF!="S",VLOOKUP('Raw Data'!A9596,References!#REF!,2,FALSE),(VLOOKUP($S9596,References!$B$3:$C$7,2,FALSE))),"")</f>
        <v/>
      </c>
      <c r="W9596" s="74" t="str">
        <f>IFERROR(VLOOKUP($O9596,'Customer List'!$A$1:$J$488,10,FALSE),"")</f>
        <v/>
      </c>
    </row>
    <row r="9597" spans="18:23">
      <c r="R9597" s="127">
        <f t="shared" si="373"/>
        <v>0</v>
      </c>
      <c r="U9597" s="129" t="str">
        <f>IFERROR(IF(#REF!="S",VLOOKUP('Raw Data'!A9597,References!#REF!,2,FALSE),(VLOOKUP($S9597,References!$B$3:$C$7,2,FALSE))),"")</f>
        <v/>
      </c>
      <c r="W9597" s="74" t="str">
        <f>IFERROR(VLOOKUP($O9597,'Customer List'!$A$1:$J$488,10,FALSE),"")</f>
        <v/>
      </c>
    </row>
    <row r="9598" spans="18:23">
      <c r="R9598" s="127">
        <f t="shared" si="373"/>
        <v>0</v>
      </c>
      <c r="U9598" s="129" t="str">
        <f>IFERROR(IF(#REF!="S",VLOOKUP('Raw Data'!A9598,References!#REF!,2,FALSE),(VLOOKUP($S9598,References!$B$3:$C$7,2,FALSE))),"")</f>
        <v/>
      </c>
      <c r="W9598" s="74" t="str">
        <f>IFERROR(VLOOKUP($O9598,'Customer List'!$A$1:$J$488,10,FALSE),"")</f>
        <v/>
      </c>
    </row>
    <row r="9599" spans="18:23">
      <c r="R9599" s="127">
        <f t="shared" si="373"/>
        <v>0</v>
      </c>
      <c r="U9599" s="129" t="str">
        <f>IFERROR(IF(#REF!="S",VLOOKUP('Raw Data'!A9599,References!#REF!,2,FALSE),(VLOOKUP($S9599,References!$B$3:$C$7,2,FALSE))),"")</f>
        <v/>
      </c>
      <c r="W9599" s="74" t="str">
        <f>IFERROR(VLOOKUP($O9599,'Customer List'!$A$1:$J$488,10,FALSE),"")</f>
        <v/>
      </c>
    </row>
    <row r="9600" spans="18:23">
      <c r="R9600" s="127">
        <f t="shared" si="373"/>
        <v>0</v>
      </c>
      <c r="U9600" s="129" t="str">
        <f>IFERROR(IF(#REF!="S",VLOOKUP('Raw Data'!A9600,References!#REF!,2,FALSE),(VLOOKUP($S9600,References!$B$3:$C$7,2,FALSE))),"")</f>
        <v/>
      </c>
      <c r="W9600" s="74" t="str">
        <f>IFERROR(VLOOKUP($O9600,'Customer List'!$A$1:$J$488,10,FALSE),"")</f>
        <v/>
      </c>
    </row>
    <row r="9601" spans="18:23">
      <c r="R9601" s="127">
        <f t="shared" si="373"/>
        <v>0</v>
      </c>
      <c r="U9601" s="129" t="str">
        <f>IFERROR(IF(#REF!="S",VLOOKUP('Raw Data'!A9601,References!#REF!,2,FALSE),(VLOOKUP($S9601,References!$B$3:$C$7,2,FALSE))),"")</f>
        <v/>
      </c>
      <c r="W9601" s="74" t="str">
        <f>IFERROR(VLOOKUP($O9601,'Customer List'!$A$1:$J$488,10,FALSE),"")</f>
        <v/>
      </c>
    </row>
    <row r="9602" spans="18:23">
      <c r="R9602" s="127">
        <f t="shared" si="373"/>
        <v>0</v>
      </c>
      <c r="U9602" s="129" t="str">
        <f>IFERROR(IF(#REF!="S",VLOOKUP('Raw Data'!A9602,References!#REF!,2,FALSE),(VLOOKUP($S9602,References!$B$3:$C$7,2,FALSE))),"")</f>
        <v/>
      </c>
      <c r="W9602" s="74" t="str">
        <f>IFERROR(VLOOKUP($O9602,'Customer List'!$A$1:$J$488,10,FALSE),"")</f>
        <v/>
      </c>
    </row>
    <row r="9603" spans="18:23">
      <c r="R9603" s="127">
        <f t="shared" si="373"/>
        <v>0</v>
      </c>
      <c r="U9603" s="129" t="str">
        <f>IFERROR(IF(#REF!="S",VLOOKUP('Raw Data'!A9603,References!#REF!,2,FALSE),(VLOOKUP($S9603,References!$B$3:$C$7,2,FALSE))),"")</f>
        <v/>
      </c>
      <c r="W9603" s="74" t="str">
        <f>IFERROR(VLOOKUP($O9603,'Customer List'!$A$1:$J$488,10,FALSE),"")</f>
        <v/>
      </c>
    </row>
    <row r="9604" spans="18:23">
      <c r="R9604" s="127">
        <f t="shared" si="373"/>
        <v>0</v>
      </c>
      <c r="U9604" s="129" t="str">
        <f>IFERROR(IF(#REF!="S",VLOOKUP('Raw Data'!A9604,References!#REF!,2,FALSE),(VLOOKUP($S9604,References!$B$3:$C$7,2,FALSE))),"")</f>
        <v/>
      </c>
      <c r="W9604" s="74" t="str">
        <f>IFERROR(VLOOKUP($O9604,'Customer List'!$A$1:$J$488,10,FALSE),"")</f>
        <v/>
      </c>
    </row>
    <row r="9605" spans="18:23">
      <c r="R9605" s="127">
        <f t="shared" si="373"/>
        <v>0</v>
      </c>
      <c r="U9605" s="129" t="str">
        <f>IFERROR(IF(#REF!="S",VLOOKUP('Raw Data'!A9605,References!#REF!,2,FALSE),(VLOOKUP($S9605,References!$B$3:$C$7,2,FALSE))),"")</f>
        <v/>
      </c>
      <c r="W9605" s="74" t="str">
        <f>IFERROR(VLOOKUP($O9605,'Customer List'!$A$1:$J$488,10,FALSE),"")</f>
        <v/>
      </c>
    </row>
    <row r="9606" spans="18:23">
      <c r="R9606" s="127">
        <f t="shared" si="373"/>
        <v>0</v>
      </c>
      <c r="U9606" s="129" t="str">
        <f>IFERROR(IF(#REF!="S",VLOOKUP('Raw Data'!A9606,References!#REF!,2,FALSE),(VLOOKUP($S9606,References!$B$3:$C$7,2,FALSE))),"")</f>
        <v/>
      </c>
      <c r="W9606" s="74" t="str">
        <f>IFERROR(VLOOKUP($O9606,'Customer List'!$A$1:$J$488,10,FALSE),"")</f>
        <v/>
      </c>
    </row>
    <row r="9607" spans="18:23">
      <c r="R9607" s="127">
        <f t="shared" si="373"/>
        <v>0</v>
      </c>
      <c r="U9607" s="129" t="str">
        <f>IFERROR(IF(#REF!="S",VLOOKUP('Raw Data'!A9607,References!#REF!,2,FALSE),(VLOOKUP($S9607,References!$B$3:$C$7,2,FALSE))),"")</f>
        <v/>
      </c>
      <c r="W9607" s="74" t="str">
        <f>IFERROR(VLOOKUP($O9607,'Customer List'!$A$1:$J$488,10,FALSE),"")</f>
        <v/>
      </c>
    </row>
    <row r="9608" spans="18:23">
      <c r="R9608" s="127">
        <f t="shared" si="373"/>
        <v>0</v>
      </c>
      <c r="U9608" s="129" t="str">
        <f>IFERROR(IF(#REF!="S",VLOOKUP('Raw Data'!A9608,References!#REF!,2,FALSE),(VLOOKUP($S9608,References!$B$3:$C$7,2,FALSE))),"")</f>
        <v/>
      </c>
      <c r="W9608" s="74" t="str">
        <f>IFERROR(VLOOKUP($O9608,'Customer List'!$A$1:$J$488,10,FALSE),"")</f>
        <v/>
      </c>
    </row>
    <row r="9609" spans="18:23">
      <c r="R9609" s="127">
        <f t="shared" si="373"/>
        <v>0</v>
      </c>
      <c r="U9609" s="129" t="str">
        <f>IFERROR(IF(#REF!="S",VLOOKUP('Raw Data'!A9609,References!#REF!,2,FALSE),(VLOOKUP($S9609,References!$B$3:$C$7,2,FALSE))),"")</f>
        <v/>
      </c>
      <c r="W9609" s="74" t="str">
        <f>IFERROR(VLOOKUP($O9609,'Customer List'!$A$1:$J$488,10,FALSE),"")</f>
        <v/>
      </c>
    </row>
    <row r="9610" spans="18:23">
      <c r="R9610" s="127">
        <f t="shared" si="373"/>
        <v>0</v>
      </c>
      <c r="U9610" s="129" t="str">
        <f>IFERROR(IF(#REF!="S",VLOOKUP('Raw Data'!A9610,References!#REF!,2,FALSE),(VLOOKUP($S9610,References!$B$3:$C$7,2,FALSE))),"")</f>
        <v/>
      </c>
      <c r="W9610" s="74" t="str">
        <f>IFERROR(VLOOKUP($O9610,'Customer List'!$A$1:$J$488,10,FALSE),"")</f>
        <v/>
      </c>
    </row>
    <row r="9611" spans="18:23">
      <c r="R9611" s="127">
        <f t="shared" si="373"/>
        <v>0</v>
      </c>
      <c r="U9611" s="129" t="str">
        <f>IFERROR(IF(#REF!="S",VLOOKUP('Raw Data'!A9611,References!#REF!,2,FALSE),(VLOOKUP($S9611,References!$B$3:$C$7,2,FALSE))),"")</f>
        <v/>
      </c>
      <c r="W9611" s="74" t="str">
        <f>IFERROR(VLOOKUP($O9611,'Customer List'!$A$1:$J$488,10,FALSE),"")</f>
        <v/>
      </c>
    </row>
    <row r="9612" spans="18:23">
      <c r="R9612" s="127">
        <f t="shared" si="373"/>
        <v>0</v>
      </c>
      <c r="U9612" s="129" t="str">
        <f>IFERROR(IF(#REF!="S",VLOOKUP('Raw Data'!A9612,References!#REF!,2,FALSE),(VLOOKUP($S9612,References!$B$3:$C$7,2,FALSE))),"")</f>
        <v/>
      </c>
      <c r="W9612" s="74" t="str">
        <f>IFERROR(VLOOKUP($O9612,'Customer List'!$A$1:$J$488,10,FALSE),"")</f>
        <v/>
      </c>
    </row>
    <row r="9613" spans="18:23">
      <c r="R9613" s="127">
        <f t="shared" si="373"/>
        <v>0</v>
      </c>
      <c r="U9613" s="129" t="str">
        <f>IFERROR(IF(#REF!="S",VLOOKUP('Raw Data'!A9613,References!#REF!,2,FALSE),(VLOOKUP($S9613,References!$B$3:$C$7,2,FALSE))),"")</f>
        <v/>
      </c>
      <c r="W9613" s="74" t="str">
        <f>IFERROR(VLOOKUP($O9613,'Customer List'!$A$1:$J$488,10,FALSE),"")</f>
        <v/>
      </c>
    </row>
    <row r="9614" spans="18:23">
      <c r="R9614" s="127">
        <f t="shared" si="373"/>
        <v>0</v>
      </c>
      <c r="U9614" s="129" t="str">
        <f>IFERROR(IF(#REF!="S",VLOOKUP('Raw Data'!A9614,References!#REF!,2,FALSE),(VLOOKUP($S9614,References!$B$3:$C$7,2,FALSE))),"")</f>
        <v/>
      </c>
      <c r="W9614" s="74" t="str">
        <f>IFERROR(VLOOKUP($O9614,'Customer List'!$A$1:$J$488,10,FALSE),"")</f>
        <v/>
      </c>
    </row>
    <row r="9615" spans="18:23">
      <c r="R9615" s="127">
        <f t="shared" si="373"/>
        <v>0</v>
      </c>
      <c r="U9615" s="129" t="str">
        <f>IFERROR(IF(#REF!="S",VLOOKUP('Raw Data'!A9615,References!#REF!,2,FALSE),(VLOOKUP($S9615,References!$B$3:$C$7,2,FALSE))),"")</f>
        <v/>
      </c>
      <c r="W9615" s="74" t="str">
        <f>IFERROR(VLOOKUP($O9615,'Customer List'!$A$1:$J$488,10,FALSE),"")</f>
        <v/>
      </c>
    </row>
    <row r="9616" spans="18:23">
      <c r="R9616" s="127">
        <f t="shared" si="373"/>
        <v>0</v>
      </c>
      <c r="U9616" s="129" t="str">
        <f>IFERROR(IF(#REF!="S",VLOOKUP('Raw Data'!A9616,References!#REF!,2,FALSE),(VLOOKUP($S9616,References!$B$3:$C$7,2,FALSE))),"")</f>
        <v/>
      </c>
      <c r="W9616" s="74" t="str">
        <f>IFERROR(VLOOKUP($O9616,'Customer List'!$A$1:$J$488,10,FALSE),"")</f>
        <v/>
      </c>
    </row>
    <row r="9617" spans="18:23">
      <c r="R9617" s="127">
        <f t="shared" si="373"/>
        <v>0</v>
      </c>
      <c r="U9617" s="129" t="str">
        <f>IFERROR(IF(#REF!="S",VLOOKUP('Raw Data'!A9617,References!#REF!,2,FALSE),(VLOOKUP($S9617,References!$B$3:$C$7,2,FALSE))),"")</f>
        <v/>
      </c>
      <c r="W9617" s="74" t="str">
        <f>IFERROR(VLOOKUP($O9617,'Customer List'!$A$1:$J$488,10,FALSE),"")</f>
        <v/>
      </c>
    </row>
    <row r="9618" spans="18:23">
      <c r="R9618" s="127">
        <f t="shared" si="373"/>
        <v>0</v>
      </c>
      <c r="U9618" s="129" t="str">
        <f>IFERROR(IF(#REF!="S",VLOOKUP('Raw Data'!A9618,References!#REF!,2,FALSE),(VLOOKUP($S9618,References!$B$3:$C$7,2,FALSE))),"")</f>
        <v/>
      </c>
      <c r="W9618" s="74" t="str">
        <f>IFERROR(VLOOKUP($O9618,'Customer List'!$A$1:$J$488,10,FALSE),"")</f>
        <v/>
      </c>
    </row>
    <row r="9619" spans="18:23">
      <c r="R9619" s="127">
        <f t="shared" si="373"/>
        <v>0</v>
      </c>
      <c r="U9619" s="129" t="str">
        <f>IFERROR(IF(#REF!="S",VLOOKUP('Raw Data'!A9619,References!#REF!,2,FALSE),(VLOOKUP($S9619,References!$B$3:$C$7,2,FALSE))),"")</f>
        <v/>
      </c>
      <c r="W9619" s="74" t="str">
        <f>IFERROR(VLOOKUP($O9619,'Customer List'!$A$1:$J$488,10,FALSE),"")</f>
        <v/>
      </c>
    </row>
    <row r="9620" spans="18:23">
      <c r="R9620" s="127">
        <f t="shared" si="373"/>
        <v>0</v>
      </c>
      <c r="U9620" s="129" t="str">
        <f>IFERROR(IF(#REF!="S",VLOOKUP('Raw Data'!A9620,References!#REF!,2,FALSE),(VLOOKUP($S9620,References!$B$3:$C$7,2,FALSE))),"")</f>
        <v/>
      </c>
      <c r="W9620" s="74" t="str">
        <f>IFERROR(VLOOKUP($O9620,'Customer List'!$A$1:$J$488,10,FALSE),"")</f>
        <v/>
      </c>
    </row>
    <row r="9621" spans="18:23">
      <c r="R9621" s="127">
        <f t="shared" si="373"/>
        <v>0</v>
      </c>
      <c r="U9621" s="129" t="str">
        <f>IFERROR(IF(#REF!="S",VLOOKUP('Raw Data'!A9621,References!#REF!,2,FALSE),(VLOOKUP($S9621,References!$B$3:$C$7,2,FALSE))),"")</f>
        <v/>
      </c>
      <c r="W9621" s="74" t="str">
        <f>IFERROR(VLOOKUP($O9621,'Customer List'!$A$1:$J$488,10,FALSE),"")</f>
        <v/>
      </c>
    </row>
    <row r="9622" spans="18:23">
      <c r="R9622" s="127">
        <f t="shared" si="373"/>
        <v>0</v>
      </c>
      <c r="U9622" s="129" t="str">
        <f>IFERROR(IF(#REF!="S",VLOOKUP('Raw Data'!A9622,References!#REF!,2,FALSE),(VLOOKUP($S9622,References!$B$3:$C$7,2,FALSE))),"")</f>
        <v/>
      </c>
      <c r="W9622" s="74" t="str">
        <f>IFERROR(VLOOKUP($O9622,'Customer List'!$A$1:$J$488,10,FALSE),"")</f>
        <v/>
      </c>
    </row>
    <row r="9623" spans="18:23">
      <c r="R9623" s="127">
        <f t="shared" si="373"/>
        <v>0</v>
      </c>
      <c r="U9623" s="129" t="str">
        <f>IFERROR(IF(#REF!="S",VLOOKUP('Raw Data'!A9623,References!#REF!,2,FALSE),(VLOOKUP($S9623,References!$B$3:$C$7,2,FALSE))),"")</f>
        <v/>
      </c>
      <c r="W9623" s="74" t="str">
        <f>IFERROR(VLOOKUP($O9623,'Customer List'!$A$1:$J$488,10,FALSE),"")</f>
        <v/>
      </c>
    </row>
    <row r="9624" spans="18:23">
      <c r="R9624" s="127">
        <f t="shared" si="373"/>
        <v>0</v>
      </c>
      <c r="U9624" s="129" t="str">
        <f>IFERROR(IF(#REF!="S",VLOOKUP('Raw Data'!A9624,References!#REF!,2,FALSE),(VLOOKUP($S9624,References!$B$3:$C$7,2,FALSE))),"")</f>
        <v/>
      </c>
      <c r="W9624" s="74" t="str">
        <f>IFERROR(VLOOKUP($O9624,'Customer List'!$A$1:$J$488,10,FALSE),"")</f>
        <v/>
      </c>
    </row>
    <row r="9625" spans="18:23">
      <c r="R9625" s="127">
        <f t="shared" si="373"/>
        <v>0</v>
      </c>
      <c r="U9625" s="129" t="str">
        <f>IFERROR(IF(#REF!="S",VLOOKUP('Raw Data'!A9625,References!#REF!,2,FALSE),(VLOOKUP($S9625,References!$B$3:$C$7,2,FALSE))),"")</f>
        <v/>
      </c>
      <c r="W9625" s="74" t="str">
        <f>IFERROR(VLOOKUP($O9625,'Customer List'!$A$1:$J$488,10,FALSE),"")</f>
        <v/>
      </c>
    </row>
    <row r="9626" spans="18:23">
      <c r="R9626" s="127">
        <f t="shared" si="373"/>
        <v>0</v>
      </c>
      <c r="U9626" s="129" t="str">
        <f>IFERROR(IF(#REF!="S",VLOOKUP('Raw Data'!A9626,References!#REF!,2,FALSE),(VLOOKUP($S9626,References!$B$3:$C$7,2,FALSE))),"")</f>
        <v/>
      </c>
      <c r="W9626" s="74" t="str">
        <f>IFERROR(VLOOKUP($O9626,'Customer List'!$A$1:$J$488,10,FALSE),"")</f>
        <v/>
      </c>
    </row>
    <row r="9627" spans="18:23">
      <c r="R9627" s="127">
        <f t="shared" si="373"/>
        <v>0</v>
      </c>
      <c r="U9627" s="129" t="str">
        <f>IFERROR(IF(#REF!="S",VLOOKUP('Raw Data'!A9627,References!#REF!,2,FALSE),(VLOOKUP($S9627,References!$B$3:$C$7,2,FALSE))),"")</f>
        <v/>
      </c>
      <c r="W9627" s="74" t="str">
        <f>IFERROR(VLOOKUP($O9627,'Customer List'!$A$1:$J$488,10,FALSE),"")</f>
        <v/>
      </c>
    </row>
    <row r="9628" spans="18:23">
      <c r="R9628" s="127">
        <f t="shared" si="373"/>
        <v>0</v>
      </c>
      <c r="U9628" s="129" t="str">
        <f>IFERROR(IF(#REF!="S",VLOOKUP('Raw Data'!A9628,References!#REF!,2,FALSE),(VLOOKUP($S9628,References!$B$3:$C$7,2,FALSE))),"")</f>
        <v/>
      </c>
      <c r="W9628" s="74" t="str">
        <f>IFERROR(VLOOKUP($O9628,'Customer List'!$A$1:$J$488,10,FALSE),"")</f>
        <v/>
      </c>
    </row>
    <row r="9629" spans="18:23">
      <c r="R9629" s="127">
        <f t="shared" si="373"/>
        <v>0</v>
      </c>
      <c r="U9629" s="129" t="str">
        <f>IFERROR(IF(#REF!="S",VLOOKUP('Raw Data'!A9629,References!#REF!,2,FALSE),(VLOOKUP($S9629,References!$B$3:$C$7,2,FALSE))),"")</f>
        <v/>
      </c>
      <c r="W9629" s="74" t="str">
        <f>IFERROR(VLOOKUP($O9629,'Customer List'!$A$1:$J$488,10,FALSE),"")</f>
        <v/>
      </c>
    </row>
    <row r="9630" spans="18:23">
      <c r="R9630" s="127">
        <f t="shared" si="373"/>
        <v>0</v>
      </c>
      <c r="U9630" s="129" t="str">
        <f>IFERROR(IF(#REF!="S",VLOOKUP('Raw Data'!A9630,References!#REF!,2,FALSE),(VLOOKUP($S9630,References!$B$3:$C$7,2,FALSE))),"")</f>
        <v/>
      </c>
      <c r="W9630" s="74" t="str">
        <f>IFERROR(VLOOKUP($O9630,'Customer List'!$A$1:$J$488,10,FALSE),"")</f>
        <v/>
      </c>
    </row>
    <row r="9631" spans="18:23">
      <c r="R9631" s="127">
        <f t="shared" si="373"/>
        <v>0</v>
      </c>
      <c r="U9631" s="129" t="str">
        <f>IFERROR(IF(#REF!="S",VLOOKUP('Raw Data'!A9631,References!#REF!,2,FALSE),(VLOOKUP($S9631,References!$B$3:$C$7,2,FALSE))),"")</f>
        <v/>
      </c>
      <c r="W9631" s="74" t="str">
        <f>IFERROR(VLOOKUP($O9631,'Customer List'!$A$1:$J$488,10,FALSE),"")</f>
        <v/>
      </c>
    </row>
    <row r="9632" spans="18:23">
      <c r="R9632" s="127">
        <f t="shared" si="373"/>
        <v>0</v>
      </c>
      <c r="U9632" s="129" t="str">
        <f>IFERROR(IF(#REF!="S",VLOOKUP('Raw Data'!A9632,References!#REF!,2,FALSE),(VLOOKUP($S9632,References!$B$3:$C$7,2,FALSE))),"")</f>
        <v/>
      </c>
      <c r="W9632" s="74" t="str">
        <f>IFERROR(VLOOKUP($O9632,'Customer List'!$A$1:$J$488,10,FALSE),"")</f>
        <v/>
      </c>
    </row>
    <row r="9633" spans="18:23">
      <c r="R9633" s="127">
        <f t="shared" si="373"/>
        <v>0</v>
      </c>
      <c r="U9633" s="129" t="str">
        <f>IFERROR(IF(#REF!="S",VLOOKUP('Raw Data'!A9633,References!#REF!,2,FALSE),(VLOOKUP($S9633,References!$B$3:$C$7,2,FALSE))),"")</f>
        <v/>
      </c>
      <c r="W9633" s="74" t="str">
        <f>IFERROR(VLOOKUP($O9633,'Customer List'!$A$1:$J$488,10,FALSE),"")</f>
        <v/>
      </c>
    </row>
    <row r="9634" spans="18:23">
      <c r="R9634" s="127">
        <f t="shared" ref="R9634:R9697" si="374">L9634-K9634</f>
        <v>0</v>
      </c>
      <c r="U9634" s="129" t="str">
        <f>IFERROR(IF(#REF!="S",VLOOKUP('Raw Data'!A9634,References!#REF!,2,FALSE),(VLOOKUP($S9634,References!$B$3:$C$7,2,FALSE))),"")</f>
        <v/>
      </c>
      <c r="W9634" s="74" t="str">
        <f>IFERROR(VLOOKUP($O9634,'Customer List'!$A$1:$J$488,10,FALSE),"")</f>
        <v/>
      </c>
    </row>
    <row r="9635" spans="18:23">
      <c r="R9635" s="127">
        <f t="shared" si="374"/>
        <v>0</v>
      </c>
      <c r="U9635" s="129" t="str">
        <f>IFERROR(IF(#REF!="S",VLOOKUP('Raw Data'!A9635,References!#REF!,2,FALSE),(VLOOKUP($S9635,References!$B$3:$C$7,2,FALSE))),"")</f>
        <v/>
      </c>
      <c r="W9635" s="74" t="str">
        <f>IFERROR(VLOOKUP($O9635,'Customer List'!$A$1:$J$488,10,FALSE),"")</f>
        <v/>
      </c>
    </row>
    <row r="9636" spans="18:23">
      <c r="R9636" s="127">
        <f t="shared" si="374"/>
        <v>0</v>
      </c>
      <c r="U9636" s="129" t="str">
        <f>IFERROR(IF(#REF!="S",VLOOKUP('Raw Data'!A9636,References!#REF!,2,FALSE),(VLOOKUP($S9636,References!$B$3:$C$7,2,FALSE))),"")</f>
        <v/>
      </c>
      <c r="W9636" s="74" t="str">
        <f>IFERROR(VLOOKUP($O9636,'Customer List'!$A$1:$J$488,10,FALSE),"")</f>
        <v/>
      </c>
    </row>
    <row r="9637" spans="18:23">
      <c r="R9637" s="127">
        <f t="shared" si="374"/>
        <v>0</v>
      </c>
      <c r="U9637" s="129" t="str">
        <f>IFERROR(IF(#REF!="S",VLOOKUP('Raw Data'!A9637,References!#REF!,2,FALSE),(VLOOKUP($S9637,References!$B$3:$C$7,2,FALSE))),"")</f>
        <v/>
      </c>
      <c r="W9637" s="74" t="str">
        <f>IFERROR(VLOOKUP($O9637,'Customer List'!$A$1:$J$488,10,FALSE),"")</f>
        <v/>
      </c>
    </row>
    <row r="9638" spans="18:23">
      <c r="R9638" s="127">
        <f t="shared" si="374"/>
        <v>0</v>
      </c>
      <c r="U9638" s="129" t="str">
        <f>IFERROR(IF(#REF!="S",VLOOKUP('Raw Data'!A9638,References!#REF!,2,FALSE),(VLOOKUP($S9638,References!$B$3:$C$7,2,FALSE))),"")</f>
        <v/>
      </c>
      <c r="W9638" s="74" t="str">
        <f>IFERROR(VLOOKUP($O9638,'Customer List'!$A$1:$J$488,10,FALSE),"")</f>
        <v/>
      </c>
    </row>
    <row r="9639" spans="18:23">
      <c r="R9639" s="127">
        <f t="shared" si="374"/>
        <v>0</v>
      </c>
      <c r="U9639" s="129" t="str">
        <f>IFERROR(IF(#REF!="S",VLOOKUP('Raw Data'!A9639,References!#REF!,2,FALSE),(VLOOKUP($S9639,References!$B$3:$C$7,2,FALSE))),"")</f>
        <v/>
      </c>
      <c r="W9639" s="74" t="str">
        <f>IFERROR(VLOOKUP($O9639,'Customer List'!$A$1:$J$488,10,FALSE),"")</f>
        <v/>
      </c>
    </row>
    <row r="9640" spans="18:23">
      <c r="R9640" s="127">
        <f t="shared" si="374"/>
        <v>0</v>
      </c>
      <c r="U9640" s="129" t="str">
        <f>IFERROR(IF(#REF!="S",VLOOKUP('Raw Data'!A9640,References!#REF!,2,FALSE),(VLOOKUP($S9640,References!$B$3:$C$7,2,FALSE))),"")</f>
        <v/>
      </c>
      <c r="W9640" s="74" t="str">
        <f>IFERROR(VLOOKUP($O9640,'Customer List'!$A$1:$J$488,10,FALSE),"")</f>
        <v/>
      </c>
    </row>
    <row r="9641" spans="18:23">
      <c r="R9641" s="127">
        <f t="shared" si="374"/>
        <v>0</v>
      </c>
      <c r="U9641" s="129" t="str">
        <f>IFERROR(IF(#REF!="S",VLOOKUP('Raw Data'!A9641,References!#REF!,2,FALSE),(VLOOKUP($S9641,References!$B$3:$C$7,2,FALSE))),"")</f>
        <v/>
      </c>
      <c r="W9641" s="74" t="str">
        <f>IFERROR(VLOOKUP($O9641,'Customer List'!$A$1:$J$488,10,FALSE),"")</f>
        <v/>
      </c>
    </row>
    <row r="9642" spans="18:23">
      <c r="R9642" s="127">
        <f t="shared" si="374"/>
        <v>0</v>
      </c>
      <c r="U9642" s="129" t="str">
        <f>IFERROR(IF(#REF!="S",VLOOKUP('Raw Data'!A9642,References!#REF!,2,FALSE),(VLOOKUP($S9642,References!$B$3:$C$7,2,FALSE))),"")</f>
        <v/>
      </c>
      <c r="W9642" s="74" t="str">
        <f>IFERROR(VLOOKUP($O9642,'Customer List'!$A$1:$J$488,10,FALSE),"")</f>
        <v/>
      </c>
    </row>
    <row r="9643" spans="18:23">
      <c r="R9643" s="127">
        <f t="shared" si="374"/>
        <v>0</v>
      </c>
      <c r="U9643" s="129" t="str">
        <f>IFERROR(IF(#REF!="S",VLOOKUP('Raw Data'!A9643,References!#REF!,2,FALSE),(VLOOKUP($S9643,References!$B$3:$C$7,2,FALSE))),"")</f>
        <v/>
      </c>
      <c r="W9643" s="74" t="str">
        <f>IFERROR(VLOOKUP($O9643,'Customer List'!$A$1:$J$488,10,FALSE),"")</f>
        <v/>
      </c>
    </row>
    <row r="9644" spans="18:23">
      <c r="R9644" s="127">
        <f t="shared" si="374"/>
        <v>0</v>
      </c>
      <c r="U9644" s="129" t="str">
        <f>IFERROR(IF(#REF!="S",VLOOKUP('Raw Data'!A9644,References!#REF!,2,FALSE),(VLOOKUP($S9644,References!$B$3:$C$7,2,FALSE))),"")</f>
        <v/>
      </c>
      <c r="W9644" s="74" t="str">
        <f>IFERROR(VLOOKUP($O9644,'Customer List'!$A$1:$J$488,10,FALSE),"")</f>
        <v/>
      </c>
    </row>
    <row r="9645" spans="18:23">
      <c r="R9645" s="127">
        <f t="shared" si="374"/>
        <v>0</v>
      </c>
      <c r="U9645" s="129" t="str">
        <f>IFERROR(IF(#REF!="S",VLOOKUP('Raw Data'!A9645,References!#REF!,2,FALSE),(VLOOKUP($S9645,References!$B$3:$C$7,2,FALSE))),"")</f>
        <v/>
      </c>
      <c r="W9645" s="74" t="str">
        <f>IFERROR(VLOOKUP($O9645,'Customer List'!$A$1:$J$488,10,FALSE),"")</f>
        <v/>
      </c>
    </row>
    <row r="9646" spans="18:23">
      <c r="R9646" s="127">
        <f t="shared" si="374"/>
        <v>0</v>
      </c>
      <c r="U9646" s="129" t="str">
        <f>IFERROR(IF(#REF!="S",VLOOKUP('Raw Data'!A9646,References!#REF!,2,FALSE),(VLOOKUP($S9646,References!$B$3:$C$7,2,FALSE))),"")</f>
        <v/>
      </c>
      <c r="W9646" s="74" t="str">
        <f>IFERROR(VLOOKUP($O9646,'Customer List'!$A$1:$J$488,10,FALSE),"")</f>
        <v/>
      </c>
    </row>
    <row r="9647" spans="18:23">
      <c r="R9647" s="127">
        <f t="shared" si="374"/>
        <v>0</v>
      </c>
      <c r="U9647" s="129" t="str">
        <f>IFERROR(IF(#REF!="S",VLOOKUP('Raw Data'!A9647,References!#REF!,2,FALSE),(VLOOKUP($S9647,References!$B$3:$C$7,2,FALSE))),"")</f>
        <v/>
      </c>
      <c r="W9647" s="74" t="str">
        <f>IFERROR(VLOOKUP($O9647,'Customer List'!$A$1:$J$488,10,FALSE),"")</f>
        <v/>
      </c>
    </row>
    <row r="9648" spans="18:23">
      <c r="R9648" s="127">
        <f t="shared" si="374"/>
        <v>0</v>
      </c>
      <c r="U9648" s="129" t="str">
        <f>IFERROR(IF(#REF!="S",VLOOKUP('Raw Data'!A9648,References!#REF!,2,FALSE),(VLOOKUP($S9648,References!$B$3:$C$7,2,FALSE))),"")</f>
        <v/>
      </c>
      <c r="W9648" s="74" t="str">
        <f>IFERROR(VLOOKUP($O9648,'Customer List'!$A$1:$J$488,10,FALSE),"")</f>
        <v/>
      </c>
    </row>
    <row r="9649" spans="18:23">
      <c r="R9649" s="127">
        <f t="shared" si="374"/>
        <v>0</v>
      </c>
      <c r="U9649" s="129" t="str">
        <f>IFERROR(IF(#REF!="S",VLOOKUP('Raw Data'!A9649,References!#REF!,2,FALSE),(VLOOKUP($S9649,References!$B$3:$C$7,2,FALSE))),"")</f>
        <v/>
      </c>
      <c r="W9649" s="74" t="str">
        <f>IFERROR(VLOOKUP($O9649,'Customer List'!$A$1:$J$488,10,FALSE),"")</f>
        <v/>
      </c>
    </row>
    <row r="9650" spans="18:23">
      <c r="R9650" s="127">
        <f t="shared" si="374"/>
        <v>0</v>
      </c>
      <c r="U9650" s="129" t="str">
        <f>IFERROR(IF(#REF!="S",VLOOKUP('Raw Data'!A9650,References!#REF!,2,FALSE),(VLOOKUP($S9650,References!$B$3:$C$7,2,FALSE))),"")</f>
        <v/>
      </c>
      <c r="W9650" s="74" t="str">
        <f>IFERROR(VLOOKUP($O9650,'Customer List'!$A$1:$J$488,10,FALSE),"")</f>
        <v/>
      </c>
    </row>
    <row r="9651" spans="18:23">
      <c r="R9651" s="127">
        <f t="shared" si="374"/>
        <v>0</v>
      </c>
      <c r="U9651" s="129" t="str">
        <f>IFERROR(IF(#REF!="S",VLOOKUP('Raw Data'!A9651,References!#REF!,2,FALSE),(VLOOKUP($S9651,References!$B$3:$C$7,2,FALSE))),"")</f>
        <v/>
      </c>
      <c r="W9651" s="74" t="str">
        <f>IFERROR(VLOOKUP($O9651,'Customer List'!$A$1:$J$488,10,FALSE),"")</f>
        <v/>
      </c>
    </row>
    <row r="9652" spans="18:23">
      <c r="R9652" s="127">
        <f t="shared" si="374"/>
        <v>0</v>
      </c>
      <c r="U9652" s="129" t="str">
        <f>IFERROR(IF(#REF!="S",VLOOKUP('Raw Data'!A9652,References!#REF!,2,FALSE),(VLOOKUP($S9652,References!$B$3:$C$7,2,FALSE))),"")</f>
        <v/>
      </c>
      <c r="W9652" s="74" t="str">
        <f>IFERROR(VLOOKUP($O9652,'Customer List'!$A$1:$J$488,10,FALSE),"")</f>
        <v/>
      </c>
    </row>
    <row r="9653" spans="18:23">
      <c r="R9653" s="127">
        <f t="shared" si="374"/>
        <v>0</v>
      </c>
      <c r="U9653" s="129" t="str">
        <f>IFERROR(IF(#REF!="S",VLOOKUP('Raw Data'!A9653,References!#REF!,2,FALSE),(VLOOKUP($S9653,References!$B$3:$C$7,2,FALSE))),"")</f>
        <v/>
      </c>
      <c r="W9653" s="74" t="str">
        <f>IFERROR(VLOOKUP($O9653,'Customer List'!$A$1:$J$488,10,FALSE),"")</f>
        <v/>
      </c>
    </row>
    <row r="9654" spans="18:23">
      <c r="R9654" s="127">
        <f t="shared" si="374"/>
        <v>0</v>
      </c>
      <c r="U9654" s="129" t="str">
        <f>IFERROR(IF(#REF!="S",VLOOKUP('Raw Data'!A9654,References!#REF!,2,FALSE),(VLOOKUP($S9654,References!$B$3:$C$7,2,FALSE))),"")</f>
        <v/>
      </c>
      <c r="W9654" s="74" t="str">
        <f>IFERROR(VLOOKUP($O9654,'Customer List'!$A$1:$J$488,10,FALSE),"")</f>
        <v/>
      </c>
    </row>
    <row r="9655" spans="18:23">
      <c r="R9655" s="127">
        <f t="shared" si="374"/>
        <v>0</v>
      </c>
      <c r="U9655" s="129" t="str">
        <f>IFERROR(IF(#REF!="S",VLOOKUP('Raw Data'!A9655,References!#REF!,2,FALSE),(VLOOKUP($S9655,References!$B$3:$C$7,2,FALSE))),"")</f>
        <v/>
      </c>
      <c r="W9655" s="74" t="str">
        <f>IFERROR(VLOOKUP($O9655,'Customer List'!$A$1:$J$488,10,FALSE),"")</f>
        <v/>
      </c>
    </row>
    <row r="9656" spans="18:23">
      <c r="R9656" s="127">
        <f t="shared" si="374"/>
        <v>0</v>
      </c>
      <c r="U9656" s="129" t="str">
        <f>IFERROR(IF(#REF!="S",VLOOKUP('Raw Data'!A9656,References!#REF!,2,FALSE),(VLOOKUP($S9656,References!$B$3:$C$7,2,FALSE))),"")</f>
        <v/>
      </c>
      <c r="W9656" s="74" t="str">
        <f>IFERROR(VLOOKUP($O9656,'Customer List'!$A$1:$J$488,10,FALSE),"")</f>
        <v/>
      </c>
    </row>
    <row r="9657" spans="18:23">
      <c r="R9657" s="127">
        <f t="shared" si="374"/>
        <v>0</v>
      </c>
      <c r="U9657" s="129" t="str">
        <f>IFERROR(IF(#REF!="S",VLOOKUP('Raw Data'!A9657,References!#REF!,2,FALSE),(VLOOKUP($S9657,References!$B$3:$C$7,2,FALSE))),"")</f>
        <v/>
      </c>
      <c r="W9657" s="74" t="str">
        <f>IFERROR(VLOOKUP($O9657,'Customer List'!$A$1:$J$488,10,FALSE),"")</f>
        <v/>
      </c>
    </row>
    <row r="9658" spans="18:23">
      <c r="R9658" s="127">
        <f t="shared" si="374"/>
        <v>0</v>
      </c>
      <c r="U9658" s="129" t="str">
        <f>IFERROR(IF(#REF!="S",VLOOKUP('Raw Data'!A9658,References!#REF!,2,FALSE),(VLOOKUP($S9658,References!$B$3:$C$7,2,FALSE))),"")</f>
        <v/>
      </c>
      <c r="W9658" s="74" t="str">
        <f>IFERROR(VLOOKUP($O9658,'Customer List'!$A$1:$J$488,10,FALSE),"")</f>
        <v/>
      </c>
    </row>
    <row r="9659" spans="18:23">
      <c r="R9659" s="127">
        <f t="shared" si="374"/>
        <v>0</v>
      </c>
      <c r="U9659" s="129" t="str">
        <f>IFERROR(IF(#REF!="S",VLOOKUP('Raw Data'!A9659,References!#REF!,2,FALSE),(VLOOKUP($S9659,References!$B$3:$C$7,2,FALSE))),"")</f>
        <v/>
      </c>
      <c r="W9659" s="74" t="str">
        <f>IFERROR(VLOOKUP($O9659,'Customer List'!$A$1:$J$488,10,FALSE),"")</f>
        <v/>
      </c>
    </row>
    <row r="9660" spans="18:23">
      <c r="R9660" s="127">
        <f t="shared" si="374"/>
        <v>0</v>
      </c>
      <c r="U9660" s="129" t="str">
        <f>IFERROR(IF(#REF!="S",VLOOKUP('Raw Data'!A9660,References!#REF!,2,FALSE),(VLOOKUP($S9660,References!$B$3:$C$7,2,FALSE))),"")</f>
        <v/>
      </c>
      <c r="W9660" s="74" t="str">
        <f>IFERROR(VLOOKUP($O9660,'Customer List'!$A$1:$J$488,10,FALSE),"")</f>
        <v/>
      </c>
    </row>
    <row r="9661" spans="18:23">
      <c r="R9661" s="127">
        <f t="shared" si="374"/>
        <v>0</v>
      </c>
      <c r="U9661" s="129" t="str">
        <f>IFERROR(IF(#REF!="S",VLOOKUP('Raw Data'!A9661,References!#REF!,2,FALSE),(VLOOKUP($S9661,References!$B$3:$C$7,2,FALSE))),"")</f>
        <v/>
      </c>
      <c r="W9661" s="74" t="str">
        <f>IFERROR(VLOOKUP($O9661,'Customer List'!$A$1:$J$488,10,FALSE),"")</f>
        <v/>
      </c>
    </row>
    <row r="9662" spans="18:23">
      <c r="R9662" s="127">
        <f t="shared" si="374"/>
        <v>0</v>
      </c>
      <c r="U9662" s="129" t="str">
        <f>IFERROR(IF(#REF!="S",VLOOKUP('Raw Data'!A9662,References!#REF!,2,FALSE),(VLOOKUP($S9662,References!$B$3:$C$7,2,FALSE))),"")</f>
        <v/>
      </c>
      <c r="W9662" s="74" t="str">
        <f>IFERROR(VLOOKUP($O9662,'Customer List'!$A$1:$J$488,10,FALSE),"")</f>
        <v/>
      </c>
    </row>
    <row r="9663" spans="18:23">
      <c r="R9663" s="127">
        <f t="shared" si="374"/>
        <v>0</v>
      </c>
      <c r="U9663" s="129" t="str">
        <f>IFERROR(IF(#REF!="S",VLOOKUP('Raw Data'!A9663,References!#REF!,2,FALSE),(VLOOKUP($S9663,References!$B$3:$C$7,2,FALSE))),"")</f>
        <v/>
      </c>
      <c r="W9663" s="74" t="str">
        <f>IFERROR(VLOOKUP($O9663,'Customer List'!$A$1:$J$488,10,FALSE),"")</f>
        <v/>
      </c>
    </row>
    <row r="9664" spans="18:23">
      <c r="R9664" s="127">
        <f t="shared" si="374"/>
        <v>0</v>
      </c>
      <c r="U9664" s="129" t="str">
        <f>IFERROR(IF(#REF!="S",VLOOKUP('Raw Data'!A9664,References!#REF!,2,FALSE),(VLOOKUP($S9664,References!$B$3:$C$7,2,FALSE))),"")</f>
        <v/>
      </c>
      <c r="W9664" s="74" t="str">
        <f>IFERROR(VLOOKUP($O9664,'Customer List'!$A$1:$J$488,10,FALSE),"")</f>
        <v/>
      </c>
    </row>
    <row r="9665" spans="18:23">
      <c r="R9665" s="127">
        <f t="shared" si="374"/>
        <v>0</v>
      </c>
      <c r="U9665" s="129" t="str">
        <f>IFERROR(IF(#REF!="S",VLOOKUP('Raw Data'!A9665,References!#REF!,2,FALSE),(VLOOKUP($S9665,References!$B$3:$C$7,2,FALSE))),"")</f>
        <v/>
      </c>
      <c r="W9665" s="74" t="str">
        <f>IFERROR(VLOOKUP($O9665,'Customer List'!$A$1:$J$488,10,FALSE),"")</f>
        <v/>
      </c>
    </row>
    <row r="9666" spans="18:23">
      <c r="R9666" s="127">
        <f t="shared" si="374"/>
        <v>0</v>
      </c>
      <c r="U9666" s="129" t="str">
        <f>IFERROR(IF(#REF!="S",VLOOKUP('Raw Data'!A9666,References!#REF!,2,FALSE),(VLOOKUP($S9666,References!$B$3:$C$7,2,FALSE))),"")</f>
        <v/>
      </c>
      <c r="W9666" s="74" t="str">
        <f>IFERROR(VLOOKUP($O9666,'Customer List'!$A$1:$J$488,10,FALSE),"")</f>
        <v/>
      </c>
    </row>
    <row r="9667" spans="18:23">
      <c r="R9667" s="127">
        <f t="shared" si="374"/>
        <v>0</v>
      </c>
      <c r="U9667" s="129" t="str">
        <f>IFERROR(IF(#REF!="S",VLOOKUP('Raw Data'!A9667,References!#REF!,2,FALSE),(VLOOKUP($S9667,References!$B$3:$C$7,2,FALSE))),"")</f>
        <v/>
      </c>
      <c r="W9667" s="74" t="str">
        <f>IFERROR(VLOOKUP($O9667,'Customer List'!$A$1:$J$488,10,FALSE),"")</f>
        <v/>
      </c>
    </row>
    <row r="9668" spans="18:23">
      <c r="R9668" s="127">
        <f t="shared" si="374"/>
        <v>0</v>
      </c>
      <c r="U9668" s="129" t="str">
        <f>IFERROR(IF(#REF!="S",VLOOKUP('Raw Data'!A9668,References!#REF!,2,FALSE),(VLOOKUP($S9668,References!$B$3:$C$7,2,FALSE))),"")</f>
        <v/>
      </c>
      <c r="W9668" s="74" t="str">
        <f>IFERROR(VLOOKUP($O9668,'Customer List'!$A$1:$J$488,10,FALSE),"")</f>
        <v/>
      </c>
    </row>
    <row r="9669" spans="18:23">
      <c r="R9669" s="127">
        <f t="shared" si="374"/>
        <v>0</v>
      </c>
      <c r="U9669" s="129" t="str">
        <f>IFERROR(IF(#REF!="S",VLOOKUP('Raw Data'!A9669,References!#REF!,2,FALSE),(VLOOKUP($S9669,References!$B$3:$C$7,2,FALSE))),"")</f>
        <v/>
      </c>
      <c r="W9669" s="74" t="str">
        <f>IFERROR(VLOOKUP($O9669,'Customer List'!$A$1:$J$488,10,FALSE),"")</f>
        <v/>
      </c>
    </row>
    <row r="9670" spans="18:23">
      <c r="R9670" s="127">
        <f t="shared" si="374"/>
        <v>0</v>
      </c>
      <c r="U9670" s="129" t="str">
        <f>IFERROR(IF(#REF!="S",VLOOKUP('Raw Data'!A9670,References!#REF!,2,FALSE),(VLOOKUP($S9670,References!$B$3:$C$7,2,FALSE))),"")</f>
        <v/>
      </c>
      <c r="W9670" s="74" t="str">
        <f>IFERROR(VLOOKUP($O9670,'Customer List'!$A$1:$J$488,10,FALSE),"")</f>
        <v/>
      </c>
    </row>
    <row r="9671" spans="18:23">
      <c r="R9671" s="127">
        <f t="shared" si="374"/>
        <v>0</v>
      </c>
      <c r="U9671" s="129" t="str">
        <f>IFERROR(IF(#REF!="S",VLOOKUP('Raw Data'!A9671,References!#REF!,2,FALSE),(VLOOKUP($S9671,References!$B$3:$C$7,2,FALSE))),"")</f>
        <v/>
      </c>
      <c r="W9671" s="74" t="str">
        <f>IFERROR(VLOOKUP($O9671,'Customer List'!$A$1:$J$488,10,FALSE),"")</f>
        <v/>
      </c>
    </row>
    <row r="9672" spans="18:23">
      <c r="R9672" s="127">
        <f t="shared" si="374"/>
        <v>0</v>
      </c>
      <c r="U9672" s="129" t="str">
        <f>IFERROR(IF(#REF!="S",VLOOKUP('Raw Data'!A9672,References!#REF!,2,FALSE),(VLOOKUP($S9672,References!$B$3:$C$7,2,FALSE))),"")</f>
        <v/>
      </c>
      <c r="W9672" s="74" t="str">
        <f>IFERROR(VLOOKUP($O9672,'Customer List'!$A$1:$J$488,10,FALSE),"")</f>
        <v/>
      </c>
    </row>
    <row r="9673" spans="18:23">
      <c r="R9673" s="127">
        <f t="shared" si="374"/>
        <v>0</v>
      </c>
      <c r="U9673" s="129" t="str">
        <f>IFERROR(IF(#REF!="S",VLOOKUP('Raw Data'!A9673,References!#REF!,2,FALSE),(VLOOKUP($S9673,References!$B$3:$C$7,2,FALSE))),"")</f>
        <v/>
      </c>
      <c r="W9673" s="74" t="str">
        <f>IFERROR(VLOOKUP($O9673,'Customer List'!$A$1:$J$488,10,FALSE),"")</f>
        <v/>
      </c>
    </row>
    <row r="9674" spans="18:23">
      <c r="R9674" s="127">
        <f t="shared" si="374"/>
        <v>0</v>
      </c>
      <c r="U9674" s="129" t="str">
        <f>IFERROR(IF(#REF!="S",VLOOKUP('Raw Data'!A9674,References!#REF!,2,FALSE),(VLOOKUP($S9674,References!$B$3:$C$7,2,FALSE))),"")</f>
        <v/>
      </c>
      <c r="W9674" s="74" t="str">
        <f>IFERROR(VLOOKUP($O9674,'Customer List'!$A$1:$J$488,10,FALSE),"")</f>
        <v/>
      </c>
    </row>
    <row r="9675" spans="18:23">
      <c r="R9675" s="127">
        <f t="shared" si="374"/>
        <v>0</v>
      </c>
      <c r="U9675" s="129" t="str">
        <f>IFERROR(IF(#REF!="S",VLOOKUP('Raw Data'!A9675,References!#REF!,2,FALSE),(VLOOKUP($S9675,References!$B$3:$C$7,2,FALSE))),"")</f>
        <v/>
      </c>
      <c r="W9675" s="74" t="str">
        <f>IFERROR(VLOOKUP($O9675,'Customer List'!$A$1:$J$488,10,FALSE),"")</f>
        <v/>
      </c>
    </row>
    <row r="9676" spans="18:23">
      <c r="R9676" s="127">
        <f t="shared" si="374"/>
        <v>0</v>
      </c>
      <c r="U9676" s="129" t="str">
        <f>IFERROR(IF(#REF!="S",VLOOKUP('Raw Data'!A9676,References!#REF!,2,FALSE),(VLOOKUP($S9676,References!$B$3:$C$7,2,FALSE))),"")</f>
        <v/>
      </c>
      <c r="W9676" s="74" t="str">
        <f>IFERROR(VLOOKUP($O9676,'Customer List'!$A$1:$J$488,10,FALSE),"")</f>
        <v/>
      </c>
    </row>
    <row r="9677" spans="18:23">
      <c r="R9677" s="127">
        <f t="shared" si="374"/>
        <v>0</v>
      </c>
      <c r="U9677" s="129" t="str">
        <f>IFERROR(IF(#REF!="S",VLOOKUP('Raw Data'!A9677,References!#REF!,2,FALSE),(VLOOKUP($S9677,References!$B$3:$C$7,2,FALSE))),"")</f>
        <v/>
      </c>
      <c r="W9677" s="74" t="str">
        <f>IFERROR(VLOOKUP($O9677,'Customer List'!$A$1:$J$488,10,FALSE),"")</f>
        <v/>
      </c>
    </row>
    <row r="9678" spans="18:23">
      <c r="R9678" s="127">
        <f t="shared" si="374"/>
        <v>0</v>
      </c>
      <c r="U9678" s="129" t="str">
        <f>IFERROR(IF(#REF!="S",VLOOKUP('Raw Data'!A9678,References!#REF!,2,FALSE),(VLOOKUP($S9678,References!$B$3:$C$7,2,FALSE))),"")</f>
        <v/>
      </c>
      <c r="W9678" s="74" t="str">
        <f>IFERROR(VLOOKUP($O9678,'Customer List'!$A$1:$J$488,10,FALSE),"")</f>
        <v/>
      </c>
    </row>
    <row r="9679" spans="18:23">
      <c r="R9679" s="127">
        <f t="shared" si="374"/>
        <v>0</v>
      </c>
      <c r="U9679" s="129" t="str">
        <f>IFERROR(IF(#REF!="S",VLOOKUP('Raw Data'!A9679,References!#REF!,2,FALSE),(VLOOKUP($S9679,References!$B$3:$C$7,2,FALSE))),"")</f>
        <v/>
      </c>
      <c r="W9679" s="74" t="str">
        <f>IFERROR(VLOOKUP($O9679,'Customer List'!$A$1:$J$488,10,FALSE),"")</f>
        <v/>
      </c>
    </row>
    <row r="9680" spans="18:23">
      <c r="R9680" s="127">
        <f t="shared" si="374"/>
        <v>0</v>
      </c>
      <c r="U9680" s="129" t="str">
        <f>IFERROR(IF(#REF!="S",VLOOKUP('Raw Data'!A9680,References!#REF!,2,FALSE),(VLOOKUP($S9680,References!$B$3:$C$7,2,FALSE))),"")</f>
        <v/>
      </c>
      <c r="W9680" s="74" t="str">
        <f>IFERROR(VLOOKUP($O9680,'Customer List'!$A$1:$J$488,10,FALSE),"")</f>
        <v/>
      </c>
    </row>
    <row r="9681" spans="18:23">
      <c r="R9681" s="127">
        <f t="shared" si="374"/>
        <v>0</v>
      </c>
      <c r="U9681" s="129" t="str">
        <f>IFERROR(IF(#REF!="S",VLOOKUP('Raw Data'!A9681,References!#REF!,2,FALSE),(VLOOKUP($S9681,References!$B$3:$C$7,2,FALSE))),"")</f>
        <v/>
      </c>
      <c r="W9681" s="74" t="str">
        <f>IFERROR(VLOOKUP($O9681,'Customer List'!$A$1:$J$488,10,FALSE),"")</f>
        <v/>
      </c>
    </row>
    <row r="9682" spans="18:23">
      <c r="R9682" s="127">
        <f t="shared" si="374"/>
        <v>0</v>
      </c>
      <c r="U9682" s="129" t="str">
        <f>IFERROR(IF(#REF!="S",VLOOKUP('Raw Data'!A9682,References!#REF!,2,FALSE),(VLOOKUP($S9682,References!$B$3:$C$7,2,FALSE))),"")</f>
        <v/>
      </c>
      <c r="W9682" s="74" t="str">
        <f>IFERROR(VLOOKUP($O9682,'Customer List'!$A$1:$J$488,10,FALSE),"")</f>
        <v/>
      </c>
    </row>
    <row r="9683" spans="18:23">
      <c r="R9683" s="127">
        <f t="shared" si="374"/>
        <v>0</v>
      </c>
      <c r="U9683" s="129" t="str">
        <f>IFERROR(IF(#REF!="S",VLOOKUP('Raw Data'!A9683,References!#REF!,2,FALSE),(VLOOKUP($S9683,References!$B$3:$C$7,2,FALSE))),"")</f>
        <v/>
      </c>
      <c r="W9683" s="74" t="str">
        <f>IFERROR(VLOOKUP($O9683,'Customer List'!$A$1:$J$488,10,FALSE),"")</f>
        <v/>
      </c>
    </row>
    <row r="9684" spans="18:23">
      <c r="R9684" s="127">
        <f t="shared" si="374"/>
        <v>0</v>
      </c>
      <c r="U9684" s="129" t="str">
        <f>IFERROR(IF(#REF!="S",VLOOKUP('Raw Data'!A9684,References!#REF!,2,FALSE),(VLOOKUP($S9684,References!$B$3:$C$7,2,FALSE))),"")</f>
        <v/>
      </c>
      <c r="W9684" s="74" t="str">
        <f>IFERROR(VLOOKUP($O9684,'Customer List'!$A$1:$J$488,10,FALSE),"")</f>
        <v/>
      </c>
    </row>
    <row r="9685" spans="18:23">
      <c r="R9685" s="127">
        <f t="shared" si="374"/>
        <v>0</v>
      </c>
      <c r="U9685" s="129" t="str">
        <f>IFERROR(IF(#REF!="S",VLOOKUP('Raw Data'!A9685,References!#REF!,2,FALSE),(VLOOKUP($S9685,References!$B$3:$C$7,2,FALSE))),"")</f>
        <v/>
      </c>
      <c r="W9685" s="74" t="str">
        <f>IFERROR(VLOOKUP($O9685,'Customer List'!$A$1:$J$488,10,FALSE),"")</f>
        <v/>
      </c>
    </row>
    <row r="9686" spans="18:23">
      <c r="R9686" s="127">
        <f t="shared" si="374"/>
        <v>0</v>
      </c>
      <c r="U9686" s="129" t="str">
        <f>IFERROR(IF(#REF!="S",VLOOKUP('Raw Data'!A9686,References!#REF!,2,FALSE),(VLOOKUP($S9686,References!$B$3:$C$7,2,FALSE))),"")</f>
        <v/>
      </c>
      <c r="W9686" s="74" t="str">
        <f>IFERROR(VLOOKUP($O9686,'Customer List'!$A$1:$J$488,10,FALSE),"")</f>
        <v/>
      </c>
    </row>
    <row r="9687" spans="18:23">
      <c r="R9687" s="127">
        <f t="shared" si="374"/>
        <v>0</v>
      </c>
      <c r="U9687" s="129" t="str">
        <f>IFERROR(IF(#REF!="S",VLOOKUP('Raw Data'!A9687,References!#REF!,2,FALSE),(VLOOKUP($S9687,References!$B$3:$C$7,2,FALSE))),"")</f>
        <v/>
      </c>
      <c r="W9687" s="74" t="str">
        <f>IFERROR(VLOOKUP($O9687,'Customer List'!$A$1:$J$488,10,FALSE),"")</f>
        <v/>
      </c>
    </row>
    <row r="9688" spans="18:23">
      <c r="R9688" s="127">
        <f t="shared" si="374"/>
        <v>0</v>
      </c>
      <c r="U9688" s="129" t="str">
        <f>IFERROR(IF(#REF!="S",VLOOKUP('Raw Data'!A9688,References!#REF!,2,FALSE),(VLOOKUP($S9688,References!$B$3:$C$7,2,FALSE))),"")</f>
        <v/>
      </c>
      <c r="W9688" s="74" t="str">
        <f>IFERROR(VLOOKUP($O9688,'Customer List'!$A$1:$J$488,10,FALSE),"")</f>
        <v/>
      </c>
    </row>
    <row r="9689" spans="18:23">
      <c r="R9689" s="127">
        <f t="shared" si="374"/>
        <v>0</v>
      </c>
      <c r="U9689" s="129" t="str">
        <f>IFERROR(IF(#REF!="S",VLOOKUP('Raw Data'!A9689,References!#REF!,2,FALSE),(VLOOKUP($S9689,References!$B$3:$C$7,2,FALSE))),"")</f>
        <v/>
      </c>
      <c r="W9689" s="74" t="str">
        <f>IFERROR(VLOOKUP($O9689,'Customer List'!$A$1:$J$488,10,FALSE),"")</f>
        <v/>
      </c>
    </row>
    <row r="9690" spans="18:23">
      <c r="R9690" s="127">
        <f t="shared" si="374"/>
        <v>0</v>
      </c>
      <c r="U9690" s="129" t="str">
        <f>IFERROR(IF(#REF!="S",VLOOKUP('Raw Data'!A9690,References!#REF!,2,FALSE),(VLOOKUP($S9690,References!$B$3:$C$7,2,FALSE))),"")</f>
        <v/>
      </c>
      <c r="W9690" s="74" t="str">
        <f>IFERROR(VLOOKUP($O9690,'Customer List'!$A$1:$J$488,10,FALSE),"")</f>
        <v/>
      </c>
    </row>
    <row r="9691" spans="18:23">
      <c r="R9691" s="127">
        <f t="shared" si="374"/>
        <v>0</v>
      </c>
      <c r="U9691" s="129" t="str">
        <f>IFERROR(IF(#REF!="S",VLOOKUP('Raw Data'!A9691,References!#REF!,2,FALSE),(VLOOKUP($S9691,References!$B$3:$C$7,2,FALSE))),"")</f>
        <v/>
      </c>
      <c r="W9691" s="74" t="str">
        <f>IFERROR(VLOOKUP($O9691,'Customer List'!$A$1:$J$488,10,FALSE),"")</f>
        <v/>
      </c>
    </row>
    <row r="9692" spans="18:23">
      <c r="R9692" s="127">
        <f t="shared" si="374"/>
        <v>0</v>
      </c>
      <c r="U9692" s="129" t="str">
        <f>IFERROR(IF(#REF!="S",VLOOKUP('Raw Data'!A9692,References!#REF!,2,FALSE),(VLOOKUP($S9692,References!$B$3:$C$7,2,FALSE))),"")</f>
        <v/>
      </c>
      <c r="W9692" s="74" t="str">
        <f>IFERROR(VLOOKUP($O9692,'Customer List'!$A$1:$J$488,10,FALSE),"")</f>
        <v/>
      </c>
    </row>
    <row r="9693" spans="18:23">
      <c r="R9693" s="127">
        <f t="shared" si="374"/>
        <v>0</v>
      </c>
      <c r="U9693" s="129" t="str">
        <f>IFERROR(IF(#REF!="S",VLOOKUP('Raw Data'!A9693,References!#REF!,2,FALSE),(VLOOKUP($S9693,References!$B$3:$C$7,2,FALSE))),"")</f>
        <v/>
      </c>
      <c r="W9693" s="74" t="str">
        <f>IFERROR(VLOOKUP($O9693,'Customer List'!$A$1:$J$488,10,FALSE),"")</f>
        <v/>
      </c>
    </row>
    <row r="9694" spans="18:23">
      <c r="R9694" s="127">
        <f t="shared" si="374"/>
        <v>0</v>
      </c>
      <c r="U9694" s="129" t="str">
        <f>IFERROR(IF(#REF!="S",VLOOKUP('Raw Data'!A9694,References!#REF!,2,FALSE),(VLOOKUP($S9694,References!$B$3:$C$7,2,FALSE))),"")</f>
        <v/>
      </c>
      <c r="W9694" s="74" t="str">
        <f>IFERROR(VLOOKUP($O9694,'Customer List'!$A$1:$J$488,10,FALSE),"")</f>
        <v/>
      </c>
    </row>
    <row r="9695" spans="18:23">
      <c r="R9695" s="127">
        <f t="shared" si="374"/>
        <v>0</v>
      </c>
      <c r="U9695" s="129" t="str">
        <f>IFERROR(IF(#REF!="S",VLOOKUP('Raw Data'!A9695,References!#REF!,2,FALSE),(VLOOKUP($S9695,References!$B$3:$C$7,2,FALSE))),"")</f>
        <v/>
      </c>
      <c r="W9695" s="74" t="str">
        <f>IFERROR(VLOOKUP($O9695,'Customer List'!$A$1:$J$488,10,FALSE),"")</f>
        <v/>
      </c>
    </row>
    <row r="9696" spans="18:23">
      <c r="R9696" s="127">
        <f t="shared" si="374"/>
        <v>0</v>
      </c>
      <c r="U9696" s="129" t="str">
        <f>IFERROR(IF(#REF!="S",VLOOKUP('Raw Data'!A9696,References!#REF!,2,FALSE),(VLOOKUP($S9696,References!$B$3:$C$7,2,FALSE))),"")</f>
        <v/>
      </c>
      <c r="W9696" s="74" t="str">
        <f>IFERROR(VLOOKUP($O9696,'Customer List'!$A$1:$J$488,10,FALSE),"")</f>
        <v/>
      </c>
    </row>
    <row r="9697" spans="18:23">
      <c r="R9697" s="127">
        <f t="shared" si="374"/>
        <v>0</v>
      </c>
      <c r="U9697" s="129" t="str">
        <f>IFERROR(IF(#REF!="S",VLOOKUP('Raw Data'!A9697,References!#REF!,2,FALSE),(VLOOKUP($S9697,References!$B$3:$C$7,2,FALSE))),"")</f>
        <v/>
      </c>
      <c r="W9697" s="74" t="str">
        <f>IFERROR(VLOOKUP($O9697,'Customer List'!$A$1:$J$488,10,FALSE),"")</f>
        <v/>
      </c>
    </row>
    <row r="9698" spans="18:23">
      <c r="R9698" s="127">
        <f t="shared" ref="R9698:R9761" si="375">L9698-K9698</f>
        <v>0</v>
      </c>
      <c r="U9698" s="129" t="str">
        <f>IFERROR(IF(#REF!="S",VLOOKUP('Raw Data'!A9698,References!#REF!,2,FALSE),(VLOOKUP($S9698,References!$B$3:$C$7,2,FALSE))),"")</f>
        <v/>
      </c>
      <c r="W9698" s="74" t="str">
        <f>IFERROR(VLOOKUP($O9698,'Customer List'!$A$1:$J$488,10,FALSE),"")</f>
        <v/>
      </c>
    </row>
    <row r="9699" spans="18:23">
      <c r="R9699" s="127">
        <f t="shared" si="375"/>
        <v>0</v>
      </c>
      <c r="U9699" s="129" t="str">
        <f>IFERROR(IF(#REF!="S",VLOOKUP('Raw Data'!A9699,References!#REF!,2,FALSE),(VLOOKUP($S9699,References!$B$3:$C$7,2,FALSE))),"")</f>
        <v/>
      </c>
      <c r="W9699" s="74" t="str">
        <f>IFERROR(VLOOKUP($O9699,'Customer List'!$A$1:$J$488,10,FALSE),"")</f>
        <v/>
      </c>
    </row>
    <row r="9700" spans="18:23">
      <c r="R9700" s="127">
        <f t="shared" si="375"/>
        <v>0</v>
      </c>
      <c r="U9700" s="129" t="str">
        <f>IFERROR(IF(#REF!="S",VLOOKUP('Raw Data'!A9700,References!#REF!,2,FALSE),(VLOOKUP($S9700,References!$B$3:$C$7,2,FALSE))),"")</f>
        <v/>
      </c>
      <c r="W9700" s="74" t="str">
        <f>IFERROR(VLOOKUP($O9700,'Customer List'!$A$1:$J$488,10,FALSE),"")</f>
        <v/>
      </c>
    </row>
    <row r="9701" spans="18:23">
      <c r="R9701" s="127">
        <f t="shared" si="375"/>
        <v>0</v>
      </c>
      <c r="U9701" s="129" t="str">
        <f>IFERROR(IF(#REF!="S",VLOOKUP('Raw Data'!A9701,References!#REF!,2,FALSE),(VLOOKUP($S9701,References!$B$3:$C$7,2,FALSE))),"")</f>
        <v/>
      </c>
      <c r="W9701" s="74" t="str">
        <f>IFERROR(VLOOKUP($O9701,'Customer List'!$A$1:$J$488,10,FALSE),"")</f>
        <v/>
      </c>
    </row>
    <row r="9702" spans="18:23">
      <c r="R9702" s="127">
        <f t="shared" si="375"/>
        <v>0</v>
      </c>
      <c r="U9702" s="129" t="str">
        <f>IFERROR(IF(#REF!="S",VLOOKUP('Raw Data'!A9702,References!#REF!,2,FALSE),(VLOOKUP($S9702,References!$B$3:$C$7,2,FALSE))),"")</f>
        <v/>
      </c>
      <c r="W9702" s="74" t="str">
        <f>IFERROR(VLOOKUP($O9702,'Customer List'!$A$1:$J$488,10,FALSE),"")</f>
        <v/>
      </c>
    </row>
    <row r="9703" spans="18:23">
      <c r="R9703" s="127">
        <f t="shared" si="375"/>
        <v>0</v>
      </c>
      <c r="U9703" s="129" t="str">
        <f>IFERROR(IF(#REF!="S",VLOOKUP('Raw Data'!A9703,References!#REF!,2,FALSE),(VLOOKUP($S9703,References!$B$3:$C$7,2,FALSE))),"")</f>
        <v/>
      </c>
      <c r="W9703" s="74" t="str">
        <f>IFERROR(VLOOKUP($O9703,'Customer List'!$A$1:$J$488,10,FALSE),"")</f>
        <v/>
      </c>
    </row>
    <row r="9704" spans="18:23">
      <c r="R9704" s="127">
        <f t="shared" si="375"/>
        <v>0</v>
      </c>
      <c r="U9704" s="129" t="str">
        <f>IFERROR(IF(#REF!="S",VLOOKUP('Raw Data'!A9704,References!#REF!,2,FALSE),(VLOOKUP($S9704,References!$B$3:$C$7,2,FALSE))),"")</f>
        <v/>
      </c>
      <c r="W9704" s="74" t="str">
        <f>IFERROR(VLOOKUP($O9704,'Customer List'!$A$1:$J$488,10,FALSE),"")</f>
        <v/>
      </c>
    </row>
    <row r="9705" spans="18:23">
      <c r="R9705" s="127">
        <f t="shared" si="375"/>
        <v>0</v>
      </c>
      <c r="U9705" s="129" t="str">
        <f>IFERROR(IF(#REF!="S",VLOOKUP('Raw Data'!A9705,References!#REF!,2,FALSE),(VLOOKUP($S9705,References!$B$3:$C$7,2,FALSE))),"")</f>
        <v/>
      </c>
      <c r="W9705" s="74" t="str">
        <f>IFERROR(VLOOKUP($O9705,'Customer List'!$A$1:$J$488,10,FALSE),"")</f>
        <v/>
      </c>
    </row>
    <row r="9706" spans="18:23">
      <c r="R9706" s="127">
        <f t="shared" si="375"/>
        <v>0</v>
      </c>
      <c r="U9706" s="129" t="str">
        <f>IFERROR(IF(#REF!="S",VLOOKUP('Raw Data'!A9706,References!#REF!,2,FALSE),(VLOOKUP($S9706,References!$B$3:$C$7,2,FALSE))),"")</f>
        <v/>
      </c>
      <c r="W9706" s="74" t="str">
        <f>IFERROR(VLOOKUP($O9706,'Customer List'!$A$1:$J$488,10,FALSE),"")</f>
        <v/>
      </c>
    </row>
    <row r="9707" spans="18:23">
      <c r="R9707" s="127">
        <f t="shared" si="375"/>
        <v>0</v>
      </c>
      <c r="U9707" s="129" t="str">
        <f>IFERROR(IF(#REF!="S",VLOOKUP('Raw Data'!A9707,References!#REF!,2,FALSE),(VLOOKUP($S9707,References!$B$3:$C$7,2,FALSE))),"")</f>
        <v/>
      </c>
      <c r="W9707" s="74" t="str">
        <f>IFERROR(VLOOKUP($O9707,'Customer List'!$A$1:$J$488,10,FALSE),"")</f>
        <v/>
      </c>
    </row>
    <row r="9708" spans="18:23">
      <c r="R9708" s="127">
        <f t="shared" si="375"/>
        <v>0</v>
      </c>
      <c r="U9708" s="129" t="str">
        <f>IFERROR(IF(#REF!="S",VLOOKUP('Raw Data'!A9708,References!#REF!,2,FALSE),(VLOOKUP($S9708,References!$B$3:$C$7,2,FALSE))),"")</f>
        <v/>
      </c>
      <c r="W9708" s="74" t="str">
        <f>IFERROR(VLOOKUP($O9708,'Customer List'!$A$1:$J$488,10,FALSE),"")</f>
        <v/>
      </c>
    </row>
    <row r="9709" spans="18:23">
      <c r="R9709" s="127">
        <f t="shared" si="375"/>
        <v>0</v>
      </c>
      <c r="U9709" s="129" t="str">
        <f>IFERROR(IF(#REF!="S",VLOOKUP('Raw Data'!A9709,References!#REF!,2,FALSE),(VLOOKUP($S9709,References!$B$3:$C$7,2,FALSE))),"")</f>
        <v/>
      </c>
      <c r="W9709" s="74" t="str">
        <f>IFERROR(VLOOKUP($O9709,'Customer List'!$A$1:$J$488,10,FALSE),"")</f>
        <v/>
      </c>
    </row>
    <row r="9710" spans="18:23">
      <c r="R9710" s="127">
        <f t="shared" si="375"/>
        <v>0</v>
      </c>
      <c r="U9710" s="129" t="str">
        <f>IFERROR(IF(#REF!="S",VLOOKUP('Raw Data'!A9710,References!#REF!,2,FALSE),(VLOOKUP($S9710,References!$B$3:$C$7,2,FALSE))),"")</f>
        <v/>
      </c>
      <c r="W9710" s="74" t="str">
        <f>IFERROR(VLOOKUP($O9710,'Customer List'!$A$1:$J$488,10,FALSE),"")</f>
        <v/>
      </c>
    </row>
    <row r="9711" spans="18:23">
      <c r="R9711" s="127">
        <f t="shared" si="375"/>
        <v>0</v>
      </c>
      <c r="U9711" s="129" t="str">
        <f>IFERROR(IF(#REF!="S",VLOOKUP('Raw Data'!A9711,References!#REF!,2,FALSE),(VLOOKUP($S9711,References!$B$3:$C$7,2,FALSE))),"")</f>
        <v/>
      </c>
      <c r="W9711" s="74" t="str">
        <f>IFERROR(VLOOKUP($O9711,'Customer List'!$A$1:$J$488,10,FALSE),"")</f>
        <v/>
      </c>
    </row>
    <row r="9712" spans="18:23">
      <c r="R9712" s="127">
        <f t="shared" si="375"/>
        <v>0</v>
      </c>
      <c r="U9712" s="129" t="str">
        <f>IFERROR(IF(#REF!="S",VLOOKUP('Raw Data'!A9712,References!#REF!,2,FALSE),(VLOOKUP($S9712,References!$B$3:$C$7,2,FALSE))),"")</f>
        <v/>
      </c>
      <c r="W9712" s="74" t="str">
        <f>IFERROR(VLOOKUP($O9712,'Customer List'!$A$1:$J$488,10,FALSE),"")</f>
        <v/>
      </c>
    </row>
    <row r="9713" spans="18:23">
      <c r="R9713" s="127">
        <f t="shared" si="375"/>
        <v>0</v>
      </c>
      <c r="U9713" s="129" t="str">
        <f>IFERROR(IF(#REF!="S",VLOOKUP('Raw Data'!A9713,References!#REF!,2,FALSE),(VLOOKUP($S9713,References!$B$3:$C$7,2,FALSE))),"")</f>
        <v/>
      </c>
      <c r="W9713" s="74" t="str">
        <f>IFERROR(VLOOKUP($O9713,'Customer List'!$A$1:$J$488,10,FALSE),"")</f>
        <v/>
      </c>
    </row>
    <row r="9714" spans="18:23">
      <c r="R9714" s="127">
        <f t="shared" si="375"/>
        <v>0</v>
      </c>
      <c r="U9714" s="129" t="str">
        <f>IFERROR(IF(#REF!="S",VLOOKUP('Raw Data'!A9714,References!#REF!,2,FALSE),(VLOOKUP($S9714,References!$B$3:$C$7,2,FALSE))),"")</f>
        <v/>
      </c>
      <c r="W9714" s="74" t="str">
        <f>IFERROR(VLOOKUP($O9714,'Customer List'!$A$1:$J$488,10,FALSE),"")</f>
        <v/>
      </c>
    </row>
    <row r="9715" spans="18:23">
      <c r="R9715" s="127">
        <f t="shared" si="375"/>
        <v>0</v>
      </c>
      <c r="U9715" s="129" t="str">
        <f>IFERROR(IF(#REF!="S",VLOOKUP('Raw Data'!A9715,References!#REF!,2,FALSE),(VLOOKUP($S9715,References!$B$3:$C$7,2,FALSE))),"")</f>
        <v/>
      </c>
      <c r="W9715" s="74" t="str">
        <f>IFERROR(VLOOKUP($O9715,'Customer List'!$A$1:$J$488,10,FALSE),"")</f>
        <v/>
      </c>
    </row>
    <row r="9716" spans="18:23">
      <c r="R9716" s="127">
        <f t="shared" si="375"/>
        <v>0</v>
      </c>
      <c r="U9716" s="129" t="str">
        <f>IFERROR(IF(#REF!="S",VLOOKUP('Raw Data'!A9716,References!#REF!,2,FALSE),(VLOOKUP($S9716,References!$B$3:$C$7,2,FALSE))),"")</f>
        <v/>
      </c>
      <c r="W9716" s="74" t="str">
        <f>IFERROR(VLOOKUP($O9716,'Customer List'!$A$1:$J$488,10,FALSE),"")</f>
        <v/>
      </c>
    </row>
    <row r="9717" spans="18:23">
      <c r="R9717" s="127">
        <f t="shared" si="375"/>
        <v>0</v>
      </c>
      <c r="U9717" s="129" t="str">
        <f>IFERROR(IF(#REF!="S",VLOOKUP('Raw Data'!A9717,References!#REF!,2,FALSE),(VLOOKUP($S9717,References!$B$3:$C$7,2,FALSE))),"")</f>
        <v/>
      </c>
      <c r="W9717" s="74" t="str">
        <f>IFERROR(VLOOKUP($O9717,'Customer List'!$A$1:$J$488,10,FALSE),"")</f>
        <v/>
      </c>
    </row>
    <row r="9718" spans="18:23">
      <c r="R9718" s="127">
        <f t="shared" si="375"/>
        <v>0</v>
      </c>
      <c r="U9718" s="129" t="str">
        <f>IFERROR(IF(#REF!="S",VLOOKUP('Raw Data'!A9718,References!#REF!,2,FALSE),(VLOOKUP($S9718,References!$B$3:$C$7,2,FALSE))),"")</f>
        <v/>
      </c>
      <c r="W9718" s="74" t="str">
        <f>IFERROR(VLOOKUP($O9718,'Customer List'!$A$1:$J$488,10,FALSE),"")</f>
        <v/>
      </c>
    </row>
    <row r="9719" spans="18:23">
      <c r="R9719" s="127">
        <f t="shared" si="375"/>
        <v>0</v>
      </c>
      <c r="U9719" s="129" t="str">
        <f>IFERROR(IF(#REF!="S",VLOOKUP('Raw Data'!A9719,References!#REF!,2,FALSE),(VLOOKUP($S9719,References!$B$3:$C$7,2,FALSE))),"")</f>
        <v/>
      </c>
      <c r="W9719" s="74" t="str">
        <f>IFERROR(VLOOKUP($O9719,'Customer List'!$A$1:$J$488,10,FALSE),"")</f>
        <v/>
      </c>
    </row>
    <row r="9720" spans="18:23">
      <c r="R9720" s="127">
        <f t="shared" si="375"/>
        <v>0</v>
      </c>
      <c r="U9720" s="129" t="str">
        <f>IFERROR(IF(#REF!="S",VLOOKUP('Raw Data'!A9720,References!#REF!,2,FALSE),(VLOOKUP($S9720,References!$B$3:$C$7,2,FALSE))),"")</f>
        <v/>
      </c>
      <c r="W9720" s="74" t="str">
        <f>IFERROR(VLOOKUP($O9720,'Customer List'!$A$1:$J$488,10,FALSE),"")</f>
        <v/>
      </c>
    </row>
    <row r="9721" spans="18:23">
      <c r="R9721" s="127">
        <f t="shared" si="375"/>
        <v>0</v>
      </c>
      <c r="U9721" s="129" t="str">
        <f>IFERROR(IF(#REF!="S",VLOOKUP('Raw Data'!A9721,References!#REF!,2,FALSE),(VLOOKUP($S9721,References!$B$3:$C$7,2,FALSE))),"")</f>
        <v/>
      </c>
      <c r="W9721" s="74" t="str">
        <f>IFERROR(VLOOKUP($O9721,'Customer List'!$A$1:$J$488,10,FALSE),"")</f>
        <v/>
      </c>
    </row>
    <row r="9722" spans="18:23">
      <c r="R9722" s="127">
        <f t="shared" si="375"/>
        <v>0</v>
      </c>
      <c r="U9722" s="129" t="str">
        <f>IFERROR(IF(#REF!="S",VLOOKUP('Raw Data'!A9722,References!#REF!,2,FALSE),(VLOOKUP($S9722,References!$B$3:$C$7,2,FALSE))),"")</f>
        <v/>
      </c>
      <c r="W9722" s="74" t="str">
        <f>IFERROR(VLOOKUP($O9722,'Customer List'!$A$1:$J$488,10,FALSE),"")</f>
        <v/>
      </c>
    </row>
    <row r="9723" spans="18:23">
      <c r="R9723" s="127">
        <f t="shared" si="375"/>
        <v>0</v>
      </c>
      <c r="U9723" s="129" t="str">
        <f>IFERROR(IF(#REF!="S",VLOOKUP('Raw Data'!A9723,References!#REF!,2,FALSE),(VLOOKUP($S9723,References!$B$3:$C$7,2,FALSE))),"")</f>
        <v/>
      </c>
      <c r="W9723" s="74" t="str">
        <f>IFERROR(VLOOKUP($O9723,'Customer List'!$A$1:$J$488,10,FALSE),"")</f>
        <v/>
      </c>
    </row>
    <row r="9724" spans="18:23">
      <c r="R9724" s="127">
        <f t="shared" si="375"/>
        <v>0</v>
      </c>
      <c r="U9724" s="129" t="str">
        <f>IFERROR(IF(#REF!="S",VLOOKUP('Raw Data'!A9724,References!#REF!,2,FALSE),(VLOOKUP($S9724,References!$B$3:$C$7,2,FALSE))),"")</f>
        <v/>
      </c>
      <c r="W9724" s="74" t="str">
        <f>IFERROR(VLOOKUP($O9724,'Customer List'!$A$1:$J$488,10,FALSE),"")</f>
        <v/>
      </c>
    </row>
    <row r="9725" spans="18:23">
      <c r="R9725" s="127">
        <f t="shared" si="375"/>
        <v>0</v>
      </c>
      <c r="U9725" s="129" t="str">
        <f>IFERROR(IF(#REF!="S",VLOOKUP('Raw Data'!A9725,References!#REF!,2,FALSE),(VLOOKUP($S9725,References!$B$3:$C$7,2,FALSE))),"")</f>
        <v/>
      </c>
      <c r="W9725" s="74" t="str">
        <f>IFERROR(VLOOKUP($O9725,'Customer List'!$A$1:$J$488,10,FALSE),"")</f>
        <v/>
      </c>
    </row>
    <row r="9726" spans="18:23">
      <c r="R9726" s="127">
        <f t="shared" si="375"/>
        <v>0</v>
      </c>
      <c r="U9726" s="129" t="str">
        <f>IFERROR(IF(#REF!="S",VLOOKUP('Raw Data'!A9726,References!#REF!,2,FALSE),(VLOOKUP($S9726,References!$B$3:$C$7,2,FALSE))),"")</f>
        <v/>
      </c>
      <c r="W9726" s="74" t="str">
        <f>IFERROR(VLOOKUP($O9726,'Customer List'!$A$1:$J$488,10,FALSE),"")</f>
        <v/>
      </c>
    </row>
    <row r="9727" spans="18:23">
      <c r="R9727" s="127">
        <f t="shared" si="375"/>
        <v>0</v>
      </c>
      <c r="U9727" s="129" t="str">
        <f>IFERROR(IF(#REF!="S",VLOOKUP('Raw Data'!A9727,References!#REF!,2,FALSE),(VLOOKUP($S9727,References!$B$3:$C$7,2,FALSE))),"")</f>
        <v/>
      </c>
      <c r="W9727" s="74" t="str">
        <f>IFERROR(VLOOKUP($O9727,'Customer List'!$A$1:$J$488,10,FALSE),"")</f>
        <v/>
      </c>
    </row>
    <row r="9728" spans="18:23">
      <c r="R9728" s="127">
        <f t="shared" si="375"/>
        <v>0</v>
      </c>
      <c r="U9728" s="129" t="str">
        <f>IFERROR(IF(#REF!="S",VLOOKUP('Raw Data'!A9728,References!#REF!,2,FALSE),(VLOOKUP($S9728,References!$B$3:$C$7,2,FALSE))),"")</f>
        <v/>
      </c>
      <c r="W9728" s="74" t="str">
        <f>IFERROR(VLOOKUP($O9728,'Customer List'!$A$1:$J$488,10,FALSE),"")</f>
        <v/>
      </c>
    </row>
    <row r="9729" spans="18:23">
      <c r="R9729" s="127">
        <f t="shared" si="375"/>
        <v>0</v>
      </c>
      <c r="U9729" s="129" t="str">
        <f>IFERROR(IF(#REF!="S",VLOOKUP('Raw Data'!A9729,References!#REF!,2,FALSE),(VLOOKUP($S9729,References!$B$3:$C$7,2,FALSE))),"")</f>
        <v/>
      </c>
      <c r="W9729" s="74" t="str">
        <f>IFERROR(VLOOKUP($O9729,'Customer List'!$A$1:$J$488,10,FALSE),"")</f>
        <v/>
      </c>
    </row>
    <row r="9730" spans="18:23">
      <c r="R9730" s="127">
        <f t="shared" si="375"/>
        <v>0</v>
      </c>
      <c r="U9730" s="129" t="str">
        <f>IFERROR(IF(#REF!="S",VLOOKUP('Raw Data'!A9730,References!#REF!,2,FALSE),(VLOOKUP($S9730,References!$B$3:$C$7,2,FALSE))),"")</f>
        <v/>
      </c>
      <c r="W9730" s="74" t="str">
        <f>IFERROR(VLOOKUP($O9730,'Customer List'!$A$1:$J$488,10,FALSE),"")</f>
        <v/>
      </c>
    </row>
    <row r="9731" spans="18:23">
      <c r="R9731" s="127">
        <f t="shared" si="375"/>
        <v>0</v>
      </c>
      <c r="U9731" s="129" t="str">
        <f>IFERROR(IF(#REF!="S",VLOOKUP('Raw Data'!A9731,References!#REF!,2,FALSE),(VLOOKUP($S9731,References!$B$3:$C$7,2,FALSE))),"")</f>
        <v/>
      </c>
      <c r="W9731" s="74" t="str">
        <f>IFERROR(VLOOKUP($O9731,'Customer List'!$A$1:$J$488,10,FALSE),"")</f>
        <v/>
      </c>
    </row>
    <row r="9732" spans="18:23">
      <c r="R9732" s="127">
        <f t="shared" si="375"/>
        <v>0</v>
      </c>
      <c r="U9732" s="129" t="str">
        <f>IFERROR(IF(#REF!="S",VLOOKUP('Raw Data'!A9732,References!#REF!,2,FALSE),(VLOOKUP($S9732,References!$B$3:$C$7,2,FALSE))),"")</f>
        <v/>
      </c>
      <c r="W9732" s="74" t="str">
        <f>IFERROR(VLOOKUP($O9732,'Customer List'!$A$1:$J$488,10,FALSE),"")</f>
        <v/>
      </c>
    </row>
    <row r="9733" spans="18:23">
      <c r="R9733" s="127">
        <f t="shared" si="375"/>
        <v>0</v>
      </c>
      <c r="U9733" s="129" t="str">
        <f>IFERROR(IF(#REF!="S",VLOOKUP('Raw Data'!A9733,References!#REF!,2,FALSE),(VLOOKUP($S9733,References!$B$3:$C$7,2,FALSE))),"")</f>
        <v/>
      </c>
      <c r="W9733" s="74" t="str">
        <f>IFERROR(VLOOKUP($O9733,'Customer List'!$A$1:$J$488,10,FALSE),"")</f>
        <v/>
      </c>
    </row>
    <row r="9734" spans="18:23">
      <c r="R9734" s="127">
        <f t="shared" si="375"/>
        <v>0</v>
      </c>
      <c r="U9734" s="129" t="str">
        <f>IFERROR(IF(#REF!="S",VLOOKUP('Raw Data'!A9734,References!#REF!,2,FALSE),(VLOOKUP($S9734,References!$B$3:$C$7,2,FALSE))),"")</f>
        <v/>
      </c>
      <c r="W9734" s="74" t="str">
        <f>IFERROR(VLOOKUP($O9734,'Customer List'!$A$1:$J$488,10,FALSE),"")</f>
        <v/>
      </c>
    </row>
    <row r="9735" spans="18:23">
      <c r="R9735" s="127">
        <f t="shared" si="375"/>
        <v>0</v>
      </c>
      <c r="U9735" s="129" t="str">
        <f>IFERROR(IF(#REF!="S",VLOOKUP('Raw Data'!A9735,References!#REF!,2,FALSE),(VLOOKUP($S9735,References!$B$3:$C$7,2,FALSE))),"")</f>
        <v/>
      </c>
      <c r="W9735" s="74" t="str">
        <f>IFERROR(VLOOKUP($O9735,'Customer List'!$A$1:$J$488,10,FALSE),"")</f>
        <v/>
      </c>
    </row>
    <row r="9736" spans="18:23">
      <c r="R9736" s="127">
        <f t="shared" si="375"/>
        <v>0</v>
      </c>
      <c r="U9736" s="129" t="str">
        <f>IFERROR(IF(#REF!="S",VLOOKUP('Raw Data'!A9736,References!#REF!,2,FALSE),(VLOOKUP($S9736,References!$B$3:$C$7,2,FALSE))),"")</f>
        <v/>
      </c>
      <c r="W9736" s="74" t="str">
        <f>IFERROR(VLOOKUP($O9736,'Customer List'!$A$1:$J$488,10,FALSE),"")</f>
        <v/>
      </c>
    </row>
    <row r="9737" spans="18:23">
      <c r="R9737" s="127">
        <f t="shared" si="375"/>
        <v>0</v>
      </c>
      <c r="U9737" s="129" t="str">
        <f>IFERROR(IF(#REF!="S",VLOOKUP('Raw Data'!A9737,References!#REF!,2,FALSE),(VLOOKUP($S9737,References!$B$3:$C$7,2,FALSE))),"")</f>
        <v/>
      </c>
      <c r="W9737" s="74" t="str">
        <f>IFERROR(VLOOKUP($O9737,'Customer List'!$A$1:$J$488,10,FALSE),"")</f>
        <v/>
      </c>
    </row>
    <row r="9738" spans="18:23">
      <c r="R9738" s="127">
        <f t="shared" si="375"/>
        <v>0</v>
      </c>
      <c r="U9738" s="129" t="str">
        <f>IFERROR(IF(#REF!="S",VLOOKUP('Raw Data'!A9738,References!#REF!,2,FALSE),(VLOOKUP($S9738,References!$B$3:$C$7,2,FALSE))),"")</f>
        <v/>
      </c>
      <c r="W9738" s="74" t="str">
        <f>IFERROR(VLOOKUP($O9738,'Customer List'!$A$1:$J$488,10,FALSE),"")</f>
        <v/>
      </c>
    </row>
    <row r="9739" spans="18:23">
      <c r="R9739" s="127">
        <f t="shared" si="375"/>
        <v>0</v>
      </c>
      <c r="U9739" s="129" t="str">
        <f>IFERROR(IF(#REF!="S",VLOOKUP('Raw Data'!A9739,References!#REF!,2,FALSE),(VLOOKUP($S9739,References!$B$3:$C$7,2,FALSE))),"")</f>
        <v/>
      </c>
      <c r="W9739" s="74" t="str">
        <f>IFERROR(VLOOKUP($O9739,'Customer List'!$A$1:$J$488,10,FALSE),"")</f>
        <v/>
      </c>
    </row>
    <row r="9740" spans="18:23">
      <c r="R9740" s="127">
        <f t="shared" si="375"/>
        <v>0</v>
      </c>
      <c r="U9740" s="129" t="str">
        <f>IFERROR(IF(#REF!="S",VLOOKUP('Raw Data'!A9740,References!#REF!,2,FALSE),(VLOOKUP($S9740,References!$B$3:$C$7,2,FALSE))),"")</f>
        <v/>
      </c>
      <c r="W9740" s="74" t="str">
        <f>IFERROR(VLOOKUP($O9740,'Customer List'!$A$1:$J$488,10,FALSE),"")</f>
        <v/>
      </c>
    </row>
    <row r="9741" spans="18:23">
      <c r="R9741" s="127">
        <f t="shared" si="375"/>
        <v>0</v>
      </c>
      <c r="U9741" s="129" t="str">
        <f>IFERROR(IF(#REF!="S",VLOOKUP('Raw Data'!A9741,References!#REF!,2,FALSE),(VLOOKUP($S9741,References!$B$3:$C$7,2,FALSE))),"")</f>
        <v/>
      </c>
      <c r="W9741" s="74" t="str">
        <f>IFERROR(VLOOKUP($O9741,'Customer List'!$A$1:$J$488,10,FALSE),"")</f>
        <v/>
      </c>
    </row>
    <row r="9742" spans="18:23">
      <c r="R9742" s="127">
        <f t="shared" si="375"/>
        <v>0</v>
      </c>
      <c r="U9742" s="129" t="str">
        <f>IFERROR(IF(#REF!="S",VLOOKUP('Raw Data'!A9742,References!#REF!,2,FALSE),(VLOOKUP($S9742,References!$B$3:$C$7,2,FALSE))),"")</f>
        <v/>
      </c>
      <c r="W9742" s="74" t="str">
        <f>IFERROR(VLOOKUP($O9742,'Customer List'!$A$1:$J$488,10,FALSE),"")</f>
        <v/>
      </c>
    </row>
    <row r="9743" spans="18:23">
      <c r="R9743" s="127">
        <f t="shared" si="375"/>
        <v>0</v>
      </c>
      <c r="U9743" s="129" t="str">
        <f>IFERROR(IF(#REF!="S",VLOOKUP('Raw Data'!A9743,References!#REF!,2,FALSE),(VLOOKUP($S9743,References!$B$3:$C$7,2,FALSE))),"")</f>
        <v/>
      </c>
      <c r="W9743" s="74" t="str">
        <f>IFERROR(VLOOKUP($O9743,'Customer List'!$A$1:$J$488,10,FALSE),"")</f>
        <v/>
      </c>
    </row>
    <row r="9744" spans="18:23">
      <c r="R9744" s="127">
        <f t="shared" si="375"/>
        <v>0</v>
      </c>
      <c r="U9744" s="129" t="str">
        <f>IFERROR(IF(#REF!="S",VLOOKUP('Raw Data'!A9744,References!#REF!,2,FALSE),(VLOOKUP($S9744,References!$B$3:$C$7,2,FALSE))),"")</f>
        <v/>
      </c>
      <c r="W9744" s="74" t="str">
        <f>IFERROR(VLOOKUP($O9744,'Customer List'!$A$1:$J$488,10,FALSE),"")</f>
        <v/>
      </c>
    </row>
    <row r="9745" spans="18:23">
      <c r="R9745" s="127">
        <f t="shared" si="375"/>
        <v>0</v>
      </c>
      <c r="U9745" s="129" t="str">
        <f>IFERROR(IF(#REF!="S",VLOOKUP('Raw Data'!A9745,References!#REF!,2,FALSE),(VLOOKUP($S9745,References!$B$3:$C$7,2,FALSE))),"")</f>
        <v/>
      </c>
      <c r="W9745" s="74" t="str">
        <f>IFERROR(VLOOKUP($O9745,'Customer List'!$A$1:$J$488,10,FALSE),"")</f>
        <v/>
      </c>
    </row>
    <row r="9746" spans="18:23">
      <c r="R9746" s="127">
        <f t="shared" si="375"/>
        <v>0</v>
      </c>
      <c r="U9746" s="129" t="str">
        <f>IFERROR(IF(#REF!="S",VLOOKUP('Raw Data'!A9746,References!#REF!,2,FALSE),(VLOOKUP($S9746,References!$B$3:$C$7,2,FALSE))),"")</f>
        <v/>
      </c>
      <c r="W9746" s="74" t="str">
        <f>IFERROR(VLOOKUP($O9746,'Customer List'!$A$1:$J$488,10,FALSE),"")</f>
        <v/>
      </c>
    </row>
    <row r="9747" spans="18:23">
      <c r="R9747" s="127">
        <f t="shared" si="375"/>
        <v>0</v>
      </c>
      <c r="U9747" s="129" t="str">
        <f>IFERROR(IF(#REF!="S",VLOOKUP('Raw Data'!A9747,References!#REF!,2,FALSE),(VLOOKUP($S9747,References!$B$3:$C$7,2,FALSE))),"")</f>
        <v/>
      </c>
      <c r="W9747" s="74" t="str">
        <f>IFERROR(VLOOKUP($O9747,'Customer List'!$A$1:$J$488,10,FALSE),"")</f>
        <v/>
      </c>
    </row>
    <row r="9748" spans="18:23">
      <c r="R9748" s="127">
        <f t="shared" si="375"/>
        <v>0</v>
      </c>
      <c r="U9748" s="129" t="str">
        <f>IFERROR(IF(#REF!="S",VLOOKUP('Raw Data'!A9748,References!#REF!,2,FALSE),(VLOOKUP($S9748,References!$B$3:$C$7,2,FALSE))),"")</f>
        <v/>
      </c>
      <c r="W9748" s="74" t="str">
        <f>IFERROR(VLOOKUP($O9748,'Customer List'!$A$1:$J$488,10,FALSE),"")</f>
        <v/>
      </c>
    </row>
    <row r="9749" spans="18:23">
      <c r="R9749" s="127">
        <f t="shared" si="375"/>
        <v>0</v>
      </c>
      <c r="U9749" s="129" t="str">
        <f>IFERROR(IF(#REF!="S",VLOOKUP('Raw Data'!A9749,References!#REF!,2,FALSE),(VLOOKUP($S9749,References!$B$3:$C$7,2,FALSE))),"")</f>
        <v/>
      </c>
      <c r="W9749" s="74" t="str">
        <f>IFERROR(VLOOKUP($O9749,'Customer List'!$A$1:$J$488,10,FALSE),"")</f>
        <v/>
      </c>
    </row>
    <row r="9750" spans="18:23">
      <c r="R9750" s="127">
        <f t="shared" si="375"/>
        <v>0</v>
      </c>
      <c r="U9750" s="129" t="str">
        <f>IFERROR(IF(#REF!="S",VLOOKUP('Raw Data'!A9750,References!#REF!,2,FALSE),(VLOOKUP($S9750,References!$B$3:$C$7,2,FALSE))),"")</f>
        <v/>
      </c>
      <c r="W9750" s="74" t="str">
        <f>IFERROR(VLOOKUP($O9750,'Customer List'!$A$1:$J$488,10,FALSE),"")</f>
        <v/>
      </c>
    </row>
    <row r="9751" spans="18:23">
      <c r="R9751" s="127">
        <f t="shared" si="375"/>
        <v>0</v>
      </c>
      <c r="U9751" s="129" t="str">
        <f>IFERROR(IF(#REF!="S",VLOOKUP('Raw Data'!A9751,References!#REF!,2,FALSE),(VLOOKUP($S9751,References!$B$3:$C$7,2,FALSE))),"")</f>
        <v/>
      </c>
      <c r="W9751" s="74" t="str">
        <f>IFERROR(VLOOKUP($O9751,'Customer List'!$A$1:$J$488,10,FALSE),"")</f>
        <v/>
      </c>
    </row>
    <row r="9752" spans="18:23">
      <c r="R9752" s="127">
        <f t="shared" si="375"/>
        <v>0</v>
      </c>
      <c r="U9752" s="129" t="str">
        <f>IFERROR(IF(#REF!="S",VLOOKUP('Raw Data'!A9752,References!#REF!,2,FALSE),(VLOOKUP($S9752,References!$B$3:$C$7,2,FALSE))),"")</f>
        <v/>
      </c>
      <c r="W9752" s="74" t="str">
        <f>IFERROR(VLOOKUP($O9752,'Customer List'!$A$1:$J$488,10,FALSE),"")</f>
        <v/>
      </c>
    </row>
    <row r="9753" spans="18:23">
      <c r="R9753" s="127">
        <f t="shared" si="375"/>
        <v>0</v>
      </c>
      <c r="U9753" s="129" t="str">
        <f>IFERROR(IF(#REF!="S",VLOOKUP('Raw Data'!A9753,References!#REF!,2,FALSE),(VLOOKUP($S9753,References!$B$3:$C$7,2,FALSE))),"")</f>
        <v/>
      </c>
      <c r="W9753" s="74" t="str">
        <f>IFERROR(VLOOKUP($O9753,'Customer List'!$A$1:$J$488,10,FALSE),"")</f>
        <v/>
      </c>
    </row>
    <row r="9754" spans="18:23">
      <c r="R9754" s="127">
        <f t="shared" si="375"/>
        <v>0</v>
      </c>
      <c r="U9754" s="129" t="str">
        <f>IFERROR(IF(#REF!="S",VLOOKUP('Raw Data'!A9754,References!#REF!,2,FALSE),(VLOOKUP($S9754,References!$B$3:$C$7,2,FALSE))),"")</f>
        <v/>
      </c>
      <c r="W9754" s="74" t="str">
        <f>IFERROR(VLOOKUP($O9754,'Customer List'!$A$1:$J$488,10,FALSE),"")</f>
        <v/>
      </c>
    </row>
    <row r="9755" spans="18:23">
      <c r="R9755" s="127">
        <f t="shared" si="375"/>
        <v>0</v>
      </c>
      <c r="U9755" s="129" t="str">
        <f>IFERROR(IF(#REF!="S",VLOOKUP('Raw Data'!A9755,References!#REF!,2,FALSE),(VLOOKUP($S9755,References!$B$3:$C$7,2,FALSE))),"")</f>
        <v/>
      </c>
      <c r="W9755" s="74" t="str">
        <f>IFERROR(VLOOKUP($O9755,'Customer List'!$A$1:$J$488,10,FALSE),"")</f>
        <v/>
      </c>
    </row>
    <row r="9756" spans="18:23">
      <c r="R9756" s="127">
        <f t="shared" si="375"/>
        <v>0</v>
      </c>
      <c r="U9756" s="129" t="str">
        <f>IFERROR(IF(#REF!="S",VLOOKUP('Raw Data'!A9756,References!#REF!,2,FALSE),(VLOOKUP($S9756,References!$B$3:$C$7,2,FALSE))),"")</f>
        <v/>
      </c>
      <c r="W9756" s="74" t="str">
        <f>IFERROR(VLOOKUP($O9756,'Customer List'!$A$1:$J$488,10,FALSE),"")</f>
        <v/>
      </c>
    </row>
    <row r="9757" spans="18:23">
      <c r="R9757" s="127">
        <f t="shared" si="375"/>
        <v>0</v>
      </c>
      <c r="U9757" s="129" t="str">
        <f>IFERROR(IF(#REF!="S",VLOOKUP('Raw Data'!A9757,References!#REF!,2,FALSE),(VLOOKUP($S9757,References!$B$3:$C$7,2,FALSE))),"")</f>
        <v/>
      </c>
      <c r="W9757" s="74" t="str">
        <f>IFERROR(VLOOKUP($O9757,'Customer List'!$A$1:$J$488,10,FALSE),"")</f>
        <v/>
      </c>
    </row>
    <row r="9758" spans="18:23">
      <c r="R9758" s="127">
        <f t="shared" si="375"/>
        <v>0</v>
      </c>
      <c r="U9758" s="129" t="str">
        <f>IFERROR(IF(#REF!="S",VLOOKUP('Raw Data'!A9758,References!#REF!,2,FALSE),(VLOOKUP($S9758,References!$B$3:$C$7,2,FALSE))),"")</f>
        <v/>
      </c>
      <c r="W9758" s="74" t="str">
        <f>IFERROR(VLOOKUP($O9758,'Customer List'!$A$1:$J$488,10,FALSE),"")</f>
        <v/>
      </c>
    </row>
    <row r="9759" spans="18:23">
      <c r="R9759" s="127">
        <f t="shared" si="375"/>
        <v>0</v>
      </c>
      <c r="U9759" s="129" t="str">
        <f>IFERROR(IF(#REF!="S",VLOOKUP('Raw Data'!A9759,References!#REF!,2,FALSE),(VLOOKUP($S9759,References!$B$3:$C$7,2,FALSE))),"")</f>
        <v/>
      </c>
      <c r="W9759" s="74" t="str">
        <f>IFERROR(VLOOKUP($O9759,'Customer List'!$A$1:$J$488,10,FALSE),"")</f>
        <v/>
      </c>
    </row>
    <row r="9760" spans="18:23">
      <c r="R9760" s="127">
        <f t="shared" si="375"/>
        <v>0</v>
      </c>
      <c r="U9760" s="129" t="str">
        <f>IFERROR(IF(#REF!="S",VLOOKUP('Raw Data'!A9760,References!#REF!,2,FALSE),(VLOOKUP($S9760,References!$B$3:$C$7,2,FALSE))),"")</f>
        <v/>
      </c>
      <c r="W9760" s="74" t="str">
        <f>IFERROR(VLOOKUP($O9760,'Customer List'!$A$1:$J$488,10,FALSE),"")</f>
        <v/>
      </c>
    </row>
    <row r="9761" spans="18:23">
      <c r="R9761" s="127">
        <f t="shared" si="375"/>
        <v>0</v>
      </c>
      <c r="U9761" s="129" t="str">
        <f>IFERROR(IF(#REF!="S",VLOOKUP('Raw Data'!A9761,References!#REF!,2,FALSE),(VLOOKUP($S9761,References!$B$3:$C$7,2,FALSE))),"")</f>
        <v/>
      </c>
      <c r="W9761" s="74" t="str">
        <f>IFERROR(VLOOKUP($O9761,'Customer List'!$A$1:$J$488,10,FALSE),"")</f>
        <v/>
      </c>
    </row>
    <row r="9762" spans="18:23">
      <c r="R9762" s="127">
        <f t="shared" ref="R9762:R9825" si="376">L9762-K9762</f>
        <v>0</v>
      </c>
      <c r="U9762" s="129" t="str">
        <f>IFERROR(IF(#REF!="S",VLOOKUP('Raw Data'!A9762,References!#REF!,2,FALSE),(VLOOKUP($S9762,References!$B$3:$C$7,2,FALSE))),"")</f>
        <v/>
      </c>
      <c r="W9762" s="74" t="str">
        <f>IFERROR(VLOOKUP($O9762,'Customer List'!$A$1:$J$488,10,FALSE),"")</f>
        <v/>
      </c>
    </row>
    <row r="9763" spans="18:23">
      <c r="R9763" s="127">
        <f t="shared" si="376"/>
        <v>0</v>
      </c>
      <c r="U9763" s="129" t="str">
        <f>IFERROR(IF(#REF!="S",VLOOKUP('Raw Data'!A9763,References!#REF!,2,FALSE),(VLOOKUP($S9763,References!$B$3:$C$7,2,FALSE))),"")</f>
        <v/>
      </c>
      <c r="W9763" s="74" t="str">
        <f>IFERROR(VLOOKUP($O9763,'Customer List'!$A$1:$J$488,10,FALSE),"")</f>
        <v/>
      </c>
    </row>
    <row r="9764" spans="18:23">
      <c r="R9764" s="127">
        <f t="shared" si="376"/>
        <v>0</v>
      </c>
      <c r="U9764" s="129" t="str">
        <f>IFERROR(IF(#REF!="S",VLOOKUP('Raw Data'!A9764,References!#REF!,2,FALSE),(VLOOKUP($S9764,References!$B$3:$C$7,2,FALSE))),"")</f>
        <v/>
      </c>
      <c r="W9764" s="74" t="str">
        <f>IFERROR(VLOOKUP($O9764,'Customer List'!$A$1:$J$488,10,FALSE),"")</f>
        <v/>
      </c>
    </row>
    <row r="9765" spans="18:23">
      <c r="R9765" s="127">
        <f t="shared" si="376"/>
        <v>0</v>
      </c>
      <c r="U9765" s="129" t="str">
        <f>IFERROR(IF(#REF!="S",VLOOKUP('Raw Data'!A9765,References!#REF!,2,FALSE),(VLOOKUP($S9765,References!$B$3:$C$7,2,FALSE))),"")</f>
        <v/>
      </c>
      <c r="W9765" s="74" t="str">
        <f>IFERROR(VLOOKUP($O9765,'Customer List'!$A$1:$J$488,10,FALSE),"")</f>
        <v/>
      </c>
    </row>
    <row r="9766" spans="18:23">
      <c r="R9766" s="127">
        <f t="shared" si="376"/>
        <v>0</v>
      </c>
      <c r="U9766" s="129" t="str">
        <f>IFERROR(IF(#REF!="S",VLOOKUP('Raw Data'!A9766,References!#REF!,2,FALSE),(VLOOKUP($S9766,References!$B$3:$C$7,2,FALSE))),"")</f>
        <v/>
      </c>
      <c r="W9766" s="74" t="str">
        <f>IFERROR(VLOOKUP($O9766,'Customer List'!$A$1:$J$488,10,FALSE),"")</f>
        <v/>
      </c>
    </row>
    <row r="9767" spans="18:23">
      <c r="R9767" s="127">
        <f t="shared" si="376"/>
        <v>0</v>
      </c>
      <c r="U9767" s="129" t="str">
        <f>IFERROR(IF(#REF!="S",VLOOKUP('Raw Data'!A9767,References!#REF!,2,FALSE),(VLOOKUP($S9767,References!$B$3:$C$7,2,FALSE))),"")</f>
        <v/>
      </c>
      <c r="W9767" s="74" t="str">
        <f>IFERROR(VLOOKUP($O9767,'Customer List'!$A$1:$J$488,10,FALSE),"")</f>
        <v/>
      </c>
    </row>
    <row r="9768" spans="18:23">
      <c r="R9768" s="127">
        <f t="shared" si="376"/>
        <v>0</v>
      </c>
      <c r="U9768" s="129" t="str">
        <f>IFERROR(IF(#REF!="S",VLOOKUP('Raw Data'!A9768,References!#REF!,2,FALSE),(VLOOKUP($S9768,References!$B$3:$C$7,2,FALSE))),"")</f>
        <v/>
      </c>
      <c r="W9768" s="74" t="str">
        <f>IFERROR(VLOOKUP($O9768,'Customer List'!$A$1:$J$488,10,FALSE),"")</f>
        <v/>
      </c>
    </row>
    <row r="9769" spans="18:23">
      <c r="R9769" s="127">
        <f t="shared" si="376"/>
        <v>0</v>
      </c>
      <c r="U9769" s="129" t="str">
        <f>IFERROR(IF(#REF!="S",VLOOKUP('Raw Data'!A9769,References!#REF!,2,FALSE),(VLOOKUP($S9769,References!$B$3:$C$7,2,FALSE))),"")</f>
        <v/>
      </c>
      <c r="W9769" s="74" t="str">
        <f>IFERROR(VLOOKUP($O9769,'Customer List'!$A$1:$J$488,10,FALSE),"")</f>
        <v/>
      </c>
    </row>
    <row r="9770" spans="18:23">
      <c r="R9770" s="127">
        <f t="shared" si="376"/>
        <v>0</v>
      </c>
      <c r="U9770" s="129" t="str">
        <f>IFERROR(IF(#REF!="S",VLOOKUP('Raw Data'!A9770,References!#REF!,2,FALSE),(VLOOKUP($S9770,References!$B$3:$C$7,2,FALSE))),"")</f>
        <v/>
      </c>
      <c r="W9770" s="74" t="str">
        <f>IFERROR(VLOOKUP($O9770,'Customer List'!$A$1:$J$488,10,FALSE),"")</f>
        <v/>
      </c>
    </row>
    <row r="9771" spans="18:23">
      <c r="R9771" s="127">
        <f t="shared" si="376"/>
        <v>0</v>
      </c>
      <c r="U9771" s="129" t="str">
        <f>IFERROR(IF(#REF!="S",VLOOKUP('Raw Data'!A9771,References!#REF!,2,FALSE),(VLOOKUP($S9771,References!$B$3:$C$7,2,FALSE))),"")</f>
        <v/>
      </c>
      <c r="W9771" s="74" t="str">
        <f>IFERROR(VLOOKUP($O9771,'Customer List'!$A$1:$J$488,10,FALSE),"")</f>
        <v/>
      </c>
    </row>
    <row r="9772" spans="18:23">
      <c r="R9772" s="127">
        <f t="shared" si="376"/>
        <v>0</v>
      </c>
      <c r="U9772" s="129" t="str">
        <f>IFERROR(IF(#REF!="S",VLOOKUP('Raw Data'!A9772,References!#REF!,2,FALSE),(VLOOKUP($S9772,References!$B$3:$C$7,2,FALSE))),"")</f>
        <v/>
      </c>
      <c r="W9772" s="74" t="str">
        <f>IFERROR(VLOOKUP($O9772,'Customer List'!$A$1:$J$488,10,FALSE),"")</f>
        <v/>
      </c>
    </row>
    <row r="9773" spans="18:23">
      <c r="R9773" s="127">
        <f t="shared" si="376"/>
        <v>0</v>
      </c>
      <c r="U9773" s="129" t="str">
        <f>IFERROR(IF(#REF!="S",VLOOKUP('Raw Data'!A9773,References!#REF!,2,FALSE),(VLOOKUP($S9773,References!$B$3:$C$7,2,FALSE))),"")</f>
        <v/>
      </c>
      <c r="W9773" s="74" t="str">
        <f>IFERROR(VLOOKUP($O9773,'Customer List'!$A$1:$J$488,10,FALSE),"")</f>
        <v/>
      </c>
    </row>
    <row r="9774" spans="18:23">
      <c r="R9774" s="127">
        <f t="shared" si="376"/>
        <v>0</v>
      </c>
      <c r="U9774" s="129" t="str">
        <f>IFERROR(IF(#REF!="S",VLOOKUP('Raw Data'!A9774,References!#REF!,2,FALSE),(VLOOKUP($S9774,References!$B$3:$C$7,2,FALSE))),"")</f>
        <v/>
      </c>
      <c r="W9774" s="74" t="str">
        <f>IFERROR(VLOOKUP($O9774,'Customer List'!$A$1:$J$488,10,FALSE),"")</f>
        <v/>
      </c>
    </row>
    <row r="9775" spans="18:23">
      <c r="R9775" s="127">
        <f t="shared" si="376"/>
        <v>0</v>
      </c>
      <c r="U9775" s="129" t="str">
        <f>IFERROR(IF(#REF!="S",VLOOKUP('Raw Data'!A9775,References!#REF!,2,FALSE),(VLOOKUP($S9775,References!$B$3:$C$7,2,FALSE))),"")</f>
        <v/>
      </c>
      <c r="W9775" s="74" t="str">
        <f>IFERROR(VLOOKUP($O9775,'Customer List'!$A$1:$J$488,10,FALSE),"")</f>
        <v/>
      </c>
    </row>
    <row r="9776" spans="18:23">
      <c r="R9776" s="127">
        <f t="shared" si="376"/>
        <v>0</v>
      </c>
      <c r="U9776" s="129" t="str">
        <f>IFERROR(IF(#REF!="S",VLOOKUP('Raw Data'!A9776,References!#REF!,2,FALSE),(VLOOKUP($S9776,References!$B$3:$C$7,2,FALSE))),"")</f>
        <v/>
      </c>
      <c r="W9776" s="74" t="str">
        <f>IFERROR(VLOOKUP($O9776,'Customer List'!$A$1:$J$488,10,FALSE),"")</f>
        <v/>
      </c>
    </row>
    <row r="9777" spans="18:23">
      <c r="R9777" s="127">
        <f t="shared" si="376"/>
        <v>0</v>
      </c>
      <c r="U9777" s="129" t="str">
        <f>IFERROR(IF(#REF!="S",VLOOKUP('Raw Data'!A9777,References!#REF!,2,FALSE),(VLOOKUP($S9777,References!$B$3:$C$7,2,FALSE))),"")</f>
        <v/>
      </c>
      <c r="W9777" s="74" t="str">
        <f>IFERROR(VLOOKUP($O9777,'Customer List'!$A$1:$J$488,10,FALSE),"")</f>
        <v/>
      </c>
    </row>
    <row r="9778" spans="18:23">
      <c r="R9778" s="127">
        <f t="shared" si="376"/>
        <v>0</v>
      </c>
      <c r="U9778" s="129" t="str">
        <f>IFERROR(IF(#REF!="S",VLOOKUP('Raw Data'!A9778,References!#REF!,2,FALSE),(VLOOKUP($S9778,References!$B$3:$C$7,2,FALSE))),"")</f>
        <v/>
      </c>
      <c r="W9778" s="74" t="str">
        <f>IFERROR(VLOOKUP($O9778,'Customer List'!$A$1:$J$488,10,FALSE),"")</f>
        <v/>
      </c>
    </row>
    <row r="9779" spans="18:23">
      <c r="R9779" s="127">
        <f t="shared" si="376"/>
        <v>0</v>
      </c>
      <c r="U9779" s="129" t="str">
        <f>IFERROR(IF(#REF!="S",VLOOKUP('Raw Data'!A9779,References!#REF!,2,FALSE),(VLOOKUP($S9779,References!$B$3:$C$7,2,FALSE))),"")</f>
        <v/>
      </c>
      <c r="W9779" s="74" t="str">
        <f>IFERROR(VLOOKUP($O9779,'Customer List'!$A$1:$J$488,10,FALSE),"")</f>
        <v/>
      </c>
    </row>
    <row r="9780" spans="18:23">
      <c r="R9780" s="127">
        <f t="shared" si="376"/>
        <v>0</v>
      </c>
      <c r="U9780" s="129" t="str">
        <f>IFERROR(IF(#REF!="S",VLOOKUP('Raw Data'!A9780,References!#REF!,2,FALSE),(VLOOKUP($S9780,References!$B$3:$C$7,2,FALSE))),"")</f>
        <v/>
      </c>
      <c r="W9780" s="74" t="str">
        <f>IFERROR(VLOOKUP($O9780,'Customer List'!$A$1:$J$488,10,FALSE),"")</f>
        <v/>
      </c>
    </row>
    <row r="9781" spans="18:23">
      <c r="R9781" s="127">
        <f t="shared" si="376"/>
        <v>0</v>
      </c>
      <c r="U9781" s="129" t="str">
        <f>IFERROR(IF(#REF!="S",VLOOKUP('Raw Data'!A9781,References!#REF!,2,FALSE),(VLOOKUP($S9781,References!$B$3:$C$7,2,FALSE))),"")</f>
        <v/>
      </c>
      <c r="W9781" s="74" t="str">
        <f>IFERROR(VLOOKUP($O9781,'Customer List'!$A$1:$J$488,10,FALSE),"")</f>
        <v/>
      </c>
    </row>
    <row r="9782" spans="18:23">
      <c r="R9782" s="127">
        <f t="shared" si="376"/>
        <v>0</v>
      </c>
      <c r="U9782" s="129" t="str">
        <f>IFERROR(IF(#REF!="S",VLOOKUP('Raw Data'!A9782,References!#REF!,2,FALSE),(VLOOKUP($S9782,References!$B$3:$C$7,2,FALSE))),"")</f>
        <v/>
      </c>
      <c r="W9782" s="74" t="str">
        <f>IFERROR(VLOOKUP($O9782,'Customer List'!$A$1:$J$488,10,FALSE),"")</f>
        <v/>
      </c>
    </row>
    <row r="9783" spans="18:23">
      <c r="R9783" s="127">
        <f t="shared" si="376"/>
        <v>0</v>
      </c>
      <c r="U9783" s="129" t="str">
        <f>IFERROR(IF(#REF!="S",VLOOKUP('Raw Data'!A9783,References!#REF!,2,FALSE),(VLOOKUP($S9783,References!$B$3:$C$7,2,FALSE))),"")</f>
        <v/>
      </c>
      <c r="W9783" s="74" t="str">
        <f>IFERROR(VLOOKUP($O9783,'Customer List'!$A$1:$J$488,10,FALSE),"")</f>
        <v/>
      </c>
    </row>
    <row r="9784" spans="18:23">
      <c r="R9784" s="127">
        <f t="shared" si="376"/>
        <v>0</v>
      </c>
      <c r="U9784" s="129" t="str">
        <f>IFERROR(IF(#REF!="S",VLOOKUP('Raw Data'!A9784,References!#REF!,2,FALSE),(VLOOKUP($S9784,References!$B$3:$C$7,2,FALSE))),"")</f>
        <v/>
      </c>
      <c r="W9784" s="74" t="str">
        <f>IFERROR(VLOOKUP($O9784,'Customer List'!$A$1:$J$488,10,FALSE),"")</f>
        <v/>
      </c>
    </row>
    <row r="9785" spans="18:23">
      <c r="R9785" s="127">
        <f t="shared" si="376"/>
        <v>0</v>
      </c>
      <c r="U9785" s="129" t="str">
        <f>IFERROR(IF(#REF!="S",VLOOKUP('Raw Data'!A9785,References!#REF!,2,FALSE),(VLOOKUP($S9785,References!$B$3:$C$7,2,FALSE))),"")</f>
        <v/>
      </c>
      <c r="W9785" s="74" t="str">
        <f>IFERROR(VLOOKUP($O9785,'Customer List'!$A$1:$J$488,10,FALSE),"")</f>
        <v/>
      </c>
    </row>
    <row r="9786" spans="18:23">
      <c r="R9786" s="127">
        <f t="shared" si="376"/>
        <v>0</v>
      </c>
      <c r="U9786" s="129" t="str">
        <f>IFERROR(IF(#REF!="S",VLOOKUP('Raw Data'!A9786,References!#REF!,2,FALSE),(VLOOKUP($S9786,References!$B$3:$C$7,2,FALSE))),"")</f>
        <v/>
      </c>
      <c r="W9786" s="74" t="str">
        <f>IFERROR(VLOOKUP($O9786,'Customer List'!$A$1:$J$488,10,FALSE),"")</f>
        <v/>
      </c>
    </row>
    <row r="9787" spans="18:23">
      <c r="R9787" s="127">
        <f t="shared" si="376"/>
        <v>0</v>
      </c>
      <c r="U9787" s="129" t="str">
        <f>IFERROR(IF(#REF!="S",VLOOKUP('Raw Data'!A9787,References!#REF!,2,FALSE),(VLOOKUP($S9787,References!$B$3:$C$7,2,FALSE))),"")</f>
        <v/>
      </c>
      <c r="W9787" s="74" t="str">
        <f>IFERROR(VLOOKUP($O9787,'Customer List'!$A$1:$J$488,10,FALSE),"")</f>
        <v/>
      </c>
    </row>
    <row r="9788" spans="18:23">
      <c r="R9788" s="127">
        <f t="shared" si="376"/>
        <v>0</v>
      </c>
      <c r="U9788" s="129" t="str">
        <f>IFERROR(IF(#REF!="S",VLOOKUP('Raw Data'!A9788,References!#REF!,2,FALSE),(VLOOKUP($S9788,References!$B$3:$C$7,2,FALSE))),"")</f>
        <v/>
      </c>
      <c r="W9788" s="74" t="str">
        <f>IFERROR(VLOOKUP($O9788,'Customer List'!$A$1:$J$488,10,FALSE),"")</f>
        <v/>
      </c>
    </row>
    <row r="9789" spans="18:23">
      <c r="R9789" s="127">
        <f t="shared" si="376"/>
        <v>0</v>
      </c>
      <c r="U9789" s="129" t="str">
        <f>IFERROR(IF(#REF!="S",VLOOKUP('Raw Data'!A9789,References!#REF!,2,FALSE),(VLOOKUP($S9789,References!$B$3:$C$7,2,FALSE))),"")</f>
        <v/>
      </c>
      <c r="W9789" s="74" t="str">
        <f>IFERROR(VLOOKUP($O9789,'Customer List'!$A$1:$J$488,10,FALSE),"")</f>
        <v/>
      </c>
    </row>
    <row r="9790" spans="18:23">
      <c r="R9790" s="127">
        <f t="shared" si="376"/>
        <v>0</v>
      </c>
      <c r="U9790" s="129" t="str">
        <f>IFERROR(IF(#REF!="S",VLOOKUP('Raw Data'!A9790,References!#REF!,2,FALSE),(VLOOKUP($S9790,References!$B$3:$C$7,2,FALSE))),"")</f>
        <v/>
      </c>
      <c r="W9790" s="74" t="str">
        <f>IFERROR(VLOOKUP($O9790,'Customer List'!$A$1:$J$488,10,FALSE),"")</f>
        <v/>
      </c>
    </row>
    <row r="9791" spans="18:23">
      <c r="R9791" s="127">
        <f t="shared" si="376"/>
        <v>0</v>
      </c>
      <c r="U9791" s="129" t="str">
        <f>IFERROR(IF(#REF!="S",VLOOKUP('Raw Data'!A9791,References!#REF!,2,FALSE),(VLOOKUP($S9791,References!$B$3:$C$7,2,FALSE))),"")</f>
        <v/>
      </c>
      <c r="W9791" s="74" t="str">
        <f>IFERROR(VLOOKUP($O9791,'Customer List'!$A$1:$J$488,10,FALSE),"")</f>
        <v/>
      </c>
    </row>
    <row r="9792" spans="18:23">
      <c r="R9792" s="127">
        <f t="shared" si="376"/>
        <v>0</v>
      </c>
      <c r="U9792" s="129" t="str">
        <f>IFERROR(IF(#REF!="S",VLOOKUP('Raw Data'!A9792,References!#REF!,2,FALSE),(VLOOKUP($S9792,References!$B$3:$C$7,2,FALSE))),"")</f>
        <v/>
      </c>
      <c r="W9792" s="74" t="str">
        <f>IFERROR(VLOOKUP($O9792,'Customer List'!$A$1:$J$488,10,FALSE),"")</f>
        <v/>
      </c>
    </row>
    <row r="9793" spans="18:23">
      <c r="R9793" s="127">
        <f t="shared" si="376"/>
        <v>0</v>
      </c>
      <c r="U9793" s="129" t="str">
        <f>IFERROR(IF(#REF!="S",VLOOKUP('Raw Data'!A9793,References!#REF!,2,FALSE),(VLOOKUP($S9793,References!$B$3:$C$7,2,FALSE))),"")</f>
        <v/>
      </c>
      <c r="W9793" s="74" t="str">
        <f>IFERROR(VLOOKUP($O9793,'Customer List'!$A$1:$J$488,10,FALSE),"")</f>
        <v/>
      </c>
    </row>
    <row r="9794" spans="18:23">
      <c r="R9794" s="127">
        <f t="shared" si="376"/>
        <v>0</v>
      </c>
      <c r="U9794" s="129" t="str">
        <f>IFERROR(IF(#REF!="S",VLOOKUP('Raw Data'!A9794,References!#REF!,2,FALSE),(VLOOKUP($S9794,References!$B$3:$C$7,2,FALSE))),"")</f>
        <v/>
      </c>
      <c r="W9794" s="74" t="str">
        <f>IFERROR(VLOOKUP($O9794,'Customer List'!$A$1:$J$488,10,FALSE),"")</f>
        <v/>
      </c>
    </row>
    <row r="9795" spans="18:23">
      <c r="R9795" s="127">
        <f t="shared" si="376"/>
        <v>0</v>
      </c>
      <c r="U9795" s="129" t="str">
        <f>IFERROR(IF(#REF!="S",VLOOKUP('Raw Data'!A9795,References!#REF!,2,FALSE),(VLOOKUP($S9795,References!$B$3:$C$7,2,FALSE))),"")</f>
        <v/>
      </c>
      <c r="W9795" s="74" t="str">
        <f>IFERROR(VLOOKUP($O9795,'Customer List'!$A$1:$J$488,10,FALSE),"")</f>
        <v/>
      </c>
    </row>
    <row r="9796" spans="18:23">
      <c r="R9796" s="127">
        <f t="shared" si="376"/>
        <v>0</v>
      </c>
      <c r="U9796" s="129" t="str">
        <f>IFERROR(IF(#REF!="S",VLOOKUP('Raw Data'!A9796,References!#REF!,2,FALSE),(VLOOKUP($S9796,References!$B$3:$C$7,2,FALSE))),"")</f>
        <v/>
      </c>
      <c r="W9796" s="74" t="str">
        <f>IFERROR(VLOOKUP($O9796,'Customer List'!$A$1:$J$488,10,FALSE),"")</f>
        <v/>
      </c>
    </row>
    <row r="9797" spans="18:23">
      <c r="R9797" s="127">
        <f t="shared" si="376"/>
        <v>0</v>
      </c>
      <c r="U9797" s="129" t="str">
        <f>IFERROR(IF(#REF!="S",VLOOKUP('Raw Data'!A9797,References!#REF!,2,FALSE),(VLOOKUP($S9797,References!$B$3:$C$7,2,FALSE))),"")</f>
        <v/>
      </c>
      <c r="W9797" s="74" t="str">
        <f>IFERROR(VLOOKUP($O9797,'Customer List'!$A$1:$J$488,10,FALSE),"")</f>
        <v/>
      </c>
    </row>
    <row r="9798" spans="18:23">
      <c r="R9798" s="127">
        <f t="shared" si="376"/>
        <v>0</v>
      </c>
      <c r="U9798" s="129" t="str">
        <f>IFERROR(IF(#REF!="S",VLOOKUP('Raw Data'!A9798,References!#REF!,2,FALSE),(VLOOKUP($S9798,References!$B$3:$C$7,2,FALSE))),"")</f>
        <v/>
      </c>
      <c r="W9798" s="74" t="str">
        <f>IFERROR(VLOOKUP($O9798,'Customer List'!$A$1:$J$488,10,FALSE),"")</f>
        <v/>
      </c>
    </row>
    <row r="9799" spans="18:23">
      <c r="R9799" s="127">
        <f t="shared" si="376"/>
        <v>0</v>
      </c>
      <c r="U9799" s="129" t="str">
        <f>IFERROR(IF(#REF!="S",VLOOKUP('Raw Data'!A9799,References!#REF!,2,FALSE),(VLOOKUP($S9799,References!$B$3:$C$7,2,FALSE))),"")</f>
        <v/>
      </c>
      <c r="W9799" s="74" t="str">
        <f>IFERROR(VLOOKUP($O9799,'Customer List'!$A$1:$J$488,10,FALSE),"")</f>
        <v/>
      </c>
    </row>
    <row r="9800" spans="18:23">
      <c r="R9800" s="127">
        <f t="shared" si="376"/>
        <v>0</v>
      </c>
      <c r="U9800" s="129" t="str">
        <f>IFERROR(IF(#REF!="S",VLOOKUP('Raw Data'!A9800,References!#REF!,2,FALSE),(VLOOKUP($S9800,References!$B$3:$C$7,2,FALSE))),"")</f>
        <v/>
      </c>
      <c r="W9800" s="74" t="str">
        <f>IFERROR(VLOOKUP($O9800,'Customer List'!$A$1:$J$488,10,FALSE),"")</f>
        <v/>
      </c>
    </row>
    <row r="9801" spans="18:23">
      <c r="R9801" s="127">
        <f t="shared" si="376"/>
        <v>0</v>
      </c>
      <c r="U9801" s="129" t="str">
        <f>IFERROR(IF(#REF!="S",VLOOKUP('Raw Data'!A9801,References!#REF!,2,FALSE),(VLOOKUP($S9801,References!$B$3:$C$7,2,FALSE))),"")</f>
        <v/>
      </c>
      <c r="W9801" s="74" t="str">
        <f>IFERROR(VLOOKUP($O9801,'Customer List'!$A$1:$J$488,10,FALSE),"")</f>
        <v/>
      </c>
    </row>
    <row r="9802" spans="18:23">
      <c r="R9802" s="127">
        <f t="shared" si="376"/>
        <v>0</v>
      </c>
      <c r="U9802" s="129" t="str">
        <f>IFERROR(IF(#REF!="S",VLOOKUP('Raw Data'!A9802,References!#REF!,2,FALSE),(VLOOKUP($S9802,References!$B$3:$C$7,2,FALSE))),"")</f>
        <v/>
      </c>
      <c r="W9802" s="74" t="str">
        <f>IFERROR(VLOOKUP($O9802,'Customer List'!$A$1:$J$488,10,FALSE),"")</f>
        <v/>
      </c>
    </row>
    <row r="9803" spans="18:23">
      <c r="R9803" s="127">
        <f t="shared" si="376"/>
        <v>0</v>
      </c>
      <c r="U9803" s="129" t="str">
        <f>IFERROR(IF(#REF!="S",VLOOKUP('Raw Data'!A9803,References!#REF!,2,FALSE),(VLOOKUP($S9803,References!$B$3:$C$7,2,FALSE))),"")</f>
        <v/>
      </c>
      <c r="W9803" s="74" t="str">
        <f>IFERROR(VLOOKUP($O9803,'Customer List'!$A$1:$J$488,10,FALSE),"")</f>
        <v/>
      </c>
    </row>
    <row r="9804" spans="18:23">
      <c r="R9804" s="127">
        <f t="shared" si="376"/>
        <v>0</v>
      </c>
      <c r="U9804" s="129" t="str">
        <f>IFERROR(IF(#REF!="S",VLOOKUP('Raw Data'!A9804,References!#REF!,2,FALSE),(VLOOKUP($S9804,References!$B$3:$C$7,2,FALSE))),"")</f>
        <v/>
      </c>
      <c r="W9804" s="74" t="str">
        <f>IFERROR(VLOOKUP($O9804,'Customer List'!$A$1:$J$488,10,FALSE),"")</f>
        <v/>
      </c>
    </row>
    <row r="9805" spans="18:23">
      <c r="R9805" s="127">
        <f t="shared" si="376"/>
        <v>0</v>
      </c>
      <c r="U9805" s="129" t="str">
        <f>IFERROR(IF(#REF!="S",VLOOKUP('Raw Data'!A9805,References!#REF!,2,FALSE),(VLOOKUP($S9805,References!$B$3:$C$7,2,FALSE))),"")</f>
        <v/>
      </c>
      <c r="W9805" s="74" t="str">
        <f>IFERROR(VLOOKUP($O9805,'Customer List'!$A$1:$J$488,10,FALSE),"")</f>
        <v/>
      </c>
    </row>
    <row r="9806" spans="18:23">
      <c r="R9806" s="127">
        <f t="shared" si="376"/>
        <v>0</v>
      </c>
      <c r="U9806" s="129" t="str">
        <f>IFERROR(IF(#REF!="S",VLOOKUP('Raw Data'!A9806,References!#REF!,2,FALSE),(VLOOKUP($S9806,References!$B$3:$C$7,2,FALSE))),"")</f>
        <v/>
      </c>
      <c r="W9806" s="74" t="str">
        <f>IFERROR(VLOOKUP($O9806,'Customer List'!$A$1:$J$488,10,FALSE),"")</f>
        <v/>
      </c>
    </row>
    <row r="9807" spans="18:23">
      <c r="R9807" s="127">
        <f t="shared" si="376"/>
        <v>0</v>
      </c>
      <c r="U9807" s="129" t="str">
        <f>IFERROR(IF(#REF!="S",VLOOKUP('Raw Data'!A9807,References!#REF!,2,FALSE),(VLOOKUP($S9807,References!$B$3:$C$7,2,FALSE))),"")</f>
        <v/>
      </c>
      <c r="W9807" s="74" t="str">
        <f>IFERROR(VLOOKUP($O9807,'Customer List'!$A$1:$J$488,10,FALSE),"")</f>
        <v/>
      </c>
    </row>
    <row r="9808" spans="18:23">
      <c r="R9808" s="127">
        <f t="shared" si="376"/>
        <v>0</v>
      </c>
      <c r="U9808" s="129" t="str">
        <f>IFERROR(IF(#REF!="S",VLOOKUP('Raw Data'!A9808,References!#REF!,2,FALSE),(VLOOKUP($S9808,References!$B$3:$C$7,2,FALSE))),"")</f>
        <v/>
      </c>
      <c r="W9808" s="74" t="str">
        <f>IFERROR(VLOOKUP($O9808,'Customer List'!$A$1:$J$488,10,FALSE),"")</f>
        <v/>
      </c>
    </row>
    <row r="9809" spans="18:23">
      <c r="R9809" s="127">
        <f t="shared" si="376"/>
        <v>0</v>
      </c>
      <c r="U9809" s="129" t="str">
        <f>IFERROR(IF(#REF!="S",VLOOKUP('Raw Data'!A9809,References!#REF!,2,FALSE),(VLOOKUP($S9809,References!$B$3:$C$7,2,FALSE))),"")</f>
        <v/>
      </c>
      <c r="W9809" s="74" t="str">
        <f>IFERROR(VLOOKUP($O9809,'Customer List'!$A$1:$J$488,10,FALSE),"")</f>
        <v/>
      </c>
    </row>
    <row r="9810" spans="18:23">
      <c r="R9810" s="127">
        <f t="shared" si="376"/>
        <v>0</v>
      </c>
      <c r="U9810" s="129" t="str">
        <f>IFERROR(IF(#REF!="S",VLOOKUP('Raw Data'!A9810,References!#REF!,2,FALSE),(VLOOKUP($S9810,References!$B$3:$C$7,2,FALSE))),"")</f>
        <v/>
      </c>
      <c r="W9810" s="74" t="str">
        <f>IFERROR(VLOOKUP($O9810,'Customer List'!$A$1:$J$488,10,FALSE),"")</f>
        <v/>
      </c>
    </row>
    <row r="9811" spans="18:23">
      <c r="R9811" s="127">
        <f t="shared" si="376"/>
        <v>0</v>
      </c>
      <c r="U9811" s="129" t="str">
        <f>IFERROR(IF(#REF!="S",VLOOKUP('Raw Data'!A9811,References!#REF!,2,FALSE),(VLOOKUP($S9811,References!$B$3:$C$7,2,FALSE))),"")</f>
        <v/>
      </c>
      <c r="W9811" s="74" t="str">
        <f>IFERROR(VLOOKUP($O9811,'Customer List'!$A$1:$J$488,10,FALSE),"")</f>
        <v/>
      </c>
    </row>
    <row r="9812" spans="18:23">
      <c r="R9812" s="127">
        <f t="shared" si="376"/>
        <v>0</v>
      </c>
      <c r="U9812" s="129" t="str">
        <f>IFERROR(IF(#REF!="S",VLOOKUP('Raw Data'!A9812,References!#REF!,2,FALSE),(VLOOKUP($S9812,References!$B$3:$C$7,2,FALSE))),"")</f>
        <v/>
      </c>
      <c r="W9812" s="74" t="str">
        <f>IFERROR(VLOOKUP($O9812,'Customer List'!$A$1:$J$488,10,FALSE),"")</f>
        <v/>
      </c>
    </row>
    <row r="9813" spans="18:23">
      <c r="R9813" s="127">
        <f t="shared" si="376"/>
        <v>0</v>
      </c>
      <c r="U9813" s="129" t="str">
        <f>IFERROR(IF(#REF!="S",VLOOKUP('Raw Data'!A9813,References!#REF!,2,FALSE),(VLOOKUP($S9813,References!$B$3:$C$7,2,FALSE))),"")</f>
        <v/>
      </c>
      <c r="W9813" s="74" t="str">
        <f>IFERROR(VLOOKUP($O9813,'Customer List'!$A$1:$J$488,10,FALSE),"")</f>
        <v/>
      </c>
    </row>
    <row r="9814" spans="18:23">
      <c r="R9814" s="127">
        <f t="shared" si="376"/>
        <v>0</v>
      </c>
      <c r="U9814" s="129" t="str">
        <f>IFERROR(IF(#REF!="S",VLOOKUP('Raw Data'!A9814,References!#REF!,2,FALSE),(VLOOKUP($S9814,References!$B$3:$C$7,2,FALSE))),"")</f>
        <v/>
      </c>
      <c r="W9814" s="74" t="str">
        <f>IFERROR(VLOOKUP($O9814,'Customer List'!$A$1:$J$488,10,FALSE),"")</f>
        <v/>
      </c>
    </row>
    <row r="9815" spans="18:23">
      <c r="R9815" s="127">
        <f t="shared" si="376"/>
        <v>0</v>
      </c>
      <c r="U9815" s="129" t="str">
        <f>IFERROR(IF(#REF!="S",VLOOKUP('Raw Data'!A9815,References!#REF!,2,FALSE),(VLOOKUP($S9815,References!$B$3:$C$7,2,FALSE))),"")</f>
        <v/>
      </c>
      <c r="W9815" s="74" t="str">
        <f>IFERROR(VLOOKUP($O9815,'Customer List'!$A$1:$J$488,10,FALSE),"")</f>
        <v/>
      </c>
    </row>
    <row r="9816" spans="18:23">
      <c r="R9816" s="127">
        <f t="shared" si="376"/>
        <v>0</v>
      </c>
      <c r="U9816" s="129" t="str">
        <f>IFERROR(IF(#REF!="S",VLOOKUP('Raw Data'!A9816,References!#REF!,2,FALSE),(VLOOKUP($S9816,References!$B$3:$C$7,2,FALSE))),"")</f>
        <v/>
      </c>
      <c r="W9816" s="74" t="str">
        <f>IFERROR(VLOOKUP($O9816,'Customer List'!$A$1:$J$488,10,FALSE),"")</f>
        <v/>
      </c>
    </row>
    <row r="9817" spans="18:23">
      <c r="R9817" s="127">
        <f t="shared" si="376"/>
        <v>0</v>
      </c>
      <c r="U9817" s="129" t="str">
        <f>IFERROR(IF(#REF!="S",VLOOKUP('Raw Data'!A9817,References!#REF!,2,FALSE),(VLOOKUP($S9817,References!$B$3:$C$7,2,FALSE))),"")</f>
        <v/>
      </c>
      <c r="W9817" s="74" t="str">
        <f>IFERROR(VLOOKUP($O9817,'Customer List'!$A$1:$J$488,10,FALSE),"")</f>
        <v/>
      </c>
    </row>
    <row r="9818" spans="18:23">
      <c r="R9818" s="127">
        <f t="shared" si="376"/>
        <v>0</v>
      </c>
      <c r="U9818" s="129" t="str">
        <f>IFERROR(IF(#REF!="S",VLOOKUP('Raw Data'!A9818,References!#REF!,2,FALSE),(VLOOKUP($S9818,References!$B$3:$C$7,2,FALSE))),"")</f>
        <v/>
      </c>
      <c r="W9818" s="74" t="str">
        <f>IFERROR(VLOOKUP($O9818,'Customer List'!$A$1:$J$488,10,FALSE),"")</f>
        <v/>
      </c>
    </row>
    <row r="9819" spans="18:23">
      <c r="R9819" s="127">
        <f t="shared" si="376"/>
        <v>0</v>
      </c>
      <c r="U9819" s="129" t="str">
        <f>IFERROR(IF(#REF!="S",VLOOKUP('Raw Data'!A9819,References!#REF!,2,FALSE),(VLOOKUP($S9819,References!$B$3:$C$7,2,FALSE))),"")</f>
        <v/>
      </c>
      <c r="W9819" s="74" t="str">
        <f>IFERROR(VLOOKUP($O9819,'Customer List'!$A$1:$J$488,10,FALSE),"")</f>
        <v/>
      </c>
    </row>
    <row r="9820" spans="18:23">
      <c r="R9820" s="127">
        <f t="shared" si="376"/>
        <v>0</v>
      </c>
      <c r="U9820" s="129" t="str">
        <f>IFERROR(IF(#REF!="S",VLOOKUP('Raw Data'!A9820,References!#REF!,2,FALSE),(VLOOKUP($S9820,References!$B$3:$C$7,2,FALSE))),"")</f>
        <v/>
      </c>
      <c r="W9820" s="74" t="str">
        <f>IFERROR(VLOOKUP($O9820,'Customer List'!$A$1:$J$488,10,FALSE),"")</f>
        <v/>
      </c>
    </row>
    <row r="9821" spans="18:23">
      <c r="R9821" s="127">
        <f t="shared" si="376"/>
        <v>0</v>
      </c>
      <c r="U9821" s="129" t="str">
        <f>IFERROR(IF(#REF!="S",VLOOKUP('Raw Data'!A9821,References!#REF!,2,FALSE),(VLOOKUP($S9821,References!$B$3:$C$7,2,FALSE))),"")</f>
        <v/>
      </c>
      <c r="W9821" s="74" t="str">
        <f>IFERROR(VLOOKUP($O9821,'Customer List'!$A$1:$J$488,10,FALSE),"")</f>
        <v/>
      </c>
    </row>
    <row r="9822" spans="18:23">
      <c r="R9822" s="127">
        <f t="shared" si="376"/>
        <v>0</v>
      </c>
      <c r="U9822" s="129" t="str">
        <f>IFERROR(IF(#REF!="S",VLOOKUP('Raw Data'!A9822,References!#REF!,2,FALSE),(VLOOKUP($S9822,References!$B$3:$C$7,2,FALSE))),"")</f>
        <v/>
      </c>
      <c r="W9822" s="74" t="str">
        <f>IFERROR(VLOOKUP($O9822,'Customer List'!$A$1:$J$488,10,FALSE),"")</f>
        <v/>
      </c>
    </row>
    <row r="9823" spans="18:23">
      <c r="R9823" s="127">
        <f t="shared" si="376"/>
        <v>0</v>
      </c>
      <c r="U9823" s="129" t="str">
        <f>IFERROR(IF(#REF!="S",VLOOKUP('Raw Data'!A9823,References!#REF!,2,FALSE),(VLOOKUP($S9823,References!$B$3:$C$7,2,FALSE))),"")</f>
        <v/>
      </c>
      <c r="W9823" s="74" t="str">
        <f>IFERROR(VLOOKUP($O9823,'Customer List'!$A$1:$J$488,10,FALSE),"")</f>
        <v/>
      </c>
    </row>
    <row r="9824" spans="18:23">
      <c r="R9824" s="127">
        <f t="shared" si="376"/>
        <v>0</v>
      </c>
      <c r="U9824" s="129" t="str">
        <f>IFERROR(IF(#REF!="S",VLOOKUP('Raw Data'!A9824,References!#REF!,2,FALSE),(VLOOKUP($S9824,References!$B$3:$C$7,2,FALSE))),"")</f>
        <v/>
      </c>
      <c r="W9824" s="74" t="str">
        <f>IFERROR(VLOOKUP($O9824,'Customer List'!$A$1:$J$488,10,FALSE),"")</f>
        <v/>
      </c>
    </row>
    <row r="9825" spans="18:23">
      <c r="R9825" s="127">
        <f t="shared" si="376"/>
        <v>0</v>
      </c>
      <c r="U9825" s="129" t="str">
        <f>IFERROR(IF(#REF!="S",VLOOKUP('Raw Data'!A9825,References!#REF!,2,FALSE),(VLOOKUP($S9825,References!$B$3:$C$7,2,FALSE))),"")</f>
        <v/>
      </c>
      <c r="W9825" s="74" t="str">
        <f>IFERROR(VLOOKUP($O9825,'Customer List'!$A$1:$J$488,10,FALSE),"")</f>
        <v/>
      </c>
    </row>
    <row r="9826" spans="18:23">
      <c r="R9826" s="127">
        <f t="shared" ref="R9826:R9889" si="377">L9826-K9826</f>
        <v>0</v>
      </c>
      <c r="U9826" s="129" t="str">
        <f>IFERROR(IF(#REF!="S",VLOOKUP('Raw Data'!A9826,References!#REF!,2,FALSE),(VLOOKUP($S9826,References!$B$3:$C$7,2,FALSE))),"")</f>
        <v/>
      </c>
      <c r="W9826" s="74" t="str">
        <f>IFERROR(VLOOKUP($O9826,'Customer List'!$A$1:$J$488,10,FALSE),"")</f>
        <v/>
      </c>
    </row>
    <row r="9827" spans="18:23">
      <c r="R9827" s="127">
        <f t="shared" si="377"/>
        <v>0</v>
      </c>
      <c r="U9827" s="129" t="str">
        <f>IFERROR(IF(#REF!="S",VLOOKUP('Raw Data'!A9827,References!#REF!,2,FALSE),(VLOOKUP($S9827,References!$B$3:$C$7,2,FALSE))),"")</f>
        <v/>
      </c>
      <c r="W9827" s="74" t="str">
        <f>IFERROR(VLOOKUP($O9827,'Customer List'!$A$1:$J$488,10,FALSE),"")</f>
        <v/>
      </c>
    </row>
    <row r="9828" spans="18:23">
      <c r="R9828" s="127">
        <f t="shared" si="377"/>
        <v>0</v>
      </c>
      <c r="U9828" s="129" t="str">
        <f>IFERROR(IF(#REF!="S",VLOOKUP('Raw Data'!A9828,References!#REF!,2,FALSE),(VLOOKUP($S9828,References!$B$3:$C$7,2,FALSE))),"")</f>
        <v/>
      </c>
      <c r="W9828" s="74" t="str">
        <f>IFERROR(VLOOKUP($O9828,'Customer List'!$A$1:$J$488,10,FALSE),"")</f>
        <v/>
      </c>
    </row>
    <row r="9829" spans="18:23">
      <c r="R9829" s="127">
        <f t="shared" si="377"/>
        <v>0</v>
      </c>
      <c r="U9829" s="129" t="str">
        <f>IFERROR(IF(#REF!="S",VLOOKUP('Raw Data'!A9829,References!#REF!,2,FALSE),(VLOOKUP($S9829,References!$B$3:$C$7,2,FALSE))),"")</f>
        <v/>
      </c>
      <c r="W9829" s="74" t="str">
        <f>IFERROR(VLOOKUP($O9829,'Customer List'!$A$1:$J$488,10,FALSE),"")</f>
        <v/>
      </c>
    </row>
    <row r="9830" spans="18:23">
      <c r="R9830" s="127">
        <f t="shared" si="377"/>
        <v>0</v>
      </c>
      <c r="U9830" s="129" t="str">
        <f>IFERROR(IF(#REF!="S",VLOOKUP('Raw Data'!A9830,References!#REF!,2,FALSE),(VLOOKUP($S9830,References!$B$3:$C$7,2,FALSE))),"")</f>
        <v/>
      </c>
      <c r="W9830" s="74" t="str">
        <f>IFERROR(VLOOKUP($O9830,'Customer List'!$A$1:$J$488,10,FALSE),"")</f>
        <v/>
      </c>
    </row>
    <row r="9831" spans="18:23">
      <c r="R9831" s="127">
        <f t="shared" si="377"/>
        <v>0</v>
      </c>
      <c r="U9831" s="129" t="str">
        <f>IFERROR(IF(#REF!="S",VLOOKUP('Raw Data'!A9831,References!#REF!,2,FALSE),(VLOOKUP($S9831,References!$B$3:$C$7,2,FALSE))),"")</f>
        <v/>
      </c>
      <c r="W9831" s="74" t="str">
        <f>IFERROR(VLOOKUP($O9831,'Customer List'!$A$1:$J$488,10,FALSE),"")</f>
        <v/>
      </c>
    </row>
    <row r="9832" spans="18:23">
      <c r="R9832" s="127">
        <f t="shared" si="377"/>
        <v>0</v>
      </c>
      <c r="U9832" s="129" t="str">
        <f>IFERROR(IF(#REF!="S",VLOOKUP('Raw Data'!A9832,References!#REF!,2,FALSE),(VLOOKUP($S9832,References!$B$3:$C$7,2,FALSE))),"")</f>
        <v/>
      </c>
      <c r="W9832" s="74" t="str">
        <f>IFERROR(VLOOKUP($O9832,'Customer List'!$A$1:$J$488,10,FALSE),"")</f>
        <v/>
      </c>
    </row>
    <row r="9833" spans="18:23">
      <c r="R9833" s="127">
        <f t="shared" si="377"/>
        <v>0</v>
      </c>
      <c r="U9833" s="129" t="str">
        <f>IFERROR(IF(#REF!="S",VLOOKUP('Raw Data'!A9833,References!#REF!,2,FALSE),(VLOOKUP($S9833,References!$B$3:$C$7,2,FALSE))),"")</f>
        <v/>
      </c>
      <c r="W9833" s="74" t="str">
        <f>IFERROR(VLOOKUP($O9833,'Customer List'!$A$1:$J$488,10,FALSE),"")</f>
        <v/>
      </c>
    </row>
    <row r="9834" spans="18:23">
      <c r="R9834" s="127">
        <f t="shared" si="377"/>
        <v>0</v>
      </c>
      <c r="U9834" s="129" t="str">
        <f>IFERROR(IF(#REF!="S",VLOOKUP('Raw Data'!A9834,References!#REF!,2,FALSE),(VLOOKUP($S9834,References!$B$3:$C$7,2,FALSE))),"")</f>
        <v/>
      </c>
      <c r="W9834" s="74" t="str">
        <f>IFERROR(VLOOKUP($O9834,'Customer List'!$A$1:$J$488,10,FALSE),"")</f>
        <v/>
      </c>
    </row>
    <row r="9835" spans="18:23">
      <c r="R9835" s="127">
        <f t="shared" si="377"/>
        <v>0</v>
      </c>
      <c r="U9835" s="129" t="str">
        <f>IFERROR(IF(#REF!="S",VLOOKUP('Raw Data'!A9835,References!#REF!,2,FALSE),(VLOOKUP($S9835,References!$B$3:$C$7,2,FALSE))),"")</f>
        <v/>
      </c>
      <c r="W9835" s="74" t="str">
        <f>IFERROR(VLOOKUP($O9835,'Customer List'!$A$1:$J$488,10,FALSE),"")</f>
        <v/>
      </c>
    </row>
    <row r="9836" spans="18:23">
      <c r="R9836" s="127">
        <f t="shared" si="377"/>
        <v>0</v>
      </c>
      <c r="U9836" s="129" t="str">
        <f>IFERROR(IF(#REF!="S",VLOOKUP('Raw Data'!A9836,References!#REF!,2,FALSE),(VLOOKUP($S9836,References!$B$3:$C$7,2,FALSE))),"")</f>
        <v/>
      </c>
      <c r="W9836" s="74" t="str">
        <f>IFERROR(VLOOKUP($O9836,'Customer List'!$A$1:$J$488,10,FALSE),"")</f>
        <v/>
      </c>
    </row>
    <row r="9837" spans="18:23">
      <c r="R9837" s="127">
        <f t="shared" si="377"/>
        <v>0</v>
      </c>
      <c r="U9837" s="129" t="str">
        <f>IFERROR(IF(#REF!="S",VLOOKUP('Raw Data'!A9837,References!#REF!,2,FALSE),(VLOOKUP($S9837,References!$B$3:$C$7,2,FALSE))),"")</f>
        <v/>
      </c>
      <c r="W9837" s="74" t="str">
        <f>IFERROR(VLOOKUP($O9837,'Customer List'!$A$1:$J$488,10,FALSE),"")</f>
        <v/>
      </c>
    </row>
    <row r="9838" spans="18:23">
      <c r="R9838" s="127">
        <f t="shared" si="377"/>
        <v>0</v>
      </c>
      <c r="U9838" s="129" t="str">
        <f>IFERROR(IF(#REF!="S",VLOOKUP('Raw Data'!A9838,References!#REF!,2,FALSE),(VLOOKUP($S9838,References!$B$3:$C$7,2,FALSE))),"")</f>
        <v/>
      </c>
      <c r="W9838" s="74" t="str">
        <f>IFERROR(VLOOKUP($O9838,'Customer List'!$A$1:$J$488,10,FALSE),"")</f>
        <v/>
      </c>
    </row>
    <row r="9839" spans="18:23">
      <c r="R9839" s="127">
        <f t="shared" si="377"/>
        <v>0</v>
      </c>
      <c r="U9839" s="129" t="str">
        <f>IFERROR(IF(#REF!="S",VLOOKUP('Raw Data'!A9839,References!#REF!,2,FALSE),(VLOOKUP($S9839,References!$B$3:$C$7,2,FALSE))),"")</f>
        <v/>
      </c>
      <c r="W9839" s="74" t="str">
        <f>IFERROR(VLOOKUP($O9839,'Customer List'!$A$1:$J$488,10,FALSE),"")</f>
        <v/>
      </c>
    </row>
    <row r="9840" spans="18:23">
      <c r="R9840" s="127">
        <f t="shared" si="377"/>
        <v>0</v>
      </c>
      <c r="U9840" s="129" t="str">
        <f>IFERROR(IF(#REF!="S",VLOOKUP('Raw Data'!A9840,References!#REF!,2,FALSE),(VLOOKUP($S9840,References!$B$3:$C$7,2,FALSE))),"")</f>
        <v/>
      </c>
      <c r="W9840" s="74" t="str">
        <f>IFERROR(VLOOKUP($O9840,'Customer List'!$A$1:$J$488,10,FALSE),"")</f>
        <v/>
      </c>
    </row>
    <row r="9841" spans="18:23">
      <c r="R9841" s="127">
        <f t="shared" si="377"/>
        <v>0</v>
      </c>
      <c r="U9841" s="129" t="str">
        <f>IFERROR(IF(#REF!="S",VLOOKUP('Raw Data'!A9841,References!#REF!,2,FALSE),(VLOOKUP($S9841,References!$B$3:$C$7,2,FALSE))),"")</f>
        <v/>
      </c>
      <c r="W9841" s="74" t="str">
        <f>IFERROR(VLOOKUP($O9841,'Customer List'!$A$1:$J$488,10,FALSE),"")</f>
        <v/>
      </c>
    </row>
    <row r="9842" spans="18:23">
      <c r="R9842" s="127">
        <f t="shared" si="377"/>
        <v>0</v>
      </c>
      <c r="U9842" s="129" t="str">
        <f>IFERROR(IF(#REF!="S",VLOOKUP('Raw Data'!A9842,References!#REF!,2,FALSE),(VLOOKUP($S9842,References!$B$3:$C$7,2,FALSE))),"")</f>
        <v/>
      </c>
      <c r="W9842" s="74" t="str">
        <f>IFERROR(VLOOKUP($O9842,'Customer List'!$A$1:$J$488,10,FALSE),"")</f>
        <v/>
      </c>
    </row>
    <row r="9843" spans="18:23">
      <c r="R9843" s="127">
        <f t="shared" si="377"/>
        <v>0</v>
      </c>
      <c r="U9843" s="129" t="str">
        <f>IFERROR(IF(#REF!="S",VLOOKUP('Raw Data'!A9843,References!#REF!,2,FALSE),(VLOOKUP($S9843,References!$B$3:$C$7,2,FALSE))),"")</f>
        <v/>
      </c>
      <c r="W9843" s="74" t="str">
        <f>IFERROR(VLOOKUP($O9843,'Customer List'!$A$1:$J$488,10,FALSE),"")</f>
        <v/>
      </c>
    </row>
    <row r="9844" spans="18:23">
      <c r="R9844" s="127">
        <f t="shared" si="377"/>
        <v>0</v>
      </c>
      <c r="U9844" s="129" t="str">
        <f>IFERROR(IF(#REF!="S",VLOOKUP('Raw Data'!A9844,References!#REF!,2,FALSE),(VLOOKUP($S9844,References!$B$3:$C$7,2,FALSE))),"")</f>
        <v/>
      </c>
      <c r="W9844" s="74" t="str">
        <f>IFERROR(VLOOKUP($O9844,'Customer List'!$A$1:$J$488,10,FALSE),"")</f>
        <v/>
      </c>
    </row>
    <row r="9845" spans="18:23">
      <c r="R9845" s="127">
        <f t="shared" si="377"/>
        <v>0</v>
      </c>
      <c r="U9845" s="129" t="str">
        <f>IFERROR(IF(#REF!="S",VLOOKUP('Raw Data'!A9845,References!#REF!,2,FALSE),(VLOOKUP($S9845,References!$B$3:$C$7,2,FALSE))),"")</f>
        <v/>
      </c>
      <c r="W9845" s="74" t="str">
        <f>IFERROR(VLOOKUP($O9845,'Customer List'!$A$1:$J$488,10,FALSE),"")</f>
        <v/>
      </c>
    </row>
    <row r="9846" spans="18:23">
      <c r="R9846" s="127">
        <f t="shared" si="377"/>
        <v>0</v>
      </c>
      <c r="U9846" s="129" t="str">
        <f>IFERROR(IF(#REF!="S",VLOOKUP('Raw Data'!A9846,References!#REF!,2,FALSE),(VLOOKUP($S9846,References!$B$3:$C$7,2,FALSE))),"")</f>
        <v/>
      </c>
      <c r="W9846" s="74" t="str">
        <f>IFERROR(VLOOKUP($O9846,'Customer List'!$A$1:$J$488,10,FALSE),"")</f>
        <v/>
      </c>
    </row>
    <row r="9847" spans="18:23">
      <c r="R9847" s="127">
        <f t="shared" si="377"/>
        <v>0</v>
      </c>
      <c r="U9847" s="129" t="str">
        <f>IFERROR(IF(#REF!="S",VLOOKUP('Raw Data'!A9847,References!#REF!,2,FALSE),(VLOOKUP($S9847,References!$B$3:$C$7,2,FALSE))),"")</f>
        <v/>
      </c>
      <c r="W9847" s="74" t="str">
        <f>IFERROR(VLOOKUP($O9847,'Customer List'!$A$1:$J$488,10,FALSE),"")</f>
        <v/>
      </c>
    </row>
    <row r="9848" spans="18:23">
      <c r="R9848" s="127">
        <f t="shared" si="377"/>
        <v>0</v>
      </c>
      <c r="U9848" s="129" t="str">
        <f>IFERROR(IF(#REF!="S",VLOOKUP('Raw Data'!A9848,References!#REF!,2,FALSE),(VLOOKUP($S9848,References!$B$3:$C$7,2,FALSE))),"")</f>
        <v/>
      </c>
      <c r="W9848" s="74" t="str">
        <f>IFERROR(VLOOKUP($O9848,'Customer List'!$A$1:$J$488,10,FALSE),"")</f>
        <v/>
      </c>
    </row>
    <row r="9849" spans="18:23">
      <c r="R9849" s="127">
        <f t="shared" si="377"/>
        <v>0</v>
      </c>
      <c r="U9849" s="129" t="str">
        <f>IFERROR(IF(#REF!="S",VLOOKUP('Raw Data'!A9849,References!#REF!,2,FALSE),(VLOOKUP($S9849,References!$B$3:$C$7,2,FALSE))),"")</f>
        <v/>
      </c>
      <c r="W9849" s="74" t="str">
        <f>IFERROR(VLOOKUP($O9849,'Customer List'!$A$1:$J$488,10,FALSE),"")</f>
        <v/>
      </c>
    </row>
    <row r="9850" spans="18:23">
      <c r="R9850" s="127">
        <f t="shared" si="377"/>
        <v>0</v>
      </c>
      <c r="U9850" s="129" t="str">
        <f>IFERROR(IF(#REF!="S",VLOOKUP('Raw Data'!A9850,References!#REF!,2,FALSE),(VLOOKUP($S9850,References!$B$3:$C$7,2,FALSE))),"")</f>
        <v/>
      </c>
      <c r="W9850" s="74" t="str">
        <f>IFERROR(VLOOKUP($O9850,'Customer List'!$A$1:$J$488,10,FALSE),"")</f>
        <v/>
      </c>
    </row>
    <row r="9851" spans="18:23">
      <c r="R9851" s="127">
        <f t="shared" si="377"/>
        <v>0</v>
      </c>
      <c r="U9851" s="129" t="str">
        <f>IFERROR(IF(#REF!="S",VLOOKUP('Raw Data'!A9851,References!#REF!,2,FALSE),(VLOOKUP($S9851,References!$B$3:$C$7,2,FALSE))),"")</f>
        <v/>
      </c>
      <c r="W9851" s="74" t="str">
        <f>IFERROR(VLOOKUP($O9851,'Customer List'!$A$1:$J$488,10,FALSE),"")</f>
        <v/>
      </c>
    </row>
    <row r="9852" spans="18:23">
      <c r="R9852" s="127">
        <f t="shared" si="377"/>
        <v>0</v>
      </c>
      <c r="U9852" s="129" t="str">
        <f>IFERROR(IF(#REF!="S",VLOOKUP('Raw Data'!A9852,References!#REF!,2,FALSE),(VLOOKUP($S9852,References!$B$3:$C$7,2,FALSE))),"")</f>
        <v/>
      </c>
      <c r="W9852" s="74" t="str">
        <f>IFERROR(VLOOKUP($O9852,'Customer List'!$A$1:$J$488,10,FALSE),"")</f>
        <v/>
      </c>
    </row>
    <row r="9853" spans="18:23">
      <c r="R9853" s="127">
        <f t="shared" si="377"/>
        <v>0</v>
      </c>
      <c r="U9853" s="129" t="str">
        <f>IFERROR(IF(#REF!="S",VLOOKUP('Raw Data'!A9853,References!#REF!,2,FALSE),(VLOOKUP($S9853,References!$B$3:$C$7,2,FALSE))),"")</f>
        <v/>
      </c>
      <c r="W9853" s="74" t="str">
        <f>IFERROR(VLOOKUP($O9853,'Customer List'!$A$1:$J$488,10,FALSE),"")</f>
        <v/>
      </c>
    </row>
    <row r="9854" spans="18:23">
      <c r="R9854" s="127">
        <f t="shared" si="377"/>
        <v>0</v>
      </c>
      <c r="U9854" s="129" t="str">
        <f>IFERROR(IF(#REF!="S",VLOOKUP('Raw Data'!A9854,References!#REF!,2,FALSE),(VLOOKUP($S9854,References!$B$3:$C$7,2,FALSE))),"")</f>
        <v/>
      </c>
      <c r="W9854" s="74" t="str">
        <f>IFERROR(VLOOKUP($O9854,'Customer List'!$A$1:$J$488,10,FALSE),"")</f>
        <v/>
      </c>
    </row>
    <row r="9855" spans="18:23">
      <c r="R9855" s="127">
        <f t="shared" si="377"/>
        <v>0</v>
      </c>
      <c r="U9855" s="129" t="str">
        <f>IFERROR(IF(#REF!="S",VLOOKUP('Raw Data'!A9855,References!#REF!,2,FALSE),(VLOOKUP($S9855,References!$B$3:$C$7,2,FALSE))),"")</f>
        <v/>
      </c>
      <c r="W9855" s="74" t="str">
        <f>IFERROR(VLOOKUP($O9855,'Customer List'!$A$1:$J$488,10,FALSE),"")</f>
        <v/>
      </c>
    </row>
    <row r="9856" spans="18:23">
      <c r="R9856" s="127">
        <f t="shared" si="377"/>
        <v>0</v>
      </c>
      <c r="U9856" s="129" t="str">
        <f>IFERROR(IF(#REF!="S",VLOOKUP('Raw Data'!A9856,References!#REF!,2,FALSE),(VLOOKUP($S9856,References!$B$3:$C$7,2,FALSE))),"")</f>
        <v/>
      </c>
      <c r="W9856" s="74" t="str">
        <f>IFERROR(VLOOKUP($O9856,'Customer List'!$A$1:$J$488,10,FALSE),"")</f>
        <v/>
      </c>
    </row>
    <row r="9857" spans="18:23">
      <c r="R9857" s="127">
        <f t="shared" si="377"/>
        <v>0</v>
      </c>
      <c r="U9857" s="129" t="str">
        <f>IFERROR(IF(#REF!="S",VLOOKUP('Raw Data'!A9857,References!#REF!,2,FALSE),(VLOOKUP($S9857,References!$B$3:$C$7,2,FALSE))),"")</f>
        <v/>
      </c>
      <c r="W9857" s="74" t="str">
        <f>IFERROR(VLOOKUP($O9857,'Customer List'!$A$1:$J$488,10,FALSE),"")</f>
        <v/>
      </c>
    </row>
    <row r="9858" spans="18:23">
      <c r="R9858" s="127">
        <f t="shared" si="377"/>
        <v>0</v>
      </c>
      <c r="U9858" s="129" t="str">
        <f>IFERROR(IF(#REF!="S",VLOOKUP('Raw Data'!A9858,References!#REF!,2,FALSE),(VLOOKUP($S9858,References!$B$3:$C$7,2,FALSE))),"")</f>
        <v/>
      </c>
      <c r="W9858" s="74" t="str">
        <f>IFERROR(VLOOKUP($O9858,'Customer List'!$A$1:$J$488,10,FALSE),"")</f>
        <v/>
      </c>
    </row>
    <row r="9859" spans="18:23">
      <c r="R9859" s="127">
        <f t="shared" si="377"/>
        <v>0</v>
      </c>
      <c r="U9859" s="129" t="str">
        <f>IFERROR(IF(#REF!="S",VLOOKUP('Raw Data'!A9859,References!#REF!,2,FALSE),(VLOOKUP($S9859,References!$B$3:$C$7,2,FALSE))),"")</f>
        <v/>
      </c>
      <c r="W9859" s="74" t="str">
        <f>IFERROR(VLOOKUP($O9859,'Customer List'!$A$1:$J$488,10,FALSE),"")</f>
        <v/>
      </c>
    </row>
    <row r="9860" spans="18:23">
      <c r="R9860" s="127">
        <f t="shared" si="377"/>
        <v>0</v>
      </c>
      <c r="U9860" s="129" t="str">
        <f>IFERROR(IF(#REF!="S",VLOOKUP('Raw Data'!A9860,References!#REF!,2,FALSE),(VLOOKUP($S9860,References!$B$3:$C$7,2,FALSE))),"")</f>
        <v/>
      </c>
      <c r="W9860" s="74" t="str">
        <f>IFERROR(VLOOKUP($O9860,'Customer List'!$A$1:$J$488,10,FALSE),"")</f>
        <v/>
      </c>
    </row>
    <row r="9861" spans="18:23">
      <c r="R9861" s="127">
        <f t="shared" si="377"/>
        <v>0</v>
      </c>
      <c r="U9861" s="129" t="str">
        <f>IFERROR(IF(#REF!="S",VLOOKUP('Raw Data'!A9861,References!#REF!,2,FALSE),(VLOOKUP($S9861,References!$B$3:$C$7,2,FALSE))),"")</f>
        <v/>
      </c>
      <c r="W9861" s="74" t="str">
        <f>IFERROR(VLOOKUP($O9861,'Customer List'!$A$1:$J$488,10,FALSE),"")</f>
        <v/>
      </c>
    </row>
    <row r="9862" spans="18:23">
      <c r="R9862" s="127">
        <f t="shared" si="377"/>
        <v>0</v>
      </c>
      <c r="U9862" s="129" t="str">
        <f>IFERROR(IF(#REF!="S",VLOOKUP('Raw Data'!A9862,References!#REF!,2,FALSE),(VLOOKUP($S9862,References!$B$3:$C$7,2,FALSE))),"")</f>
        <v/>
      </c>
      <c r="W9862" s="74" t="str">
        <f>IFERROR(VLOOKUP($O9862,'Customer List'!$A$1:$J$488,10,FALSE),"")</f>
        <v/>
      </c>
    </row>
    <row r="9863" spans="18:23">
      <c r="R9863" s="127">
        <f t="shared" si="377"/>
        <v>0</v>
      </c>
      <c r="U9863" s="129" t="str">
        <f>IFERROR(IF(#REF!="S",VLOOKUP('Raw Data'!A9863,References!#REF!,2,FALSE),(VLOOKUP($S9863,References!$B$3:$C$7,2,FALSE))),"")</f>
        <v/>
      </c>
      <c r="W9863" s="74" t="str">
        <f>IFERROR(VLOOKUP($O9863,'Customer List'!$A$1:$J$488,10,FALSE),"")</f>
        <v/>
      </c>
    </row>
    <row r="9864" spans="18:23">
      <c r="R9864" s="127">
        <f t="shared" si="377"/>
        <v>0</v>
      </c>
      <c r="U9864" s="129" t="str">
        <f>IFERROR(IF(#REF!="S",VLOOKUP('Raw Data'!A9864,References!#REF!,2,FALSE),(VLOOKUP($S9864,References!$B$3:$C$7,2,FALSE))),"")</f>
        <v/>
      </c>
      <c r="W9864" s="74" t="str">
        <f>IFERROR(VLOOKUP($O9864,'Customer List'!$A$1:$J$488,10,FALSE),"")</f>
        <v/>
      </c>
    </row>
    <row r="9865" spans="18:23">
      <c r="R9865" s="127">
        <f t="shared" si="377"/>
        <v>0</v>
      </c>
      <c r="U9865" s="129" t="str">
        <f>IFERROR(IF(#REF!="S",VLOOKUP('Raw Data'!A9865,References!#REF!,2,FALSE),(VLOOKUP($S9865,References!$B$3:$C$7,2,FALSE))),"")</f>
        <v/>
      </c>
      <c r="W9865" s="74" t="str">
        <f>IFERROR(VLOOKUP($O9865,'Customer List'!$A$1:$J$488,10,FALSE),"")</f>
        <v/>
      </c>
    </row>
    <row r="9866" spans="18:23">
      <c r="R9866" s="127">
        <f t="shared" si="377"/>
        <v>0</v>
      </c>
      <c r="U9866" s="129" t="str">
        <f>IFERROR(IF(#REF!="S",VLOOKUP('Raw Data'!A9866,References!#REF!,2,FALSE),(VLOOKUP($S9866,References!$B$3:$C$7,2,FALSE))),"")</f>
        <v/>
      </c>
      <c r="W9866" s="74" t="str">
        <f>IFERROR(VLOOKUP($O9866,'Customer List'!$A$1:$J$488,10,FALSE),"")</f>
        <v/>
      </c>
    </row>
    <row r="9867" spans="18:23">
      <c r="R9867" s="127">
        <f t="shared" si="377"/>
        <v>0</v>
      </c>
      <c r="U9867" s="129" t="str">
        <f>IFERROR(IF(#REF!="S",VLOOKUP('Raw Data'!A9867,References!#REF!,2,FALSE),(VLOOKUP($S9867,References!$B$3:$C$7,2,FALSE))),"")</f>
        <v/>
      </c>
      <c r="W9867" s="74" t="str">
        <f>IFERROR(VLOOKUP($O9867,'Customer List'!$A$1:$J$488,10,FALSE),"")</f>
        <v/>
      </c>
    </row>
    <row r="9868" spans="18:23">
      <c r="R9868" s="127">
        <f t="shared" si="377"/>
        <v>0</v>
      </c>
      <c r="U9868" s="129" t="str">
        <f>IFERROR(IF(#REF!="S",VLOOKUP('Raw Data'!A9868,References!#REF!,2,FALSE),(VLOOKUP($S9868,References!$B$3:$C$7,2,FALSE))),"")</f>
        <v/>
      </c>
      <c r="W9868" s="74" t="str">
        <f>IFERROR(VLOOKUP($O9868,'Customer List'!$A$1:$J$488,10,FALSE),"")</f>
        <v/>
      </c>
    </row>
    <row r="9869" spans="18:23">
      <c r="R9869" s="127">
        <f t="shared" si="377"/>
        <v>0</v>
      </c>
      <c r="U9869" s="129" t="str">
        <f>IFERROR(IF(#REF!="S",VLOOKUP('Raw Data'!A9869,References!#REF!,2,FALSE),(VLOOKUP($S9869,References!$B$3:$C$7,2,FALSE))),"")</f>
        <v/>
      </c>
      <c r="W9869" s="74" t="str">
        <f>IFERROR(VLOOKUP($O9869,'Customer List'!$A$1:$J$488,10,FALSE),"")</f>
        <v/>
      </c>
    </row>
    <row r="9870" spans="18:23">
      <c r="R9870" s="127">
        <f t="shared" si="377"/>
        <v>0</v>
      </c>
      <c r="U9870" s="129" t="str">
        <f>IFERROR(IF(#REF!="S",VLOOKUP('Raw Data'!A9870,References!#REF!,2,FALSE),(VLOOKUP($S9870,References!$B$3:$C$7,2,FALSE))),"")</f>
        <v/>
      </c>
      <c r="W9870" s="74" t="str">
        <f>IFERROR(VLOOKUP($O9870,'Customer List'!$A$1:$J$488,10,FALSE),"")</f>
        <v/>
      </c>
    </row>
    <row r="9871" spans="18:23">
      <c r="R9871" s="127">
        <f t="shared" si="377"/>
        <v>0</v>
      </c>
      <c r="U9871" s="129" t="str">
        <f>IFERROR(IF(#REF!="S",VLOOKUP('Raw Data'!A9871,References!#REF!,2,FALSE),(VLOOKUP($S9871,References!$B$3:$C$7,2,FALSE))),"")</f>
        <v/>
      </c>
      <c r="W9871" s="74" t="str">
        <f>IFERROR(VLOOKUP($O9871,'Customer List'!$A$1:$J$488,10,FALSE),"")</f>
        <v/>
      </c>
    </row>
    <row r="9872" spans="18:23">
      <c r="R9872" s="127">
        <f t="shared" si="377"/>
        <v>0</v>
      </c>
      <c r="U9872" s="129" t="str">
        <f>IFERROR(IF(#REF!="S",VLOOKUP('Raw Data'!A9872,References!#REF!,2,FALSE),(VLOOKUP($S9872,References!$B$3:$C$7,2,FALSE))),"")</f>
        <v/>
      </c>
      <c r="W9872" s="74" t="str">
        <f>IFERROR(VLOOKUP($O9872,'Customer List'!$A$1:$J$488,10,FALSE),"")</f>
        <v/>
      </c>
    </row>
    <row r="9873" spans="18:23">
      <c r="R9873" s="127">
        <f t="shared" si="377"/>
        <v>0</v>
      </c>
      <c r="U9873" s="129" t="str">
        <f>IFERROR(IF(#REF!="S",VLOOKUP('Raw Data'!A9873,References!#REF!,2,FALSE),(VLOOKUP($S9873,References!$B$3:$C$7,2,FALSE))),"")</f>
        <v/>
      </c>
      <c r="W9873" s="74" t="str">
        <f>IFERROR(VLOOKUP($O9873,'Customer List'!$A$1:$J$488,10,FALSE),"")</f>
        <v/>
      </c>
    </row>
    <row r="9874" spans="18:23">
      <c r="R9874" s="127">
        <f t="shared" si="377"/>
        <v>0</v>
      </c>
      <c r="U9874" s="129" t="str">
        <f>IFERROR(IF(#REF!="S",VLOOKUP('Raw Data'!A9874,References!#REF!,2,FALSE),(VLOOKUP($S9874,References!$B$3:$C$7,2,FALSE))),"")</f>
        <v/>
      </c>
      <c r="W9874" s="74" t="str">
        <f>IFERROR(VLOOKUP($O9874,'Customer List'!$A$1:$J$488,10,FALSE),"")</f>
        <v/>
      </c>
    </row>
    <row r="9875" spans="18:23">
      <c r="R9875" s="127">
        <f t="shared" si="377"/>
        <v>0</v>
      </c>
      <c r="U9875" s="129" t="str">
        <f>IFERROR(IF(#REF!="S",VLOOKUP('Raw Data'!A9875,References!#REF!,2,FALSE),(VLOOKUP($S9875,References!$B$3:$C$7,2,FALSE))),"")</f>
        <v/>
      </c>
      <c r="W9875" s="74" t="str">
        <f>IFERROR(VLOOKUP($O9875,'Customer List'!$A$1:$J$488,10,FALSE),"")</f>
        <v/>
      </c>
    </row>
    <row r="9876" spans="18:23">
      <c r="R9876" s="127">
        <f t="shared" si="377"/>
        <v>0</v>
      </c>
      <c r="U9876" s="129" t="str">
        <f>IFERROR(IF(#REF!="S",VLOOKUP('Raw Data'!A9876,References!#REF!,2,FALSE),(VLOOKUP($S9876,References!$B$3:$C$7,2,FALSE))),"")</f>
        <v/>
      </c>
      <c r="W9876" s="74" t="str">
        <f>IFERROR(VLOOKUP($O9876,'Customer List'!$A$1:$J$488,10,FALSE),"")</f>
        <v/>
      </c>
    </row>
    <row r="9877" spans="18:23">
      <c r="R9877" s="127">
        <f t="shared" si="377"/>
        <v>0</v>
      </c>
      <c r="U9877" s="129" t="str">
        <f>IFERROR(IF(#REF!="S",VLOOKUP('Raw Data'!A9877,References!#REF!,2,FALSE),(VLOOKUP($S9877,References!$B$3:$C$7,2,FALSE))),"")</f>
        <v/>
      </c>
      <c r="W9877" s="74" t="str">
        <f>IFERROR(VLOOKUP($O9877,'Customer List'!$A$1:$J$488,10,FALSE),"")</f>
        <v/>
      </c>
    </row>
    <row r="9878" spans="18:23">
      <c r="R9878" s="127">
        <f t="shared" si="377"/>
        <v>0</v>
      </c>
      <c r="U9878" s="129" t="str">
        <f>IFERROR(IF(#REF!="S",VLOOKUP('Raw Data'!A9878,References!#REF!,2,FALSE),(VLOOKUP($S9878,References!$B$3:$C$7,2,FALSE))),"")</f>
        <v/>
      </c>
      <c r="W9878" s="74" t="str">
        <f>IFERROR(VLOOKUP($O9878,'Customer List'!$A$1:$J$488,10,FALSE),"")</f>
        <v/>
      </c>
    </row>
    <row r="9879" spans="18:23">
      <c r="R9879" s="127">
        <f t="shared" si="377"/>
        <v>0</v>
      </c>
      <c r="U9879" s="129" t="str">
        <f>IFERROR(IF(#REF!="S",VLOOKUP('Raw Data'!A9879,References!#REF!,2,FALSE),(VLOOKUP($S9879,References!$B$3:$C$7,2,FALSE))),"")</f>
        <v/>
      </c>
      <c r="W9879" s="74" t="str">
        <f>IFERROR(VLOOKUP($O9879,'Customer List'!$A$1:$J$488,10,FALSE),"")</f>
        <v/>
      </c>
    </row>
    <row r="9880" spans="18:23">
      <c r="R9880" s="127">
        <f t="shared" si="377"/>
        <v>0</v>
      </c>
      <c r="U9880" s="129" t="str">
        <f>IFERROR(IF(#REF!="S",VLOOKUP('Raw Data'!A9880,References!#REF!,2,FALSE),(VLOOKUP($S9880,References!$B$3:$C$7,2,FALSE))),"")</f>
        <v/>
      </c>
      <c r="W9880" s="74" t="str">
        <f>IFERROR(VLOOKUP($O9880,'Customer List'!$A$1:$J$488,10,FALSE),"")</f>
        <v/>
      </c>
    </row>
    <row r="9881" spans="18:23">
      <c r="R9881" s="127">
        <f t="shared" si="377"/>
        <v>0</v>
      </c>
      <c r="U9881" s="129" t="str">
        <f>IFERROR(IF(#REF!="S",VLOOKUP('Raw Data'!A9881,References!#REF!,2,FALSE),(VLOOKUP($S9881,References!$B$3:$C$7,2,FALSE))),"")</f>
        <v/>
      </c>
      <c r="W9881" s="74" t="str">
        <f>IFERROR(VLOOKUP($O9881,'Customer List'!$A$1:$J$488,10,FALSE),"")</f>
        <v/>
      </c>
    </row>
    <row r="9882" spans="18:23">
      <c r="R9882" s="127">
        <f t="shared" si="377"/>
        <v>0</v>
      </c>
      <c r="U9882" s="129" t="str">
        <f>IFERROR(IF(#REF!="S",VLOOKUP('Raw Data'!A9882,References!#REF!,2,FALSE),(VLOOKUP($S9882,References!$B$3:$C$7,2,FALSE))),"")</f>
        <v/>
      </c>
      <c r="W9882" s="74" t="str">
        <f>IFERROR(VLOOKUP($O9882,'Customer List'!$A$1:$J$488,10,FALSE),"")</f>
        <v/>
      </c>
    </row>
    <row r="9883" spans="18:23">
      <c r="R9883" s="127">
        <f t="shared" si="377"/>
        <v>0</v>
      </c>
      <c r="U9883" s="129" t="str">
        <f>IFERROR(IF(#REF!="S",VLOOKUP('Raw Data'!A9883,References!#REF!,2,FALSE),(VLOOKUP($S9883,References!$B$3:$C$7,2,FALSE))),"")</f>
        <v/>
      </c>
      <c r="W9883" s="74" t="str">
        <f>IFERROR(VLOOKUP($O9883,'Customer List'!$A$1:$J$488,10,FALSE),"")</f>
        <v/>
      </c>
    </row>
    <row r="9884" spans="18:23">
      <c r="R9884" s="127">
        <f t="shared" si="377"/>
        <v>0</v>
      </c>
      <c r="U9884" s="129" t="str">
        <f>IFERROR(IF(#REF!="S",VLOOKUP('Raw Data'!A9884,References!#REF!,2,FALSE),(VLOOKUP($S9884,References!$B$3:$C$7,2,FALSE))),"")</f>
        <v/>
      </c>
      <c r="W9884" s="74" t="str">
        <f>IFERROR(VLOOKUP($O9884,'Customer List'!$A$1:$J$488,10,FALSE),"")</f>
        <v/>
      </c>
    </row>
    <row r="9885" spans="18:23">
      <c r="R9885" s="127">
        <f t="shared" si="377"/>
        <v>0</v>
      </c>
      <c r="U9885" s="129" t="str">
        <f>IFERROR(IF(#REF!="S",VLOOKUP('Raw Data'!A9885,References!#REF!,2,FALSE),(VLOOKUP($S9885,References!$B$3:$C$7,2,FALSE))),"")</f>
        <v/>
      </c>
      <c r="W9885" s="74" t="str">
        <f>IFERROR(VLOOKUP($O9885,'Customer List'!$A$1:$J$488,10,FALSE),"")</f>
        <v/>
      </c>
    </row>
    <row r="9886" spans="18:23">
      <c r="R9886" s="127">
        <f t="shared" si="377"/>
        <v>0</v>
      </c>
      <c r="U9886" s="129" t="str">
        <f>IFERROR(IF(#REF!="S",VLOOKUP('Raw Data'!A9886,References!#REF!,2,FALSE),(VLOOKUP($S9886,References!$B$3:$C$7,2,FALSE))),"")</f>
        <v/>
      </c>
      <c r="W9886" s="74" t="str">
        <f>IFERROR(VLOOKUP($O9886,'Customer List'!$A$1:$J$488,10,FALSE),"")</f>
        <v/>
      </c>
    </row>
    <row r="9887" spans="18:23">
      <c r="R9887" s="127">
        <f t="shared" si="377"/>
        <v>0</v>
      </c>
      <c r="U9887" s="129" t="str">
        <f>IFERROR(IF(#REF!="S",VLOOKUP('Raw Data'!A9887,References!#REF!,2,FALSE),(VLOOKUP($S9887,References!$B$3:$C$7,2,FALSE))),"")</f>
        <v/>
      </c>
      <c r="W9887" s="74" t="str">
        <f>IFERROR(VLOOKUP($O9887,'Customer List'!$A$1:$J$488,10,FALSE),"")</f>
        <v/>
      </c>
    </row>
    <row r="9888" spans="18:23">
      <c r="R9888" s="127">
        <f t="shared" si="377"/>
        <v>0</v>
      </c>
      <c r="U9888" s="129" t="str">
        <f>IFERROR(IF(#REF!="S",VLOOKUP('Raw Data'!A9888,References!#REF!,2,FALSE),(VLOOKUP($S9888,References!$B$3:$C$7,2,FALSE))),"")</f>
        <v/>
      </c>
      <c r="W9888" s="74" t="str">
        <f>IFERROR(VLOOKUP($O9888,'Customer List'!$A$1:$J$488,10,FALSE),"")</f>
        <v/>
      </c>
    </row>
    <row r="9889" spans="18:23">
      <c r="R9889" s="127">
        <f t="shared" si="377"/>
        <v>0</v>
      </c>
      <c r="U9889" s="129" t="str">
        <f>IFERROR(IF(#REF!="S",VLOOKUP('Raw Data'!A9889,References!#REF!,2,FALSE),(VLOOKUP($S9889,References!$B$3:$C$7,2,FALSE))),"")</f>
        <v/>
      </c>
      <c r="W9889" s="74" t="str">
        <f>IFERROR(VLOOKUP($O9889,'Customer List'!$A$1:$J$488,10,FALSE),"")</f>
        <v/>
      </c>
    </row>
    <row r="9890" spans="18:23">
      <c r="R9890" s="127">
        <f t="shared" ref="R9890:R9953" si="378">L9890-K9890</f>
        <v>0</v>
      </c>
      <c r="U9890" s="129" t="str">
        <f>IFERROR(IF(#REF!="S",VLOOKUP('Raw Data'!A9890,References!#REF!,2,FALSE),(VLOOKUP($S9890,References!$B$3:$C$7,2,FALSE))),"")</f>
        <v/>
      </c>
      <c r="W9890" s="74" t="str">
        <f>IFERROR(VLOOKUP($O9890,'Customer List'!$A$1:$J$488,10,FALSE),"")</f>
        <v/>
      </c>
    </row>
    <row r="9891" spans="18:23">
      <c r="R9891" s="127">
        <f t="shared" si="378"/>
        <v>0</v>
      </c>
      <c r="U9891" s="129" t="str">
        <f>IFERROR(IF(#REF!="S",VLOOKUP('Raw Data'!A9891,References!#REF!,2,FALSE),(VLOOKUP($S9891,References!$B$3:$C$7,2,FALSE))),"")</f>
        <v/>
      </c>
      <c r="W9891" s="74" t="str">
        <f>IFERROR(VLOOKUP($O9891,'Customer List'!$A$1:$J$488,10,FALSE),"")</f>
        <v/>
      </c>
    </row>
    <row r="9892" spans="18:23">
      <c r="R9892" s="127">
        <f t="shared" si="378"/>
        <v>0</v>
      </c>
      <c r="U9892" s="129" t="str">
        <f>IFERROR(IF(#REF!="S",VLOOKUP('Raw Data'!A9892,References!#REF!,2,FALSE),(VLOOKUP($S9892,References!$B$3:$C$7,2,FALSE))),"")</f>
        <v/>
      </c>
      <c r="W9892" s="74" t="str">
        <f>IFERROR(VLOOKUP($O9892,'Customer List'!$A$1:$J$488,10,FALSE),"")</f>
        <v/>
      </c>
    </row>
    <row r="9893" spans="18:23">
      <c r="R9893" s="127">
        <f t="shared" si="378"/>
        <v>0</v>
      </c>
      <c r="U9893" s="129" t="str">
        <f>IFERROR(IF(#REF!="S",VLOOKUP('Raw Data'!A9893,References!#REF!,2,FALSE),(VLOOKUP($S9893,References!$B$3:$C$7,2,FALSE))),"")</f>
        <v/>
      </c>
      <c r="W9893" s="74" t="str">
        <f>IFERROR(VLOOKUP($O9893,'Customer List'!$A$1:$J$488,10,FALSE),"")</f>
        <v/>
      </c>
    </row>
    <row r="9894" spans="18:23">
      <c r="R9894" s="127">
        <f t="shared" si="378"/>
        <v>0</v>
      </c>
      <c r="U9894" s="129" t="str">
        <f>IFERROR(IF(#REF!="S",VLOOKUP('Raw Data'!A9894,References!#REF!,2,FALSE),(VLOOKUP($S9894,References!$B$3:$C$7,2,FALSE))),"")</f>
        <v/>
      </c>
      <c r="W9894" s="74" t="str">
        <f>IFERROR(VLOOKUP($O9894,'Customer List'!$A$1:$J$488,10,FALSE),"")</f>
        <v/>
      </c>
    </row>
    <row r="9895" spans="18:23">
      <c r="R9895" s="127">
        <f t="shared" si="378"/>
        <v>0</v>
      </c>
      <c r="U9895" s="129" t="str">
        <f>IFERROR(IF(#REF!="S",VLOOKUP('Raw Data'!A9895,References!#REF!,2,FALSE),(VLOOKUP($S9895,References!$B$3:$C$7,2,FALSE))),"")</f>
        <v/>
      </c>
      <c r="W9895" s="74" t="str">
        <f>IFERROR(VLOOKUP($O9895,'Customer List'!$A$1:$J$488,10,FALSE),"")</f>
        <v/>
      </c>
    </row>
    <row r="9896" spans="18:23">
      <c r="R9896" s="127">
        <f t="shared" si="378"/>
        <v>0</v>
      </c>
      <c r="U9896" s="129" t="str">
        <f>IFERROR(IF(#REF!="S",VLOOKUP('Raw Data'!A9896,References!#REF!,2,FALSE),(VLOOKUP($S9896,References!$B$3:$C$7,2,FALSE))),"")</f>
        <v/>
      </c>
      <c r="W9896" s="74" t="str">
        <f>IFERROR(VLOOKUP($O9896,'Customer List'!$A$1:$J$488,10,FALSE),"")</f>
        <v/>
      </c>
    </row>
    <row r="9897" spans="18:23">
      <c r="R9897" s="127">
        <f t="shared" si="378"/>
        <v>0</v>
      </c>
      <c r="U9897" s="129" t="str">
        <f>IFERROR(IF(#REF!="S",VLOOKUP('Raw Data'!A9897,References!#REF!,2,FALSE),(VLOOKUP($S9897,References!$B$3:$C$7,2,FALSE))),"")</f>
        <v/>
      </c>
      <c r="W9897" s="74" t="str">
        <f>IFERROR(VLOOKUP($O9897,'Customer List'!$A$1:$J$488,10,FALSE),"")</f>
        <v/>
      </c>
    </row>
    <row r="9898" spans="18:23">
      <c r="R9898" s="127">
        <f t="shared" si="378"/>
        <v>0</v>
      </c>
      <c r="U9898" s="129" t="str">
        <f>IFERROR(IF(#REF!="S",VLOOKUP('Raw Data'!A9898,References!#REF!,2,FALSE),(VLOOKUP($S9898,References!$B$3:$C$7,2,FALSE))),"")</f>
        <v/>
      </c>
      <c r="W9898" s="74" t="str">
        <f>IFERROR(VLOOKUP($O9898,'Customer List'!$A$1:$J$488,10,FALSE),"")</f>
        <v/>
      </c>
    </row>
    <row r="9899" spans="18:23">
      <c r="R9899" s="127">
        <f t="shared" si="378"/>
        <v>0</v>
      </c>
      <c r="U9899" s="129" t="str">
        <f>IFERROR(IF(#REF!="S",VLOOKUP('Raw Data'!A9899,References!#REF!,2,FALSE),(VLOOKUP($S9899,References!$B$3:$C$7,2,FALSE))),"")</f>
        <v/>
      </c>
      <c r="W9899" s="74" t="str">
        <f>IFERROR(VLOOKUP($O9899,'Customer List'!$A$1:$J$488,10,FALSE),"")</f>
        <v/>
      </c>
    </row>
    <row r="9900" spans="18:23">
      <c r="R9900" s="127">
        <f t="shared" si="378"/>
        <v>0</v>
      </c>
      <c r="U9900" s="129" t="str">
        <f>IFERROR(IF(#REF!="S",VLOOKUP('Raw Data'!A9900,References!#REF!,2,FALSE),(VLOOKUP($S9900,References!$B$3:$C$7,2,FALSE))),"")</f>
        <v/>
      </c>
      <c r="W9900" s="74" t="str">
        <f>IFERROR(VLOOKUP($O9900,'Customer List'!$A$1:$J$488,10,FALSE),"")</f>
        <v/>
      </c>
    </row>
    <row r="9901" spans="18:23">
      <c r="R9901" s="127">
        <f t="shared" si="378"/>
        <v>0</v>
      </c>
      <c r="U9901" s="129" t="str">
        <f>IFERROR(IF(#REF!="S",VLOOKUP('Raw Data'!A9901,References!#REF!,2,FALSE),(VLOOKUP($S9901,References!$B$3:$C$7,2,FALSE))),"")</f>
        <v/>
      </c>
      <c r="W9901" s="74" t="str">
        <f>IFERROR(VLOOKUP($O9901,'Customer List'!$A$1:$J$488,10,FALSE),"")</f>
        <v/>
      </c>
    </row>
    <row r="9902" spans="18:23">
      <c r="R9902" s="127">
        <f t="shared" si="378"/>
        <v>0</v>
      </c>
      <c r="U9902" s="129" t="str">
        <f>IFERROR(IF(#REF!="S",VLOOKUP('Raw Data'!A9902,References!#REF!,2,FALSE),(VLOOKUP($S9902,References!$B$3:$C$7,2,FALSE))),"")</f>
        <v/>
      </c>
      <c r="W9902" s="74" t="str">
        <f>IFERROR(VLOOKUP($O9902,'Customer List'!$A$1:$J$488,10,FALSE),"")</f>
        <v/>
      </c>
    </row>
    <row r="9903" spans="18:23">
      <c r="R9903" s="127">
        <f t="shared" si="378"/>
        <v>0</v>
      </c>
      <c r="U9903" s="129" t="str">
        <f>IFERROR(IF(#REF!="S",VLOOKUP('Raw Data'!A9903,References!#REF!,2,FALSE),(VLOOKUP($S9903,References!$B$3:$C$7,2,FALSE))),"")</f>
        <v/>
      </c>
      <c r="W9903" s="74" t="str">
        <f>IFERROR(VLOOKUP($O9903,'Customer List'!$A$1:$J$488,10,FALSE),"")</f>
        <v/>
      </c>
    </row>
    <row r="9904" spans="18:23">
      <c r="R9904" s="127">
        <f t="shared" si="378"/>
        <v>0</v>
      </c>
      <c r="U9904" s="129" t="str">
        <f>IFERROR(IF(#REF!="S",VLOOKUP('Raw Data'!A9904,References!#REF!,2,FALSE),(VLOOKUP($S9904,References!$B$3:$C$7,2,FALSE))),"")</f>
        <v/>
      </c>
      <c r="W9904" s="74" t="str">
        <f>IFERROR(VLOOKUP($O9904,'Customer List'!$A$1:$J$488,10,FALSE),"")</f>
        <v/>
      </c>
    </row>
    <row r="9905" spans="18:23">
      <c r="R9905" s="127">
        <f t="shared" si="378"/>
        <v>0</v>
      </c>
      <c r="U9905" s="129" t="str">
        <f>IFERROR(IF(#REF!="S",VLOOKUP('Raw Data'!A9905,References!#REF!,2,FALSE),(VLOOKUP($S9905,References!$B$3:$C$7,2,FALSE))),"")</f>
        <v/>
      </c>
      <c r="W9905" s="74" t="str">
        <f>IFERROR(VLOOKUP($O9905,'Customer List'!$A$1:$J$488,10,FALSE),"")</f>
        <v/>
      </c>
    </row>
    <row r="9906" spans="18:23">
      <c r="R9906" s="127">
        <f t="shared" si="378"/>
        <v>0</v>
      </c>
      <c r="U9906" s="129" t="str">
        <f>IFERROR(IF(#REF!="S",VLOOKUP('Raw Data'!A9906,References!#REF!,2,FALSE),(VLOOKUP($S9906,References!$B$3:$C$7,2,FALSE))),"")</f>
        <v/>
      </c>
      <c r="W9906" s="74" t="str">
        <f>IFERROR(VLOOKUP($O9906,'Customer List'!$A$1:$J$488,10,FALSE),"")</f>
        <v/>
      </c>
    </row>
    <row r="9907" spans="18:23">
      <c r="R9907" s="127">
        <f t="shared" si="378"/>
        <v>0</v>
      </c>
      <c r="U9907" s="129" t="str">
        <f>IFERROR(IF(#REF!="S",VLOOKUP('Raw Data'!A9907,References!#REF!,2,FALSE),(VLOOKUP($S9907,References!$B$3:$C$7,2,FALSE))),"")</f>
        <v/>
      </c>
      <c r="W9907" s="74" t="str">
        <f>IFERROR(VLOOKUP($O9907,'Customer List'!$A$1:$J$488,10,FALSE),"")</f>
        <v/>
      </c>
    </row>
    <row r="9908" spans="18:23">
      <c r="R9908" s="127">
        <f t="shared" si="378"/>
        <v>0</v>
      </c>
      <c r="U9908" s="129" t="str">
        <f>IFERROR(IF(#REF!="S",VLOOKUP('Raw Data'!A9908,References!#REF!,2,FALSE),(VLOOKUP($S9908,References!$B$3:$C$7,2,FALSE))),"")</f>
        <v/>
      </c>
      <c r="W9908" s="74" t="str">
        <f>IFERROR(VLOOKUP($O9908,'Customer List'!$A$1:$J$488,10,FALSE),"")</f>
        <v/>
      </c>
    </row>
    <row r="9909" spans="18:23">
      <c r="R9909" s="127">
        <f t="shared" si="378"/>
        <v>0</v>
      </c>
      <c r="U9909" s="129" t="str">
        <f>IFERROR(IF(#REF!="S",VLOOKUP('Raw Data'!A9909,References!#REF!,2,FALSE),(VLOOKUP($S9909,References!$B$3:$C$7,2,FALSE))),"")</f>
        <v/>
      </c>
      <c r="W9909" s="74" t="str">
        <f>IFERROR(VLOOKUP($O9909,'Customer List'!$A$1:$J$488,10,FALSE),"")</f>
        <v/>
      </c>
    </row>
    <row r="9910" spans="18:23">
      <c r="R9910" s="127">
        <f t="shared" si="378"/>
        <v>0</v>
      </c>
      <c r="U9910" s="129" t="str">
        <f>IFERROR(IF(#REF!="S",VLOOKUP('Raw Data'!A9910,References!#REF!,2,FALSE),(VLOOKUP($S9910,References!$B$3:$C$7,2,FALSE))),"")</f>
        <v/>
      </c>
      <c r="W9910" s="74" t="str">
        <f>IFERROR(VLOOKUP($O9910,'Customer List'!$A$1:$J$488,10,FALSE),"")</f>
        <v/>
      </c>
    </row>
    <row r="9911" spans="18:23">
      <c r="R9911" s="127">
        <f t="shared" si="378"/>
        <v>0</v>
      </c>
      <c r="U9911" s="129" t="str">
        <f>IFERROR(IF(#REF!="S",VLOOKUP('Raw Data'!A9911,References!#REF!,2,FALSE),(VLOOKUP($S9911,References!$B$3:$C$7,2,FALSE))),"")</f>
        <v/>
      </c>
      <c r="W9911" s="74" t="str">
        <f>IFERROR(VLOOKUP($O9911,'Customer List'!$A$1:$J$488,10,FALSE),"")</f>
        <v/>
      </c>
    </row>
    <row r="9912" spans="18:23">
      <c r="R9912" s="127">
        <f t="shared" si="378"/>
        <v>0</v>
      </c>
      <c r="U9912" s="129" t="str">
        <f>IFERROR(IF(#REF!="S",VLOOKUP('Raw Data'!A9912,References!#REF!,2,FALSE),(VLOOKUP($S9912,References!$B$3:$C$7,2,FALSE))),"")</f>
        <v/>
      </c>
      <c r="W9912" s="74" t="str">
        <f>IFERROR(VLOOKUP($O9912,'Customer List'!$A$1:$J$488,10,FALSE),"")</f>
        <v/>
      </c>
    </row>
    <row r="9913" spans="18:23">
      <c r="R9913" s="127">
        <f t="shared" si="378"/>
        <v>0</v>
      </c>
      <c r="U9913" s="129" t="str">
        <f>IFERROR(IF(#REF!="S",VLOOKUP('Raw Data'!A9913,References!#REF!,2,FALSE),(VLOOKUP($S9913,References!$B$3:$C$7,2,FALSE))),"")</f>
        <v/>
      </c>
      <c r="W9913" s="74" t="str">
        <f>IFERROR(VLOOKUP($O9913,'Customer List'!$A$1:$J$488,10,FALSE),"")</f>
        <v/>
      </c>
    </row>
    <row r="9914" spans="18:23">
      <c r="R9914" s="127">
        <f t="shared" si="378"/>
        <v>0</v>
      </c>
      <c r="U9914" s="129" t="str">
        <f>IFERROR(IF(#REF!="S",VLOOKUP('Raw Data'!A9914,References!#REF!,2,FALSE),(VLOOKUP($S9914,References!$B$3:$C$7,2,FALSE))),"")</f>
        <v/>
      </c>
      <c r="W9914" s="74" t="str">
        <f>IFERROR(VLOOKUP($O9914,'Customer List'!$A$1:$J$488,10,FALSE),"")</f>
        <v/>
      </c>
    </row>
    <row r="9915" spans="18:23">
      <c r="R9915" s="127">
        <f t="shared" si="378"/>
        <v>0</v>
      </c>
      <c r="U9915" s="129" t="str">
        <f>IFERROR(IF(#REF!="S",VLOOKUP('Raw Data'!A9915,References!#REF!,2,FALSE),(VLOOKUP($S9915,References!$B$3:$C$7,2,FALSE))),"")</f>
        <v/>
      </c>
      <c r="W9915" s="74" t="str">
        <f>IFERROR(VLOOKUP($O9915,'Customer List'!$A$1:$J$488,10,FALSE),"")</f>
        <v/>
      </c>
    </row>
    <row r="9916" spans="18:23">
      <c r="R9916" s="127">
        <f t="shared" si="378"/>
        <v>0</v>
      </c>
      <c r="U9916" s="129" t="str">
        <f>IFERROR(IF(#REF!="S",VLOOKUP('Raw Data'!A9916,References!#REF!,2,FALSE),(VLOOKUP($S9916,References!$B$3:$C$7,2,FALSE))),"")</f>
        <v/>
      </c>
      <c r="W9916" s="74" t="str">
        <f>IFERROR(VLOOKUP($O9916,'Customer List'!$A$1:$J$488,10,FALSE),"")</f>
        <v/>
      </c>
    </row>
    <row r="9917" spans="18:23">
      <c r="R9917" s="127">
        <f t="shared" si="378"/>
        <v>0</v>
      </c>
      <c r="U9917" s="129" t="str">
        <f>IFERROR(IF(#REF!="S",VLOOKUP('Raw Data'!A9917,References!#REF!,2,FALSE),(VLOOKUP($S9917,References!$B$3:$C$7,2,FALSE))),"")</f>
        <v/>
      </c>
      <c r="W9917" s="74" t="str">
        <f>IFERROR(VLOOKUP($O9917,'Customer List'!$A$1:$J$488,10,FALSE),"")</f>
        <v/>
      </c>
    </row>
    <row r="9918" spans="18:23">
      <c r="R9918" s="127">
        <f t="shared" si="378"/>
        <v>0</v>
      </c>
      <c r="U9918" s="129" t="str">
        <f>IFERROR(IF(#REF!="S",VLOOKUP('Raw Data'!A9918,References!#REF!,2,FALSE),(VLOOKUP($S9918,References!$B$3:$C$7,2,FALSE))),"")</f>
        <v/>
      </c>
      <c r="W9918" s="74" t="str">
        <f>IFERROR(VLOOKUP($O9918,'Customer List'!$A$1:$J$488,10,FALSE),"")</f>
        <v/>
      </c>
    </row>
    <row r="9919" spans="18:23">
      <c r="R9919" s="127">
        <f t="shared" si="378"/>
        <v>0</v>
      </c>
      <c r="U9919" s="129" t="str">
        <f>IFERROR(IF(#REF!="S",VLOOKUP('Raw Data'!A9919,References!#REF!,2,FALSE),(VLOOKUP($S9919,References!$B$3:$C$7,2,FALSE))),"")</f>
        <v/>
      </c>
      <c r="W9919" s="74" t="str">
        <f>IFERROR(VLOOKUP($O9919,'Customer List'!$A$1:$J$488,10,FALSE),"")</f>
        <v/>
      </c>
    </row>
    <row r="9920" spans="18:23">
      <c r="R9920" s="127">
        <f t="shared" si="378"/>
        <v>0</v>
      </c>
      <c r="U9920" s="129" t="str">
        <f>IFERROR(IF(#REF!="S",VLOOKUP('Raw Data'!A9920,References!#REF!,2,FALSE),(VLOOKUP($S9920,References!$B$3:$C$7,2,FALSE))),"")</f>
        <v/>
      </c>
      <c r="W9920" s="74" t="str">
        <f>IFERROR(VLOOKUP($O9920,'Customer List'!$A$1:$J$488,10,FALSE),"")</f>
        <v/>
      </c>
    </row>
    <row r="9921" spans="18:23">
      <c r="R9921" s="127">
        <f t="shared" si="378"/>
        <v>0</v>
      </c>
      <c r="U9921" s="129" t="str">
        <f>IFERROR(IF(#REF!="S",VLOOKUP('Raw Data'!A9921,References!#REF!,2,FALSE),(VLOOKUP($S9921,References!$B$3:$C$7,2,FALSE))),"")</f>
        <v/>
      </c>
      <c r="W9921" s="74" t="str">
        <f>IFERROR(VLOOKUP($O9921,'Customer List'!$A$1:$J$488,10,FALSE),"")</f>
        <v/>
      </c>
    </row>
    <row r="9922" spans="18:23">
      <c r="R9922" s="127">
        <f t="shared" si="378"/>
        <v>0</v>
      </c>
      <c r="U9922" s="129" t="str">
        <f>IFERROR(IF(#REF!="S",VLOOKUP('Raw Data'!A9922,References!#REF!,2,FALSE),(VLOOKUP($S9922,References!$B$3:$C$7,2,FALSE))),"")</f>
        <v/>
      </c>
      <c r="W9922" s="74" t="str">
        <f>IFERROR(VLOOKUP($O9922,'Customer List'!$A$1:$J$488,10,FALSE),"")</f>
        <v/>
      </c>
    </row>
    <row r="9923" spans="18:23">
      <c r="R9923" s="127">
        <f t="shared" si="378"/>
        <v>0</v>
      </c>
      <c r="U9923" s="129" t="str">
        <f>IFERROR(IF(#REF!="S",VLOOKUP('Raw Data'!A9923,References!#REF!,2,FALSE),(VLOOKUP($S9923,References!$B$3:$C$7,2,FALSE))),"")</f>
        <v/>
      </c>
      <c r="W9923" s="74" t="str">
        <f>IFERROR(VLOOKUP($O9923,'Customer List'!$A$1:$J$488,10,FALSE),"")</f>
        <v/>
      </c>
    </row>
    <row r="9924" spans="18:23">
      <c r="R9924" s="127">
        <f t="shared" si="378"/>
        <v>0</v>
      </c>
      <c r="U9924" s="129" t="str">
        <f>IFERROR(IF(#REF!="S",VLOOKUP('Raw Data'!A9924,References!#REF!,2,FALSE),(VLOOKUP($S9924,References!$B$3:$C$7,2,FALSE))),"")</f>
        <v/>
      </c>
      <c r="W9924" s="74" t="str">
        <f>IFERROR(VLOOKUP($O9924,'Customer List'!$A$1:$J$488,10,FALSE),"")</f>
        <v/>
      </c>
    </row>
    <row r="9925" spans="18:23">
      <c r="R9925" s="127">
        <f t="shared" si="378"/>
        <v>0</v>
      </c>
      <c r="U9925" s="129" t="str">
        <f>IFERROR(IF(#REF!="S",VLOOKUP('Raw Data'!A9925,References!#REF!,2,FALSE),(VLOOKUP($S9925,References!$B$3:$C$7,2,FALSE))),"")</f>
        <v/>
      </c>
      <c r="W9925" s="74" t="str">
        <f>IFERROR(VLOOKUP($O9925,'Customer List'!$A$1:$J$488,10,FALSE),"")</f>
        <v/>
      </c>
    </row>
    <row r="9926" spans="18:23">
      <c r="R9926" s="127">
        <f t="shared" si="378"/>
        <v>0</v>
      </c>
      <c r="U9926" s="129" t="str">
        <f>IFERROR(IF(#REF!="S",VLOOKUP('Raw Data'!A9926,References!#REF!,2,FALSE),(VLOOKUP($S9926,References!$B$3:$C$7,2,FALSE))),"")</f>
        <v/>
      </c>
      <c r="W9926" s="74" t="str">
        <f>IFERROR(VLOOKUP($O9926,'Customer List'!$A$1:$J$488,10,FALSE),"")</f>
        <v/>
      </c>
    </row>
    <row r="9927" spans="18:23">
      <c r="R9927" s="127">
        <f t="shared" si="378"/>
        <v>0</v>
      </c>
      <c r="U9927" s="129" t="str">
        <f>IFERROR(IF(#REF!="S",VLOOKUP('Raw Data'!A9927,References!#REF!,2,FALSE),(VLOOKUP($S9927,References!$B$3:$C$7,2,FALSE))),"")</f>
        <v/>
      </c>
      <c r="W9927" s="74" t="str">
        <f>IFERROR(VLOOKUP($O9927,'Customer List'!$A$1:$J$488,10,FALSE),"")</f>
        <v/>
      </c>
    </row>
    <row r="9928" spans="18:23">
      <c r="R9928" s="127">
        <f t="shared" si="378"/>
        <v>0</v>
      </c>
      <c r="U9928" s="129" t="str">
        <f>IFERROR(IF(#REF!="S",VLOOKUP('Raw Data'!A9928,References!#REF!,2,FALSE),(VLOOKUP($S9928,References!$B$3:$C$7,2,FALSE))),"")</f>
        <v/>
      </c>
      <c r="W9928" s="74" t="str">
        <f>IFERROR(VLOOKUP($O9928,'Customer List'!$A$1:$J$488,10,FALSE),"")</f>
        <v/>
      </c>
    </row>
    <row r="9929" spans="18:23">
      <c r="R9929" s="127">
        <f t="shared" si="378"/>
        <v>0</v>
      </c>
      <c r="U9929" s="129" t="str">
        <f>IFERROR(IF(#REF!="S",VLOOKUP('Raw Data'!A9929,References!#REF!,2,FALSE),(VLOOKUP($S9929,References!$B$3:$C$7,2,FALSE))),"")</f>
        <v/>
      </c>
      <c r="W9929" s="74" t="str">
        <f>IFERROR(VLOOKUP($O9929,'Customer List'!$A$1:$J$488,10,FALSE),"")</f>
        <v/>
      </c>
    </row>
    <row r="9930" spans="18:23">
      <c r="R9930" s="127">
        <f t="shared" si="378"/>
        <v>0</v>
      </c>
      <c r="U9930" s="129" t="str">
        <f>IFERROR(IF(#REF!="S",VLOOKUP('Raw Data'!A9930,References!#REF!,2,FALSE),(VLOOKUP($S9930,References!$B$3:$C$7,2,FALSE))),"")</f>
        <v/>
      </c>
      <c r="W9930" s="74" t="str">
        <f>IFERROR(VLOOKUP($O9930,'Customer List'!$A$1:$J$488,10,FALSE),"")</f>
        <v/>
      </c>
    </row>
    <row r="9931" spans="18:23">
      <c r="R9931" s="127">
        <f t="shared" si="378"/>
        <v>0</v>
      </c>
      <c r="U9931" s="129" t="str">
        <f>IFERROR(IF(#REF!="S",VLOOKUP('Raw Data'!A9931,References!#REF!,2,FALSE),(VLOOKUP($S9931,References!$B$3:$C$7,2,FALSE))),"")</f>
        <v/>
      </c>
      <c r="W9931" s="74" t="str">
        <f>IFERROR(VLOOKUP($O9931,'Customer List'!$A$1:$J$488,10,FALSE),"")</f>
        <v/>
      </c>
    </row>
    <row r="9932" spans="18:23">
      <c r="R9932" s="127">
        <f t="shared" si="378"/>
        <v>0</v>
      </c>
      <c r="U9932" s="129" t="str">
        <f>IFERROR(IF(#REF!="S",VLOOKUP('Raw Data'!A9932,References!#REF!,2,FALSE),(VLOOKUP($S9932,References!$B$3:$C$7,2,FALSE))),"")</f>
        <v/>
      </c>
      <c r="W9932" s="74" t="str">
        <f>IFERROR(VLOOKUP($O9932,'Customer List'!$A$1:$J$488,10,FALSE),"")</f>
        <v/>
      </c>
    </row>
    <row r="9933" spans="18:23">
      <c r="R9933" s="127">
        <f t="shared" si="378"/>
        <v>0</v>
      </c>
      <c r="U9933" s="129" t="str">
        <f>IFERROR(IF(#REF!="S",VLOOKUP('Raw Data'!A9933,References!#REF!,2,FALSE),(VLOOKUP($S9933,References!$B$3:$C$7,2,FALSE))),"")</f>
        <v/>
      </c>
      <c r="W9933" s="74" t="str">
        <f>IFERROR(VLOOKUP($O9933,'Customer List'!$A$1:$J$488,10,FALSE),"")</f>
        <v/>
      </c>
    </row>
    <row r="9934" spans="18:23">
      <c r="R9934" s="127">
        <f t="shared" si="378"/>
        <v>0</v>
      </c>
      <c r="U9934" s="129" t="str">
        <f>IFERROR(IF(#REF!="S",VLOOKUP('Raw Data'!A9934,References!#REF!,2,FALSE),(VLOOKUP($S9934,References!$B$3:$C$7,2,FALSE))),"")</f>
        <v/>
      </c>
      <c r="W9934" s="74" t="str">
        <f>IFERROR(VLOOKUP($O9934,'Customer List'!$A$1:$J$488,10,FALSE),"")</f>
        <v/>
      </c>
    </row>
    <row r="9935" spans="18:23">
      <c r="R9935" s="127">
        <f t="shared" si="378"/>
        <v>0</v>
      </c>
      <c r="U9935" s="129" t="str">
        <f>IFERROR(IF(#REF!="S",VLOOKUP('Raw Data'!A9935,References!#REF!,2,FALSE),(VLOOKUP($S9935,References!$B$3:$C$7,2,FALSE))),"")</f>
        <v/>
      </c>
      <c r="W9935" s="74" t="str">
        <f>IFERROR(VLOOKUP($O9935,'Customer List'!$A$1:$J$488,10,FALSE),"")</f>
        <v/>
      </c>
    </row>
    <row r="9936" spans="18:23">
      <c r="R9936" s="127">
        <f t="shared" si="378"/>
        <v>0</v>
      </c>
      <c r="U9936" s="129" t="str">
        <f>IFERROR(IF(#REF!="S",VLOOKUP('Raw Data'!A9936,References!#REF!,2,FALSE),(VLOOKUP($S9936,References!$B$3:$C$7,2,FALSE))),"")</f>
        <v/>
      </c>
      <c r="W9936" s="74" t="str">
        <f>IFERROR(VLOOKUP($O9936,'Customer List'!$A$1:$J$488,10,FALSE),"")</f>
        <v/>
      </c>
    </row>
    <row r="9937" spans="18:23">
      <c r="R9937" s="127">
        <f t="shared" si="378"/>
        <v>0</v>
      </c>
      <c r="U9937" s="129" t="str">
        <f>IFERROR(IF(#REF!="S",VLOOKUP('Raw Data'!A9937,References!#REF!,2,FALSE),(VLOOKUP($S9937,References!$B$3:$C$7,2,FALSE))),"")</f>
        <v/>
      </c>
      <c r="W9937" s="74" t="str">
        <f>IFERROR(VLOOKUP($O9937,'Customer List'!$A$1:$J$488,10,FALSE),"")</f>
        <v/>
      </c>
    </row>
    <row r="9938" spans="18:23">
      <c r="R9938" s="127">
        <f t="shared" si="378"/>
        <v>0</v>
      </c>
      <c r="U9938" s="129" t="str">
        <f>IFERROR(IF(#REF!="S",VLOOKUP('Raw Data'!A9938,References!#REF!,2,FALSE),(VLOOKUP($S9938,References!$B$3:$C$7,2,FALSE))),"")</f>
        <v/>
      </c>
      <c r="W9938" s="74" t="str">
        <f>IFERROR(VLOOKUP($O9938,'Customer List'!$A$1:$J$488,10,FALSE),"")</f>
        <v/>
      </c>
    </row>
    <row r="9939" spans="18:23">
      <c r="R9939" s="127">
        <f t="shared" si="378"/>
        <v>0</v>
      </c>
      <c r="U9939" s="129" t="str">
        <f>IFERROR(IF(#REF!="S",VLOOKUP('Raw Data'!A9939,References!#REF!,2,FALSE),(VLOOKUP($S9939,References!$B$3:$C$7,2,FALSE))),"")</f>
        <v/>
      </c>
      <c r="W9939" s="74" t="str">
        <f>IFERROR(VLOOKUP($O9939,'Customer List'!$A$1:$J$488,10,FALSE),"")</f>
        <v/>
      </c>
    </row>
    <row r="9940" spans="18:23">
      <c r="R9940" s="127">
        <f t="shared" si="378"/>
        <v>0</v>
      </c>
      <c r="U9940" s="129" t="str">
        <f>IFERROR(IF(#REF!="S",VLOOKUP('Raw Data'!A9940,References!#REF!,2,FALSE),(VLOOKUP($S9940,References!$B$3:$C$7,2,FALSE))),"")</f>
        <v/>
      </c>
      <c r="W9940" s="74" t="str">
        <f>IFERROR(VLOOKUP($O9940,'Customer List'!$A$1:$J$488,10,FALSE),"")</f>
        <v/>
      </c>
    </row>
    <row r="9941" spans="18:23">
      <c r="R9941" s="127">
        <f t="shared" si="378"/>
        <v>0</v>
      </c>
      <c r="U9941" s="129" t="str">
        <f>IFERROR(IF(#REF!="S",VLOOKUP('Raw Data'!A9941,References!#REF!,2,FALSE),(VLOOKUP($S9941,References!$B$3:$C$7,2,FALSE))),"")</f>
        <v/>
      </c>
      <c r="W9941" s="74" t="str">
        <f>IFERROR(VLOOKUP($O9941,'Customer List'!$A$1:$J$488,10,FALSE),"")</f>
        <v/>
      </c>
    </row>
    <row r="9942" spans="18:23">
      <c r="R9942" s="127">
        <f t="shared" si="378"/>
        <v>0</v>
      </c>
      <c r="U9942" s="129" t="str">
        <f>IFERROR(IF(#REF!="S",VLOOKUP('Raw Data'!A9942,References!#REF!,2,FALSE),(VLOOKUP($S9942,References!$B$3:$C$7,2,FALSE))),"")</f>
        <v/>
      </c>
      <c r="W9942" s="74" t="str">
        <f>IFERROR(VLOOKUP($O9942,'Customer List'!$A$1:$J$488,10,FALSE),"")</f>
        <v/>
      </c>
    </row>
    <row r="9943" spans="18:23">
      <c r="R9943" s="127">
        <f t="shared" si="378"/>
        <v>0</v>
      </c>
      <c r="U9943" s="129" t="str">
        <f>IFERROR(IF(#REF!="S",VLOOKUP('Raw Data'!A9943,References!#REF!,2,FALSE),(VLOOKUP($S9943,References!$B$3:$C$7,2,FALSE))),"")</f>
        <v/>
      </c>
      <c r="W9943" s="74" t="str">
        <f>IFERROR(VLOOKUP($O9943,'Customer List'!$A$1:$J$488,10,FALSE),"")</f>
        <v/>
      </c>
    </row>
    <row r="9944" spans="18:23">
      <c r="R9944" s="127">
        <f t="shared" si="378"/>
        <v>0</v>
      </c>
      <c r="U9944" s="129" t="str">
        <f>IFERROR(IF(#REF!="S",VLOOKUP('Raw Data'!A9944,References!#REF!,2,FALSE),(VLOOKUP($S9944,References!$B$3:$C$7,2,FALSE))),"")</f>
        <v/>
      </c>
      <c r="W9944" s="74" t="str">
        <f>IFERROR(VLOOKUP($O9944,'Customer List'!$A$1:$J$488,10,FALSE),"")</f>
        <v/>
      </c>
    </row>
    <row r="9945" spans="18:23">
      <c r="R9945" s="127">
        <f t="shared" si="378"/>
        <v>0</v>
      </c>
      <c r="U9945" s="129" t="str">
        <f>IFERROR(IF(#REF!="S",VLOOKUP('Raw Data'!A9945,References!#REF!,2,FALSE),(VLOOKUP($S9945,References!$B$3:$C$7,2,FALSE))),"")</f>
        <v/>
      </c>
      <c r="W9945" s="74" t="str">
        <f>IFERROR(VLOOKUP($O9945,'Customer List'!$A$1:$J$488,10,FALSE),"")</f>
        <v/>
      </c>
    </row>
    <row r="9946" spans="18:23">
      <c r="R9946" s="127">
        <f t="shared" si="378"/>
        <v>0</v>
      </c>
      <c r="U9946" s="129" t="str">
        <f>IFERROR(IF(#REF!="S",VLOOKUP('Raw Data'!A9946,References!#REF!,2,FALSE),(VLOOKUP($S9946,References!$B$3:$C$7,2,FALSE))),"")</f>
        <v/>
      </c>
      <c r="W9946" s="74" t="str">
        <f>IFERROR(VLOOKUP($O9946,'Customer List'!$A$1:$J$488,10,FALSE),"")</f>
        <v/>
      </c>
    </row>
    <row r="9947" spans="18:23">
      <c r="R9947" s="127">
        <f t="shared" si="378"/>
        <v>0</v>
      </c>
      <c r="U9947" s="129" t="str">
        <f>IFERROR(IF(#REF!="S",VLOOKUP('Raw Data'!A9947,References!#REF!,2,FALSE),(VLOOKUP($S9947,References!$B$3:$C$7,2,FALSE))),"")</f>
        <v/>
      </c>
      <c r="W9947" s="74" t="str">
        <f>IFERROR(VLOOKUP($O9947,'Customer List'!$A$1:$J$488,10,FALSE),"")</f>
        <v/>
      </c>
    </row>
    <row r="9948" spans="18:23">
      <c r="R9948" s="127">
        <f t="shared" si="378"/>
        <v>0</v>
      </c>
      <c r="U9948" s="129" t="str">
        <f>IFERROR(IF(#REF!="S",VLOOKUP('Raw Data'!A9948,References!#REF!,2,FALSE),(VLOOKUP($S9948,References!$B$3:$C$7,2,FALSE))),"")</f>
        <v/>
      </c>
      <c r="W9948" s="74" t="str">
        <f>IFERROR(VLOOKUP($O9948,'Customer List'!$A$1:$J$488,10,FALSE),"")</f>
        <v/>
      </c>
    </row>
    <row r="9949" spans="18:23">
      <c r="R9949" s="127">
        <f t="shared" si="378"/>
        <v>0</v>
      </c>
      <c r="U9949" s="129" t="str">
        <f>IFERROR(IF(#REF!="S",VLOOKUP('Raw Data'!A9949,References!#REF!,2,FALSE),(VLOOKUP($S9949,References!$B$3:$C$7,2,FALSE))),"")</f>
        <v/>
      </c>
      <c r="W9949" s="74" t="str">
        <f>IFERROR(VLOOKUP($O9949,'Customer List'!$A$1:$J$488,10,FALSE),"")</f>
        <v/>
      </c>
    </row>
    <row r="9950" spans="18:23">
      <c r="R9950" s="127">
        <f t="shared" si="378"/>
        <v>0</v>
      </c>
      <c r="U9950" s="129" t="str">
        <f>IFERROR(IF(#REF!="S",VLOOKUP('Raw Data'!A9950,References!#REF!,2,FALSE),(VLOOKUP($S9950,References!$B$3:$C$7,2,FALSE))),"")</f>
        <v/>
      </c>
      <c r="W9950" s="74" t="str">
        <f>IFERROR(VLOOKUP($O9950,'Customer List'!$A$1:$J$488,10,FALSE),"")</f>
        <v/>
      </c>
    </row>
    <row r="9951" spans="18:23">
      <c r="R9951" s="127">
        <f t="shared" si="378"/>
        <v>0</v>
      </c>
      <c r="U9951" s="129" t="str">
        <f>IFERROR(IF(#REF!="S",VLOOKUP('Raw Data'!A9951,References!#REF!,2,FALSE),(VLOOKUP($S9951,References!$B$3:$C$7,2,FALSE))),"")</f>
        <v/>
      </c>
      <c r="W9951" s="74" t="str">
        <f>IFERROR(VLOOKUP($O9951,'Customer List'!$A$1:$J$488,10,FALSE),"")</f>
        <v/>
      </c>
    </row>
    <row r="9952" spans="18:23">
      <c r="R9952" s="127">
        <f t="shared" si="378"/>
        <v>0</v>
      </c>
      <c r="U9952" s="129" t="str">
        <f>IFERROR(IF(#REF!="S",VLOOKUP('Raw Data'!A9952,References!#REF!,2,FALSE),(VLOOKUP($S9952,References!$B$3:$C$7,2,FALSE))),"")</f>
        <v/>
      </c>
      <c r="W9952" s="74" t="str">
        <f>IFERROR(VLOOKUP($O9952,'Customer List'!$A$1:$J$488,10,FALSE),"")</f>
        <v/>
      </c>
    </row>
    <row r="9953" spans="18:23">
      <c r="R9953" s="127">
        <f t="shared" si="378"/>
        <v>0</v>
      </c>
      <c r="U9953" s="129" t="str">
        <f>IFERROR(IF(#REF!="S",VLOOKUP('Raw Data'!A9953,References!#REF!,2,FALSE),(VLOOKUP($S9953,References!$B$3:$C$7,2,FALSE))),"")</f>
        <v/>
      </c>
      <c r="W9953" s="74" t="str">
        <f>IFERROR(VLOOKUP($O9953,'Customer List'!$A$1:$J$488,10,FALSE),"")</f>
        <v/>
      </c>
    </row>
    <row r="9954" spans="18:23">
      <c r="R9954" s="127">
        <f t="shared" ref="R9954:R10017" si="379">L9954-K9954</f>
        <v>0</v>
      </c>
      <c r="U9954" s="129" t="str">
        <f>IFERROR(IF(#REF!="S",VLOOKUP('Raw Data'!A9954,References!#REF!,2,FALSE),(VLOOKUP($S9954,References!$B$3:$C$7,2,FALSE))),"")</f>
        <v/>
      </c>
      <c r="W9954" s="74" t="str">
        <f>IFERROR(VLOOKUP($O9954,'Customer List'!$A$1:$J$488,10,FALSE),"")</f>
        <v/>
      </c>
    </row>
    <row r="9955" spans="18:23">
      <c r="R9955" s="127">
        <f t="shared" si="379"/>
        <v>0</v>
      </c>
      <c r="U9955" s="129" t="str">
        <f>IFERROR(IF(#REF!="S",VLOOKUP('Raw Data'!A9955,References!#REF!,2,FALSE),(VLOOKUP($S9955,References!$B$3:$C$7,2,FALSE))),"")</f>
        <v/>
      </c>
      <c r="W9955" s="74" t="str">
        <f>IFERROR(VLOOKUP($O9955,'Customer List'!$A$1:$J$488,10,FALSE),"")</f>
        <v/>
      </c>
    </row>
    <row r="9956" spans="18:23">
      <c r="R9956" s="127">
        <f t="shared" si="379"/>
        <v>0</v>
      </c>
      <c r="U9956" s="129" t="str">
        <f>IFERROR(IF(#REF!="S",VLOOKUP('Raw Data'!A9956,References!#REF!,2,FALSE),(VLOOKUP($S9956,References!$B$3:$C$7,2,FALSE))),"")</f>
        <v/>
      </c>
      <c r="W9956" s="74" t="str">
        <f>IFERROR(VLOOKUP($O9956,'Customer List'!$A$1:$J$488,10,FALSE),"")</f>
        <v/>
      </c>
    </row>
    <row r="9957" spans="18:23">
      <c r="R9957" s="127">
        <f t="shared" si="379"/>
        <v>0</v>
      </c>
      <c r="U9957" s="129" t="str">
        <f>IFERROR(IF(#REF!="S",VLOOKUP('Raw Data'!A9957,References!#REF!,2,FALSE),(VLOOKUP($S9957,References!$B$3:$C$7,2,FALSE))),"")</f>
        <v/>
      </c>
      <c r="W9957" s="74" t="str">
        <f>IFERROR(VLOOKUP($O9957,'Customer List'!$A$1:$J$488,10,FALSE),"")</f>
        <v/>
      </c>
    </row>
    <row r="9958" spans="18:23">
      <c r="R9958" s="127">
        <f t="shared" si="379"/>
        <v>0</v>
      </c>
      <c r="U9958" s="129" t="str">
        <f>IFERROR(IF(#REF!="S",VLOOKUP('Raw Data'!A9958,References!#REF!,2,FALSE),(VLOOKUP($S9958,References!$B$3:$C$7,2,FALSE))),"")</f>
        <v/>
      </c>
      <c r="W9958" s="74" t="str">
        <f>IFERROR(VLOOKUP($O9958,'Customer List'!$A$1:$J$488,10,FALSE),"")</f>
        <v/>
      </c>
    </row>
    <row r="9959" spans="18:23">
      <c r="R9959" s="127">
        <f t="shared" si="379"/>
        <v>0</v>
      </c>
      <c r="U9959" s="129" t="str">
        <f>IFERROR(IF(#REF!="S",VLOOKUP('Raw Data'!A9959,References!#REF!,2,FALSE),(VLOOKUP($S9959,References!$B$3:$C$7,2,FALSE))),"")</f>
        <v/>
      </c>
      <c r="W9959" s="74" t="str">
        <f>IFERROR(VLOOKUP($O9959,'Customer List'!$A$1:$J$488,10,FALSE),"")</f>
        <v/>
      </c>
    </row>
    <row r="9960" spans="18:23">
      <c r="R9960" s="127">
        <f t="shared" si="379"/>
        <v>0</v>
      </c>
      <c r="U9960" s="129" t="str">
        <f>IFERROR(IF(#REF!="S",VLOOKUP('Raw Data'!A9960,References!#REF!,2,FALSE),(VLOOKUP($S9960,References!$B$3:$C$7,2,FALSE))),"")</f>
        <v/>
      </c>
      <c r="W9960" s="74" t="str">
        <f>IFERROR(VLOOKUP($O9960,'Customer List'!$A$1:$J$488,10,FALSE),"")</f>
        <v/>
      </c>
    </row>
    <row r="9961" spans="18:23">
      <c r="R9961" s="127">
        <f t="shared" si="379"/>
        <v>0</v>
      </c>
      <c r="U9961" s="129" t="str">
        <f>IFERROR(IF(#REF!="S",VLOOKUP('Raw Data'!A9961,References!#REF!,2,FALSE),(VLOOKUP($S9961,References!$B$3:$C$7,2,FALSE))),"")</f>
        <v/>
      </c>
      <c r="W9961" s="74" t="str">
        <f>IFERROR(VLOOKUP($O9961,'Customer List'!$A$1:$J$488,10,FALSE),"")</f>
        <v/>
      </c>
    </row>
    <row r="9962" spans="18:23">
      <c r="R9962" s="127">
        <f t="shared" si="379"/>
        <v>0</v>
      </c>
      <c r="U9962" s="129" t="str">
        <f>IFERROR(IF(#REF!="S",VLOOKUP('Raw Data'!A9962,References!#REF!,2,FALSE),(VLOOKUP($S9962,References!$B$3:$C$7,2,FALSE))),"")</f>
        <v/>
      </c>
      <c r="W9962" s="74" t="str">
        <f>IFERROR(VLOOKUP($O9962,'Customer List'!$A$1:$J$488,10,FALSE),"")</f>
        <v/>
      </c>
    </row>
    <row r="9963" spans="18:23">
      <c r="R9963" s="127">
        <f t="shared" si="379"/>
        <v>0</v>
      </c>
      <c r="U9963" s="129" t="str">
        <f>IFERROR(IF(#REF!="S",VLOOKUP('Raw Data'!A9963,References!#REF!,2,FALSE),(VLOOKUP($S9963,References!$B$3:$C$7,2,FALSE))),"")</f>
        <v/>
      </c>
      <c r="W9963" s="74" t="str">
        <f>IFERROR(VLOOKUP($O9963,'Customer List'!$A$1:$J$488,10,FALSE),"")</f>
        <v/>
      </c>
    </row>
    <row r="9964" spans="18:23">
      <c r="R9964" s="127">
        <f t="shared" si="379"/>
        <v>0</v>
      </c>
      <c r="U9964" s="129" t="str">
        <f>IFERROR(IF(#REF!="S",VLOOKUP('Raw Data'!A9964,References!#REF!,2,FALSE),(VLOOKUP($S9964,References!$B$3:$C$7,2,FALSE))),"")</f>
        <v/>
      </c>
      <c r="W9964" s="74" t="str">
        <f>IFERROR(VLOOKUP($O9964,'Customer List'!$A$1:$J$488,10,FALSE),"")</f>
        <v/>
      </c>
    </row>
    <row r="9965" spans="18:23">
      <c r="R9965" s="127">
        <f t="shared" si="379"/>
        <v>0</v>
      </c>
      <c r="U9965" s="129" t="str">
        <f>IFERROR(IF(#REF!="S",VLOOKUP('Raw Data'!A9965,References!#REF!,2,FALSE),(VLOOKUP($S9965,References!$B$3:$C$7,2,FALSE))),"")</f>
        <v/>
      </c>
      <c r="W9965" s="74" t="str">
        <f>IFERROR(VLOOKUP($O9965,'Customer List'!$A$1:$J$488,10,FALSE),"")</f>
        <v/>
      </c>
    </row>
    <row r="9966" spans="18:23">
      <c r="R9966" s="127">
        <f t="shared" si="379"/>
        <v>0</v>
      </c>
      <c r="U9966" s="129" t="str">
        <f>IFERROR(IF(#REF!="S",VLOOKUP('Raw Data'!A9966,References!#REF!,2,FALSE),(VLOOKUP($S9966,References!$B$3:$C$7,2,FALSE))),"")</f>
        <v/>
      </c>
      <c r="W9966" s="74" t="str">
        <f>IFERROR(VLOOKUP($O9966,'Customer List'!$A$1:$J$488,10,FALSE),"")</f>
        <v/>
      </c>
    </row>
    <row r="9967" spans="18:23">
      <c r="R9967" s="127">
        <f t="shared" si="379"/>
        <v>0</v>
      </c>
      <c r="U9967" s="129" t="str">
        <f>IFERROR(IF(#REF!="S",VLOOKUP('Raw Data'!A9967,References!#REF!,2,FALSE),(VLOOKUP($S9967,References!$B$3:$C$7,2,FALSE))),"")</f>
        <v/>
      </c>
      <c r="W9967" s="74" t="str">
        <f>IFERROR(VLOOKUP($O9967,'Customer List'!$A$1:$J$488,10,FALSE),"")</f>
        <v/>
      </c>
    </row>
    <row r="9968" spans="18:23">
      <c r="R9968" s="127">
        <f t="shared" si="379"/>
        <v>0</v>
      </c>
      <c r="U9968" s="129" t="str">
        <f>IFERROR(IF(#REF!="S",VLOOKUP('Raw Data'!A9968,References!#REF!,2,FALSE),(VLOOKUP($S9968,References!$B$3:$C$7,2,FALSE))),"")</f>
        <v/>
      </c>
      <c r="W9968" s="74" t="str">
        <f>IFERROR(VLOOKUP($O9968,'Customer List'!$A$1:$J$488,10,FALSE),"")</f>
        <v/>
      </c>
    </row>
    <row r="9969" spans="18:23">
      <c r="R9969" s="127">
        <f t="shared" si="379"/>
        <v>0</v>
      </c>
      <c r="U9969" s="129" t="str">
        <f>IFERROR(IF(#REF!="S",VLOOKUP('Raw Data'!A9969,References!#REF!,2,FALSE),(VLOOKUP($S9969,References!$B$3:$C$7,2,FALSE))),"")</f>
        <v/>
      </c>
      <c r="W9969" s="74" t="str">
        <f>IFERROR(VLOOKUP($O9969,'Customer List'!$A$1:$J$488,10,FALSE),"")</f>
        <v/>
      </c>
    </row>
    <row r="9970" spans="18:23">
      <c r="R9970" s="127">
        <f t="shared" si="379"/>
        <v>0</v>
      </c>
      <c r="U9970" s="129" t="str">
        <f>IFERROR(IF(#REF!="S",VLOOKUP('Raw Data'!A9970,References!#REF!,2,FALSE),(VLOOKUP($S9970,References!$B$3:$C$7,2,FALSE))),"")</f>
        <v/>
      </c>
      <c r="W9970" s="74" t="str">
        <f>IFERROR(VLOOKUP($O9970,'Customer List'!$A$1:$J$488,10,FALSE),"")</f>
        <v/>
      </c>
    </row>
    <row r="9971" spans="18:23">
      <c r="R9971" s="127">
        <f t="shared" si="379"/>
        <v>0</v>
      </c>
      <c r="U9971" s="129" t="str">
        <f>IFERROR(IF(#REF!="S",VLOOKUP('Raw Data'!A9971,References!#REF!,2,FALSE),(VLOOKUP($S9971,References!$B$3:$C$7,2,FALSE))),"")</f>
        <v/>
      </c>
      <c r="W9971" s="74" t="str">
        <f>IFERROR(VLOOKUP($O9971,'Customer List'!$A$1:$J$488,10,FALSE),"")</f>
        <v/>
      </c>
    </row>
    <row r="9972" spans="18:23">
      <c r="R9972" s="127">
        <f t="shared" si="379"/>
        <v>0</v>
      </c>
      <c r="U9972" s="129" t="str">
        <f>IFERROR(IF(#REF!="S",VLOOKUP('Raw Data'!A9972,References!#REF!,2,FALSE),(VLOOKUP($S9972,References!$B$3:$C$7,2,FALSE))),"")</f>
        <v/>
      </c>
      <c r="W9972" s="74" t="str">
        <f>IFERROR(VLOOKUP($O9972,'Customer List'!$A$1:$J$488,10,FALSE),"")</f>
        <v/>
      </c>
    </row>
    <row r="9973" spans="18:23">
      <c r="R9973" s="127">
        <f t="shared" si="379"/>
        <v>0</v>
      </c>
      <c r="U9973" s="129" t="str">
        <f>IFERROR(IF(#REF!="S",VLOOKUP('Raw Data'!A9973,References!#REF!,2,FALSE),(VLOOKUP($S9973,References!$B$3:$C$7,2,FALSE))),"")</f>
        <v/>
      </c>
      <c r="W9973" s="74" t="str">
        <f>IFERROR(VLOOKUP($O9973,'Customer List'!$A$1:$J$488,10,FALSE),"")</f>
        <v/>
      </c>
    </row>
    <row r="9974" spans="18:23">
      <c r="R9974" s="127">
        <f t="shared" si="379"/>
        <v>0</v>
      </c>
      <c r="U9974" s="129" t="str">
        <f>IFERROR(IF(#REF!="S",VLOOKUP('Raw Data'!A9974,References!#REF!,2,FALSE),(VLOOKUP($S9974,References!$B$3:$C$7,2,FALSE))),"")</f>
        <v/>
      </c>
      <c r="W9974" s="74" t="str">
        <f>IFERROR(VLOOKUP($O9974,'Customer List'!$A$1:$J$488,10,FALSE),"")</f>
        <v/>
      </c>
    </row>
    <row r="9975" spans="18:23">
      <c r="R9975" s="127">
        <f t="shared" si="379"/>
        <v>0</v>
      </c>
      <c r="U9975" s="129" t="str">
        <f>IFERROR(IF(#REF!="S",VLOOKUP('Raw Data'!A9975,References!#REF!,2,FALSE),(VLOOKUP($S9975,References!$B$3:$C$7,2,FALSE))),"")</f>
        <v/>
      </c>
      <c r="W9975" s="74" t="str">
        <f>IFERROR(VLOOKUP($O9975,'Customer List'!$A$1:$J$488,10,FALSE),"")</f>
        <v/>
      </c>
    </row>
    <row r="9976" spans="18:23">
      <c r="R9976" s="127">
        <f t="shared" si="379"/>
        <v>0</v>
      </c>
      <c r="U9976" s="129" t="str">
        <f>IFERROR(IF(#REF!="S",VLOOKUP('Raw Data'!A9976,References!#REF!,2,FALSE),(VLOOKUP($S9976,References!$B$3:$C$7,2,FALSE))),"")</f>
        <v/>
      </c>
      <c r="W9976" s="74" t="str">
        <f>IFERROR(VLOOKUP($O9976,'Customer List'!$A$1:$J$488,10,FALSE),"")</f>
        <v/>
      </c>
    </row>
    <row r="9977" spans="18:23">
      <c r="R9977" s="127">
        <f t="shared" si="379"/>
        <v>0</v>
      </c>
      <c r="U9977" s="129" t="str">
        <f>IFERROR(IF(#REF!="S",VLOOKUP('Raw Data'!A9977,References!#REF!,2,FALSE),(VLOOKUP($S9977,References!$B$3:$C$7,2,FALSE))),"")</f>
        <v/>
      </c>
      <c r="W9977" s="74" t="str">
        <f>IFERROR(VLOOKUP($O9977,'Customer List'!$A$1:$J$488,10,FALSE),"")</f>
        <v/>
      </c>
    </row>
    <row r="9978" spans="18:23">
      <c r="R9978" s="127">
        <f t="shared" si="379"/>
        <v>0</v>
      </c>
      <c r="U9978" s="129" t="str">
        <f>IFERROR(IF(#REF!="S",VLOOKUP('Raw Data'!A9978,References!#REF!,2,FALSE),(VLOOKUP($S9978,References!$B$3:$C$7,2,FALSE))),"")</f>
        <v/>
      </c>
      <c r="W9978" s="74" t="str">
        <f>IFERROR(VLOOKUP($O9978,'Customer List'!$A$1:$J$488,10,FALSE),"")</f>
        <v/>
      </c>
    </row>
    <row r="9979" spans="18:23">
      <c r="R9979" s="127">
        <f t="shared" si="379"/>
        <v>0</v>
      </c>
      <c r="U9979" s="129" t="str">
        <f>IFERROR(IF(#REF!="S",VLOOKUP('Raw Data'!A9979,References!#REF!,2,FALSE),(VLOOKUP($S9979,References!$B$3:$C$7,2,FALSE))),"")</f>
        <v/>
      </c>
      <c r="W9979" s="74" t="str">
        <f>IFERROR(VLOOKUP($O9979,'Customer List'!$A$1:$J$488,10,FALSE),"")</f>
        <v/>
      </c>
    </row>
    <row r="9980" spans="18:23">
      <c r="R9980" s="127">
        <f t="shared" si="379"/>
        <v>0</v>
      </c>
      <c r="U9980" s="129" t="str">
        <f>IFERROR(IF(#REF!="S",VLOOKUP('Raw Data'!A9980,References!#REF!,2,FALSE),(VLOOKUP($S9980,References!$B$3:$C$7,2,FALSE))),"")</f>
        <v/>
      </c>
      <c r="W9980" s="74" t="str">
        <f>IFERROR(VLOOKUP($O9980,'Customer List'!$A$1:$J$488,10,FALSE),"")</f>
        <v/>
      </c>
    </row>
    <row r="9981" spans="18:23">
      <c r="R9981" s="127">
        <f t="shared" si="379"/>
        <v>0</v>
      </c>
      <c r="U9981" s="129" t="str">
        <f>IFERROR(IF(#REF!="S",VLOOKUP('Raw Data'!A9981,References!#REF!,2,FALSE),(VLOOKUP($S9981,References!$B$3:$C$7,2,FALSE))),"")</f>
        <v/>
      </c>
      <c r="W9981" s="74" t="str">
        <f>IFERROR(VLOOKUP($O9981,'Customer List'!$A$1:$J$488,10,FALSE),"")</f>
        <v/>
      </c>
    </row>
    <row r="9982" spans="18:23">
      <c r="R9982" s="127">
        <f t="shared" si="379"/>
        <v>0</v>
      </c>
      <c r="U9982" s="129" t="str">
        <f>IFERROR(IF(#REF!="S",VLOOKUP('Raw Data'!A9982,References!#REF!,2,FALSE),(VLOOKUP($S9982,References!$B$3:$C$7,2,FALSE))),"")</f>
        <v/>
      </c>
      <c r="W9982" s="74" t="str">
        <f>IFERROR(VLOOKUP($O9982,'Customer List'!$A$1:$J$488,10,FALSE),"")</f>
        <v/>
      </c>
    </row>
    <row r="9983" spans="18:23">
      <c r="R9983" s="127">
        <f t="shared" si="379"/>
        <v>0</v>
      </c>
      <c r="U9983" s="129" t="str">
        <f>IFERROR(IF(#REF!="S",VLOOKUP('Raw Data'!A9983,References!#REF!,2,FALSE),(VLOOKUP($S9983,References!$B$3:$C$7,2,FALSE))),"")</f>
        <v/>
      </c>
      <c r="W9983" s="74" t="str">
        <f>IFERROR(VLOOKUP($O9983,'Customer List'!$A$1:$J$488,10,FALSE),"")</f>
        <v/>
      </c>
    </row>
    <row r="9984" spans="18:23">
      <c r="R9984" s="127">
        <f t="shared" si="379"/>
        <v>0</v>
      </c>
      <c r="U9984" s="129" t="str">
        <f>IFERROR(IF(#REF!="S",VLOOKUP('Raw Data'!A9984,References!#REF!,2,FALSE),(VLOOKUP($S9984,References!$B$3:$C$7,2,FALSE))),"")</f>
        <v/>
      </c>
      <c r="W9984" s="74" t="str">
        <f>IFERROR(VLOOKUP($O9984,'Customer List'!$A$1:$J$488,10,FALSE),"")</f>
        <v/>
      </c>
    </row>
    <row r="9985" spans="18:23">
      <c r="R9985" s="127">
        <f t="shared" si="379"/>
        <v>0</v>
      </c>
      <c r="U9985" s="129" t="str">
        <f>IFERROR(IF(#REF!="S",VLOOKUP('Raw Data'!A9985,References!#REF!,2,FALSE),(VLOOKUP($S9985,References!$B$3:$C$7,2,FALSE))),"")</f>
        <v/>
      </c>
      <c r="W9985" s="74" t="str">
        <f>IFERROR(VLOOKUP($O9985,'Customer List'!$A$1:$J$488,10,FALSE),"")</f>
        <v/>
      </c>
    </row>
    <row r="9986" spans="18:23">
      <c r="R9986" s="127">
        <f t="shared" si="379"/>
        <v>0</v>
      </c>
      <c r="U9986" s="129" t="str">
        <f>IFERROR(IF(#REF!="S",VLOOKUP('Raw Data'!A9986,References!#REF!,2,FALSE),(VLOOKUP($S9986,References!$B$3:$C$7,2,FALSE))),"")</f>
        <v/>
      </c>
      <c r="W9986" s="74" t="str">
        <f>IFERROR(VLOOKUP($O9986,'Customer List'!$A$1:$J$488,10,FALSE),"")</f>
        <v/>
      </c>
    </row>
    <row r="9987" spans="18:23">
      <c r="R9987" s="127">
        <f t="shared" si="379"/>
        <v>0</v>
      </c>
      <c r="U9987" s="129" t="str">
        <f>IFERROR(IF(#REF!="S",VLOOKUP('Raw Data'!A9987,References!#REF!,2,FALSE),(VLOOKUP($S9987,References!$B$3:$C$7,2,FALSE))),"")</f>
        <v/>
      </c>
      <c r="W9987" s="74" t="str">
        <f>IFERROR(VLOOKUP($O9987,'Customer List'!$A$1:$J$488,10,FALSE),"")</f>
        <v/>
      </c>
    </row>
    <row r="9988" spans="18:23">
      <c r="R9988" s="127">
        <f t="shared" si="379"/>
        <v>0</v>
      </c>
      <c r="U9988" s="129" t="str">
        <f>IFERROR(IF(#REF!="S",VLOOKUP('Raw Data'!A9988,References!#REF!,2,FALSE),(VLOOKUP($S9988,References!$B$3:$C$7,2,FALSE))),"")</f>
        <v/>
      </c>
      <c r="W9988" s="74" t="str">
        <f>IFERROR(VLOOKUP($O9988,'Customer List'!$A$1:$J$488,10,FALSE),"")</f>
        <v/>
      </c>
    </row>
    <row r="9989" spans="18:23">
      <c r="R9989" s="127">
        <f t="shared" si="379"/>
        <v>0</v>
      </c>
      <c r="U9989" s="129" t="str">
        <f>IFERROR(IF(#REF!="S",VLOOKUP('Raw Data'!A9989,References!#REF!,2,FALSE),(VLOOKUP($S9989,References!$B$3:$C$7,2,FALSE))),"")</f>
        <v/>
      </c>
      <c r="W9989" s="74" t="str">
        <f>IFERROR(VLOOKUP($O9989,'Customer List'!$A$1:$J$488,10,FALSE),"")</f>
        <v/>
      </c>
    </row>
    <row r="9990" spans="18:23">
      <c r="R9990" s="127">
        <f t="shared" si="379"/>
        <v>0</v>
      </c>
      <c r="U9990" s="129" t="str">
        <f>IFERROR(IF(#REF!="S",VLOOKUP('Raw Data'!A9990,References!#REF!,2,FALSE),(VLOOKUP($S9990,References!$B$3:$C$7,2,FALSE))),"")</f>
        <v/>
      </c>
      <c r="W9990" s="74" t="str">
        <f>IFERROR(VLOOKUP($O9990,'Customer List'!$A$1:$J$488,10,FALSE),"")</f>
        <v/>
      </c>
    </row>
    <row r="9991" spans="18:23">
      <c r="R9991" s="127">
        <f t="shared" si="379"/>
        <v>0</v>
      </c>
      <c r="U9991" s="129" t="str">
        <f>IFERROR(IF(#REF!="S",VLOOKUP('Raw Data'!A9991,References!#REF!,2,FALSE),(VLOOKUP($S9991,References!$B$3:$C$7,2,FALSE))),"")</f>
        <v/>
      </c>
      <c r="W9991" s="74" t="str">
        <f>IFERROR(VLOOKUP($O9991,'Customer List'!$A$1:$J$488,10,FALSE),"")</f>
        <v/>
      </c>
    </row>
    <row r="9992" spans="18:23">
      <c r="R9992" s="127">
        <f t="shared" si="379"/>
        <v>0</v>
      </c>
      <c r="U9992" s="129" t="str">
        <f>IFERROR(IF(#REF!="S",VLOOKUP('Raw Data'!A9992,References!#REF!,2,FALSE),(VLOOKUP($S9992,References!$B$3:$C$7,2,FALSE))),"")</f>
        <v/>
      </c>
      <c r="W9992" s="74" t="str">
        <f>IFERROR(VLOOKUP($O9992,'Customer List'!$A$1:$J$488,10,FALSE),"")</f>
        <v/>
      </c>
    </row>
    <row r="9993" spans="18:23">
      <c r="R9993" s="127">
        <f t="shared" si="379"/>
        <v>0</v>
      </c>
      <c r="U9993" s="129" t="str">
        <f>IFERROR(IF(#REF!="S",VLOOKUP('Raw Data'!A9993,References!#REF!,2,FALSE),(VLOOKUP($S9993,References!$B$3:$C$7,2,FALSE))),"")</f>
        <v/>
      </c>
      <c r="W9993" s="74" t="str">
        <f>IFERROR(VLOOKUP($O9993,'Customer List'!$A$1:$J$488,10,FALSE),"")</f>
        <v/>
      </c>
    </row>
    <row r="9994" spans="18:23">
      <c r="R9994" s="127">
        <f t="shared" si="379"/>
        <v>0</v>
      </c>
      <c r="U9994" s="129" t="str">
        <f>IFERROR(IF(#REF!="S",VLOOKUP('Raw Data'!A9994,References!#REF!,2,FALSE),(VLOOKUP($S9994,References!$B$3:$C$7,2,FALSE))),"")</f>
        <v/>
      </c>
      <c r="W9994" s="74" t="str">
        <f>IFERROR(VLOOKUP($O9994,'Customer List'!$A$1:$J$488,10,FALSE),"")</f>
        <v/>
      </c>
    </row>
    <row r="9995" spans="18:23">
      <c r="R9995" s="127">
        <f t="shared" si="379"/>
        <v>0</v>
      </c>
      <c r="U9995" s="129" t="str">
        <f>IFERROR(IF(#REF!="S",VLOOKUP('Raw Data'!A9995,References!#REF!,2,FALSE),(VLOOKUP($S9995,References!$B$3:$C$7,2,FALSE))),"")</f>
        <v/>
      </c>
      <c r="W9995" s="74" t="str">
        <f>IFERROR(VLOOKUP($O9995,'Customer List'!$A$1:$J$488,10,FALSE),"")</f>
        <v/>
      </c>
    </row>
    <row r="9996" spans="18:23">
      <c r="R9996" s="127">
        <f t="shared" si="379"/>
        <v>0</v>
      </c>
      <c r="U9996" s="129" t="str">
        <f>IFERROR(IF(#REF!="S",VLOOKUP('Raw Data'!A9996,References!#REF!,2,FALSE),(VLOOKUP($S9996,References!$B$3:$C$7,2,FALSE))),"")</f>
        <v/>
      </c>
      <c r="W9996" s="74" t="str">
        <f>IFERROR(VLOOKUP($O9996,'Customer List'!$A$1:$J$488,10,FALSE),"")</f>
        <v/>
      </c>
    </row>
    <row r="9997" spans="18:23">
      <c r="R9997" s="127">
        <f t="shared" si="379"/>
        <v>0</v>
      </c>
      <c r="U9997" s="129" t="str">
        <f>IFERROR(IF(#REF!="S",VLOOKUP('Raw Data'!A9997,References!#REF!,2,FALSE),(VLOOKUP($S9997,References!$B$3:$C$7,2,FALSE))),"")</f>
        <v/>
      </c>
      <c r="W9997" s="74" t="str">
        <f>IFERROR(VLOOKUP($O9997,'Customer List'!$A$1:$J$488,10,FALSE),"")</f>
        <v/>
      </c>
    </row>
    <row r="9998" spans="18:23">
      <c r="R9998" s="127">
        <f t="shared" si="379"/>
        <v>0</v>
      </c>
      <c r="U9998" s="129" t="str">
        <f>IFERROR(IF(#REF!="S",VLOOKUP('Raw Data'!A9998,References!#REF!,2,FALSE),(VLOOKUP($S9998,References!$B$3:$C$7,2,FALSE))),"")</f>
        <v/>
      </c>
      <c r="W9998" s="74" t="str">
        <f>IFERROR(VLOOKUP($O9998,'Customer List'!$A$1:$J$488,10,FALSE),"")</f>
        <v/>
      </c>
    </row>
    <row r="9999" spans="18:23">
      <c r="R9999" s="127">
        <f t="shared" si="379"/>
        <v>0</v>
      </c>
      <c r="U9999" s="129" t="str">
        <f>IFERROR(IF(#REF!="S",VLOOKUP('Raw Data'!A9999,References!#REF!,2,FALSE),(VLOOKUP($S9999,References!$B$3:$C$7,2,FALSE))),"")</f>
        <v/>
      </c>
      <c r="W9999" s="74" t="str">
        <f>IFERROR(VLOOKUP($O9999,'Customer List'!$A$1:$J$488,10,FALSE),"")</f>
        <v/>
      </c>
    </row>
    <row r="10000" spans="18:23">
      <c r="R10000" s="127">
        <f t="shared" si="379"/>
        <v>0</v>
      </c>
      <c r="U10000" s="129" t="str">
        <f>IFERROR(IF(#REF!="S",VLOOKUP('Raw Data'!A10000,References!#REF!,2,FALSE),(VLOOKUP($S10000,References!$B$3:$C$7,2,FALSE))),"")</f>
        <v/>
      </c>
      <c r="W10000" s="74" t="str">
        <f>IFERROR(VLOOKUP($O10000,'Customer List'!$A$1:$J$488,10,FALSE),"")</f>
        <v/>
      </c>
    </row>
    <row r="10001" spans="18:23">
      <c r="R10001" s="127">
        <f t="shared" si="379"/>
        <v>0</v>
      </c>
      <c r="U10001" s="129" t="str">
        <f>IFERROR(IF(#REF!="S",VLOOKUP('Raw Data'!A10001,References!#REF!,2,FALSE),(VLOOKUP($S10001,References!$B$3:$C$7,2,FALSE))),"")</f>
        <v/>
      </c>
      <c r="W10001" s="74" t="str">
        <f>IFERROR(VLOOKUP($O10001,'Customer List'!$A$1:$J$488,10,FALSE),"")</f>
        <v/>
      </c>
    </row>
    <row r="10002" spans="18:23">
      <c r="R10002" s="127">
        <f t="shared" si="379"/>
        <v>0</v>
      </c>
      <c r="U10002" s="129" t="str">
        <f>IFERROR(IF(#REF!="S",VLOOKUP('Raw Data'!A10002,References!#REF!,2,FALSE),(VLOOKUP($S10002,References!$B$3:$C$7,2,FALSE))),"")</f>
        <v/>
      </c>
      <c r="W10002" s="74" t="str">
        <f>IFERROR(VLOOKUP($O10002,'Customer List'!$A$1:$J$488,10,FALSE),"")</f>
        <v/>
      </c>
    </row>
    <row r="10003" spans="18:23">
      <c r="R10003" s="127">
        <f t="shared" si="379"/>
        <v>0</v>
      </c>
      <c r="U10003" s="129" t="str">
        <f>IFERROR(IF(#REF!="S",VLOOKUP('Raw Data'!A10003,References!#REF!,2,FALSE),(VLOOKUP($S10003,References!$B$3:$C$7,2,FALSE))),"")</f>
        <v/>
      </c>
      <c r="W10003" s="74" t="str">
        <f>IFERROR(VLOOKUP($O10003,'Customer List'!$A$1:$J$488,10,FALSE),"")</f>
        <v/>
      </c>
    </row>
    <row r="10004" spans="18:23">
      <c r="R10004" s="127">
        <f t="shared" si="379"/>
        <v>0</v>
      </c>
      <c r="U10004" s="129" t="str">
        <f>IFERROR(IF(#REF!="S",VLOOKUP('Raw Data'!A10004,References!#REF!,2,FALSE),(VLOOKUP($S10004,References!$B$3:$C$7,2,FALSE))),"")</f>
        <v/>
      </c>
      <c r="W10004" s="74" t="str">
        <f>IFERROR(VLOOKUP($O10004,'Customer List'!$A$1:$J$488,10,FALSE),"")</f>
        <v/>
      </c>
    </row>
    <row r="10005" spans="18:23">
      <c r="R10005" s="127">
        <f t="shared" si="379"/>
        <v>0</v>
      </c>
      <c r="U10005" s="129" t="str">
        <f>IFERROR(IF(#REF!="S",VLOOKUP('Raw Data'!A10005,References!#REF!,2,FALSE),(VLOOKUP($S10005,References!$B$3:$C$7,2,FALSE))),"")</f>
        <v/>
      </c>
      <c r="W10005" s="74" t="str">
        <f>IFERROR(VLOOKUP($O10005,'Customer List'!$A$1:$J$488,10,FALSE),"")</f>
        <v/>
      </c>
    </row>
    <row r="10006" spans="18:23">
      <c r="R10006" s="127">
        <f t="shared" si="379"/>
        <v>0</v>
      </c>
      <c r="U10006" s="129" t="str">
        <f>IFERROR(IF(#REF!="S",VLOOKUP('Raw Data'!A10006,References!#REF!,2,FALSE),(VLOOKUP($S10006,References!$B$3:$C$7,2,FALSE))),"")</f>
        <v/>
      </c>
      <c r="W10006" s="74" t="str">
        <f>IFERROR(VLOOKUP($O10006,'Customer List'!$A$1:$J$488,10,FALSE),"")</f>
        <v/>
      </c>
    </row>
    <row r="10007" spans="18:23">
      <c r="R10007" s="127">
        <f t="shared" si="379"/>
        <v>0</v>
      </c>
      <c r="U10007" s="129" t="str">
        <f>IFERROR(IF(#REF!="S",VLOOKUP('Raw Data'!A10007,References!#REF!,2,FALSE),(VLOOKUP($S10007,References!$B$3:$C$7,2,FALSE))),"")</f>
        <v/>
      </c>
      <c r="W10007" s="74" t="str">
        <f>IFERROR(VLOOKUP($O10007,'Customer List'!$A$1:$J$488,10,FALSE),"")</f>
        <v/>
      </c>
    </row>
    <row r="10008" spans="18:23">
      <c r="R10008" s="127">
        <f t="shared" si="379"/>
        <v>0</v>
      </c>
      <c r="U10008" s="129" t="str">
        <f>IFERROR(IF(#REF!="S",VLOOKUP('Raw Data'!A10008,References!#REF!,2,FALSE),(VLOOKUP($S10008,References!$B$3:$C$7,2,FALSE))),"")</f>
        <v/>
      </c>
      <c r="W10008" s="74" t="str">
        <f>IFERROR(VLOOKUP($O10008,'Customer List'!$A$1:$J$488,10,FALSE),"")</f>
        <v/>
      </c>
    </row>
    <row r="10009" spans="18:23">
      <c r="R10009" s="127">
        <f t="shared" si="379"/>
        <v>0</v>
      </c>
      <c r="U10009" s="129" t="str">
        <f>IFERROR(IF(#REF!="S",VLOOKUP('Raw Data'!A10009,References!#REF!,2,FALSE),(VLOOKUP($S10009,References!$B$3:$C$7,2,FALSE))),"")</f>
        <v/>
      </c>
      <c r="W10009" s="74" t="str">
        <f>IFERROR(VLOOKUP($O10009,'Customer List'!$A$1:$J$488,10,FALSE),"")</f>
        <v/>
      </c>
    </row>
    <row r="10010" spans="18:23">
      <c r="R10010" s="127">
        <f t="shared" si="379"/>
        <v>0</v>
      </c>
      <c r="U10010" s="129" t="str">
        <f>IFERROR(IF(#REF!="S",VLOOKUP('Raw Data'!A10010,References!#REF!,2,FALSE),(VLOOKUP($S10010,References!$B$3:$C$7,2,FALSE))),"")</f>
        <v/>
      </c>
      <c r="W10010" s="74" t="str">
        <f>IFERROR(VLOOKUP($O10010,'Customer List'!$A$1:$J$488,10,FALSE),"")</f>
        <v/>
      </c>
    </row>
    <row r="10011" spans="18:23">
      <c r="R10011" s="127">
        <f t="shared" si="379"/>
        <v>0</v>
      </c>
      <c r="U10011" s="129" t="str">
        <f>IFERROR(IF(#REF!="S",VLOOKUP('Raw Data'!A10011,References!#REF!,2,FALSE),(VLOOKUP($S10011,References!$B$3:$C$7,2,FALSE))),"")</f>
        <v/>
      </c>
      <c r="W10011" s="74" t="str">
        <f>IFERROR(VLOOKUP($O10011,'Customer List'!$A$1:$J$488,10,FALSE),"")</f>
        <v/>
      </c>
    </row>
    <row r="10012" spans="18:23">
      <c r="R10012" s="127">
        <f t="shared" si="379"/>
        <v>0</v>
      </c>
      <c r="U10012" s="129" t="str">
        <f>IFERROR(IF(#REF!="S",VLOOKUP('Raw Data'!A10012,References!#REF!,2,FALSE),(VLOOKUP($S10012,References!$B$3:$C$7,2,FALSE))),"")</f>
        <v/>
      </c>
      <c r="W10012" s="74" t="str">
        <f>IFERROR(VLOOKUP($O10012,'Customer List'!$A$1:$J$488,10,FALSE),"")</f>
        <v/>
      </c>
    </row>
    <row r="10013" spans="18:23">
      <c r="R10013" s="127">
        <f t="shared" si="379"/>
        <v>0</v>
      </c>
      <c r="U10013" s="129" t="str">
        <f>IFERROR(IF(#REF!="S",VLOOKUP('Raw Data'!A10013,References!#REF!,2,FALSE),(VLOOKUP($S10013,References!$B$3:$C$7,2,FALSE))),"")</f>
        <v/>
      </c>
      <c r="W10013" s="74" t="str">
        <f>IFERROR(VLOOKUP($O10013,'Customer List'!$A$1:$J$488,10,FALSE),"")</f>
        <v/>
      </c>
    </row>
    <row r="10014" spans="18:23">
      <c r="R10014" s="127">
        <f t="shared" si="379"/>
        <v>0</v>
      </c>
      <c r="U10014" s="129" t="str">
        <f>IFERROR(IF(#REF!="S",VLOOKUP('Raw Data'!A10014,References!#REF!,2,FALSE),(VLOOKUP($S10014,References!$B$3:$C$7,2,FALSE))),"")</f>
        <v/>
      </c>
      <c r="W10014" s="74" t="str">
        <f>IFERROR(VLOOKUP($O10014,'Customer List'!$A$1:$J$488,10,FALSE),"")</f>
        <v/>
      </c>
    </row>
    <row r="10015" spans="18:23">
      <c r="R10015" s="127">
        <f t="shared" si="379"/>
        <v>0</v>
      </c>
      <c r="U10015" s="129" t="str">
        <f>IFERROR(IF(#REF!="S",VLOOKUP('Raw Data'!A10015,References!#REF!,2,FALSE),(VLOOKUP($S10015,References!$B$3:$C$7,2,FALSE))),"")</f>
        <v/>
      </c>
      <c r="W10015" s="74" t="str">
        <f>IFERROR(VLOOKUP($O10015,'Customer List'!$A$1:$J$488,10,FALSE),"")</f>
        <v/>
      </c>
    </row>
    <row r="10016" spans="18:23">
      <c r="R10016" s="127">
        <f t="shared" si="379"/>
        <v>0</v>
      </c>
      <c r="U10016" s="129" t="str">
        <f>IFERROR(IF(#REF!="S",VLOOKUP('Raw Data'!A10016,References!#REF!,2,FALSE),(VLOOKUP($S10016,References!$B$3:$C$7,2,FALSE))),"")</f>
        <v/>
      </c>
      <c r="W10016" s="74" t="str">
        <f>IFERROR(VLOOKUP($O10016,'Customer List'!$A$1:$J$488,10,FALSE),"")</f>
        <v/>
      </c>
    </row>
    <row r="10017" spans="18:23">
      <c r="R10017" s="127">
        <f t="shared" si="379"/>
        <v>0</v>
      </c>
      <c r="U10017" s="129" t="str">
        <f>IFERROR(IF(#REF!="S",VLOOKUP('Raw Data'!A10017,References!#REF!,2,FALSE),(VLOOKUP($S10017,References!$B$3:$C$7,2,FALSE))),"")</f>
        <v/>
      </c>
      <c r="W10017" s="74" t="str">
        <f>IFERROR(VLOOKUP($O10017,'Customer List'!$A$1:$J$488,10,FALSE),"")</f>
        <v/>
      </c>
    </row>
    <row r="10018" spans="18:23">
      <c r="R10018" s="127">
        <f t="shared" ref="R10018:R10081" si="380">L10018-K10018</f>
        <v>0</v>
      </c>
      <c r="U10018" s="129" t="str">
        <f>IFERROR(IF(#REF!="S",VLOOKUP('Raw Data'!A10018,References!#REF!,2,FALSE),(VLOOKUP($S10018,References!$B$3:$C$7,2,FALSE))),"")</f>
        <v/>
      </c>
      <c r="W10018" s="74" t="str">
        <f>IFERROR(VLOOKUP($O10018,'Customer List'!$A$1:$J$488,10,FALSE),"")</f>
        <v/>
      </c>
    </row>
    <row r="10019" spans="18:23">
      <c r="R10019" s="127">
        <f t="shared" si="380"/>
        <v>0</v>
      </c>
      <c r="U10019" s="129" t="str">
        <f>IFERROR(IF(#REF!="S",VLOOKUP('Raw Data'!A10019,References!#REF!,2,FALSE),(VLOOKUP($S10019,References!$B$3:$C$7,2,FALSE))),"")</f>
        <v/>
      </c>
      <c r="W10019" s="74" t="str">
        <f>IFERROR(VLOOKUP($O10019,'Customer List'!$A$1:$J$488,10,FALSE),"")</f>
        <v/>
      </c>
    </row>
    <row r="10020" spans="18:23">
      <c r="R10020" s="127">
        <f t="shared" si="380"/>
        <v>0</v>
      </c>
      <c r="U10020" s="129" t="str">
        <f>IFERROR(IF(#REF!="S",VLOOKUP('Raw Data'!A10020,References!#REF!,2,FALSE),(VLOOKUP($S10020,References!$B$3:$C$7,2,FALSE))),"")</f>
        <v/>
      </c>
      <c r="W10020" s="74" t="str">
        <f>IFERROR(VLOOKUP($O10020,'Customer List'!$A$1:$J$488,10,FALSE),"")</f>
        <v/>
      </c>
    </row>
    <row r="10021" spans="18:23">
      <c r="R10021" s="127">
        <f t="shared" si="380"/>
        <v>0</v>
      </c>
      <c r="U10021" s="129" t="str">
        <f>IFERROR(IF(#REF!="S",VLOOKUP('Raw Data'!A10021,References!#REF!,2,FALSE),(VLOOKUP($S10021,References!$B$3:$C$7,2,FALSE))),"")</f>
        <v/>
      </c>
      <c r="W10021" s="74" t="str">
        <f>IFERROR(VLOOKUP($O10021,'Customer List'!$A$1:$J$488,10,FALSE),"")</f>
        <v/>
      </c>
    </row>
    <row r="10022" spans="18:23">
      <c r="R10022" s="127">
        <f t="shared" si="380"/>
        <v>0</v>
      </c>
      <c r="U10022" s="129" t="str">
        <f>IFERROR(IF(#REF!="S",VLOOKUP('Raw Data'!A10022,References!#REF!,2,FALSE),(VLOOKUP($S10022,References!$B$3:$C$7,2,FALSE))),"")</f>
        <v/>
      </c>
      <c r="W10022" s="74" t="str">
        <f>IFERROR(VLOOKUP($O10022,'Customer List'!$A$1:$J$488,10,FALSE),"")</f>
        <v/>
      </c>
    </row>
    <row r="10023" spans="18:23">
      <c r="R10023" s="127">
        <f t="shared" si="380"/>
        <v>0</v>
      </c>
      <c r="U10023" s="129" t="str">
        <f>IFERROR(IF(#REF!="S",VLOOKUP('Raw Data'!A10023,References!#REF!,2,FALSE),(VLOOKUP($S10023,References!$B$3:$C$7,2,FALSE))),"")</f>
        <v/>
      </c>
      <c r="W10023" s="74" t="str">
        <f>IFERROR(VLOOKUP($O10023,'Customer List'!$A$1:$J$488,10,FALSE),"")</f>
        <v/>
      </c>
    </row>
    <row r="10024" spans="18:23">
      <c r="R10024" s="127">
        <f t="shared" si="380"/>
        <v>0</v>
      </c>
      <c r="U10024" s="129" t="str">
        <f>IFERROR(IF(#REF!="S",VLOOKUP('Raw Data'!A10024,References!#REF!,2,FALSE),(VLOOKUP($S10024,References!$B$3:$C$7,2,FALSE))),"")</f>
        <v/>
      </c>
      <c r="W10024" s="74" t="str">
        <f>IFERROR(VLOOKUP($O10024,'Customer List'!$A$1:$J$488,10,FALSE),"")</f>
        <v/>
      </c>
    </row>
    <row r="10025" spans="18:23">
      <c r="R10025" s="127">
        <f t="shared" si="380"/>
        <v>0</v>
      </c>
      <c r="U10025" s="129" t="str">
        <f>IFERROR(IF(#REF!="S",VLOOKUP('Raw Data'!A10025,References!#REF!,2,FALSE),(VLOOKUP($S10025,References!$B$3:$C$7,2,FALSE))),"")</f>
        <v/>
      </c>
      <c r="W10025" s="74" t="str">
        <f>IFERROR(VLOOKUP($O10025,'Customer List'!$A$1:$J$488,10,FALSE),"")</f>
        <v/>
      </c>
    </row>
    <row r="10026" spans="18:23">
      <c r="R10026" s="127">
        <f t="shared" si="380"/>
        <v>0</v>
      </c>
      <c r="U10026" s="129" t="str">
        <f>IFERROR(IF(#REF!="S",VLOOKUP('Raw Data'!A10026,References!#REF!,2,FALSE),(VLOOKUP($S10026,References!$B$3:$C$7,2,FALSE))),"")</f>
        <v/>
      </c>
      <c r="W10026" s="74" t="str">
        <f>IFERROR(VLOOKUP($O10026,'Customer List'!$A$1:$J$488,10,FALSE),"")</f>
        <v/>
      </c>
    </row>
    <row r="10027" spans="18:23">
      <c r="R10027" s="127">
        <f t="shared" si="380"/>
        <v>0</v>
      </c>
      <c r="U10027" s="129" t="str">
        <f>IFERROR(IF(#REF!="S",VLOOKUP('Raw Data'!A10027,References!#REF!,2,FALSE),(VLOOKUP($S10027,References!$B$3:$C$7,2,FALSE))),"")</f>
        <v/>
      </c>
      <c r="W10027" s="74" t="str">
        <f>IFERROR(VLOOKUP($O10027,'Customer List'!$A$1:$J$488,10,FALSE),"")</f>
        <v/>
      </c>
    </row>
    <row r="10028" spans="18:23">
      <c r="R10028" s="127">
        <f t="shared" si="380"/>
        <v>0</v>
      </c>
      <c r="U10028" s="129" t="str">
        <f>IFERROR(IF(#REF!="S",VLOOKUP('Raw Data'!A10028,References!#REF!,2,FALSE),(VLOOKUP($S10028,References!$B$3:$C$7,2,FALSE))),"")</f>
        <v/>
      </c>
      <c r="W10028" s="74" t="str">
        <f>IFERROR(VLOOKUP($O10028,'Customer List'!$A$1:$J$488,10,FALSE),"")</f>
        <v/>
      </c>
    </row>
    <row r="10029" spans="18:23">
      <c r="R10029" s="127">
        <f t="shared" si="380"/>
        <v>0</v>
      </c>
      <c r="U10029" s="129" t="str">
        <f>IFERROR(IF(#REF!="S",VLOOKUP('Raw Data'!A10029,References!#REF!,2,FALSE),(VLOOKUP($S10029,References!$B$3:$C$7,2,FALSE))),"")</f>
        <v/>
      </c>
      <c r="W10029" s="74" t="str">
        <f>IFERROR(VLOOKUP($O10029,'Customer List'!$A$1:$J$488,10,FALSE),"")</f>
        <v/>
      </c>
    </row>
    <row r="10030" spans="18:23">
      <c r="R10030" s="127">
        <f t="shared" si="380"/>
        <v>0</v>
      </c>
      <c r="U10030" s="129" t="str">
        <f>IFERROR(IF(#REF!="S",VLOOKUP('Raw Data'!A10030,References!#REF!,2,FALSE),(VLOOKUP($S10030,References!$B$3:$C$7,2,FALSE))),"")</f>
        <v/>
      </c>
      <c r="W10030" s="74" t="str">
        <f>IFERROR(VLOOKUP($O10030,'Customer List'!$A$1:$J$488,10,FALSE),"")</f>
        <v/>
      </c>
    </row>
    <row r="10031" spans="18:23">
      <c r="R10031" s="127">
        <f t="shared" si="380"/>
        <v>0</v>
      </c>
      <c r="U10031" s="129" t="str">
        <f>IFERROR(IF(#REF!="S",VLOOKUP('Raw Data'!A10031,References!#REF!,2,FALSE),(VLOOKUP($S10031,References!$B$3:$C$7,2,FALSE))),"")</f>
        <v/>
      </c>
      <c r="W10031" s="74" t="str">
        <f>IFERROR(VLOOKUP($O10031,'Customer List'!$A$1:$J$488,10,FALSE),"")</f>
        <v/>
      </c>
    </row>
    <row r="10032" spans="18:23">
      <c r="R10032" s="127">
        <f t="shared" si="380"/>
        <v>0</v>
      </c>
      <c r="U10032" s="129" t="str">
        <f>IFERROR(IF(#REF!="S",VLOOKUP('Raw Data'!A10032,References!#REF!,2,FALSE),(VLOOKUP($S10032,References!$B$3:$C$7,2,FALSE))),"")</f>
        <v/>
      </c>
      <c r="W10032" s="74" t="str">
        <f>IFERROR(VLOOKUP($O10032,'Customer List'!$A$1:$J$488,10,FALSE),"")</f>
        <v/>
      </c>
    </row>
    <row r="10033" spans="18:23">
      <c r="R10033" s="127">
        <f t="shared" si="380"/>
        <v>0</v>
      </c>
      <c r="U10033" s="129" t="str">
        <f>IFERROR(IF(#REF!="S",VLOOKUP('Raw Data'!A10033,References!#REF!,2,FALSE),(VLOOKUP($S10033,References!$B$3:$C$7,2,FALSE))),"")</f>
        <v/>
      </c>
      <c r="W10033" s="74" t="str">
        <f>IFERROR(VLOOKUP($O10033,'Customer List'!$A$1:$J$488,10,FALSE),"")</f>
        <v/>
      </c>
    </row>
    <row r="10034" spans="18:23">
      <c r="R10034" s="127">
        <f t="shared" si="380"/>
        <v>0</v>
      </c>
      <c r="U10034" s="129" t="str">
        <f>IFERROR(IF(#REF!="S",VLOOKUP('Raw Data'!A10034,References!#REF!,2,FALSE),(VLOOKUP($S10034,References!$B$3:$C$7,2,FALSE))),"")</f>
        <v/>
      </c>
      <c r="W10034" s="74" t="str">
        <f>IFERROR(VLOOKUP($O10034,'Customer List'!$A$1:$J$488,10,FALSE),"")</f>
        <v/>
      </c>
    </row>
    <row r="10035" spans="18:23">
      <c r="R10035" s="127">
        <f t="shared" si="380"/>
        <v>0</v>
      </c>
      <c r="U10035" s="129" t="str">
        <f>IFERROR(IF(#REF!="S",VLOOKUP('Raw Data'!A10035,References!#REF!,2,FALSE),(VLOOKUP($S10035,References!$B$3:$C$7,2,FALSE))),"")</f>
        <v/>
      </c>
      <c r="W10035" s="74" t="str">
        <f>IFERROR(VLOOKUP($O10035,'Customer List'!$A$1:$J$488,10,FALSE),"")</f>
        <v/>
      </c>
    </row>
    <row r="10036" spans="18:23">
      <c r="R10036" s="127">
        <f t="shared" si="380"/>
        <v>0</v>
      </c>
      <c r="U10036" s="129" t="str">
        <f>IFERROR(IF(#REF!="S",VLOOKUP('Raw Data'!A10036,References!#REF!,2,FALSE),(VLOOKUP($S10036,References!$B$3:$C$7,2,FALSE))),"")</f>
        <v/>
      </c>
      <c r="W10036" s="74" t="str">
        <f>IFERROR(VLOOKUP($O10036,'Customer List'!$A$1:$J$488,10,FALSE),"")</f>
        <v/>
      </c>
    </row>
    <row r="10037" spans="18:23">
      <c r="R10037" s="127">
        <f t="shared" si="380"/>
        <v>0</v>
      </c>
      <c r="U10037" s="129" t="str">
        <f>IFERROR(IF(#REF!="S",VLOOKUP('Raw Data'!A10037,References!#REF!,2,FALSE),(VLOOKUP($S10037,References!$B$3:$C$7,2,FALSE))),"")</f>
        <v/>
      </c>
      <c r="W10037" s="74" t="str">
        <f>IFERROR(VLOOKUP($O10037,'Customer List'!$A$1:$J$488,10,FALSE),"")</f>
        <v/>
      </c>
    </row>
    <row r="10038" spans="18:23">
      <c r="R10038" s="127">
        <f t="shared" si="380"/>
        <v>0</v>
      </c>
      <c r="U10038" s="129" t="str">
        <f>IFERROR(IF(#REF!="S",VLOOKUP('Raw Data'!A10038,References!#REF!,2,FALSE),(VLOOKUP($S10038,References!$B$3:$C$7,2,FALSE))),"")</f>
        <v/>
      </c>
      <c r="W10038" s="74" t="str">
        <f>IFERROR(VLOOKUP($O10038,'Customer List'!$A$1:$J$488,10,FALSE),"")</f>
        <v/>
      </c>
    </row>
    <row r="10039" spans="18:23">
      <c r="R10039" s="127">
        <f t="shared" si="380"/>
        <v>0</v>
      </c>
      <c r="U10039" s="129" t="str">
        <f>IFERROR(IF(#REF!="S",VLOOKUP('Raw Data'!A10039,References!#REF!,2,FALSE),(VLOOKUP($S10039,References!$B$3:$C$7,2,FALSE))),"")</f>
        <v/>
      </c>
      <c r="W10039" s="74" t="str">
        <f>IFERROR(VLOOKUP($O10039,'Customer List'!$A$1:$J$488,10,FALSE),"")</f>
        <v/>
      </c>
    </row>
    <row r="10040" spans="18:23">
      <c r="R10040" s="127">
        <f t="shared" si="380"/>
        <v>0</v>
      </c>
      <c r="U10040" s="129" t="str">
        <f>IFERROR(IF(#REF!="S",VLOOKUP('Raw Data'!A10040,References!#REF!,2,FALSE),(VLOOKUP($S10040,References!$B$3:$C$7,2,FALSE))),"")</f>
        <v/>
      </c>
      <c r="W10040" s="74" t="str">
        <f>IFERROR(VLOOKUP($O10040,'Customer List'!$A$1:$J$488,10,FALSE),"")</f>
        <v/>
      </c>
    </row>
    <row r="10041" spans="18:23">
      <c r="R10041" s="127">
        <f t="shared" si="380"/>
        <v>0</v>
      </c>
      <c r="U10041" s="129" t="str">
        <f>IFERROR(IF(#REF!="S",VLOOKUP('Raw Data'!A10041,References!#REF!,2,FALSE),(VLOOKUP($S10041,References!$B$3:$C$7,2,FALSE))),"")</f>
        <v/>
      </c>
      <c r="W10041" s="74" t="str">
        <f>IFERROR(VLOOKUP($O10041,'Customer List'!$A$1:$J$488,10,FALSE),"")</f>
        <v/>
      </c>
    </row>
    <row r="10042" spans="18:23">
      <c r="R10042" s="127">
        <f t="shared" si="380"/>
        <v>0</v>
      </c>
      <c r="U10042" s="129" t="str">
        <f>IFERROR(IF(#REF!="S",VLOOKUP('Raw Data'!A10042,References!#REF!,2,FALSE),(VLOOKUP($S10042,References!$B$3:$C$7,2,FALSE))),"")</f>
        <v/>
      </c>
      <c r="W10042" s="74" t="str">
        <f>IFERROR(VLOOKUP($O10042,'Customer List'!$A$1:$J$488,10,FALSE),"")</f>
        <v/>
      </c>
    </row>
    <row r="10043" spans="18:23">
      <c r="R10043" s="127">
        <f t="shared" si="380"/>
        <v>0</v>
      </c>
      <c r="U10043" s="129" t="str">
        <f>IFERROR(IF(#REF!="S",VLOOKUP('Raw Data'!A10043,References!#REF!,2,FALSE),(VLOOKUP($S10043,References!$B$3:$C$7,2,FALSE))),"")</f>
        <v/>
      </c>
      <c r="W10043" s="74" t="str">
        <f>IFERROR(VLOOKUP($O10043,'Customer List'!$A$1:$J$488,10,FALSE),"")</f>
        <v/>
      </c>
    </row>
    <row r="10044" spans="18:23">
      <c r="R10044" s="127">
        <f t="shared" si="380"/>
        <v>0</v>
      </c>
      <c r="U10044" s="129" t="str">
        <f>IFERROR(IF(#REF!="S",VLOOKUP('Raw Data'!A10044,References!#REF!,2,FALSE),(VLOOKUP($S10044,References!$B$3:$C$7,2,FALSE))),"")</f>
        <v/>
      </c>
      <c r="W10044" s="74" t="str">
        <f>IFERROR(VLOOKUP($O10044,'Customer List'!$A$1:$J$488,10,FALSE),"")</f>
        <v/>
      </c>
    </row>
    <row r="10045" spans="18:23">
      <c r="R10045" s="127">
        <f t="shared" si="380"/>
        <v>0</v>
      </c>
      <c r="U10045" s="129" t="str">
        <f>IFERROR(IF(#REF!="S",VLOOKUP('Raw Data'!A10045,References!#REF!,2,FALSE),(VLOOKUP($S10045,References!$B$3:$C$7,2,FALSE))),"")</f>
        <v/>
      </c>
      <c r="W10045" s="74" t="str">
        <f>IFERROR(VLOOKUP($O10045,'Customer List'!$A$1:$J$488,10,FALSE),"")</f>
        <v/>
      </c>
    </row>
    <row r="10046" spans="18:23">
      <c r="R10046" s="127">
        <f t="shared" si="380"/>
        <v>0</v>
      </c>
      <c r="U10046" s="129" t="str">
        <f>IFERROR(IF(#REF!="S",VLOOKUP('Raw Data'!A10046,References!#REF!,2,FALSE),(VLOOKUP($S10046,References!$B$3:$C$7,2,FALSE))),"")</f>
        <v/>
      </c>
      <c r="W10046" s="74" t="str">
        <f>IFERROR(VLOOKUP($O10046,'Customer List'!$A$1:$J$488,10,FALSE),"")</f>
        <v/>
      </c>
    </row>
    <row r="10047" spans="18:23">
      <c r="R10047" s="127">
        <f t="shared" si="380"/>
        <v>0</v>
      </c>
      <c r="U10047" s="129" t="str">
        <f>IFERROR(IF(#REF!="S",VLOOKUP('Raw Data'!A10047,References!#REF!,2,FALSE),(VLOOKUP($S10047,References!$B$3:$C$7,2,FALSE))),"")</f>
        <v/>
      </c>
      <c r="W10047" s="74" t="str">
        <f>IFERROR(VLOOKUP($O10047,'Customer List'!$A$1:$J$488,10,FALSE),"")</f>
        <v/>
      </c>
    </row>
    <row r="10048" spans="18:23">
      <c r="R10048" s="127">
        <f t="shared" si="380"/>
        <v>0</v>
      </c>
      <c r="U10048" s="129" t="str">
        <f>IFERROR(IF(#REF!="S",VLOOKUP('Raw Data'!A10048,References!#REF!,2,FALSE),(VLOOKUP($S10048,References!$B$3:$C$7,2,FALSE))),"")</f>
        <v/>
      </c>
      <c r="W10048" s="74" t="str">
        <f>IFERROR(VLOOKUP($O10048,'Customer List'!$A$1:$J$488,10,FALSE),"")</f>
        <v/>
      </c>
    </row>
    <row r="10049" spans="18:23">
      <c r="R10049" s="127">
        <f t="shared" si="380"/>
        <v>0</v>
      </c>
      <c r="U10049" s="129" t="str">
        <f>IFERROR(IF(#REF!="S",VLOOKUP('Raw Data'!A10049,References!#REF!,2,FALSE),(VLOOKUP($S10049,References!$B$3:$C$7,2,FALSE))),"")</f>
        <v/>
      </c>
      <c r="W10049" s="74" t="str">
        <f>IFERROR(VLOOKUP($O10049,'Customer List'!$A$1:$J$488,10,FALSE),"")</f>
        <v/>
      </c>
    </row>
    <row r="10050" spans="18:23">
      <c r="R10050" s="127">
        <f t="shared" si="380"/>
        <v>0</v>
      </c>
      <c r="U10050" s="129" t="str">
        <f>IFERROR(IF(#REF!="S",VLOOKUP('Raw Data'!A10050,References!#REF!,2,FALSE),(VLOOKUP($S10050,References!$B$3:$C$7,2,FALSE))),"")</f>
        <v/>
      </c>
      <c r="W10050" s="74" t="str">
        <f>IFERROR(VLOOKUP($O10050,'Customer List'!$A$1:$J$488,10,FALSE),"")</f>
        <v/>
      </c>
    </row>
    <row r="10051" spans="18:23">
      <c r="R10051" s="127">
        <f t="shared" si="380"/>
        <v>0</v>
      </c>
      <c r="U10051" s="129" t="str">
        <f>IFERROR(IF(#REF!="S",VLOOKUP('Raw Data'!A10051,References!#REF!,2,FALSE),(VLOOKUP($S10051,References!$B$3:$C$7,2,FALSE))),"")</f>
        <v/>
      </c>
      <c r="W10051" s="74" t="str">
        <f>IFERROR(VLOOKUP($O10051,'Customer List'!$A$1:$J$488,10,FALSE),"")</f>
        <v/>
      </c>
    </row>
    <row r="10052" spans="18:23">
      <c r="R10052" s="127">
        <f t="shared" si="380"/>
        <v>0</v>
      </c>
      <c r="U10052" s="129" t="str">
        <f>IFERROR(IF(#REF!="S",VLOOKUP('Raw Data'!A10052,References!#REF!,2,FALSE),(VLOOKUP($S10052,References!$B$3:$C$7,2,FALSE))),"")</f>
        <v/>
      </c>
      <c r="W10052" s="74" t="str">
        <f>IFERROR(VLOOKUP($O10052,'Customer List'!$A$1:$J$488,10,FALSE),"")</f>
        <v/>
      </c>
    </row>
    <row r="10053" spans="18:23">
      <c r="R10053" s="127">
        <f t="shared" si="380"/>
        <v>0</v>
      </c>
      <c r="U10053" s="129" t="str">
        <f>IFERROR(IF(#REF!="S",VLOOKUP('Raw Data'!A10053,References!#REF!,2,FALSE),(VLOOKUP($S10053,References!$B$3:$C$7,2,FALSE))),"")</f>
        <v/>
      </c>
      <c r="W10053" s="74" t="str">
        <f>IFERROR(VLOOKUP($O10053,'Customer List'!$A$1:$J$488,10,FALSE),"")</f>
        <v/>
      </c>
    </row>
    <row r="10054" spans="18:23">
      <c r="R10054" s="127">
        <f t="shared" si="380"/>
        <v>0</v>
      </c>
      <c r="U10054" s="129" t="str">
        <f>IFERROR(IF(#REF!="S",VLOOKUP('Raw Data'!A10054,References!#REF!,2,FALSE),(VLOOKUP($S10054,References!$B$3:$C$7,2,FALSE))),"")</f>
        <v/>
      </c>
      <c r="W10054" s="74" t="str">
        <f>IFERROR(VLOOKUP($O10054,'Customer List'!$A$1:$J$488,10,FALSE),"")</f>
        <v/>
      </c>
    </row>
    <row r="10055" spans="18:23">
      <c r="R10055" s="127">
        <f t="shared" si="380"/>
        <v>0</v>
      </c>
      <c r="U10055" s="129" t="str">
        <f>IFERROR(IF(#REF!="S",VLOOKUP('Raw Data'!A10055,References!#REF!,2,FALSE),(VLOOKUP($S10055,References!$B$3:$C$7,2,FALSE))),"")</f>
        <v/>
      </c>
      <c r="W10055" s="74" t="str">
        <f>IFERROR(VLOOKUP($O10055,'Customer List'!$A$1:$J$488,10,FALSE),"")</f>
        <v/>
      </c>
    </row>
    <row r="10056" spans="18:23">
      <c r="R10056" s="127">
        <f t="shared" si="380"/>
        <v>0</v>
      </c>
      <c r="U10056" s="129" t="str">
        <f>IFERROR(IF(#REF!="S",VLOOKUP('Raw Data'!A10056,References!#REF!,2,FALSE),(VLOOKUP($S10056,References!$B$3:$C$7,2,FALSE))),"")</f>
        <v/>
      </c>
      <c r="W10056" s="74" t="str">
        <f>IFERROR(VLOOKUP($O10056,'Customer List'!$A$1:$J$488,10,FALSE),"")</f>
        <v/>
      </c>
    </row>
    <row r="10057" spans="18:23">
      <c r="R10057" s="127">
        <f t="shared" si="380"/>
        <v>0</v>
      </c>
      <c r="U10057" s="129" t="str">
        <f>IFERROR(IF(#REF!="S",VLOOKUP('Raw Data'!A10057,References!#REF!,2,FALSE),(VLOOKUP($S10057,References!$B$3:$C$7,2,FALSE))),"")</f>
        <v/>
      </c>
      <c r="W10057" s="74" t="str">
        <f>IFERROR(VLOOKUP($O10057,'Customer List'!$A$1:$J$488,10,FALSE),"")</f>
        <v/>
      </c>
    </row>
    <row r="10058" spans="18:23">
      <c r="R10058" s="127">
        <f t="shared" si="380"/>
        <v>0</v>
      </c>
      <c r="U10058" s="129" t="str">
        <f>IFERROR(IF(#REF!="S",VLOOKUP('Raw Data'!A10058,References!#REF!,2,FALSE),(VLOOKUP($S10058,References!$B$3:$C$7,2,FALSE))),"")</f>
        <v/>
      </c>
      <c r="W10058" s="74" t="str">
        <f>IFERROR(VLOOKUP($O10058,'Customer List'!$A$1:$J$488,10,FALSE),"")</f>
        <v/>
      </c>
    </row>
    <row r="10059" spans="18:23">
      <c r="R10059" s="127">
        <f t="shared" si="380"/>
        <v>0</v>
      </c>
      <c r="U10059" s="129" t="str">
        <f>IFERROR(IF(#REF!="S",VLOOKUP('Raw Data'!A10059,References!#REF!,2,FALSE),(VLOOKUP($S10059,References!$B$3:$C$7,2,FALSE))),"")</f>
        <v/>
      </c>
      <c r="W10059" s="74" t="str">
        <f>IFERROR(VLOOKUP($O10059,'Customer List'!$A$1:$J$488,10,FALSE),"")</f>
        <v/>
      </c>
    </row>
    <row r="10060" spans="18:23">
      <c r="R10060" s="127">
        <f t="shared" si="380"/>
        <v>0</v>
      </c>
      <c r="U10060" s="129" t="str">
        <f>IFERROR(IF(#REF!="S",VLOOKUP('Raw Data'!A10060,References!#REF!,2,FALSE),(VLOOKUP($S10060,References!$B$3:$C$7,2,FALSE))),"")</f>
        <v/>
      </c>
      <c r="W10060" s="74" t="str">
        <f>IFERROR(VLOOKUP($O10060,'Customer List'!$A$1:$J$488,10,FALSE),"")</f>
        <v/>
      </c>
    </row>
    <row r="10061" spans="18:23">
      <c r="R10061" s="127">
        <f t="shared" si="380"/>
        <v>0</v>
      </c>
      <c r="U10061" s="129" t="str">
        <f>IFERROR(IF(#REF!="S",VLOOKUP('Raw Data'!A10061,References!#REF!,2,FALSE),(VLOOKUP($S10061,References!$B$3:$C$7,2,FALSE))),"")</f>
        <v/>
      </c>
      <c r="W10061" s="74" t="str">
        <f>IFERROR(VLOOKUP($O10061,'Customer List'!$A$1:$J$488,10,FALSE),"")</f>
        <v/>
      </c>
    </row>
    <row r="10062" spans="18:23">
      <c r="R10062" s="127">
        <f t="shared" si="380"/>
        <v>0</v>
      </c>
      <c r="U10062" s="129" t="str">
        <f>IFERROR(IF(#REF!="S",VLOOKUP('Raw Data'!A10062,References!#REF!,2,FALSE),(VLOOKUP($S10062,References!$B$3:$C$7,2,FALSE))),"")</f>
        <v/>
      </c>
      <c r="W10062" s="74" t="str">
        <f>IFERROR(VLOOKUP($O10062,'Customer List'!$A$1:$J$488,10,FALSE),"")</f>
        <v/>
      </c>
    </row>
    <row r="10063" spans="18:23">
      <c r="R10063" s="127">
        <f t="shared" si="380"/>
        <v>0</v>
      </c>
      <c r="U10063" s="129" t="str">
        <f>IFERROR(IF(#REF!="S",VLOOKUP('Raw Data'!A10063,References!#REF!,2,FALSE),(VLOOKUP($S10063,References!$B$3:$C$7,2,FALSE))),"")</f>
        <v/>
      </c>
      <c r="W10063" s="74" t="str">
        <f>IFERROR(VLOOKUP($O10063,'Customer List'!$A$1:$J$488,10,FALSE),"")</f>
        <v/>
      </c>
    </row>
    <row r="10064" spans="18:23">
      <c r="R10064" s="127">
        <f t="shared" si="380"/>
        <v>0</v>
      </c>
      <c r="U10064" s="129" t="str">
        <f>IFERROR(IF(#REF!="S",VLOOKUP('Raw Data'!A10064,References!#REF!,2,FALSE),(VLOOKUP($S10064,References!$B$3:$C$7,2,FALSE))),"")</f>
        <v/>
      </c>
      <c r="W10064" s="74" t="str">
        <f>IFERROR(VLOOKUP($O10064,'Customer List'!$A$1:$J$488,10,FALSE),"")</f>
        <v/>
      </c>
    </row>
    <row r="10065" spans="18:23">
      <c r="R10065" s="127">
        <f t="shared" si="380"/>
        <v>0</v>
      </c>
      <c r="U10065" s="129" t="str">
        <f>IFERROR(IF(#REF!="S",VLOOKUP('Raw Data'!A10065,References!#REF!,2,FALSE),(VLOOKUP($S10065,References!$B$3:$C$7,2,FALSE))),"")</f>
        <v/>
      </c>
      <c r="W10065" s="74" t="str">
        <f>IFERROR(VLOOKUP($O10065,'Customer List'!$A$1:$J$488,10,FALSE),"")</f>
        <v/>
      </c>
    </row>
    <row r="10066" spans="18:23">
      <c r="R10066" s="127">
        <f t="shared" si="380"/>
        <v>0</v>
      </c>
      <c r="U10066" s="129" t="str">
        <f>IFERROR(IF(#REF!="S",VLOOKUP('Raw Data'!A10066,References!#REF!,2,FALSE),(VLOOKUP($S10066,References!$B$3:$C$7,2,FALSE))),"")</f>
        <v/>
      </c>
      <c r="W10066" s="74" t="str">
        <f>IFERROR(VLOOKUP($O10066,'Customer List'!$A$1:$J$488,10,FALSE),"")</f>
        <v/>
      </c>
    </row>
    <row r="10067" spans="18:23">
      <c r="R10067" s="127">
        <f t="shared" si="380"/>
        <v>0</v>
      </c>
      <c r="U10067" s="129" t="str">
        <f>IFERROR(IF(#REF!="S",VLOOKUP('Raw Data'!A10067,References!#REF!,2,FALSE),(VLOOKUP($S10067,References!$B$3:$C$7,2,FALSE))),"")</f>
        <v/>
      </c>
      <c r="W10067" s="74" t="str">
        <f>IFERROR(VLOOKUP($O10067,'Customer List'!$A$1:$J$488,10,FALSE),"")</f>
        <v/>
      </c>
    </row>
    <row r="10068" spans="18:23">
      <c r="R10068" s="127">
        <f t="shared" si="380"/>
        <v>0</v>
      </c>
      <c r="U10068" s="129" t="str">
        <f>IFERROR(IF(#REF!="S",VLOOKUP('Raw Data'!A10068,References!#REF!,2,FALSE),(VLOOKUP($S10068,References!$B$3:$C$7,2,FALSE))),"")</f>
        <v/>
      </c>
      <c r="W10068" s="74" t="str">
        <f>IFERROR(VLOOKUP($O10068,'Customer List'!$A$1:$J$488,10,FALSE),"")</f>
        <v/>
      </c>
    </row>
    <row r="10069" spans="18:23">
      <c r="R10069" s="127">
        <f t="shared" si="380"/>
        <v>0</v>
      </c>
      <c r="U10069" s="129" t="str">
        <f>IFERROR(IF(#REF!="S",VLOOKUP('Raw Data'!A10069,References!#REF!,2,FALSE),(VLOOKUP($S10069,References!$B$3:$C$7,2,FALSE))),"")</f>
        <v/>
      </c>
      <c r="W10069" s="74" t="str">
        <f>IFERROR(VLOOKUP($O10069,'Customer List'!$A$1:$J$488,10,FALSE),"")</f>
        <v/>
      </c>
    </row>
    <row r="10070" spans="18:23">
      <c r="R10070" s="127">
        <f t="shared" si="380"/>
        <v>0</v>
      </c>
      <c r="U10070" s="129" t="str">
        <f>IFERROR(IF(#REF!="S",VLOOKUP('Raw Data'!A10070,References!#REF!,2,FALSE),(VLOOKUP($S10070,References!$B$3:$C$7,2,FALSE))),"")</f>
        <v/>
      </c>
      <c r="W10070" s="74" t="str">
        <f>IFERROR(VLOOKUP($O10070,'Customer List'!$A$1:$J$488,10,FALSE),"")</f>
        <v/>
      </c>
    </row>
    <row r="10071" spans="18:23">
      <c r="R10071" s="127">
        <f t="shared" si="380"/>
        <v>0</v>
      </c>
      <c r="U10071" s="129" t="str">
        <f>IFERROR(IF(#REF!="S",VLOOKUP('Raw Data'!A10071,References!#REF!,2,FALSE),(VLOOKUP($S10071,References!$B$3:$C$7,2,FALSE))),"")</f>
        <v/>
      </c>
      <c r="W10071" s="74" t="str">
        <f>IFERROR(VLOOKUP($O10071,'Customer List'!$A$1:$J$488,10,FALSE),"")</f>
        <v/>
      </c>
    </row>
    <row r="10072" spans="18:23">
      <c r="R10072" s="127">
        <f t="shared" si="380"/>
        <v>0</v>
      </c>
      <c r="U10072" s="129" t="str">
        <f>IFERROR(IF(#REF!="S",VLOOKUP('Raw Data'!A10072,References!#REF!,2,FALSE),(VLOOKUP($S10072,References!$B$3:$C$7,2,FALSE))),"")</f>
        <v/>
      </c>
      <c r="W10072" s="74" t="str">
        <f>IFERROR(VLOOKUP($O10072,'Customer List'!$A$1:$J$488,10,FALSE),"")</f>
        <v/>
      </c>
    </row>
    <row r="10073" spans="18:23">
      <c r="R10073" s="127">
        <f t="shared" si="380"/>
        <v>0</v>
      </c>
      <c r="U10073" s="129" t="str">
        <f>IFERROR(IF(#REF!="S",VLOOKUP('Raw Data'!A10073,References!#REF!,2,FALSE),(VLOOKUP($S10073,References!$B$3:$C$7,2,FALSE))),"")</f>
        <v/>
      </c>
      <c r="W10073" s="74" t="str">
        <f>IFERROR(VLOOKUP($O10073,'Customer List'!$A$1:$J$488,10,FALSE),"")</f>
        <v/>
      </c>
    </row>
    <row r="10074" spans="18:23">
      <c r="R10074" s="127">
        <f t="shared" si="380"/>
        <v>0</v>
      </c>
      <c r="U10074" s="129" t="str">
        <f>IFERROR(IF(#REF!="S",VLOOKUP('Raw Data'!A10074,References!#REF!,2,FALSE),(VLOOKUP($S10074,References!$B$3:$C$7,2,FALSE))),"")</f>
        <v/>
      </c>
      <c r="W10074" s="74" t="str">
        <f>IFERROR(VLOOKUP($O10074,'Customer List'!$A$1:$J$488,10,FALSE),"")</f>
        <v/>
      </c>
    </row>
    <row r="10075" spans="18:23">
      <c r="R10075" s="127">
        <f t="shared" si="380"/>
        <v>0</v>
      </c>
      <c r="U10075" s="129" t="str">
        <f>IFERROR(IF(#REF!="S",VLOOKUP('Raw Data'!A10075,References!#REF!,2,FALSE),(VLOOKUP($S10075,References!$B$3:$C$7,2,FALSE))),"")</f>
        <v/>
      </c>
      <c r="W10075" s="74" t="str">
        <f>IFERROR(VLOOKUP($O10075,'Customer List'!$A$1:$J$488,10,FALSE),"")</f>
        <v/>
      </c>
    </row>
    <row r="10076" spans="18:23">
      <c r="R10076" s="127">
        <f t="shared" si="380"/>
        <v>0</v>
      </c>
      <c r="U10076" s="129" t="str">
        <f>IFERROR(IF(#REF!="S",VLOOKUP('Raw Data'!A10076,References!#REF!,2,FALSE),(VLOOKUP($S10076,References!$B$3:$C$7,2,FALSE))),"")</f>
        <v/>
      </c>
      <c r="W10076" s="74" t="str">
        <f>IFERROR(VLOOKUP($O10076,'Customer List'!$A$1:$J$488,10,FALSE),"")</f>
        <v/>
      </c>
    </row>
    <row r="10077" spans="18:23">
      <c r="R10077" s="127">
        <f t="shared" si="380"/>
        <v>0</v>
      </c>
      <c r="U10077" s="129" t="str">
        <f>IFERROR(IF(#REF!="S",VLOOKUP('Raw Data'!A10077,References!#REF!,2,FALSE),(VLOOKUP($S10077,References!$B$3:$C$7,2,FALSE))),"")</f>
        <v/>
      </c>
      <c r="W10077" s="74" t="str">
        <f>IFERROR(VLOOKUP($O10077,'Customer List'!$A$1:$J$488,10,FALSE),"")</f>
        <v/>
      </c>
    </row>
    <row r="10078" spans="18:23">
      <c r="R10078" s="127">
        <f t="shared" si="380"/>
        <v>0</v>
      </c>
      <c r="U10078" s="129" t="str">
        <f>IFERROR(IF(#REF!="S",VLOOKUP('Raw Data'!A10078,References!#REF!,2,FALSE),(VLOOKUP($S10078,References!$B$3:$C$7,2,FALSE))),"")</f>
        <v/>
      </c>
      <c r="W10078" s="74" t="str">
        <f>IFERROR(VLOOKUP($O10078,'Customer List'!$A$1:$J$488,10,FALSE),"")</f>
        <v/>
      </c>
    </row>
    <row r="10079" spans="18:23">
      <c r="R10079" s="127">
        <f t="shared" si="380"/>
        <v>0</v>
      </c>
      <c r="U10079" s="129" t="str">
        <f>IFERROR(IF(#REF!="S",VLOOKUP('Raw Data'!A10079,References!#REF!,2,FALSE),(VLOOKUP($S10079,References!$B$3:$C$7,2,FALSE))),"")</f>
        <v/>
      </c>
      <c r="W10079" s="74" t="str">
        <f>IFERROR(VLOOKUP($O10079,'Customer List'!$A$1:$J$488,10,FALSE),"")</f>
        <v/>
      </c>
    </row>
    <row r="10080" spans="18:23">
      <c r="R10080" s="127">
        <f t="shared" si="380"/>
        <v>0</v>
      </c>
      <c r="U10080" s="129" t="str">
        <f>IFERROR(IF(#REF!="S",VLOOKUP('Raw Data'!A10080,References!#REF!,2,FALSE),(VLOOKUP($S10080,References!$B$3:$C$7,2,FALSE))),"")</f>
        <v/>
      </c>
      <c r="W10080" s="74" t="str">
        <f>IFERROR(VLOOKUP($O10080,'Customer List'!$A$1:$J$488,10,FALSE),"")</f>
        <v/>
      </c>
    </row>
    <row r="10081" spans="18:23">
      <c r="R10081" s="127">
        <f t="shared" si="380"/>
        <v>0</v>
      </c>
      <c r="U10081" s="129" t="str">
        <f>IFERROR(IF(#REF!="S",VLOOKUP('Raw Data'!A10081,References!#REF!,2,FALSE),(VLOOKUP($S10081,References!$B$3:$C$7,2,FALSE))),"")</f>
        <v/>
      </c>
      <c r="W10081" s="74" t="str">
        <f>IFERROR(VLOOKUP($O10081,'Customer List'!$A$1:$J$488,10,FALSE),"")</f>
        <v/>
      </c>
    </row>
    <row r="10082" spans="18:23">
      <c r="R10082" s="127">
        <f t="shared" ref="R10082:R10145" si="381">L10082-K10082</f>
        <v>0</v>
      </c>
      <c r="U10082" s="129" t="str">
        <f>IFERROR(IF(#REF!="S",VLOOKUP('Raw Data'!A10082,References!#REF!,2,FALSE),(VLOOKUP($S10082,References!$B$3:$C$7,2,FALSE))),"")</f>
        <v/>
      </c>
      <c r="W10082" s="74" t="str">
        <f>IFERROR(VLOOKUP($O10082,'Customer List'!$A$1:$J$488,10,FALSE),"")</f>
        <v/>
      </c>
    </row>
    <row r="10083" spans="18:23">
      <c r="R10083" s="127">
        <f t="shared" si="381"/>
        <v>0</v>
      </c>
      <c r="U10083" s="129" t="str">
        <f>IFERROR(IF(#REF!="S",VLOOKUP('Raw Data'!A10083,References!#REF!,2,FALSE),(VLOOKUP($S10083,References!$B$3:$C$7,2,FALSE))),"")</f>
        <v/>
      </c>
      <c r="W10083" s="74" t="str">
        <f>IFERROR(VLOOKUP($O10083,'Customer List'!$A$1:$J$488,10,FALSE),"")</f>
        <v/>
      </c>
    </row>
    <row r="10084" spans="18:23">
      <c r="R10084" s="127">
        <f t="shared" si="381"/>
        <v>0</v>
      </c>
      <c r="U10084" s="129" t="str">
        <f>IFERROR(IF(#REF!="S",VLOOKUP('Raw Data'!A10084,References!#REF!,2,FALSE),(VLOOKUP($S10084,References!$B$3:$C$7,2,FALSE))),"")</f>
        <v/>
      </c>
      <c r="W10084" s="74" t="str">
        <f>IFERROR(VLOOKUP($O10084,'Customer List'!$A$1:$J$488,10,FALSE),"")</f>
        <v/>
      </c>
    </row>
    <row r="10085" spans="18:23">
      <c r="R10085" s="127">
        <f t="shared" si="381"/>
        <v>0</v>
      </c>
      <c r="U10085" s="129" t="str">
        <f>IFERROR(IF(#REF!="S",VLOOKUP('Raw Data'!A10085,References!#REF!,2,FALSE),(VLOOKUP($S10085,References!$B$3:$C$7,2,FALSE))),"")</f>
        <v/>
      </c>
      <c r="W10085" s="74" t="str">
        <f>IFERROR(VLOOKUP($O10085,'Customer List'!$A$1:$J$488,10,FALSE),"")</f>
        <v/>
      </c>
    </row>
    <row r="10086" spans="18:23">
      <c r="R10086" s="127">
        <f t="shared" si="381"/>
        <v>0</v>
      </c>
      <c r="U10086" s="129" t="str">
        <f>IFERROR(IF(#REF!="S",VLOOKUP('Raw Data'!A10086,References!#REF!,2,FALSE),(VLOOKUP($S10086,References!$B$3:$C$7,2,FALSE))),"")</f>
        <v/>
      </c>
      <c r="W10086" s="74" t="str">
        <f>IFERROR(VLOOKUP($O10086,'Customer List'!$A$1:$J$488,10,FALSE),"")</f>
        <v/>
      </c>
    </row>
    <row r="10087" spans="18:23">
      <c r="R10087" s="127">
        <f t="shared" si="381"/>
        <v>0</v>
      </c>
      <c r="U10087" s="129" t="str">
        <f>IFERROR(IF(#REF!="S",VLOOKUP('Raw Data'!A10087,References!#REF!,2,FALSE),(VLOOKUP($S10087,References!$B$3:$C$7,2,FALSE))),"")</f>
        <v/>
      </c>
      <c r="W10087" s="74" t="str">
        <f>IFERROR(VLOOKUP($O10087,'Customer List'!$A$1:$J$488,10,FALSE),"")</f>
        <v/>
      </c>
    </row>
    <row r="10088" spans="18:23">
      <c r="R10088" s="127">
        <f t="shared" si="381"/>
        <v>0</v>
      </c>
      <c r="U10088" s="129" t="str">
        <f>IFERROR(IF(#REF!="S",VLOOKUP('Raw Data'!A10088,References!#REF!,2,FALSE),(VLOOKUP($S10088,References!$B$3:$C$7,2,FALSE))),"")</f>
        <v/>
      </c>
      <c r="W10088" s="74" t="str">
        <f>IFERROR(VLOOKUP($O10088,'Customer List'!$A$1:$J$488,10,FALSE),"")</f>
        <v/>
      </c>
    </row>
    <row r="10089" spans="18:23">
      <c r="R10089" s="127">
        <f t="shared" si="381"/>
        <v>0</v>
      </c>
      <c r="U10089" s="129" t="str">
        <f>IFERROR(IF(#REF!="S",VLOOKUP('Raw Data'!A10089,References!#REF!,2,FALSE),(VLOOKUP($S10089,References!$B$3:$C$7,2,FALSE))),"")</f>
        <v/>
      </c>
      <c r="W10089" s="74" t="str">
        <f>IFERROR(VLOOKUP($O10089,'Customer List'!$A$1:$J$488,10,FALSE),"")</f>
        <v/>
      </c>
    </row>
    <row r="10090" spans="18:23">
      <c r="R10090" s="127">
        <f t="shared" si="381"/>
        <v>0</v>
      </c>
      <c r="U10090" s="129" t="str">
        <f>IFERROR(IF(#REF!="S",VLOOKUP('Raw Data'!A10090,References!#REF!,2,FALSE),(VLOOKUP($S10090,References!$B$3:$C$7,2,FALSE))),"")</f>
        <v/>
      </c>
      <c r="W10090" s="74" t="str">
        <f>IFERROR(VLOOKUP($O10090,'Customer List'!$A$1:$J$488,10,FALSE),"")</f>
        <v/>
      </c>
    </row>
    <row r="10091" spans="18:23">
      <c r="R10091" s="127">
        <f t="shared" si="381"/>
        <v>0</v>
      </c>
      <c r="U10091" s="129" t="str">
        <f>IFERROR(IF(#REF!="S",VLOOKUP('Raw Data'!A10091,References!#REF!,2,FALSE),(VLOOKUP($S10091,References!$B$3:$C$7,2,FALSE))),"")</f>
        <v/>
      </c>
      <c r="W10091" s="74" t="str">
        <f>IFERROR(VLOOKUP($O10091,'Customer List'!$A$1:$J$488,10,FALSE),"")</f>
        <v/>
      </c>
    </row>
    <row r="10092" spans="18:23">
      <c r="R10092" s="127">
        <f t="shared" si="381"/>
        <v>0</v>
      </c>
      <c r="U10092" s="129" t="str">
        <f>IFERROR(IF(#REF!="S",VLOOKUP('Raw Data'!A10092,References!#REF!,2,FALSE),(VLOOKUP($S10092,References!$B$3:$C$7,2,FALSE))),"")</f>
        <v/>
      </c>
      <c r="W10092" s="74" t="str">
        <f>IFERROR(VLOOKUP($O10092,'Customer List'!$A$1:$J$488,10,FALSE),"")</f>
        <v/>
      </c>
    </row>
    <row r="10093" spans="18:23">
      <c r="R10093" s="127">
        <f t="shared" si="381"/>
        <v>0</v>
      </c>
      <c r="U10093" s="129" t="str">
        <f>IFERROR(IF(#REF!="S",VLOOKUP('Raw Data'!A10093,References!#REF!,2,FALSE),(VLOOKUP($S10093,References!$B$3:$C$7,2,FALSE))),"")</f>
        <v/>
      </c>
      <c r="W10093" s="74" t="str">
        <f>IFERROR(VLOOKUP($O10093,'Customer List'!$A$1:$J$488,10,FALSE),"")</f>
        <v/>
      </c>
    </row>
    <row r="10094" spans="18:23">
      <c r="R10094" s="127">
        <f t="shared" si="381"/>
        <v>0</v>
      </c>
      <c r="U10094" s="129" t="str">
        <f>IFERROR(IF(#REF!="S",VLOOKUP('Raw Data'!A10094,References!#REF!,2,FALSE),(VLOOKUP($S10094,References!$B$3:$C$7,2,FALSE))),"")</f>
        <v/>
      </c>
      <c r="W10094" s="74" t="str">
        <f>IFERROR(VLOOKUP($O10094,'Customer List'!$A$1:$J$488,10,FALSE),"")</f>
        <v/>
      </c>
    </row>
    <row r="10095" spans="18:23">
      <c r="R10095" s="127">
        <f t="shared" si="381"/>
        <v>0</v>
      </c>
      <c r="U10095" s="129" t="str">
        <f>IFERROR(IF(#REF!="S",VLOOKUP('Raw Data'!A10095,References!#REF!,2,FALSE),(VLOOKUP($S10095,References!$B$3:$C$7,2,FALSE))),"")</f>
        <v/>
      </c>
      <c r="W10095" s="74" t="str">
        <f>IFERROR(VLOOKUP($O10095,'Customer List'!$A$1:$J$488,10,FALSE),"")</f>
        <v/>
      </c>
    </row>
    <row r="10096" spans="18:23">
      <c r="R10096" s="127">
        <f t="shared" si="381"/>
        <v>0</v>
      </c>
      <c r="U10096" s="129" t="str">
        <f>IFERROR(IF(#REF!="S",VLOOKUP('Raw Data'!A10096,References!#REF!,2,FALSE),(VLOOKUP($S10096,References!$B$3:$C$7,2,FALSE))),"")</f>
        <v/>
      </c>
      <c r="W10096" s="74" t="str">
        <f>IFERROR(VLOOKUP($O10096,'Customer List'!$A$1:$J$488,10,FALSE),"")</f>
        <v/>
      </c>
    </row>
    <row r="10097" spans="18:23">
      <c r="R10097" s="127">
        <f t="shared" si="381"/>
        <v>0</v>
      </c>
      <c r="U10097" s="129" t="str">
        <f>IFERROR(IF(#REF!="S",VLOOKUP('Raw Data'!A10097,References!#REF!,2,FALSE),(VLOOKUP($S10097,References!$B$3:$C$7,2,FALSE))),"")</f>
        <v/>
      </c>
      <c r="W10097" s="74" t="str">
        <f>IFERROR(VLOOKUP($O10097,'Customer List'!$A$1:$J$488,10,FALSE),"")</f>
        <v/>
      </c>
    </row>
    <row r="10098" spans="18:23">
      <c r="R10098" s="127">
        <f t="shared" si="381"/>
        <v>0</v>
      </c>
      <c r="U10098" s="129" t="str">
        <f>IFERROR(IF(#REF!="S",VLOOKUP('Raw Data'!A10098,References!#REF!,2,FALSE),(VLOOKUP($S10098,References!$B$3:$C$7,2,FALSE))),"")</f>
        <v/>
      </c>
      <c r="W10098" s="74" t="str">
        <f>IFERROR(VLOOKUP($O10098,'Customer List'!$A$1:$J$488,10,FALSE),"")</f>
        <v/>
      </c>
    </row>
    <row r="10099" spans="18:23">
      <c r="R10099" s="127">
        <f t="shared" si="381"/>
        <v>0</v>
      </c>
      <c r="U10099" s="129" t="str">
        <f>IFERROR(IF(#REF!="S",VLOOKUP('Raw Data'!A10099,References!#REF!,2,FALSE),(VLOOKUP($S10099,References!$B$3:$C$7,2,FALSE))),"")</f>
        <v/>
      </c>
      <c r="W10099" s="74" t="str">
        <f>IFERROR(VLOOKUP($O10099,'Customer List'!$A$1:$J$488,10,FALSE),"")</f>
        <v/>
      </c>
    </row>
    <row r="10100" spans="18:23">
      <c r="R10100" s="127">
        <f t="shared" si="381"/>
        <v>0</v>
      </c>
      <c r="U10100" s="129" t="str">
        <f>IFERROR(IF(#REF!="S",VLOOKUP('Raw Data'!A10100,References!#REF!,2,FALSE),(VLOOKUP($S10100,References!$B$3:$C$7,2,FALSE))),"")</f>
        <v/>
      </c>
      <c r="W10100" s="74" t="str">
        <f>IFERROR(VLOOKUP($O10100,'Customer List'!$A$1:$J$488,10,FALSE),"")</f>
        <v/>
      </c>
    </row>
    <row r="10101" spans="18:23">
      <c r="R10101" s="127">
        <f t="shared" si="381"/>
        <v>0</v>
      </c>
      <c r="U10101" s="129" t="str">
        <f>IFERROR(IF(#REF!="S",VLOOKUP('Raw Data'!A10101,References!#REF!,2,FALSE),(VLOOKUP($S10101,References!$B$3:$C$7,2,FALSE))),"")</f>
        <v/>
      </c>
      <c r="W10101" s="74" t="str">
        <f>IFERROR(VLOOKUP($O10101,'Customer List'!$A$1:$J$488,10,FALSE),"")</f>
        <v/>
      </c>
    </row>
    <row r="10102" spans="18:23">
      <c r="R10102" s="127">
        <f t="shared" si="381"/>
        <v>0</v>
      </c>
      <c r="U10102" s="129" t="str">
        <f>IFERROR(IF(#REF!="S",VLOOKUP('Raw Data'!A10102,References!#REF!,2,FALSE),(VLOOKUP($S10102,References!$B$3:$C$7,2,FALSE))),"")</f>
        <v/>
      </c>
      <c r="W10102" s="74" t="str">
        <f>IFERROR(VLOOKUP($O10102,'Customer List'!$A$1:$J$488,10,FALSE),"")</f>
        <v/>
      </c>
    </row>
    <row r="10103" spans="18:23">
      <c r="R10103" s="127">
        <f t="shared" si="381"/>
        <v>0</v>
      </c>
      <c r="U10103" s="129" t="str">
        <f>IFERROR(IF(#REF!="S",VLOOKUP('Raw Data'!A10103,References!#REF!,2,FALSE),(VLOOKUP($S10103,References!$B$3:$C$7,2,FALSE))),"")</f>
        <v/>
      </c>
      <c r="W10103" s="74" t="str">
        <f>IFERROR(VLOOKUP($O10103,'Customer List'!$A$1:$J$488,10,FALSE),"")</f>
        <v/>
      </c>
    </row>
    <row r="10104" spans="18:23">
      <c r="R10104" s="127">
        <f t="shared" si="381"/>
        <v>0</v>
      </c>
      <c r="U10104" s="129" t="str">
        <f>IFERROR(IF(#REF!="S",VLOOKUP('Raw Data'!A10104,References!#REF!,2,FALSE),(VLOOKUP($S10104,References!$B$3:$C$7,2,FALSE))),"")</f>
        <v/>
      </c>
      <c r="W10104" s="74" t="str">
        <f>IFERROR(VLOOKUP($O10104,'Customer List'!$A$1:$J$488,10,FALSE),"")</f>
        <v/>
      </c>
    </row>
    <row r="10105" spans="18:23">
      <c r="R10105" s="127">
        <f t="shared" si="381"/>
        <v>0</v>
      </c>
      <c r="U10105" s="129" t="str">
        <f>IFERROR(IF(#REF!="S",VLOOKUP('Raw Data'!A10105,References!#REF!,2,FALSE),(VLOOKUP($S10105,References!$B$3:$C$7,2,FALSE))),"")</f>
        <v/>
      </c>
      <c r="W10105" s="74" t="str">
        <f>IFERROR(VLOOKUP($O10105,'Customer List'!$A$1:$J$488,10,FALSE),"")</f>
        <v/>
      </c>
    </row>
    <row r="10106" spans="18:23">
      <c r="R10106" s="127">
        <f t="shared" si="381"/>
        <v>0</v>
      </c>
      <c r="U10106" s="129" t="str">
        <f>IFERROR(IF(#REF!="S",VLOOKUP('Raw Data'!A10106,References!#REF!,2,FALSE),(VLOOKUP($S10106,References!$B$3:$C$7,2,FALSE))),"")</f>
        <v/>
      </c>
      <c r="W10106" s="74" t="str">
        <f>IFERROR(VLOOKUP($O10106,'Customer List'!$A$1:$J$488,10,FALSE),"")</f>
        <v/>
      </c>
    </row>
    <row r="10107" spans="18:23">
      <c r="R10107" s="127">
        <f t="shared" si="381"/>
        <v>0</v>
      </c>
      <c r="U10107" s="129" t="str">
        <f>IFERROR(IF(#REF!="S",VLOOKUP('Raw Data'!A10107,References!#REF!,2,FALSE),(VLOOKUP($S10107,References!$B$3:$C$7,2,FALSE))),"")</f>
        <v/>
      </c>
      <c r="W10107" s="74" t="str">
        <f>IFERROR(VLOOKUP($O10107,'Customer List'!$A$1:$J$488,10,FALSE),"")</f>
        <v/>
      </c>
    </row>
    <row r="10108" spans="18:23">
      <c r="R10108" s="127">
        <f t="shared" si="381"/>
        <v>0</v>
      </c>
      <c r="U10108" s="129" t="str">
        <f>IFERROR(IF(#REF!="S",VLOOKUP('Raw Data'!A10108,References!#REF!,2,FALSE),(VLOOKUP($S10108,References!$B$3:$C$7,2,FALSE))),"")</f>
        <v/>
      </c>
      <c r="W10108" s="74" t="str">
        <f>IFERROR(VLOOKUP($O10108,'Customer List'!$A$1:$J$488,10,FALSE),"")</f>
        <v/>
      </c>
    </row>
    <row r="10109" spans="18:23">
      <c r="R10109" s="127">
        <f t="shared" si="381"/>
        <v>0</v>
      </c>
      <c r="U10109" s="129" t="str">
        <f>IFERROR(IF(#REF!="S",VLOOKUP('Raw Data'!A10109,References!#REF!,2,FALSE),(VLOOKUP($S10109,References!$B$3:$C$7,2,FALSE))),"")</f>
        <v/>
      </c>
      <c r="W10109" s="74" t="str">
        <f>IFERROR(VLOOKUP($O10109,'Customer List'!$A$1:$J$488,10,FALSE),"")</f>
        <v/>
      </c>
    </row>
    <row r="10110" spans="18:23">
      <c r="R10110" s="127">
        <f t="shared" si="381"/>
        <v>0</v>
      </c>
      <c r="U10110" s="129" t="str">
        <f>IFERROR(IF(#REF!="S",VLOOKUP('Raw Data'!A10110,References!#REF!,2,FALSE),(VLOOKUP($S10110,References!$B$3:$C$7,2,FALSE))),"")</f>
        <v/>
      </c>
      <c r="W10110" s="74" t="str">
        <f>IFERROR(VLOOKUP($O10110,'Customer List'!$A$1:$J$488,10,FALSE),"")</f>
        <v/>
      </c>
    </row>
    <row r="10111" spans="18:23">
      <c r="R10111" s="127">
        <f t="shared" si="381"/>
        <v>0</v>
      </c>
      <c r="U10111" s="129" t="str">
        <f>IFERROR(IF(#REF!="S",VLOOKUP('Raw Data'!A10111,References!#REF!,2,FALSE),(VLOOKUP($S10111,References!$B$3:$C$7,2,FALSE))),"")</f>
        <v/>
      </c>
      <c r="W10111" s="74" t="str">
        <f>IFERROR(VLOOKUP($O10111,'Customer List'!$A$1:$J$488,10,FALSE),"")</f>
        <v/>
      </c>
    </row>
    <row r="10112" spans="18:23">
      <c r="R10112" s="127">
        <f t="shared" si="381"/>
        <v>0</v>
      </c>
      <c r="U10112" s="129" t="str">
        <f>IFERROR(IF(#REF!="S",VLOOKUP('Raw Data'!A10112,References!#REF!,2,FALSE),(VLOOKUP($S10112,References!$B$3:$C$7,2,FALSE))),"")</f>
        <v/>
      </c>
      <c r="W10112" s="74" t="str">
        <f>IFERROR(VLOOKUP($O10112,'Customer List'!$A$1:$J$488,10,FALSE),"")</f>
        <v/>
      </c>
    </row>
    <row r="10113" spans="18:23">
      <c r="R10113" s="127">
        <f t="shared" si="381"/>
        <v>0</v>
      </c>
      <c r="U10113" s="129" t="str">
        <f>IFERROR(IF(#REF!="S",VLOOKUP('Raw Data'!A10113,References!#REF!,2,FALSE),(VLOOKUP($S10113,References!$B$3:$C$7,2,FALSE))),"")</f>
        <v/>
      </c>
      <c r="W10113" s="74" t="str">
        <f>IFERROR(VLOOKUP($O10113,'Customer List'!$A$1:$J$488,10,FALSE),"")</f>
        <v/>
      </c>
    </row>
    <row r="10114" spans="18:23">
      <c r="R10114" s="127">
        <f t="shared" si="381"/>
        <v>0</v>
      </c>
      <c r="U10114" s="129" t="str">
        <f>IFERROR(IF(#REF!="S",VLOOKUP('Raw Data'!A10114,References!#REF!,2,FALSE),(VLOOKUP($S10114,References!$B$3:$C$7,2,FALSE))),"")</f>
        <v/>
      </c>
      <c r="W10114" s="74" t="str">
        <f>IFERROR(VLOOKUP($O10114,'Customer List'!$A$1:$J$488,10,FALSE),"")</f>
        <v/>
      </c>
    </row>
    <row r="10115" spans="18:23">
      <c r="R10115" s="127">
        <f t="shared" si="381"/>
        <v>0</v>
      </c>
      <c r="U10115" s="129" t="str">
        <f>IFERROR(IF(#REF!="S",VLOOKUP('Raw Data'!A10115,References!#REF!,2,FALSE),(VLOOKUP($S10115,References!$B$3:$C$7,2,FALSE))),"")</f>
        <v/>
      </c>
      <c r="W10115" s="74" t="str">
        <f>IFERROR(VLOOKUP($O10115,'Customer List'!$A$1:$J$488,10,FALSE),"")</f>
        <v/>
      </c>
    </row>
    <row r="10116" spans="18:23">
      <c r="R10116" s="127">
        <f t="shared" si="381"/>
        <v>0</v>
      </c>
      <c r="U10116" s="129" t="str">
        <f>IFERROR(IF(#REF!="S",VLOOKUP('Raw Data'!A10116,References!#REF!,2,FALSE),(VLOOKUP($S10116,References!$B$3:$C$7,2,FALSE))),"")</f>
        <v/>
      </c>
      <c r="W10116" s="74" t="str">
        <f>IFERROR(VLOOKUP($O10116,'Customer List'!$A$1:$J$488,10,FALSE),"")</f>
        <v/>
      </c>
    </row>
    <row r="10117" spans="18:23">
      <c r="R10117" s="127">
        <f t="shared" si="381"/>
        <v>0</v>
      </c>
      <c r="U10117" s="129" t="str">
        <f>IFERROR(IF(#REF!="S",VLOOKUP('Raw Data'!A10117,References!#REF!,2,FALSE),(VLOOKUP($S10117,References!$B$3:$C$7,2,FALSE))),"")</f>
        <v/>
      </c>
      <c r="W10117" s="74" t="str">
        <f>IFERROR(VLOOKUP($O10117,'Customer List'!$A$1:$J$488,10,FALSE),"")</f>
        <v/>
      </c>
    </row>
    <row r="10118" spans="18:23">
      <c r="R10118" s="127">
        <f t="shared" si="381"/>
        <v>0</v>
      </c>
      <c r="U10118" s="129" t="str">
        <f>IFERROR(IF(#REF!="S",VLOOKUP('Raw Data'!A10118,References!#REF!,2,FALSE),(VLOOKUP($S10118,References!$B$3:$C$7,2,FALSE))),"")</f>
        <v/>
      </c>
      <c r="W10118" s="74" t="str">
        <f>IFERROR(VLOOKUP($O10118,'Customer List'!$A$1:$J$488,10,FALSE),"")</f>
        <v/>
      </c>
    </row>
    <row r="10119" spans="18:23">
      <c r="R10119" s="127">
        <f t="shared" si="381"/>
        <v>0</v>
      </c>
      <c r="U10119" s="129" t="str">
        <f>IFERROR(IF(#REF!="S",VLOOKUP('Raw Data'!A10119,References!#REF!,2,FALSE),(VLOOKUP($S10119,References!$B$3:$C$7,2,FALSE))),"")</f>
        <v/>
      </c>
      <c r="W10119" s="74" t="str">
        <f>IFERROR(VLOOKUP($O10119,'Customer List'!$A$1:$J$488,10,FALSE),"")</f>
        <v/>
      </c>
    </row>
    <row r="10120" spans="18:23">
      <c r="R10120" s="127">
        <f t="shared" si="381"/>
        <v>0</v>
      </c>
      <c r="U10120" s="129" t="str">
        <f>IFERROR(IF(#REF!="S",VLOOKUP('Raw Data'!A10120,References!#REF!,2,FALSE),(VLOOKUP($S10120,References!$B$3:$C$7,2,FALSE))),"")</f>
        <v/>
      </c>
      <c r="W10120" s="74" t="str">
        <f>IFERROR(VLOOKUP($O10120,'Customer List'!$A$1:$J$488,10,FALSE),"")</f>
        <v/>
      </c>
    </row>
    <row r="10121" spans="18:23">
      <c r="R10121" s="127">
        <f t="shared" si="381"/>
        <v>0</v>
      </c>
      <c r="U10121" s="129" t="str">
        <f>IFERROR(IF(#REF!="S",VLOOKUP('Raw Data'!A10121,References!#REF!,2,FALSE),(VLOOKUP($S10121,References!$B$3:$C$7,2,FALSE))),"")</f>
        <v/>
      </c>
      <c r="W10121" s="74" t="str">
        <f>IFERROR(VLOOKUP($O10121,'Customer List'!$A$1:$J$488,10,FALSE),"")</f>
        <v/>
      </c>
    </row>
    <row r="10122" spans="18:23">
      <c r="R10122" s="127">
        <f t="shared" si="381"/>
        <v>0</v>
      </c>
      <c r="U10122" s="129" t="str">
        <f>IFERROR(IF(#REF!="S",VLOOKUP('Raw Data'!A10122,References!#REF!,2,FALSE),(VLOOKUP($S10122,References!$B$3:$C$7,2,FALSE))),"")</f>
        <v/>
      </c>
      <c r="W10122" s="74" t="str">
        <f>IFERROR(VLOOKUP($O10122,'Customer List'!$A$1:$J$488,10,FALSE),"")</f>
        <v/>
      </c>
    </row>
    <row r="10123" spans="18:23">
      <c r="R10123" s="127">
        <f t="shared" si="381"/>
        <v>0</v>
      </c>
      <c r="U10123" s="129" t="str">
        <f>IFERROR(IF(#REF!="S",VLOOKUP('Raw Data'!A10123,References!#REF!,2,FALSE),(VLOOKUP($S10123,References!$B$3:$C$7,2,FALSE))),"")</f>
        <v/>
      </c>
      <c r="W10123" s="74" t="str">
        <f>IFERROR(VLOOKUP($O10123,'Customer List'!$A$1:$J$488,10,FALSE),"")</f>
        <v/>
      </c>
    </row>
    <row r="10124" spans="18:23">
      <c r="R10124" s="127">
        <f t="shared" si="381"/>
        <v>0</v>
      </c>
      <c r="U10124" s="129" t="str">
        <f>IFERROR(IF(#REF!="S",VLOOKUP('Raw Data'!A10124,References!#REF!,2,FALSE),(VLOOKUP($S10124,References!$B$3:$C$7,2,FALSE))),"")</f>
        <v/>
      </c>
      <c r="W10124" s="74" t="str">
        <f>IFERROR(VLOOKUP($O10124,'Customer List'!$A$1:$J$488,10,FALSE),"")</f>
        <v/>
      </c>
    </row>
    <row r="10125" spans="18:23">
      <c r="R10125" s="127">
        <f t="shared" si="381"/>
        <v>0</v>
      </c>
      <c r="U10125" s="129" t="str">
        <f>IFERROR(IF(#REF!="S",VLOOKUP('Raw Data'!A10125,References!#REF!,2,FALSE),(VLOOKUP($S10125,References!$B$3:$C$7,2,FALSE))),"")</f>
        <v/>
      </c>
      <c r="W10125" s="74" t="str">
        <f>IFERROR(VLOOKUP($O10125,'Customer List'!$A$1:$J$488,10,FALSE),"")</f>
        <v/>
      </c>
    </row>
    <row r="10126" spans="18:23">
      <c r="R10126" s="127">
        <f t="shared" si="381"/>
        <v>0</v>
      </c>
      <c r="U10126" s="129" t="str">
        <f>IFERROR(IF(#REF!="S",VLOOKUP('Raw Data'!A10126,References!#REF!,2,FALSE),(VLOOKUP($S10126,References!$B$3:$C$7,2,FALSE))),"")</f>
        <v/>
      </c>
      <c r="W10126" s="74" t="str">
        <f>IFERROR(VLOOKUP($O10126,'Customer List'!$A$1:$J$488,10,FALSE),"")</f>
        <v/>
      </c>
    </row>
    <row r="10127" spans="18:23">
      <c r="R10127" s="127">
        <f t="shared" si="381"/>
        <v>0</v>
      </c>
      <c r="U10127" s="129" t="str">
        <f>IFERROR(IF(#REF!="S",VLOOKUP('Raw Data'!A10127,References!#REF!,2,FALSE),(VLOOKUP($S10127,References!$B$3:$C$7,2,FALSE))),"")</f>
        <v/>
      </c>
      <c r="W10127" s="74" t="str">
        <f>IFERROR(VLOOKUP($O10127,'Customer List'!$A$1:$J$488,10,FALSE),"")</f>
        <v/>
      </c>
    </row>
    <row r="10128" spans="18:23">
      <c r="R10128" s="127">
        <f t="shared" si="381"/>
        <v>0</v>
      </c>
      <c r="U10128" s="129" t="str">
        <f>IFERROR(IF(#REF!="S",VLOOKUP('Raw Data'!A10128,References!#REF!,2,FALSE),(VLOOKUP($S10128,References!$B$3:$C$7,2,FALSE))),"")</f>
        <v/>
      </c>
      <c r="W10128" s="74" t="str">
        <f>IFERROR(VLOOKUP($O10128,'Customer List'!$A$1:$J$488,10,FALSE),"")</f>
        <v/>
      </c>
    </row>
    <row r="10129" spans="18:23">
      <c r="R10129" s="127">
        <f t="shared" si="381"/>
        <v>0</v>
      </c>
      <c r="U10129" s="129" t="str">
        <f>IFERROR(IF(#REF!="S",VLOOKUP('Raw Data'!A10129,References!#REF!,2,FALSE),(VLOOKUP($S10129,References!$B$3:$C$7,2,FALSE))),"")</f>
        <v/>
      </c>
      <c r="W10129" s="74" t="str">
        <f>IFERROR(VLOOKUP($O10129,'Customer List'!$A$1:$J$488,10,FALSE),"")</f>
        <v/>
      </c>
    </row>
    <row r="10130" spans="18:23">
      <c r="R10130" s="127">
        <f t="shared" si="381"/>
        <v>0</v>
      </c>
      <c r="U10130" s="129" t="str">
        <f>IFERROR(IF(#REF!="S",VLOOKUP('Raw Data'!A10130,References!#REF!,2,FALSE),(VLOOKUP($S10130,References!$B$3:$C$7,2,FALSE))),"")</f>
        <v/>
      </c>
      <c r="W10130" s="74" t="str">
        <f>IFERROR(VLOOKUP($O10130,'Customer List'!$A$1:$J$488,10,FALSE),"")</f>
        <v/>
      </c>
    </row>
    <row r="10131" spans="18:23">
      <c r="R10131" s="127">
        <f t="shared" si="381"/>
        <v>0</v>
      </c>
      <c r="U10131" s="129" t="str">
        <f>IFERROR(IF(#REF!="S",VLOOKUP('Raw Data'!A10131,References!#REF!,2,FALSE),(VLOOKUP($S10131,References!$B$3:$C$7,2,FALSE))),"")</f>
        <v/>
      </c>
      <c r="W10131" s="74" t="str">
        <f>IFERROR(VLOOKUP($O10131,'Customer List'!$A$1:$J$488,10,FALSE),"")</f>
        <v/>
      </c>
    </row>
    <row r="10132" spans="18:23">
      <c r="R10132" s="127">
        <f t="shared" si="381"/>
        <v>0</v>
      </c>
      <c r="U10132" s="129" t="str">
        <f>IFERROR(IF(#REF!="S",VLOOKUP('Raw Data'!A10132,References!#REF!,2,FALSE),(VLOOKUP($S10132,References!$B$3:$C$7,2,FALSE))),"")</f>
        <v/>
      </c>
      <c r="W10132" s="74" t="str">
        <f>IFERROR(VLOOKUP($O10132,'Customer List'!$A$1:$J$488,10,FALSE),"")</f>
        <v/>
      </c>
    </row>
    <row r="10133" spans="18:23">
      <c r="R10133" s="127">
        <f t="shared" si="381"/>
        <v>0</v>
      </c>
      <c r="U10133" s="129" t="str">
        <f>IFERROR(IF(#REF!="S",VLOOKUP('Raw Data'!A10133,References!#REF!,2,FALSE),(VLOOKUP($S10133,References!$B$3:$C$7,2,FALSE))),"")</f>
        <v/>
      </c>
      <c r="W10133" s="74" t="str">
        <f>IFERROR(VLOOKUP($O10133,'Customer List'!$A$1:$J$488,10,FALSE),"")</f>
        <v/>
      </c>
    </row>
    <row r="10134" spans="18:23">
      <c r="R10134" s="127">
        <f t="shared" si="381"/>
        <v>0</v>
      </c>
      <c r="U10134" s="129" t="str">
        <f>IFERROR(IF(#REF!="S",VLOOKUP('Raw Data'!A10134,References!#REF!,2,FALSE),(VLOOKUP($S10134,References!$B$3:$C$7,2,FALSE))),"")</f>
        <v/>
      </c>
      <c r="W10134" s="74" t="str">
        <f>IFERROR(VLOOKUP($O10134,'Customer List'!$A$1:$J$488,10,FALSE),"")</f>
        <v/>
      </c>
    </row>
    <row r="10135" spans="18:23">
      <c r="R10135" s="127">
        <f t="shared" si="381"/>
        <v>0</v>
      </c>
      <c r="U10135" s="129" t="str">
        <f>IFERROR(IF(#REF!="S",VLOOKUP('Raw Data'!A10135,References!#REF!,2,FALSE),(VLOOKUP($S10135,References!$B$3:$C$7,2,FALSE))),"")</f>
        <v/>
      </c>
      <c r="W10135" s="74" t="str">
        <f>IFERROR(VLOOKUP($O10135,'Customer List'!$A$1:$J$488,10,FALSE),"")</f>
        <v/>
      </c>
    </row>
    <row r="10136" spans="18:23">
      <c r="R10136" s="127">
        <f t="shared" si="381"/>
        <v>0</v>
      </c>
      <c r="U10136" s="129" t="str">
        <f>IFERROR(IF(#REF!="S",VLOOKUP('Raw Data'!A10136,References!#REF!,2,FALSE),(VLOOKUP($S10136,References!$B$3:$C$7,2,FALSE))),"")</f>
        <v/>
      </c>
      <c r="W10136" s="74" t="str">
        <f>IFERROR(VLOOKUP($O10136,'Customer List'!$A$1:$J$488,10,FALSE),"")</f>
        <v/>
      </c>
    </row>
    <row r="10137" spans="18:23">
      <c r="R10137" s="127">
        <f t="shared" si="381"/>
        <v>0</v>
      </c>
      <c r="U10137" s="129" t="str">
        <f>IFERROR(IF(#REF!="S",VLOOKUP('Raw Data'!A10137,References!#REF!,2,FALSE),(VLOOKUP($S10137,References!$B$3:$C$7,2,FALSE))),"")</f>
        <v/>
      </c>
      <c r="W10137" s="74" t="str">
        <f>IFERROR(VLOOKUP($O10137,'Customer List'!$A$1:$J$488,10,FALSE),"")</f>
        <v/>
      </c>
    </row>
    <row r="10138" spans="18:23">
      <c r="R10138" s="127">
        <f t="shared" si="381"/>
        <v>0</v>
      </c>
      <c r="U10138" s="129" t="str">
        <f>IFERROR(IF(#REF!="S",VLOOKUP('Raw Data'!A10138,References!#REF!,2,FALSE),(VLOOKUP($S10138,References!$B$3:$C$7,2,FALSE))),"")</f>
        <v/>
      </c>
      <c r="W10138" s="74" t="str">
        <f>IFERROR(VLOOKUP($O10138,'Customer List'!$A$1:$J$488,10,FALSE),"")</f>
        <v/>
      </c>
    </row>
    <row r="10139" spans="18:23">
      <c r="R10139" s="127">
        <f t="shared" si="381"/>
        <v>0</v>
      </c>
      <c r="U10139" s="129" t="str">
        <f>IFERROR(IF(#REF!="S",VLOOKUP('Raw Data'!A10139,References!#REF!,2,FALSE),(VLOOKUP($S10139,References!$B$3:$C$7,2,FALSE))),"")</f>
        <v/>
      </c>
      <c r="W10139" s="74" t="str">
        <f>IFERROR(VLOOKUP($O10139,'Customer List'!$A$1:$J$488,10,FALSE),"")</f>
        <v/>
      </c>
    </row>
    <row r="10140" spans="18:23">
      <c r="R10140" s="127">
        <f t="shared" si="381"/>
        <v>0</v>
      </c>
      <c r="U10140" s="129" t="str">
        <f>IFERROR(IF(#REF!="S",VLOOKUP('Raw Data'!A10140,References!#REF!,2,FALSE),(VLOOKUP($S10140,References!$B$3:$C$7,2,FALSE))),"")</f>
        <v/>
      </c>
      <c r="W10140" s="74" t="str">
        <f>IFERROR(VLOOKUP($O10140,'Customer List'!$A$1:$J$488,10,FALSE),"")</f>
        <v/>
      </c>
    </row>
    <row r="10141" spans="18:23">
      <c r="R10141" s="127">
        <f t="shared" si="381"/>
        <v>0</v>
      </c>
      <c r="U10141" s="129" t="str">
        <f>IFERROR(IF(#REF!="S",VLOOKUP('Raw Data'!A10141,References!#REF!,2,FALSE),(VLOOKUP($S10141,References!$B$3:$C$7,2,FALSE))),"")</f>
        <v/>
      </c>
      <c r="W10141" s="74" t="str">
        <f>IFERROR(VLOOKUP($O10141,'Customer List'!$A$1:$J$488,10,FALSE),"")</f>
        <v/>
      </c>
    </row>
    <row r="10142" spans="18:23">
      <c r="R10142" s="127">
        <f t="shared" si="381"/>
        <v>0</v>
      </c>
      <c r="U10142" s="129" t="str">
        <f>IFERROR(IF(#REF!="S",VLOOKUP('Raw Data'!A10142,References!#REF!,2,FALSE),(VLOOKUP($S10142,References!$B$3:$C$7,2,FALSE))),"")</f>
        <v/>
      </c>
      <c r="W10142" s="74" t="str">
        <f>IFERROR(VLOOKUP($O10142,'Customer List'!$A$1:$J$488,10,FALSE),"")</f>
        <v/>
      </c>
    </row>
    <row r="10143" spans="18:23">
      <c r="R10143" s="127">
        <f t="shared" si="381"/>
        <v>0</v>
      </c>
      <c r="U10143" s="129" t="str">
        <f>IFERROR(IF(#REF!="S",VLOOKUP('Raw Data'!A10143,References!#REF!,2,FALSE),(VLOOKUP($S10143,References!$B$3:$C$7,2,FALSE))),"")</f>
        <v/>
      </c>
      <c r="W10143" s="74" t="str">
        <f>IFERROR(VLOOKUP($O10143,'Customer List'!$A$1:$J$488,10,FALSE),"")</f>
        <v/>
      </c>
    </row>
    <row r="10144" spans="18:23">
      <c r="R10144" s="127">
        <f t="shared" si="381"/>
        <v>0</v>
      </c>
      <c r="U10144" s="129" t="str">
        <f>IFERROR(IF(#REF!="S",VLOOKUP('Raw Data'!A10144,References!#REF!,2,FALSE),(VLOOKUP($S10144,References!$B$3:$C$7,2,FALSE))),"")</f>
        <v/>
      </c>
      <c r="W10144" s="74" t="str">
        <f>IFERROR(VLOOKUP($O10144,'Customer List'!$A$1:$J$488,10,FALSE),"")</f>
        <v/>
      </c>
    </row>
    <row r="10145" spans="18:23">
      <c r="R10145" s="127">
        <f t="shared" si="381"/>
        <v>0</v>
      </c>
      <c r="U10145" s="129" t="str">
        <f>IFERROR(IF(#REF!="S",VLOOKUP('Raw Data'!A10145,References!#REF!,2,FALSE),(VLOOKUP($S10145,References!$B$3:$C$7,2,FALSE))),"")</f>
        <v/>
      </c>
      <c r="W10145" s="74" t="str">
        <f>IFERROR(VLOOKUP($O10145,'Customer List'!$A$1:$J$488,10,FALSE),"")</f>
        <v/>
      </c>
    </row>
    <row r="10146" spans="18:23">
      <c r="R10146" s="127">
        <f t="shared" ref="R10146:R10209" si="382">L10146-K10146</f>
        <v>0</v>
      </c>
      <c r="U10146" s="129" t="str">
        <f>IFERROR(IF(#REF!="S",VLOOKUP('Raw Data'!A10146,References!#REF!,2,FALSE),(VLOOKUP($S10146,References!$B$3:$C$7,2,FALSE))),"")</f>
        <v/>
      </c>
      <c r="W10146" s="74" t="str">
        <f>IFERROR(VLOOKUP($O10146,'Customer List'!$A$1:$J$488,10,FALSE),"")</f>
        <v/>
      </c>
    </row>
    <row r="10147" spans="18:23">
      <c r="R10147" s="127">
        <f t="shared" si="382"/>
        <v>0</v>
      </c>
      <c r="U10147" s="129" t="str">
        <f>IFERROR(IF(#REF!="S",VLOOKUP('Raw Data'!A10147,References!#REF!,2,FALSE),(VLOOKUP($S10147,References!$B$3:$C$7,2,FALSE))),"")</f>
        <v/>
      </c>
      <c r="W10147" s="74" t="str">
        <f>IFERROR(VLOOKUP($O10147,'Customer List'!$A$1:$J$488,10,FALSE),"")</f>
        <v/>
      </c>
    </row>
    <row r="10148" spans="18:23">
      <c r="R10148" s="127">
        <f t="shared" si="382"/>
        <v>0</v>
      </c>
      <c r="U10148" s="129" t="str">
        <f>IFERROR(IF(#REF!="S",VLOOKUP('Raw Data'!A10148,References!#REF!,2,FALSE),(VLOOKUP($S10148,References!$B$3:$C$7,2,FALSE))),"")</f>
        <v/>
      </c>
      <c r="W10148" s="74" t="str">
        <f>IFERROR(VLOOKUP($O10148,'Customer List'!$A$1:$J$488,10,FALSE),"")</f>
        <v/>
      </c>
    </row>
    <row r="10149" spans="18:23">
      <c r="R10149" s="127">
        <f t="shared" si="382"/>
        <v>0</v>
      </c>
      <c r="U10149" s="129" t="str">
        <f>IFERROR(IF(#REF!="S",VLOOKUP('Raw Data'!A10149,References!#REF!,2,FALSE),(VLOOKUP($S10149,References!$B$3:$C$7,2,FALSE))),"")</f>
        <v/>
      </c>
      <c r="W10149" s="74" t="str">
        <f>IFERROR(VLOOKUP($O10149,'Customer List'!$A$1:$J$488,10,FALSE),"")</f>
        <v/>
      </c>
    </row>
    <row r="10150" spans="18:23">
      <c r="R10150" s="127">
        <f t="shared" si="382"/>
        <v>0</v>
      </c>
      <c r="U10150" s="129" t="str">
        <f>IFERROR(IF(#REF!="S",VLOOKUP('Raw Data'!A10150,References!#REF!,2,FALSE),(VLOOKUP($S10150,References!$B$3:$C$7,2,FALSE))),"")</f>
        <v/>
      </c>
      <c r="W10150" s="74" t="str">
        <f>IFERROR(VLOOKUP($O10150,'Customer List'!$A$1:$J$488,10,FALSE),"")</f>
        <v/>
      </c>
    </row>
    <row r="10151" spans="18:23">
      <c r="R10151" s="127">
        <f t="shared" si="382"/>
        <v>0</v>
      </c>
      <c r="U10151" s="129" t="str">
        <f>IFERROR(IF(#REF!="S",VLOOKUP('Raw Data'!A10151,References!#REF!,2,FALSE),(VLOOKUP($S10151,References!$B$3:$C$7,2,FALSE))),"")</f>
        <v/>
      </c>
      <c r="W10151" s="74" t="str">
        <f>IFERROR(VLOOKUP($O10151,'Customer List'!$A$1:$J$488,10,FALSE),"")</f>
        <v/>
      </c>
    </row>
    <row r="10152" spans="18:23">
      <c r="R10152" s="127">
        <f t="shared" si="382"/>
        <v>0</v>
      </c>
      <c r="U10152" s="129" t="str">
        <f>IFERROR(IF(#REF!="S",VLOOKUP('Raw Data'!A10152,References!#REF!,2,FALSE),(VLOOKUP($S10152,References!$B$3:$C$7,2,FALSE))),"")</f>
        <v/>
      </c>
      <c r="W10152" s="74" t="str">
        <f>IFERROR(VLOOKUP($O10152,'Customer List'!$A$1:$J$488,10,FALSE),"")</f>
        <v/>
      </c>
    </row>
    <row r="10153" spans="18:23">
      <c r="R10153" s="127">
        <f t="shared" si="382"/>
        <v>0</v>
      </c>
      <c r="U10153" s="129" t="str">
        <f>IFERROR(IF(#REF!="S",VLOOKUP('Raw Data'!A10153,References!#REF!,2,FALSE),(VLOOKUP($S10153,References!$B$3:$C$7,2,FALSE))),"")</f>
        <v/>
      </c>
      <c r="W10153" s="74" t="str">
        <f>IFERROR(VLOOKUP($O10153,'Customer List'!$A$1:$J$488,10,FALSE),"")</f>
        <v/>
      </c>
    </row>
    <row r="10154" spans="18:23">
      <c r="R10154" s="127">
        <f t="shared" si="382"/>
        <v>0</v>
      </c>
      <c r="U10154" s="129" t="str">
        <f>IFERROR(IF(#REF!="S",VLOOKUP('Raw Data'!A10154,References!#REF!,2,FALSE),(VLOOKUP($S10154,References!$B$3:$C$7,2,FALSE))),"")</f>
        <v/>
      </c>
      <c r="W10154" s="74" t="str">
        <f>IFERROR(VLOOKUP($O10154,'Customer List'!$A$1:$J$488,10,FALSE),"")</f>
        <v/>
      </c>
    </row>
    <row r="10155" spans="18:23">
      <c r="R10155" s="127">
        <f t="shared" si="382"/>
        <v>0</v>
      </c>
      <c r="U10155" s="129" t="str">
        <f>IFERROR(IF(#REF!="S",VLOOKUP('Raw Data'!A10155,References!#REF!,2,FALSE),(VLOOKUP($S10155,References!$B$3:$C$7,2,FALSE))),"")</f>
        <v/>
      </c>
      <c r="W10155" s="74" t="str">
        <f>IFERROR(VLOOKUP($O10155,'Customer List'!$A$1:$J$488,10,FALSE),"")</f>
        <v/>
      </c>
    </row>
    <row r="10156" spans="18:23">
      <c r="R10156" s="127">
        <f t="shared" si="382"/>
        <v>0</v>
      </c>
      <c r="U10156" s="129" t="str">
        <f>IFERROR(IF(#REF!="S",VLOOKUP('Raw Data'!A10156,References!#REF!,2,FALSE),(VLOOKUP($S10156,References!$B$3:$C$7,2,FALSE))),"")</f>
        <v/>
      </c>
      <c r="W10156" s="74" t="str">
        <f>IFERROR(VLOOKUP($O10156,'Customer List'!$A$1:$J$488,10,FALSE),"")</f>
        <v/>
      </c>
    </row>
    <row r="10157" spans="18:23">
      <c r="R10157" s="127">
        <f t="shared" si="382"/>
        <v>0</v>
      </c>
      <c r="U10157" s="129" t="str">
        <f>IFERROR(IF(#REF!="S",VLOOKUP('Raw Data'!A10157,References!#REF!,2,FALSE),(VLOOKUP($S10157,References!$B$3:$C$7,2,FALSE))),"")</f>
        <v/>
      </c>
      <c r="W10157" s="74" t="str">
        <f>IFERROR(VLOOKUP($O10157,'Customer List'!$A$1:$J$488,10,FALSE),"")</f>
        <v/>
      </c>
    </row>
    <row r="10158" spans="18:23">
      <c r="R10158" s="127">
        <f t="shared" si="382"/>
        <v>0</v>
      </c>
      <c r="U10158" s="129" t="str">
        <f>IFERROR(IF(#REF!="S",VLOOKUP('Raw Data'!A10158,References!#REF!,2,FALSE),(VLOOKUP($S10158,References!$B$3:$C$7,2,FALSE))),"")</f>
        <v/>
      </c>
      <c r="W10158" s="74" t="str">
        <f>IFERROR(VLOOKUP($O10158,'Customer List'!$A$1:$J$488,10,FALSE),"")</f>
        <v/>
      </c>
    </row>
    <row r="10159" spans="18:23">
      <c r="R10159" s="127">
        <f t="shared" si="382"/>
        <v>0</v>
      </c>
      <c r="U10159" s="129" t="str">
        <f>IFERROR(IF(#REF!="S",VLOOKUP('Raw Data'!A10159,References!#REF!,2,FALSE),(VLOOKUP($S10159,References!$B$3:$C$7,2,FALSE))),"")</f>
        <v/>
      </c>
      <c r="W10159" s="74" t="str">
        <f>IFERROR(VLOOKUP($O10159,'Customer List'!$A$1:$J$488,10,FALSE),"")</f>
        <v/>
      </c>
    </row>
    <row r="10160" spans="18:23">
      <c r="R10160" s="127">
        <f t="shared" si="382"/>
        <v>0</v>
      </c>
      <c r="W10160" s="74" t="str">
        <f>IFERROR(VLOOKUP($O10160,'Customer List'!$A$1:$J$488,10,FALSE),"")</f>
        <v/>
      </c>
    </row>
    <row r="10161" spans="18:23">
      <c r="R10161" s="127">
        <f t="shared" si="382"/>
        <v>0</v>
      </c>
      <c r="W10161" s="74" t="str">
        <f>IFERROR(VLOOKUP($O10161,'Customer List'!$A$1:$J$488,10,FALSE),"")</f>
        <v/>
      </c>
    </row>
    <row r="10162" spans="18:23">
      <c r="R10162" s="127">
        <f t="shared" si="382"/>
        <v>0</v>
      </c>
      <c r="W10162" s="74" t="str">
        <f>IFERROR(VLOOKUP($O10162,'Customer List'!$A$1:$J$488,10,FALSE),"")</f>
        <v/>
      </c>
    </row>
    <row r="10163" spans="18:23">
      <c r="R10163" s="127">
        <f t="shared" si="382"/>
        <v>0</v>
      </c>
      <c r="W10163" s="74" t="str">
        <f>IFERROR(VLOOKUP($O10163,'Customer List'!$A$1:$J$488,10,FALSE),"")</f>
        <v/>
      </c>
    </row>
    <row r="10164" spans="18:23">
      <c r="R10164" s="127">
        <f t="shared" si="382"/>
        <v>0</v>
      </c>
      <c r="W10164" s="74" t="str">
        <f>IFERROR(VLOOKUP($O10164,'Customer List'!$A$1:$J$488,10,FALSE),"")</f>
        <v/>
      </c>
    </row>
    <row r="10165" spans="18:23">
      <c r="R10165" s="127">
        <f t="shared" si="382"/>
        <v>0</v>
      </c>
      <c r="W10165" s="74" t="str">
        <f>IFERROR(VLOOKUP($O10165,'Customer List'!$A$1:$J$488,10,FALSE),"")</f>
        <v/>
      </c>
    </row>
    <row r="10166" spans="18:23">
      <c r="R10166" s="127">
        <f t="shared" si="382"/>
        <v>0</v>
      </c>
      <c r="W10166" s="74" t="str">
        <f>IFERROR(VLOOKUP($O10166,'Customer List'!$A$1:$J$488,10,FALSE),"")</f>
        <v/>
      </c>
    </row>
    <row r="10167" spans="18:23">
      <c r="R10167" s="127">
        <f t="shared" si="382"/>
        <v>0</v>
      </c>
      <c r="W10167" s="74" t="str">
        <f>IFERROR(VLOOKUP($O10167,'Customer List'!$A$1:$J$488,10,FALSE),"")</f>
        <v/>
      </c>
    </row>
    <row r="10168" spans="18:23">
      <c r="R10168" s="127">
        <f t="shared" si="382"/>
        <v>0</v>
      </c>
      <c r="W10168" s="74" t="str">
        <f>IFERROR(VLOOKUP($O10168,'Customer List'!$A$1:$J$488,10,FALSE),"")</f>
        <v/>
      </c>
    </row>
    <row r="10169" spans="18:23">
      <c r="R10169" s="127">
        <f t="shared" si="382"/>
        <v>0</v>
      </c>
      <c r="W10169" s="74" t="str">
        <f>IFERROR(VLOOKUP($O10169,'Customer List'!$A$1:$J$488,10,FALSE),"")</f>
        <v/>
      </c>
    </row>
    <row r="10170" spans="18:23">
      <c r="R10170" s="127">
        <f t="shared" si="382"/>
        <v>0</v>
      </c>
      <c r="W10170" s="74" t="str">
        <f>IFERROR(VLOOKUP($O10170,'Customer List'!$A$1:$J$488,10,FALSE),"")</f>
        <v/>
      </c>
    </row>
    <row r="10171" spans="18:23">
      <c r="R10171" s="127">
        <f t="shared" si="382"/>
        <v>0</v>
      </c>
      <c r="W10171" s="74" t="str">
        <f>IFERROR(VLOOKUP($O10171,'Customer List'!$A$1:$J$488,10,FALSE),"")</f>
        <v/>
      </c>
    </row>
    <row r="10172" spans="18:23">
      <c r="R10172" s="127">
        <f t="shared" si="382"/>
        <v>0</v>
      </c>
      <c r="W10172" s="74" t="str">
        <f>IFERROR(VLOOKUP($O10172,'Customer List'!$A$1:$J$488,10,FALSE),"")</f>
        <v/>
      </c>
    </row>
    <row r="10173" spans="18:23">
      <c r="R10173" s="127">
        <f t="shared" si="382"/>
        <v>0</v>
      </c>
      <c r="W10173" s="74" t="str">
        <f>IFERROR(VLOOKUP($O10173,'Customer List'!$A$1:$J$488,10,FALSE),"")</f>
        <v/>
      </c>
    </row>
    <row r="10174" spans="18:23">
      <c r="R10174" s="127">
        <f t="shared" si="382"/>
        <v>0</v>
      </c>
      <c r="W10174" s="74" t="str">
        <f>IFERROR(VLOOKUP($O10174,'Customer List'!$A$1:$J$488,10,FALSE),"")</f>
        <v/>
      </c>
    </row>
    <row r="10175" spans="18:23">
      <c r="R10175" s="127">
        <f t="shared" si="382"/>
        <v>0</v>
      </c>
      <c r="W10175" s="74" t="str">
        <f>IFERROR(VLOOKUP($O10175,'Customer List'!$A$1:$J$488,10,FALSE),"")</f>
        <v/>
      </c>
    </row>
    <row r="10176" spans="18:23">
      <c r="R10176" s="127">
        <f t="shared" si="382"/>
        <v>0</v>
      </c>
      <c r="W10176" s="74" t="str">
        <f>IFERROR(VLOOKUP($O10176,'Customer List'!$A$1:$J$488,10,FALSE),"")</f>
        <v/>
      </c>
    </row>
    <row r="10177" spans="18:23">
      <c r="R10177" s="127">
        <f t="shared" si="382"/>
        <v>0</v>
      </c>
      <c r="W10177" s="74" t="str">
        <f>IFERROR(VLOOKUP($O10177,'Customer List'!$A$1:$J$488,10,FALSE),"")</f>
        <v/>
      </c>
    </row>
    <row r="10178" spans="18:23">
      <c r="R10178" s="127">
        <f t="shared" si="382"/>
        <v>0</v>
      </c>
      <c r="W10178" s="74" t="str">
        <f>IFERROR(VLOOKUP($O10178,'Customer List'!$A$1:$J$488,10,FALSE),"")</f>
        <v/>
      </c>
    </row>
    <row r="10179" spans="18:23">
      <c r="R10179" s="127">
        <f t="shared" si="382"/>
        <v>0</v>
      </c>
      <c r="W10179" s="74" t="str">
        <f>IFERROR(VLOOKUP($O10179,'Customer List'!$A$1:$J$488,10,FALSE),"")</f>
        <v/>
      </c>
    </row>
    <row r="10180" spans="18:23">
      <c r="R10180" s="127">
        <f t="shared" si="382"/>
        <v>0</v>
      </c>
      <c r="W10180" s="74" t="str">
        <f>IFERROR(VLOOKUP($O10180,'Customer List'!$A$1:$J$488,10,FALSE),"")</f>
        <v/>
      </c>
    </row>
    <row r="10181" spans="18:23">
      <c r="R10181" s="127">
        <f t="shared" si="382"/>
        <v>0</v>
      </c>
      <c r="W10181" s="74" t="str">
        <f>IFERROR(VLOOKUP($O10181,'Customer List'!$A$1:$J$488,10,FALSE),"")</f>
        <v/>
      </c>
    </row>
    <row r="10182" spans="18:23">
      <c r="R10182" s="127">
        <f t="shared" si="382"/>
        <v>0</v>
      </c>
      <c r="W10182" s="74" t="str">
        <f>IFERROR(VLOOKUP($O10182,'Customer List'!$A$1:$J$488,10,FALSE),"")</f>
        <v/>
      </c>
    </row>
    <row r="10183" spans="18:23">
      <c r="R10183" s="127">
        <f t="shared" si="382"/>
        <v>0</v>
      </c>
      <c r="W10183" s="74" t="str">
        <f>IFERROR(VLOOKUP($O10183,'Customer List'!$A$1:$J$488,10,FALSE),"")</f>
        <v/>
      </c>
    </row>
    <row r="10184" spans="18:23">
      <c r="R10184" s="127">
        <f t="shared" si="382"/>
        <v>0</v>
      </c>
      <c r="W10184" s="74" t="str">
        <f>IFERROR(VLOOKUP($O10184,'Customer List'!$A$1:$J$488,10,FALSE),"")</f>
        <v/>
      </c>
    </row>
    <row r="10185" spans="18:23">
      <c r="R10185" s="127">
        <f t="shared" si="382"/>
        <v>0</v>
      </c>
      <c r="W10185" s="74" t="str">
        <f>IFERROR(VLOOKUP($O10185,'Customer List'!$A$1:$J$488,10,FALSE),"")</f>
        <v/>
      </c>
    </row>
    <row r="10186" spans="18:23">
      <c r="R10186" s="127">
        <f t="shared" si="382"/>
        <v>0</v>
      </c>
      <c r="W10186" s="74" t="str">
        <f>IFERROR(VLOOKUP($O10186,'Customer List'!$A$1:$J$488,10,FALSE),"")</f>
        <v/>
      </c>
    </row>
    <row r="10187" spans="18:23">
      <c r="R10187" s="127">
        <f t="shared" si="382"/>
        <v>0</v>
      </c>
      <c r="W10187" s="74" t="str">
        <f>IFERROR(VLOOKUP($O10187,'Customer List'!$A$1:$J$488,10,FALSE),"")</f>
        <v/>
      </c>
    </row>
    <row r="10188" spans="18:23">
      <c r="R10188" s="127">
        <f t="shared" si="382"/>
        <v>0</v>
      </c>
      <c r="W10188" s="74" t="str">
        <f>IFERROR(VLOOKUP($O10188,'Customer List'!$A$1:$J$488,10,FALSE),"")</f>
        <v/>
      </c>
    </row>
    <row r="10189" spans="18:23">
      <c r="R10189" s="127">
        <f t="shared" si="382"/>
        <v>0</v>
      </c>
      <c r="W10189" s="74" t="str">
        <f>IFERROR(VLOOKUP($O10189,'Customer List'!$A$1:$J$488,10,FALSE),"")</f>
        <v/>
      </c>
    </row>
    <row r="10190" spans="18:23">
      <c r="R10190" s="127">
        <f t="shared" si="382"/>
        <v>0</v>
      </c>
      <c r="W10190" s="74" t="str">
        <f>IFERROR(VLOOKUP($O10190,'Customer List'!$A$1:$J$488,10,FALSE),"")</f>
        <v/>
      </c>
    </row>
    <row r="10191" spans="18:23">
      <c r="R10191" s="127">
        <f t="shared" si="382"/>
        <v>0</v>
      </c>
      <c r="W10191" s="74" t="str">
        <f>IFERROR(VLOOKUP($O10191,'Customer List'!$A$1:$J$488,10,FALSE),"")</f>
        <v/>
      </c>
    </row>
    <row r="10192" spans="18:23">
      <c r="R10192" s="127">
        <f t="shared" si="382"/>
        <v>0</v>
      </c>
      <c r="W10192" s="74" t="str">
        <f>IFERROR(VLOOKUP($O10192,'Customer List'!$A$1:$J$488,10,FALSE),"")</f>
        <v/>
      </c>
    </row>
    <row r="10193" spans="18:23">
      <c r="R10193" s="127">
        <f t="shared" si="382"/>
        <v>0</v>
      </c>
      <c r="W10193" s="74" t="str">
        <f>IFERROR(VLOOKUP($O10193,'Customer List'!$A$1:$J$488,10,FALSE),"")</f>
        <v/>
      </c>
    </row>
    <row r="10194" spans="18:23">
      <c r="R10194" s="127">
        <f t="shared" si="382"/>
        <v>0</v>
      </c>
      <c r="W10194" s="74" t="str">
        <f>IFERROR(VLOOKUP($O10194,'Customer List'!$A$1:$J$488,10,FALSE),"")</f>
        <v/>
      </c>
    </row>
    <row r="10195" spans="18:23">
      <c r="R10195" s="127">
        <f t="shared" si="382"/>
        <v>0</v>
      </c>
      <c r="W10195" s="74" t="str">
        <f>IFERROR(VLOOKUP($O10195,'Customer List'!$A$1:$J$488,10,FALSE),"")</f>
        <v/>
      </c>
    </row>
    <row r="10196" spans="18:23">
      <c r="R10196" s="127">
        <f t="shared" si="382"/>
        <v>0</v>
      </c>
      <c r="W10196" s="74" t="str">
        <f>IFERROR(VLOOKUP($O10196,'Customer List'!$A$1:$J$488,10,FALSE),"")</f>
        <v/>
      </c>
    </row>
    <row r="10197" spans="18:23">
      <c r="R10197" s="127">
        <f t="shared" si="382"/>
        <v>0</v>
      </c>
      <c r="W10197" s="74" t="str">
        <f>IFERROR(VLOOKUP($O10197,'Customer List'!$A$1:$J$488,10,FALSE),"")</f>
        <v/>
      </c>
    </row>
    <row r="10198" spans="18:23">
      <c r="R10198" s="127">
        <f t="shared" si="382"/>
        <v>0</v>
      </c>
      <c r="W10198" s="74" t="str">
        <f>IFERROR(VLOOKUP($O10198,'Customer List'!$A$1:$J$488,10,FALSE),"")</f>
        <v/>
      </c>
    </row>
    <row r="10199" spans="18:23">
      <c r="R10199" s="127">
        <f t="shared" si="382"/>
        <v>0</v>
      </c>
      <c r="W10199" s="74" t="str">
        <f>IFERROR(VLOOKUP($O10199,'Customer List'!$A$1:$J$488,10,FALSE),"")</f>
        <v/>
      </c>
    </row>
    <row r="10200" spans="18:23">
      <c r="R10200" s="127">
        <f t="shared" si="382"/>
        <v>0</v>
      </c>
      <c r="W10200" s="74" t="str">
        <f>IFERROR(VLOOKUP($O10200,'Customer List'!$A$1:$J$488,10,FALSE),"")</f>
        <v/>
      </c>
    </row>
    <row r="10201" spans="18:23">
      <c r="R10201" s="127">
        <f t="shared" si="382"/>
        <v>0</v>
      </c>
      <c r="W10201" s="74" t="str">
        <f>IFERROR(VLOOKUP($O10201,'Customer List'!$A$1:$J$488,10,FALSE),"")</f>
        <v/>
      </c>
    </row>
    <row r="10202" spans="18:23">
      <c r="R10202" s="127">
        <f t="shared" si="382"/>
        <v>0</v>
      </c>
      <c r="W10202" s="74" t="str">
        <f>IFERROR(VLOOKUP($O10202,'Customer List'!$A$1:$J$488,10,FALSE),"")</f>
        <v/>
      </c>
    </row>
    <row r="10203" spans="18:23">
      <c r="R10203" s="127">
        <f t="shared" si="382"/>
        <v>0</v>
      </c>
      <c r="W10203" s="74" t="str">
        <f>IFERROR(VLOOKUP($O10203,'Customer List'!$A$1:$J$488,10,FALSE),"")</f>
        <v/>
      </c>
    </row>
    <row r="10204" spans="18:23">
      <c r="R10204" s="127">
        <f t="shared" si="382"/>
        <v>0</v>
      </c>
      <c r="W10204" s="74" t="str">
        <f>IFERROR(VLOOKUP($O10204,'Customer List'!$A$1:$J$488,10,FALSE),"")</f>
        <v/>
      </c>
    </row>
    <row r="10205" spans="18:23">
      <c r="R10205" s="127">
        <f t="shared" si="382"/>
        <v>0</v>
      </c>
      <c r="W10205" s="74" t="str">
        <f>IFERROR(VLOOKUP($O10205,'Customer List'!$A$1:$J$488,10,FALSE),"")</f>
        <v/>
      </c>
    </row>
    <row r="10206" spans="18:23">
      <c r="R10206" s="127">
        <f t="shared" si="382"/>
        <v>0</v>
      </c>
      <c r="W10206" s="74" t="str">
        <f>IFERROR(VLOOKUP($O10206,'Customer List'!$A$1:$J$488,10,FALSE),"")</f>
        <v/>
      </c>
    </row>
    <row r="10207" spans="18:23">
      <c r="R10207" s="127">
        <f t="shared" si="382"/>
        <v>0</v>
      </c>
      <c r="W10207" s="74" t="str">
        <f>IFERROR(VLOOKUP($O10207,'Customer List'!$A$1:$J$488,10,FALSE),"")</f>
        <v/>
      </c>
    </row>
    <row r="10208" spans="18:23">
      <c r="R10208" s="127">
        <f t="shared" si="382"/>
        <v>0</v>
      </c>
      <c r="W10208" s="74" t="str">
        <f>IFERROR(VLOOKUP($O10208,'Customer List'!$A$1:$J$488,10,FALSE),"")</f>
        <v/>
      </c>
    </row>
    <row r="10209" spans="18:23">
      <c r="R10209" s="127">
        <f t="shared" si="382"/>
        <v>0</v>
      </c>
      <c r="W10209" s="74" t="str">
        <f>IFERROR(VLOOKUP($O10209,'Customer List'!$A$1:$J$488,10,FALSE),"")</f>
        <v/>
      </c>
    </row>
    <row r="10210" spans="18:23">
      <c r="R10210" s="127">
        <f t="shared" ref="R10210:R10273" si="383">L10210-K10210</f>
        <v>0</v>
      </c>
      <c r="W10210" s="74" t="str">
        <f>IFERROR(VLOOKUP($O10210,'Customer List'!$A$1:$J$488,10,FALSE),"")</f>
        <v/>
      </c>
    </row>
    <row r="10211" spans="18:23">
      <c r="R10211" s="127">
        <f t="shared" si="383"/>
        <v>0</v>
      </c>
      <c r="W10211" s="74" t="str">
        <f>IFERROR(VLOOKUP($O10211,'Customer List'!$A$1:$J$488,10,FALSE),"")</f>
        <v/>
      </c>
    </row>
    <row r="10212" spans="18:23">
      <c r="R10212" s="127">
        <f t="shared" si="383"/>
        <v>0</v>
      </c>
      <c r="W10212" s="74" t="str">
        <f>IFERROR(VLOOKUP($O10212,'Customer List'!$A$1:$J$488,10,FALSE),"")</f>
        <v/>
      </c>
    </row>
    <row r="10213" spans="18:23">
      <c r="R10213" s="127">
        <f t="shared" si="383"/>
        <v>0</v>
      </c>
      <c r="W10213" s="74" t="str">
        <f>IFERROR(VLOOKUP($O10213,'Customer List'!$A$1:$J$488,10,FALSE),"")</f>
        <v/>
      </c>
    </row>
    <row r="10214" spans="18:23">
      <c r="R10214" s="127">
        <f t="shared" si="383"/>
        <v>0</v>
      </c>
      <c r="W10214" s="74" t="str">
        <f>IFERROR(VLOOKUP($O10214,'Customer List'!$A$1:$J$488,10,FALSE),"")</f>
        <v/>
      </c>
    </row>
    <row r="10215" spans="18:23">
      <c r="R10215" s="127">
        <f t="shared" si="383"/>
        <v>0</v>
      </c>
      <c r="W10215" s="74" t="str">
        <f>IFERROR(VLOOKUP($O10215,'Customer List'!$A$1:$J$488,10,FALSE),"")</f>
        <v/>
      </c>
    </row>
    <row r="10216" spans="18:23">
      <c r="R10216" s="127">
        <f t="shared" si="383"/>
        <v>0</v>
      </c>
      <c r="W10216" s="74" t="str">
        <f>IFERROR(VLOOKUP($O10216,'Customer List'!$A$1:$J$488,10,FALSE),"")</f>
        <v/>
      </c>
    </row>
    <row r="10217" spans="18:23">
      <c r="R10217" s="127">
        <f t="shared" si="383"/>
        <v>0</v>
      </c>
      <c r="W10217" s="74" t="str">
        <f>IFERROR(VLOOKUP($O10217,'Customer List'!$A$1:$J$488,10,FALSE),"")</f>
        <v/>
      </c>
    </row>
    <row r="10218" spans="18:23">
      <c r="R10218" s="127">
        <f t="shared" si="383"/>
        <v>0</v>
      </c>
      <c r="W10218" s="74" t="str">
        <f>IFERROR(VLOOKUP($O10218,'Customer List'!$A$1:$J$488,10,FALSE),"")</f>
        <v/>
      </c>
    </row>
    <row r="10219" spans="18:23">
      <c r="R10219" s="127">
        <f t="shared" si="383"/>
        <v>0</v>
      </c>
      <c r="W10219" s="74" t="str">
        <f>IFERROR(VLOOKUP($O10219,'Customer List'!$A$1:$J$488,10,FALSE),"")</f>
        <v/>
      </c>
    </row>
    <row r="10220" spans="18:23">
      <c r="R10220" s="127">
        <f t="shared" si="383"/>
        <v>0</v>
      </c>
      <c r="W10220" s="74" t="str">
        <f>IFERROR(VLOOKUP($O10220,'Customer List'!$A$1:$J$488,10,FALSE),"")</f>
        <v/>
      </c>
    </row>
    <row r="10221" spans="18:23">
      <c r="R10221" s="127">
        <f t="shared" si="383"/>
        <v>0</v>
      </c>
      <c r="W10221" s="74" t="str">
        <f>IFERROR(VLOOKUP($O10221,'Customer List'!$A$1:$J$488,10,FALSE),"")</f>
        <v/>
      </c>
    </row>
    <row r="10222" spans="18:23">
      <c r="R10222" s="127">
        <f t="shared" si="383"/>
        <v>0</v>
      </c>
      <c r="W10222" s="74" t="str">
        <f>IFERROR(VLOOKUP($O10222,'Customer List'!$A$1:$J$488,10,FALSE),"")</f>
        <v/>
      </c>
    </row>
    <row r="10223" spans="18:23">
      <c r="R10223" s="127">
        <f t="shared" si="383"/>
        <v>0</v>
      </c>
      <c r="W10223" s="74" t="str">
        <f>IFERROR(VLOOKUP($O10223,'Customer List'!$A$1:$J$488,10,FALSE),"")</f>
        <v/>
      </c>
    </row>
    <row r="10224" spans="18:23">
      <c r="R10224" s="127">
        <f t="shared" si="383"/>
        <v>0</v>
      </c>
      <c r="W10224" s="74" t="str">
        <f>IFERROR(VLOOKUP($O10224,'Customer List'!$A$1:$J$488,10,FALSE),"")</f>
        <v/>
      </c>
    </row>
    <row r="10225" spans="18:23">
      <c r="R10225" s="127">
        <f t="shared" si="383"/>
        <v>0</v>
      </c>
      <c r="W10225" s="74" t="str">
        <f>IFERROR(VLOOKUP($O10225,'Customer List'!$A$1:$J$488,10,FALSE),"")</f>
        <v/>
      </c>
    </row>
    <row r="10226" spans="18:23">
      <c r="R10226" s="127">
        <f t="shared" si="383"/>
        <v>0</v>
      </c>
      <c r="W10226" s="74" t="str">
        <f>IFERROR(VLOOKUP($O10226,'Customer List'!$A$1:$J$488,10,FALSE),"")</f>
        <v/>
      </c>
    </row>
    <row r="10227" spans="18:23">
      <c r="R10227" s="127">
        <f t="shared" si="383"/>
        <v>0</v>
      </c>
      <c r="W10227" s="74" t="str">
        <f>IFERROR(VLOOKUP($O10227,'Customer List'!$A$1:$J$488,10,FALSE),"")</f>
        <v/>
      </c>
    </row>
    <row r="10228" spans="18:23">
      <c r="R10228" s="127">
        <f t="shared" si="383"/>
        <v>0</v>
      </c>
      <c r="W10228" s="74" t="str">
        <f>IFERROR(VLOOKUP($O10228,'Customer List'!$A$1:$J$488,10,FALSE),"")</f>
        <v/>
      </c>
    </row>
    <row r="10229" spans="18:23">
      <c r="R10229" s="127">
        <f t="shared" si="383"/>
        <v>0</v>
      </c>
      <c r="W10229" s="74" t="str">
        <f>IFERROR(VLOOKUP($O10229,'Customer List'!$A$1:$J$488,10,FALSE),"")</f>
        <v/>
      </c>
    </row>
    <row r="10230" spans="18:23">
      <c r="R10230" s="127">
        <f t="shared" si="383"/>
        <v>0</v>
      </c>
      <c r="W10230" s="74" t="str">
        <f>IFERROR(VLOOKUP($O10230,'Customer List'!$A$1:$J$488,10,FALSE),"")</f>
        <v/>
      </c>
    </row>
    <row r="10231" spans="18:23">
      <c r="R10231" s="127">
        <f t="shared" si="383"/>
        <v>0</v>
      </c>
      <c r="W10231" s="74" t="str">
        <f>IFERROR(VLOOKUP($O10231,'Customer List'!$A$1:$J$488,10,FALSE),"")</f>
        <v/>
      </c>
    </row>
    <row r="10232" spans="18:23">
      <c r="R10232" s="127">
        <f t="shared" si="383"/>
        <v>0</v>
      </c>
      <c r="W10232" s="74" t="str">
        <f>IFERROR(VLOOKUP($O10232,'Customer List'!$A$1:$J$488,10,FALSE),"")</f>
        <v/>
      </c>
    </row>
    <row r="10233" spans="18:23">
      <c r="R10233" s="127">
        <f t="shared" si="383"/>
        <v>0</v>
      </c>
      <c r="W10233" s="74" t="str">
        <f>IFERROR(VLOOKUP($O10233,'Customer List'!$A$1:$J$488,10,FALSE),"")</f>
        <v/>
      </c>
    </row>
    <row r="10234" spans="18:23">
      <c r="R10234" s="127">
        <f t="shared" si="383"/>
        <v>0</v>
      </c>
      <c r="W10234" s="74" t="str">
        <f>IFERROR(VLOOKUP($O10234,'Customer List'!$A$1:$J$488,10,FALSE),"")</f>
        <v/>
      </c>
    </row>
    <row r="10235" spans="18:23">
      <c r="R10235" s="127">
        <f t="shared" si="383"/>
        <v>0</v>
      </c>
      <c r="W10235" s="74" t="str">
        <f>IFERROR(VLOOKUP($O10235,'Customer List'!$A$1:$J$488,10,FALSE),"")</f>
        <v/>
      </c>
    </row>
    <row r="10236" spans="18:23">
      <c r="R10236" s="127">
        <f t="shared" si="383"/>
        <v>0</v>
      </c>
      <c r="W10236" s="74" t="str">
        <f>IFERROR(VLOOKUP($O10236,'Customer List'!$A$1:$J$488,10,FALSE),"")</f>
        <v/>
      </c>
    </row>
    <row r="10237" spans="18:23">
      <c r="R10237" s="127">
        <f t="shared" si="383"/>
        <v>0</v>
      </c>
      <c r="W10237" s="74" t="str">
        <f>IFERROR(VLOOKUP($O10237,'Customer List'!$A$1:$J$488,10,FALSE),"")</f>
        <v/>
      </c>
    </row>
    <row r="10238" spans="18:23">
      <c r="R10238" s="127">
        <f t="shared" si="383"/>
        <v>0</v>
      </c>
      <c r="W10238" s="74" t="str">
        <f>IFERROR(VLOOKUP($O10238,'Customer List'!$A$1:$J$488,10,FALSE),"")</f>
        <v/>
      </c>
    </row>
    <row r="10239" spans="18:23">
      <c r="R10239" s="127">
        <f t="shared" si="383"/>
        <v>0</v>
      </c>
      <c r="W10239" s="74" t="str">
        <f>IFERROR(VLOOKUP($O10239,'Customer List'!$A$1:$J$488,10,FALSE),"")</f>
        <v/>
      </c>
    </row>
    <row r="10240" spans="18:23">
      <c r="R10240" s="127">
        <f t="shared" si="383"/>
        <v>0</v>
      </c>
      <c r="W10240" s="74" t="str">
        <f>IFERROR(VLOOKUP($O10240,'Customer List'!$A$1:$J$488,10,FALSE),"")</f>
        <v/>
      </c>
    </row>
    <row r="10241" spans="18:23">
      <c r="R10241" s="127">
        <f t="shared" si="383"/>
        <v>0</v>
      </c>
      <c r="W10241" s="74" t="str">
        <f>IFERROR(VLOOKUP($O10241,'Customer List'!$A$1:$J$488,10,FALSE),"")</f>
        <v/>
      </c>
    </row>
    <row r="10242" spans="18:23">
      <c r="R10242" s="127">
        <f t="shared" si="383"/>
        <v>0</v>
      </c>
      <c r="W10242" s="74" t="str">
        <f>IFERROR(VLOOKUP($O10242,'Customer List'!$A$1:$J$488,10,FALSE),"")</f>
        <v/>
      </c>
    </row>
    <row r="10243" spans="18:23">
      <c r="R10243" s="127">
        <f t="shared" si="383"/>
        <v>0</v>
      </c>
      <c r="W10243" s="74" t="str">
        <f>IFERROR(VLOOKUP($O10243,'Customer List'!$A$1:$J$488,10,FALSE),"")</f>
        <v/>
      </c>
    </row>
    <row r="10244" spans="18:23">
      <c r="R10244" s="127">
        <f t="shared" si="383"/>
        <v>0</v>
      </c>
      <c r="W10244" s="74" t="str">
        <f>IFERROR(VLOOKUP($O10244,'Customer List'!$A$1:$J$488,10,FALSE),"")</f>
        <v/>
      </c>
    </row>
    <row r="10245" spans="18:23">
      <c r="R10245" s="127">
        <f t="shared" si="383"/>
        <v>0</v>
      </c>
      <c r="W10245" s="74" t="str">
        <f>IFERROR(VLOOKUP($O10245,'Customer List'!$A$1:$J$488,10,FALSE),"")</f>
        <v/>
      </c>
    </row>
    <row r="10246" spans="18:23">
      <c r="R10246" s="127">
        <f t="shared" si="383"/>
        <v>0</v>
      </c>
      <c r="W10246" s="74" t="str">
        <f>IFERROR(VLOOKUP($O10246,'Customer List'!$A$1:$J$488,10,FALSE),"")</f>
        <v/>
      </c>
    </row>
    <row r="10247" spans="18:23">
      <c r="R10247" s="127">
        <f t="shared" si="383"/>
        <v>0</v>
      </c>
      <c r="W10247" s="74" t="str">
        <f>IFERROR(VLOOKUP($O10247,'Customer List'!$A$1:$J$488,10,FALSE),"")</f>
        <v/>
      </c>
    </row>
    <row r="10248" spans="18:23">
      <c r="R10248" s="127">
        <f t="shared" si="383"/>
        <v>0</v>
      </c>
      <c r="W10248" s="74" t="str">
        <f>IFERROR(VLOOKUP($O10248,'Customer List'!$A$1:$J$488,10,FALSE),"")</f>
        <v/>
      </c>
    </row>
    <row r="10249" spans="18:23">
      <c r="R10249" s="127">
        <f t="shared" si="383"/>
        <v>0</v>
      </c>
      <c r="W10249" s="74" t="str">
        <f>IFERROR(VLOOKUP($O10249,'Customer List'!$A$1:$J$488,10,FALSE),"")</f>
        <v/>
      </c>
    </row>
    <row r="10250" spans="18:23">
      <c r="R10250" s="127">
        <f t="shared" si="383"/>
        <v>0</v>
      </c>
      <c r="W10250" s="74" t="str">
        <f>IFERROR(VLOOKUP($O10250,'Customer List'!$A$1:$J$488,10,FALSE),"")</f>
        <v/>
      </c>
    </row>
    <row r="10251" spans="18:23">
      <c r="R10251" s="127">
        <f t="shared" si="383"/>
        <v>0</v>
      </c>
      <c r="W10251" s="74" t="str">
        <f>IFERROR(VLOOKUP($O10251,'Customer List'!$A$1:$J$488,10,FALSE),"")</f>
        <v/>
      </c>
    </row>
    <row r="10252" spans="18:23">
      <c r="R10252" s="127">
        <f t="shared" si="383"/>
        <v>0</v>
      </c>
      <c r="W10252" s="74" t="str">
        <f>IFERROR(VLOOKUP($O10252,'Customer List'!$A$1:$J$488,10,FALSE),"")</f>
        <v/>
      </c>
    </row>
    <row r="10253" spans="18:23">
      <c r="R10253" s="127">
        <f t="shared" si="383"/>
        <v>0</v>
      </c>
      <c r="W10253" s="74" t="str">
        <f>IFERROR(VLOOKUP($O10253,'Customer List'!$A$1:$J$488,10,FALSE),"")</f>
        <v/>
      </c>
    </row>
    <row r="10254" spans="18:23">
      <c r="R10254" s="127">
        <f t="shared" si="383"/>
        <v>0</v>
      </c>
      <c r="W10254" s="74" t="str">
        <f>IFERROR(VLOOKUP($O10254,'Customer List'!$A$1:$J$488,10,FALSE),"")</f>
        <v/>
      </c>
    </row>
    <row r="10255" spans="18:23">
      <c r="R10255" s="127">
        <f t="shared" si="383"/>
        <v>0</v>
      </c>
      <c r="W10255" s="74" t="str">
        <f>IFERROR(VLOOKUP($O10255,'Customer List'!$A$1:$J$488,10,FALSE),"")</f>
        <v/>
      </c>
    </row>
    <row r="10256" spans="18:23">
      <c r="R10256" s="127">
        <f t="shared" si="383"/>
        <v>0</v>
      </c>
      <c r="W10256" s="74" t="str">
        <f>IFERROR(VLOOKUP($O10256,'Customer List'!$A$1:$J$488,10,FALSE),"")</f>
        <v/>
      </c>
    </row>
    <row r="10257" spans="18:23">
      <c r="R10257" s="127">
        <f t="shared" si="383"/>
        <v>0</v>
      </c>
      <c r="W10257" s="74" t="str">
        <f>IFERROR(VLOOKUP($O10257,'Customer List'!$A$1:$J$488,10,FALSE),"")</f>
        <v/>
      </c>
    </row>
    <row r="10258" spans="18:23">
      <c r="R10258" s="127">
        <f t="shared" si="383"/>
        <v>0</v>
      </c>
      <c r="W10258" s="74" t="str">
        <f>IFERROR(VLOOKUP($O10258,'Customer List'!$A$1:$J$488,10,FALSE),"")</f>
        <v/>
      </c>
    </row>
    <row r="10259" spans="18:23">
      <c r="R10259" s="127">
        <f t="shared" si="383"/>
        <v>0</v>
      </c>
      <c r="W10259" s="74" t="str">
        <f>IFERROR(VLOOKUP($O10259,'Customer List'!$A$1:$J$488,10,FALSE),"")</f>
        <v/>
      </c>
    </row>
    <row r="10260" spans="18:23">
      <c r="R10260" s="127">
        <f t="shared" si="383"/>
        <v>0</v>
      </c>
      <c r="W10260" s="74" t="str">
        <f>IFERROR(VLOOKUP($O10260,'Customer List'!$A$1:$J$488,10,FALSE),"")</f>
        <v/>
      </c>
    </row>
    <row r="10261" spans="18:23">
      <c r="R10261" s="127">
        <f t="shared" si="383"/>
        <v>0</v>
      </c>
      <c r="W10261" s="74" t="str">
        <f>IFERROR(VLOOKUP($O10261,'Customer List'!$A$1:$J$488,10,FALSE),"")</f>
        <v/>
      </c>
    </row>
    <row r="10262" spans="18:23">
      <c r="R10262" s="127">
        <f t="shared" si="383"/>
        <v>0</v>
      </c>
      <c r="W10262" s="74" t="str">
        <f>IFERROR(VLOOKUP($O10262,'Customer List'!$A$1:$J$488,10,FALSE),"")</f>
        <v/>
      </c>
    </row>
    <row r="10263" spans="18:23">
      <c r="R10263" s="127">
        <f t="shared" si="383"/>
        <v>0</v>
      </c>
      <c r="W10263" s="74" t="str">
        <f>IFERROR(VLOOKUP($O10263,'Customer List'!$A$1:$J$488,10,FALSE),"")</f>
        <v/>
      </c>
    </row>
    <row r="10264" spans="18:23">
      <c r="R10264" s="127">
        <f t="shared" si="383"/>
        <v>0</v>
      </c>
      <c r="W10264" s="74" t="str">
        <f>IFERROR(VLOOKUP($O10264,'Customer List'!$A$1:$J$488,10,FALSE),"")</f>
        <v/>
      </c>
    </row>
    <row r="10265" spans="18:23">
      <c r="R10265" s="127">
        <f t="shared" si="383"/>
        <v>0</v>
      </c>
      <c r="W10265" s="74" t="str">
        <f>IFERROR(VLOOKUP($O10265,'Customer List'!$A$1:$J$488,10,FALSE),"")</f>
        <v/>
      </c>
    </row>
    <row r="10266" spans="18:23">
      <c r="R10266" s="127">
        <f t="shared" si="383"/>
        <v>0</v>
      </c>
      <c r="W10266" s="74" t="str">
        <f>IFERROR(VLOOKUP($O10266,'Customer List'!$A$1:$J$488,10,FALSE),"")</f>
        <v/>
      </c>
    </row>
    <row r="10267" spans="18:23">
      <c r="R10267" s="127">
        <f t="shared" si="383"/>
        <v>0</v>
      </c>
      <c r="W10267" s="74" t="str">
        <f>IFERROR(VLOOKUP($O10267,'Customer List'!$A$1:$J$488,10,FALSE),"")</f>
        <v/>
      </c>
    </row>
    <row r="10268" spans="18:23">
      <c r="R10268" s="127">
        <f t="shared" si="383"/>
        <v>0</v>
      </c>
      <c r="W10268" s="74" t="str">
        <f>IFERROR(VLOOKUP($O10268,'Customer List'!$A$1:$J$488,10,FALSE),"")</f>
        <v/>
      </c>
    </row>
    <row r="10269" spans="18:23">
      <c r="R10269" s="127">
        <f t="shared" si="383"/>
        <v>0</v>
      </c>
      <c r="W10269" s="74" t="str">
        <f>IFERROR(VLOOKUP($O10269,'Customer List'!$A$1:$J$488,10,FALSE),"")</f>
        <v/>
      </c>
    </row>
    <row r="10270" spans="18:23">
      <c r="R10270" s="127">
        <f t="shared" si="383"/>
        <v>0</v>
      </c>
      <c r="W10270" s="74" t="str">
        <f>IFERROR(VLOOKUP($O10270,'Customer List'!$A$1:$J$488,10,FALSE),"")</f>
        <v/>
      </c>
    </row>
    <row r="10271" spans="18:23">
      <c r="R10271" s="127">
        <f t="shared" si="383"/>
        <v>0</v>
      </c>
      <c r="W10271" s="74" t="str">
        <f>IFERROR(VLOOKUP($O10271,'Customer List'!$A$1:$J$488,10,FALSE),"")</f>
        <v/>
      </c>
    </row>
    <row r="10272" spans="18:23">
      <c r="R10272" s="127">
        <f t="shared" si="383"/>
        <v>0</v>
      </c>
      <c r="W10272" s="74" t="str">
        <f>IFERROR(VLOOKUP($O10272,'Customer List'!$A$1:$J$488,10,FALSE),"")</f>
        <v/>
      </c>
    </row>
    <row r="10273" spans="18:23">
      <c r="R10273" s="127">
        <f t="shared" si="383"/>
        <v>0</v>
      </c>
      <c r="W10273" s="74" t="str">
        <f>IFERROR(VLOOKUP($O10273,'Customer List'!$A$1:$J$488,10,FALSE),"")</f>
        <v/>
      </c>
    </row>
    <row r="10274" spans="18:23">
      <c r="R10274" s="127">
        <f t="shared" ref="R10274:R10337" si="384">L10274-K10274</f>
        <v>0</v>
      </c>
      <c r="W10274" s="74" t="str">
        <f>IFERROR(VLOOKUP($O10274,'Customer List'!$A$1:$J$488,10,FALSE),"")</f>
        <v/>
      </c>
    </row>
    <row r="10275" spans="18:23">
      <c r="R10275" s="127">
        <f t="shared" si="384"/>
        <v>0</v>
      </c>
      <c r="W10275" s="74" t="str">
        <f>IFERROR(VLOOKUP($O10275,'Customer List'!$A$1:$J$488,10,FALSE),"")</f>
        <v/>
      </c>
    </row>
    <row r="10276" spans="18:23">
      <c r="R10276" s="127">
        <f t="shared" si="384"/>
        <v>0</v>
      </c>
      <c r="W10276" s="74" t="str">
        <f>IFERROR(VLOOKUP($O10276,'Customer List'!$A$1:$J$488,10,FALSE),"")</f>
        <v/>
      </c>
    </row>
    <row r="10277" spans="18:23">
      <c r="R10277" s="127">
        <f t="shared" si="384"/>
        <v>0</v>
      </c>
      <c r="W10277" s="74" t="str">
        <f>IFERROR(VLOOKUP($O10277,'Customer List'!$A$1:$J$488,10,FALSE),"")</f>
        <v/>
      </c>
    </row>
    <row r="10278" spans="18:23">
      <c r="R10278" s="127">
        <f t="shared" si="384"/>
        <v>0</v>
      </c>
      <c r="W10278" s="74" t="str">
        <f>IFERROR(VLOOKUP($O10278,'Customer List'!$A$1:$J$488,10,FALSE),"")</f>
        <v/>
      </c>
    </row>
    <row r="10279" spans="18:23">
      <c r="R10279" s="127">
        <f t="shared" si="384"/>
        <v>0</v>
      </c>
      <c r="W10279" s="74" t="str">
        <f>IFERROR(VLOOKUP($O10279,'Customer List'!$A$1:$J$488,10,FALSE),"")</f>
        <v/>
      </c>
    </row>
    <row r="10280" spans="18:23">
      <c r="R10280" s="127">
        <f t="shared" si="384"/>
        <v>0</v>
      </c>
      <c r="W10280" s="74" t="str">
        <f>IFERROR(VLOOKUP($O10280,'Customer List'!$A$1:$J$488,10,FALSE),"")</f>
        <v/>
      </c>
    </row>
    <row r="10281" spans="18:23">
      <c r="R10281" s="127">
        <f t="shared" si="384"/>
        <v>0</v>
      </c>
      <c r="W10281" s="74" t="str">
        <f>IFERROR(VLOOKUP($O10281,'Customer List'!$A$1:$J$488,10,FALSE),"")</f>
        <v/>
      </c>
    </row>
    <row r="10282" spans="18:23">
      <c r="R10282" s="127">
        <f t="shared" si="384"/>
        <v>0</v>
      </c>
      <c r="W10282" s="74" t="str">
        <f>IFERROR(VLOOKUP($O10282,'Customer List'!$A$1:$J$488,10,FALSE),"")</f>
        <v/>
      </c>
    </row>
    <row r="10283" spans="18:23">
      <c r="R10283" s="127">
        <f t="shared" si="384"/>
        <v>0</v>
      </c>
      <c r="W10283" s="74" t="str">
        <f>IFERROR(VLOOKUP($O10283,'Customer List'!$A$1:$J$488,10,FALSE),"")</f>
        <v/>
      </c>
    </row>
    <row r="10284" spans="18:23">
      <c r="R10284" s="127">
        <f t="shared" si="384"/>
        <v>0</v>
      </c>
      <c r="W10284" s="74" t="str">
        <f>IFERROR(VLOOKUP($O10284,'Customer List'!$A$1:$J$488,10,FALSE),"")</f>
        <v/>
      </c>
    </row>
    <row r="10285" spans="18:23">
      <c r="R10285" s="127">
        <f t="shared" si="384"/>
        <v>0</v>
      </c>
      <c r="W10285" s="74" t="str">
        <f>IFERROR(VLOOKUP($O10285,'Customer List'!$A$1:$J$488,10,FALSE),"")</f>
        <v/>
      </c>
    </row>
    <row r="10286" spans="18:23">
      <c r="R10286" s="127">
        <f t="shared" si="384"/>
        <v>0</v>
      </c>
      <c r="W10286" s="74" t="str">
        <f>IFERROR(VLOOKUP($O10286,'Customer List'!$A$1:$J$488,10,FALSE),"")</f>
        <v/>
      </c>
    </row>
    <row r="10287" spans="18:23">
      <c r="R10287" s="127">
        <f t="shared" si="384"/>
        <v>0</v>
      </c>
      <c r="W10287" s="74" t="str">
        <f>IFERROR(VLOOKUP($O10287,'Customer List'!$A$1:$J$488,10,FALSE),"")</f>
        <v/>
      </c>
    </row>
    <row r="10288" spans="18:23">
      <c r="R10288" s="127">
        <f t="shared" si="384"/>
        <v>0</v>
      </c>
      <c r="W10288" s="74" t="str">
        <f>IFERROR(VLOOKUP($O10288,'Customer List'!$A$1:$J$488,10,FALSE),"")</f>
        <v/>
      </c>
    </row>
    <row r="10289" spans="18:23">
      <c r="R10289" s="127">
        <f t="shared" si="384"/>
        <v>0</v>
      </c>
      <c r="W10289" s="74" t="str">
        <f>IFERROR(VLOOKUP($O10289,'Customer List'!$A$1:$J$488,10,FALSE),"")</f>
        <v/>
      </c>
    </row>
    <row r="10290" spans="18:23">
      <c r="R10290" s="127">
        <f t="shared" si="384"/>
        <v>0</v>
      </c>
      <c r="W10290" s="74" t="str">
        <f>IFERROR(VLOOKUP($O10290,'Customer List'!$A$1:$J$488,10,FALSE),"")</f>
        <v/>
      </c>
    </row>
    <row r="10291" spans="18:23">
      <c r="R10291" s="127">
        <f t="shared" si="384"/>
        <v>0</v>
      </c>
      <c r="W10291" s="74" t="str">
        <f>IFERROR(VLOOKUP($O10291,'Customer List'!$A$1:$J$488,10,FALSE),"")</f>
        <v/>
      </c>
    </row>
    <row r="10292" spans="18:23">
      <c r="R10292" s="127">
        <f t="shared" si="384"/>
        <v>0</v>
      </c>
      <c r="W10292" s="74" t="str">
        <f>IFERROR(VLOOKUP($O10292,'Customer List'!$A$1:$J$488,10,FALSE),"")</f>
        <v/>
      </c>
    </row>
    <row r="10293" spans="18:23">
      <c r="R10293" s="127">
        <f t="shared" si="384"/>
        <v>0</v>
      </c>
      <c r="W10293" s="74" t="str">
        <f>IFERROR(VLOOKUP($O10293,'Customer List'!$A$1:$J$488,10,FALSE),"")</f>
        <v/>
      </c>
    </row>
    <row r="10294" spans="18:23">
      <c r="R10294" s="127">
        <f t="shared" si="384"/>
        <v>0</v>
      </c>
      <c r="W10294" s="74" t="str">
        <f>IFERROR(VLOOKUP($O10294,'Customer List'!$A$1:$J$488,10,FALSE),"")</f>
        <v/>
      </c>
    </row>
    <row r="10295" spans="18:23">
      <c r="R10295" s="127">
        <f t="shared" si="384"/>
        <v>0</v>
      </c>
      <c r="W10295" s="74" t="str">
        <f>IFERROR(VLOOKUP($O10295,'Customer List'!$A$1:$J$488,10,FALSE),"")</f>
        <v/>
      </c>
    </row>
    <row r="10296" spans="18:23">
      <c r="R10296" s="127">
        <f t="shared" si="384"/>
        <v>0</v>
      </c>
      <c r="W10296" s="74" t="str">
        <f>IFERROR(VLOOKUP($O10296,'Customer List'!$A$1:$J$488,10,FALSE),"")</f>
        <v/>
      </c>
    </row>
    <row r="10297" spans="18:23">
      <c r="R10297" s="127">
        <f t="shared" si="384"/>
        <v>0</v>
      </c>
      <c r="W10297" s="74" t="str">
        <f>IFERROR(VLOOKUP($O10297,'Customer List'!$A$1:$J$488,10,FALSE),"")</f>
        <v/>
      </c>
    </row>
    <row r="10298" spans="18:23">
      <c r="R10298" s="127">
        <f t="shared" si="384"/>
        <v>0</v>
      </c>
      <c r="W10298" s="74" t="str">
        <f>IFERROR(VLOOKUP($O10298,'Customer List'!$A$1:$J$488,10,FALSE),"")</f>
        <v/>
      </c>
    </row>
    <row r="10299" spans="18:23">
      <c r="R10299" s="127">
        <f t="shared" si="384"/>
        <v>0</v>
      </c>
      <c r="W10299" s="74" t="str">
        <f>IFERROR(VLOOKUP($O10299,'Customer List'!$A$1:$J$488,10,FALSE),"")</f>
        <v/>
      </c>
    </row>
    <row r="10300" spans="18:23">
      <c r="R10300" s="127">
        <f t="shared" si="384"/>
        <v>0</v>
      </c>
      <c r="W10300" s="74" t="str">
        <f>IFERROR(VLOOKUP($O10300,'Customer List'!$A$1:$J$488,10,FALSE),"")</f>
        <v/>
      </c>
    </row>
    <row r="10301" spans="18:23">
      <c r="R10301" s="127">
        <f t="shared" si="384"/>
        <v>0</v>
      </c>
      <c r="W10301" s="74" t="str">
        <f>IFERROR(VLOOKUP($O10301,'Customer List'!$A$1:$J$488,10,FALSE),"")</f>
        <v/>
      </c>
    </row>
    <row r="10302" spans="18:23">
      <c r="R10302" s="127">
        <f t="shared" si="384"/>
        <v>0</v>
      </c>
      <c r="W10302" s="74" t="str">
        <f>IFERROR(VLOOKUP($O10302,'Customer List'!$A$1:$J$488,10,FALSE),"")</f>
        <v/>
      </c>
    </row>
    <row r="10303" spans="18:23">
      <c r="R10303" s="127">
        <f t="shared" si="384"/>
        <v>0</v>
      </c>
      <c r="W10303" s="74" t="str">
        <f>IFERROR(VLOOKUP($O10303,'Customer List'!$A$1:$J$488,10,FALSE),"")</f>
        <v/>
      </c>
    </row>
    <row r="10304" spans="18:23">
      <c r="R10304" s="127">
        <f t="shared" si="384"/>
        <v>0</v>
      </c>
      <c r="W10304" s="74" t="str">
        <f>IFERROR(VLOOKUP($O10304,'Customer List'!$A$1:$J$488,10,FALSE),"")</f>
        <v/>
      </c>
    </row>
    <row r="10305" spans="18:23">
      <c r="R10305" s="127">
        <f t="shared" si="384"/>
        <v>0</v>
      </c>
      <c r="W10305" s="74" t="str">
        <f>IFERROR(VLOOKUP($O10305,'Customer List'!$A$1:$J$488,10,FALSE),"")</f>
        <v/>
      </c>
    </row>
    <row r="10306" spans="18:23">
      <c r="R10306" s="127">
        <f t="shared" si="384"/>
        <v>0</v>
      </c>
      <c r="W10306" s="74" t="str">
        <f>IFERROR(VLOOKUP($O10306,'Customer List'!$A$1:$J$488,10,FALSE),"")</f>
        <v/>
      </c>
    </row>
    <row r="10307" spans="18:23">
      <c r="R10307" s="127">
        <f t="shared" si="384"/>
        <v>0</v>
      </c>
      <c r="W10307" s="74" t="str">
        <f>IFERROR(VLOOKUP($O10307,'Customer List'!$A$1:$J$488,10,FALSE),"")</f>
        <v/>
      </c>
    </row>
    <row r="10308" spans="18:23">
      <c r="R10308" s="127">
        <f t="shared" si="384"/>
        <v>0</v>
      </c>
      <c r="W10308" s="74" t="str">
        <f>IFERROR(VLOOKUP($O10308,'Customer List'!$A$1:$J$488,10,FALSE),"")</f>
        <v/>
      </c>
    </row>
    <row r="10309" spans="18:23">
      <c r="R10309" s="127">
        <f t="shared" si="384"/>
        <v>0</v>
      </c>
      <c r="W10309" s="74" t="str">
        <f>IFERROR(VLOOKUP($O10309,'Customer List'!$A$1:$J$488,10,FALSE),"")</f>
        <v/>
      </c>
    </row>
    <row r="10310" spans="18:23">
      <c r="R10310" s="127">
        <f t="shared" si="384"/>
        <v>0</v>
      </c>
      <c r="W10310" s="74" t="str">
        <f>IFERROR(VLOOKUP($O10310,'Customer List'!$A$1:$J$488,10,FALSE),"")</f>
        <v/>
      </c>
    </row>
    <row r="10311" spans="18:23">
      <c r="R10311" s="127">
        <f t="shared" si="384"/>
        <v>0</v>
      </c>
      <c r="W10311" s="74" t="str">
        <f>IFERROR(VLOOKUP($O10311,'Customer List'!$A$1:$J$488,10,FALSE),"")</f>
        <v/>
      </c>
    </row>
    <row r="10312" spans="18:23">
      <c r="R10312" s="127">
        <f t="shared" si="384"/>
        <v>0</v>
      </c>
      <c r="W10312" s="74" t="str">
        <f>IFERROR(VLOOKUP($O10312,'Customer List'!$A$1:$J$488,10,FALSE),"")</f>
        <v/>
      </c>
    </row>
    <row r="10313" spans="18:23">
      <c r="R10313" s="127">
        <f t="shared" si="384"/>
        <v>0</v>
      </c>
      <c r="W10313" s="74" t="str">
        <f>IFERROR(VLOOKUP($O10313,'Customer List'!$A$1:$J$488,10,FALSE),"")</f>
        <v/>
      </c>
    </row>
    <row r="10314" spans="18:23">
      <c r="R10314" s="127">
        <f t="shared" si="384"/>
        <v>0</v>
      </c>
      <c r="W10314" s="74" t="str">
        <f>IFERROR(VLOOKUP($O10314,'Customer List'!$A$1:$J$488,10,FALSE),"")</f>
        <v/>
      </c>
    </row>
    <row r="10315" spans="18:23">
      <c r="R10315" s="127">
        <f t="shared" si="384"/>
        <v>0</v>
      </c>
      <c r="W10315" s="74" t="str">
        <f>IFERROR(VLOOKUP($O10315,'Customer List'!$A$1:$J$488,10,FALSE),"")</f>
        <v/>
      </c>
    </row>
    <row r="10316" spans="18:23">
      <c r="R10316" s="127">
        <f t="shared" si="384"/>
        <v>0</v>
      </c>
      <c r="W10316" s="74" t="str">
        <f>IFERROR(VLOOKUP($O10316,'Customer List'!$A$1:$J$488,10,FALSE),"")</f>
        <v/>
      </c>
    </row>
    <row r="10317" spans="18:23">
      <c r="R10317" s="127">
        <f t="shared" si="384"/>
        <v>0</v>
      </c>
      <c r="W10317" s="74" t="str">
        <f>IFERROR(VLOOKUP($O10317,'Customer List'!$A$1:$J$488,10,FALSE),"")</f>
        <v/>
      </c>
    </row>
    <row r="10318" spans="18:23">
      <c r="R10318" s="127">
        <f t="shared" si="384"/>
        <v>0</v>
      </c>
      <c r="W10318" s="74" t="str">
        <f>IFERROR(VLOOKUP($O10318,'Customer List'!$A$1:$J$488,10,FALSE),"")</f>
        <v/>
      </c>
    </row>
    <row r="10319" spans="18:23">
      <c r="R10319" s="127">
        <f t="shared" si="384"/>
        <v>0</v>
      </c>
      <c r="W10319" s="74" t="str">
        <f>IFERROR(VLOOKUP($O10319,'Customer List'!$A$1:$J$488,10,FALSE),"")</f>
        <v/>
      </c>
    </row>
    <row r="10320" spans="18:23">
      <c r="R10320" s="127">
        <f t="shared" si="384"/>
        <v>0</v>
      </c>
      <c r="W10320" s="74" t="str">
        <f>IFERROR(VLOOKUP($O10320,'Customer List'!$A$1:$J$488,10,FALSE),"")</f>
        <v/>
      </c>
    </row>
    <row r="10321" spans="18:23">
      <c r="R10321" s="127">
        <f t="shared" si="384"/>
        <v>0</v>
      </c>
      <c r="W10321" s="74" t="str">
        <f>IFERROR(VLOOKUP($O10321,'Customer List'!$A$1:$J$488,10,FALSE),"")</f>
        <v/>
      </c>
    </row>
    <row r="10322" spans="18:23">
      <c r="R10322" s="127">
        <f t="shared" si="384"/>
        <v>0</v>
      </c>
      <c r="W10322" s="74" t="str">
        <f>IFERROR(VLOOKUP($O10322,'Customer List'!$A$1:$J$488,10,FALSE),"")</f>
        <v/>
      </c>
    </row>
    <row r="10323" spans="18:23">
      <c r="R10323" s="127">
        <f t="shared" si="384"/>
        <v>0</v>
      </c>
      <c r="W10323" s="74" t="str">
        <f>IFERROR(VLOOKUP($O10323,'Customer List'!$A$1:$J$488,10,FALSE),"")</f>
        <v/>
      </c>
    </row>
    <row r="10324" spans="18:23">
      <c r="R10324" s="127">
        <f t="shared" si="384"/>
        <v>0</v>
      </c>
      <c r="W10324" s="74" t="str">
        <f>IFERROR(VLOOKUP($O10324,'Customer List'!$A$1:$J$488,10,FALSE),"")</f>
        <v/>
      </c>
    </row>
    <row r="10325" spans="18:23">
      <c r="R10325" s="127">
        <f t="shared" si="384"/>
        <v>0</v>
      </c>
      <c r="W10325" s="74" t="str">
        <f>IFERROR(VLOOKUP($O10325,'Customer List'!$A$1:$J$488,10,FALSE),"")</f>
        <v/>
      </c>
    </row>
    <row r="10326" spans="18:23">
      <c r="R10326" s="127">
        <f t="shared" si="384"/>
        <v>0</v>
      </c>
      <c r="W10326" s="74" t="str">
        <f>IFERROR(VLOOKUP($O10326,'Customer List'!$A$1:$J$488,10,FALSE),"")</f>
        <v/>
      </c>
    </row>
    <row r="10327" spans="18:23">
      <c r="R10327" s="127">
        <f t="shared" si="384"/>
        <v>0</v>
      </c>
      <c r="W10327" s="74" t="str">
        <f>IFERROR(VLOOKUP($O10327,'Customer List'!$A$1:$J$488,10,FALSE),"")</f>
        <v/>
      </c>
    </row>
    <row r="10328" spans="18:23">
      <c r="R10328" s="127">
        <f t="shared" si="384"/>
        <v>0</v>
      </c>
      <c r="W10328" s="74" t="str">
        <f>IFERROR(VLOOKUP($O10328,'Customer List'!$A$1:$J$488,10,FALSE),"")</f>
        <v/>
      </c>
    </row>
    <row r="10329" spans="18:23">
      <c r="R10329" s="127">
        <f t="shared" si="384"/>
        <v>0</v>
      </c>
      <c r="W10329" s="74" t="str">
        <f>IFERROR(VLOOKUP($O10329,'Customer List'!$A$1:$J$488,10,FALSE),"")</f>
        <v/>
      </c>
    </row>
    <row r="10330" spans="18:23">
      <c r="R10330" s="127">
        <f t="shared" si="384"/>
        <v>0</v>
      </c>
      <c r="W10330" s="74" t="str">
        <f>IFERROR(VLOOKUP($O10330,'Customer List'!$A$1:$J$488,10,FALSE),"")</f>
        <v/>
      </c>
    </row>
    <row r="10331" spans="18:23">
      <c r="R10331" s="127">
        <f t="shared" si="384"/>
        <v>0</v>
      </c>
      <c r="W10331" s="74" t="str">
        <f>IFERROR(VLOOKUP($O10331,'Customer List'!$A$1:$J$488,10,FALSE),"")</f>
        <v/>
      </c>
    </row>
    <row r="10332" spans="18:23">
      <c r="R10332" s="127">
        <f t="shared" si="384"/>
        <v>0</v>
      </c>
      <c r="W10332" s="74" t="str">
        <f>IFERROR(VLOOKUP($O10332,'Customer List'!$A$1:$J$488,10,FALSE),"")</f>
        <v/>
      </c>
    </row>
    <row r="10333" spans="18:23">
      <c r="R10333" s="127">
        <f t="shared" si="384"/>
        <v>0</v>
      </c>
      <c r="W10333" s="74" t="str">
        <f>IFERROR(VLOOKUP($O10333,'Customer List'!$A$1:$J$488,10,FALSE),"")</f>
        <v/>
      </c>
    </row>
    <row r="10334" spans="18:23">
      <c r="R10334" s="127">
        <f t="shared" si="384"/>
        <v>0</v>
      </c>
      <c r="W10334" s="74" t="str">
        <f>IFERROR(VLOOKUP($O10334,'Customer List'!$A$1:$J$488,10,FALSE),"")</f>
        <v/>
      </c>
    </row>
    <row r="10335" spans="18:23">
      <c r="R10335" s="127">
        <f t="shared" si="384"/>
        <v>0</v>
      </c>
      <c r="W10335" s="74" t="str">
        <f>IFERROR(VLOOKUP($O10335,'Customer List'!$A$1:$J$488,10,FALSE),"")</f>
        <v/>
      </c>
    </row>
    <row r="10336" spans="18:23">
      <c r="R10336" s="127">
        <f t="shared" si="384"/>
        <v>0</v>
      </c>
      <c r="W10336" s="74" t="str">
        <f>IFERROR(VLOOKUP($O10336,'Customer List'!$A$1:$J$488,10,FALSE),"")</f>
        <v/>
      </c>
    </row>
    <row r="10337" spans="18:23">
      <c r="R10337" s="127">
        <f t="shared" si="384"/>
        <v>0</v>
      </c>
      <c r="W10337" s="74" t="str">
        <f>IFERROR(VLOOKUP($O10337,'Customer List'!$A$1:$J$488,10,FALSE),"")</f>
        <v/>
      </c>
    </row>
    <row r="10338" spans="18:23">
      <c r="R10338" s="127">
        <f t="shared" ref="R10338:R10401" si="385">L10338-K10338</f>
        <v>0</v>
      </c>
      <c r="W10338" s="74" t="str">
        <f>IFERROR(VLOOKUP($O10338,'Customer List'!$A$1:$J$488,10,FALSE),"")</f>
        <v/>
      </c>
    </row>
    <row r="10339" spans="18:23">
      <c r="R10339" s="127">
        <f t="shared" si="385"/>
        <v>0</v>
      </c>
      <c r="W10339" s="74" t="str">
        <f>IFERROR(VLOOKUP($O10339,'Customer List'!$A$1:$J$488,10,FALSE),"")</f>
        <v/>
      </c>
    </row>
    <row r="10340" spans="18:23">
      <c r="R10340" s="127">
        <f t="shared" si="385"/>
        <v>0</v>
      </c>
      <c r="W10340" s="74" t="str">
        <f>IFERROR(VLOOKUP($O10340,'Customer List'!$A$1:$J$488,10,FALSE),"")</f>
        <v/>
      </c>
    </row>
    <row r="10341" spans="18:23">
      <c r="R10341" s="127">
        <f t="shared" si="385"/>
        <v>0</v>
      </c>
      <c r="W10341" s="74" t="str">
        <f>IFERROR(VLOOKUP($O10341,'Customer List'!$A$1:$J$488,10,FALSE),"")</f>
        <v/>
      </c>
    </row>
    <row r="10342" spans="18:23">
      <c r="R10342" s="127">
        <f t="shared" si="385"/>
        <v>0</v>
      </c>
      <c r="W10342" s="74" t="str">
        <f>IFERROR(VLOOKUP($O10342,'Customer List'!$A$1:$J$488,10,FALSE),"")</f>
        <v/>
      </c>
    </row>
    <row r="10343" spans="18:23">
      <c r="R10343" s="127">
        <f t="shared" si="385"/>
        <v>0</v>
      </c>
      <c r="W10343" s="74" t="str">
        <f>IFERROR(VLOOKUP($O10343,'Customer List'!$A$1:$J$488,10,FALSE),"")</f>
        <v/>
      </c>
    </row>
    <row r="10344" spans="18:23">
      <c r="R10344" s="127">
        <f t="shared" si="385"/>
        <v>0</v>
      </c>
      <c r="W10344" s="74" t="str">
        <f>IFERROR(VLOOKUP($O10344,'Customer List'!$A$1:$J$488,10,FALSE),"")</f>
        <v/>
      </c>
    </row>
    <row r="10345" spans="18:23">
      <c r="R10345" s="127">
        <f t="shared" si="385"/>
        <v>0</v>
      </c>
      <c r="W10345" s="74" t="str">
        <f>IFERROR(VLOOKUP($O10345,'Customer List'!$A$1:$J$488,10,FALSE),"")</f>
        <v/>
      </c>
    </row>
    <row r="10346" spans="18:23">
      <c r="R10346" s="127">
        <f t="shared" si="385"/>
        <v>0</v>
      </c>
      <c r="W10346" s="74" t="str">
        <f>IFERROR(VLOOKUP($O10346,'Customer List'!$A$1:$J$488,10,FALSE),"")</f>
        <v/>
      </c>
    </row>
    <row r="10347" spans="18:23">
      <c r="R10347" s="127">
        <f t="shared" si="385"/>
        <v>0</v>
      </c>
      <c r="W10347" s="74" t="str">
        <f>IFERROR(VLOOKUP($O10347,'Customer List'!$A$1:$J$488,10,FALSE),"")</f>
        <v/>
      </c>
    </row>
    <row r="10348" spans="18:23">
      <c r="R10348" s="127">
        <f t="shared" si="385"/>
        <v>0</v>
      </c>
      <c r="W10348" s="74" t="str">
        <f>IFERROR(VLOOKUP($O10348,'Customer List'!$A$1:$J$488,10,FALSE),"")</f>
        <v/>
      </c>
    </row>
    <row r="10349" spans="18:23">
      <c r="R10349" s="127">
        <f t="shared" si="385"/>
        <v>0</v>
      </c>
      <c r="W10349" s="74" t="str">
        <f>IFERROR(VLOOKUP($O10349,'Customer List'!$A$1:$J$488,10,FALSE),"")</f>
        <v/>
      </c>
    </row>
    <row r="10350" spans="18:23">
      <c r="R10350" s="127">
        <f t="shared" si="385"/>
        <v>0</v>
      </c>
      <c r="W10350" s="74" t="str">
        <f>IFERROR(VLOOKUP($O10350,'Customer List'!$A$1:$J$488,10,FALSE),"")</f>
        <v/>
      </c>
    </row>
    <row r="10351" spans="18:23">
      <c r="R10351" s="127">
        <f t="shared" si="385"/>
        <v>0</v>
      </c>
      <c r="W10351" s="74" t="str">
        <f>IFERROR(VLOOKUP($O10351,'Customer List'!$A$1:$J$488,10,FALSE),"")</f>
        <v/>
      </c>
    </row>
    <row r="10352" spans="18:23">
      <c r="R10352" s="127">
        <f t="shared" si="385"/>
        <v>0</v>
      </c>
      <c r="W10352" s="74" t="str">
        <f>IFERROR(VLOOKUP($O10352,'Customer List'!$A$1:$J$488,10,FALSE),"")</f>
        <v/>
      </c>
    </row>
    <row r="10353" spans="18:23">
      <c r="R10353" s="127">
        <f t="shared" si="385"/>
        <v>0</v>
      </c>
      <c r="W10353" s="74" t="str">
        <f>IFERROR(VLOOKUP($O10353,'Customer List'!$A$1:$J$488,10,FALSE),"")</f>
        <v/>
      </c>
    </row>
    <row r="10354" spans="18:23">
      <c r="R10354" s="127">
        <f t="shared" si="385"/>
        <v>0</v>
      </c>
      <c r="W10354" s="74" t="str">
        <f>IFERROR(VLOOKUP($O10354,'Customer List'!$A$1:$J$488,10,FALSE),"")</f>
        <v/>
      </c>
    </row>
    <row r="10355" spans="18:23">
      <c r="R10355" s="127">
        <f t="shared" si="385"/>
        <v>0</v>
      </c>
      <c r="W10355" s="74" t="str">
        <f>IFERROR(VLOOKUP($O10355,'Customer List'!$A$1:$J$488,10,FALSE),"")</f>
        <v/>
      </c>
    </row>
    <row r="10356" spans="18:23">
      <c r="R10356" s="127">
        <f t="shared" si="385"/>
        <v>0</v>
      </c>
      <c r="W10356" s="74" t="str">
        <f>IFERROR(VLOOKUP($O10356,'Customer List'!$A$1:$J$488,10,FALSE),"")</f>
        <v/>
      </c>
    </row>
    <row r="10357" spans="18:23">
      <c r="R10357" s="127">
        <f t="shared" si="385"/>
        <v>0</v>
      </c>
      <c r="W10357" s="74" t="str">
        <f>IFERROR(VLOOKUP($O10357,'Customer List'!$A$1:$J$488,10,FALSE),"")</f>
        <v/>
      </c>
    </row>
    <row r="10358" spans="18:23">
      <c r="R10358" s="127">
        <f t="shared" si="385"/>
        <v>0</v>
      </c>
      <c r="W10358" s="74" t="str">
        <f>IFERROR(VLOOKUP($O10358,'Customer List'!$A$1:$J$488,10,FALSE),"")</f>
        <v/>
      </c>
    </row>
    <row r="10359" spans="18:23">
      <c r="R10359" s="127">
        <f t="shared" si="385"/>
        <v>0</v>
      </c>
      <c r="W10359" s="74" t="str">
        <f>IFERROR(VLOOKUP($O10359,'Customer List'!$A$1:$J$488,10,FALSE),"")</f>
        <v/>
      </c>
    </row>
    <row r="10360" spans="18:23">
      <c r="R10360" s="127">
        <f t="shared" si="385"/>
        <v>0</v>
      </c>
      <c r="W10360" s="74" t="str">
        <f>IFERROR(VLOOKUP($O10360,'Customer List'!$A$1:$J$488,10,FALSE),"")</f>
        <v/>
      </c>
    </row>
    <row r="10361" spans="18:23">
      <c r="R10361" s="127">
        <f t="shared" si="385"/>
        <v>0</v>
      </c>
      <c r="W10361" s="74" t="str">
        <f>IFERROR(VLOOKUP($O10361,'Customer List'!$A$1:$J$488,10,FALSE),"")</f>
        <v/>
      </c>
    </row>
    <row r="10362" spans="18:23">
      <c r="R10362" s="127">
        <f t="shared" si="385"/>
        <v>0</v>
      </c>
      <c r="W10362" s="74" t="str">
        <f>IFERROR(VLOOKUP($O10362,'Customer List'!$A$1:$J$488,10,FALSE),"")</f>
        <v/>
      </c>
    </row>
    <row r="10363" spans="18:23">
      <c r="R10363" s="127">
        <f t="shared" si="385"/>
        <v>0</v>
      </c>
      <c r="W10363" s="74" t="str">
        <f>IFERROR(VLOOKUP($O10363,'Customer List'!$A$1:$J$488,10,FALSE),"")</f>
        <v/>
      </c>
    </row>
    <row r="10364" spans="18:23">
      <c r="R10364" s="127">
        <f t="shared" si="385"/>
        <v>0</v>
      </c>
      <c r="W10364" s="74" t="str">
        <f>IFERROR(VLOOKUP($O10364,'Customer List'!$A$1:$J$488,10,FALSE),"")</f>
        <v/>
      </c>
    </row>
    <row r="10365" spans="18:23">
      <c r="R10365" s="127">
        <f t="shared" si="385"/>
        <v>0</v>
      </c>
      <c r="W10365" s="74" t="str">
        <f>IFERROR(VLOOKUP($O10365,'Customer List'!$A$1:$J$488,10,FALSE),"")</f>
        <v/>
      </c>
    </row>
    <row r="10366" spans="18:23">
      <c r="R10366" s="127">
        <f t="shared" si="385"/>
        <v>0</v>
      </c>
      <c r="W10366" s="74" t="str">
        <f>IFERROR(VLOOKUP($O10366,'Customer List'!$A$1:$J$488,10,FALSE),"")</f>
        <v/>
      </c>
    </row>
    <row r="10367" spans="18:23">
      <c r="R10367" s="127">
        <f t="shared" si="385"/>
        <v>0</v>
      </c>
      <c r="W10367" s="74" t="str">
        <f>IFERROR(VLOOKUP($O10367,'Customer List'!$A$1:$J$488,10,FALSE),"")</f>
        <v/>
      </c>
    </row>
    <row r="10368" spans="18:23">
      <c r="R10368" s="127">
        <f t="shared" si="385"/>
        <v>0</v>
      </c>
      <c r="W10368" s="74" t="str">
        <f>IFERROR(VLOOKUP($O10368,'Customer List'!$A$1:$J$488,10,FALSE),"")</f>
        <v/>
      </c>
    </row>
    <row r="10369" spans="18:23">
      <c r="R10369" s="127">
        <f t="shared" si="385"/>
        <v>0</v>
      </c>
      <c r="W10369" s="74" t="str">
        <f>IFERROR(VLOOKUP($O10369,'Customer List'!$A$1:$J$488,10,FALSE),"")</f>
        <v/>
      </c>
    </row>
    <row r="10370" spans="18:23">
      <c r="R10370" s="127">
        <f t="shared" si="385"/>
        <v>0</v>
      </c>
      <c r="W10370" s="74" t="str">
        <f>IFERROR(VLOOKUP($O10370,'Customer List'!$A$1:$J$488,10,FALSE),"")</f>
        <v/>
      </c>
    </row>
    <row r="10371" spans="18:23">
      <c r="R10371" s="127">
        <f t="shared" si="385"/>
        <v>0</v>
      </c>
      <c r="W10371" s="74" t="str">
        <f>IFERROR(VLOOKUP($O10371,'Customer List'!$A$1:$J$488,10,FALSE),"")</f>
        <v/>
      </c>
    </row>
    <row r="10372" spans="18:23">
      <c r="R10372" s="127">
        <f t="shared" si="385"/>
        <v>0</v>
      </c>
      <c r="W10372" s="74" t="str">
        <f>IFERROR(VLOOKUP($O10372,'Customer List'!$A$1:$J$488,10,FALSE),"")</f>
        <v/>
      </c>
    </row>
    <row r="10373" spans="18:23">
      <c r="R10373" s="127">
        <f t="shared" si="385"/>
        <v>0</v>
      </c>
      <c r="W10373" s="74" t="str">
        <f>IFERROR(VLOOKUP($O10373,'Customer List'!$A$1:$J$488,10,FALSE),"")</f>
        <v/>
      </c>
    </row>
    <row r="10374" spans="18:23">
      <c r="R10374" s="127">
        <f t="shared" si="385"/>
        <v>0</v>
      </c>
      <c r="W10374" s="74" t="str">
        <f>IFERROR(VLOOKUP($O10374,'Customer List'!$A$1:$J$488,10,FALSE),"")</f>
        <v/>
      </c>
    </row>
    <row r="10375" spans="18:23">
      <c r="R10375" s="127">
        <f t="shared" si="385"/>
        <v>0</v>
      </c>
      <c r="W10375" s="74" t="str">
        <f>IFERROR(VLOOKUP($O10375,'Customer List'!$A$1:$J$488,10,FALSE),"")</f>
        <v/>
      </c>
    </row>
    <row r="10376" spans="18:23">
      <c r="R10376" s="127">
        <f t="shared" si="385"/>
        <v>0</v>
      </c>
      <c r="W10376" s="74" t="str">
        <f>IFERROR(VLOOKUP($O10376,'Customer List'!$A$1:$J$488,10,FALSE),"")</f>
        <v/>
      </c>
    </row>
    <row r="10377" spans="18:23">
      <c r="R10377" s="127">
        <f t="shared" si="385"/>
        <v>0</v>
      </c>
      <c r="W10377" s="74" t="str">
        <f>IFERROR(VLOOKUP($O10377,'Customer List'!$A$1:$J$488,10,FALSE),"")</f>
        <v/>
      </c>
    </row>
    <row r="10378" spans="18:23">
      <c r="R10378" s="127">
        <f t="shared" si="385"/>
        <v>0</v>
      </c>
      <c r="W10378" s="74" t="str">
        <f>IFERROR(VLOOKUP($O10378,'Customer List'!$A$1:$J$488,10,FALSE),"")</f>
        <v/>
      </c>
    </row>
    <row r="10379" spans="18:23">
      <c r="R10379" s="127">
        <f t="shared" si="385"/>
        <v>0</v>
      </c>
      <c r="W10379" s="74" t="str">
        <f>IFERROR(VLOOKUP($O10379,'Customer List'!$A$1:$J$488,10,FALSE),"")</f>
        <v/>
      </c>
    </row>
    <row r="10380" spans="18:23">
      <c r="R10380" s="127">
        <f t="shared" si="385"/>
        <v>0</v>
      </c>
      <c r="W10380" s="74" t="str">
        <f>IFERROR(VLOOKUP($O10380,'Customer List'!$A$1:$J$488,10,FALSE),"")</f>
        <v/>
      </c>
    </row>
    <row r="10381" spans="18:23">
      <c r="R10381" s="127">
        <f t="shared" si="385"/>
        <v>0</v>
      </c>
      <c r="W10381" s="74" t="str">
        <f>IFERROR(VLOOKUP($O10381,'Customer List'!$A$1:$J$488,10,FALSE),"")</f>
        <v/>
      </c>
    </row>
    <row r="10382" spans="18:23">
      <c r="R10382" s="127">
        <f t="shared" si="385"/>
        <v>0</v>
      </c>
      <c r="W10382" s="74" t="str">
        <f>IFERROR(VLOOKUP($O10382,'Customer List'!$A$1:$J$488,10,FALSE),"")</f>
        <v/>
      </c>
    </row>
    <row r="10383" spans="18:23">
      <c r="R10383" s="127">
        <f t="shared" si="385"/>
        <v>0</v>
      </c>
      <c r="W10383" s="74" t="str">
        <f>IFERROR(VLOOKUP($O10383,'Customer List'!$A$1:$J$488,10,FALSE),"")</f>
        <v/>
      </c>
    </row>
    <row r="10384" spans="18:23">
      <c r="R10384" s="127">
        <f t="shared" si="385"/>
        <v>0</v>
      </c>
      <c r="W10384" s="74" t="str">
        <f>IFERROR(VLOOKUP($O10384,'Customer List'!$A$1:$J$488,10,FALSE),"")</f>
        <v/>
      </c>
    </row>
    <row r="10385" spans="18:23">
      <c r="R10385" s="127">
        <f t="shared" si="385"/>
        <v>0</v>
      </c>
      <c r="W10385" s="74" t="str">
        <f>IFERROR(VLOOKUP($O10385,'Customer List'!$A$1:$J$488,10,FALSE),"")</f>
        <v/>
      </c>
    </row>
    <row r="10386" spans="18:23">
      <c r="R10386" s="127">
        <f t="shared" si="385"/>
        <v>0</v>
      </c>
      <c r="W10386" s="74" t="str">
        <f>IFERROR(VLOOKUP($O10386,'Customer List'!$A$1:$J$488,10,FALSE),"")</f>
        <v/>
      </c>
    </row>
    <row r="10387" spans="18:23">
      <c r="R10387" s="127">
        <f t="shared" si="385"/>
        <v>0</v>
      </c>
      <c r="W10387" s="74" t="str">
        <f>IFERROR(VLOOKUP($O10387,'Customer List'!$A$1:$J$488,10,FALSE),"")</f>
        <v/>
      </c>
    </row>
    <row r="10388" spans="18:23">
      <c r="R10388" s="127">
        <f t="shared" si="385"/>
        <v>0</v>
      </c>
      <c r="W10388" s="74" t="str">
        <f>IFERROR(VLOOKUP($O10388,'Customer List'!$A$1:$J$488,10,FALSE),"")</f>
        <v/>
      </c>
    </row>
    <row r="10389" spans="18:23">
      <c r="R10389" s="127">
        <f t="shared" si="385"/>
        <v>0</v>
      </c>
      <c r="W10389" s="74" t="str">
        <f>IFERROR(VLOOKUP($O10389,'Customer List'!$A$1:$J$488,10,FALSE),"")</f>
        <v/>
      </c>
    </row>
    <row r="10390" spans="18:23">
      <c r="R10390" s="127">
        <f t="shared" si="385"/>
        <v>0</v>
      </c>
      <c r="W10390" s="74" t="str">
        <f>IFERROR(VLOOKUP($O10390,'Customer List'!$A$1:$J$488,10,FALSE),"")</f>
        <v/>
      </c>
    </row>
    <row r="10391" spans="18:23">
      <c r="R10391" s="127">
        <f t="shared" si="385"/>
        <v>0</v>
      </c>
      <c r="W10391" s="74" t="str">
        <f>IFERROR(VLOOKUP($O10391,'Customer List'!$A$1:$J$488,10,FALSE),"")</f>
        <v/>
      </c>
    </row>
    <row r="10392" spans="18:23">
      <c r="R10392" s="127">
        <f t="shared" si="385"/>
        <v>0</v>
      </c>
      <c r="W10392" s="74" t="str">
        <f>IFERROR(VLOOKUP($O10392,'Customer List'!$A$1:$J$488,10,FALSE),"")</f>
        <v/>
      </c>
    </row>
    <row r="10393" spans="18:23">
      <c r="R10393" s="127">
        <f t="shared" si="385"/>
        <v>0</v>
      </c>
      <c r="W10393" s="74" t="str">
        <f>IFERROR(VLOOKUP($O10393,'Customer List'!$A$1:$J$488,10,FALSE),"")</f>
        <v/>
      </c>
    </row>
    <row r="10394" spans="18:23">
      <c r="R10394" s="127">
        <f t="shared" si="385"/>
        <v>0</v>
      </c>
      <c r="W10394" s="74" t="str">
        <f>IFERROR(VLOOKUP($O10394,'Customer List'!$A$1:$J$488,10,FALSE),"")</f>
        <v/>
      </c>
    </row>
    <row r="10395" spans="18:23">
      <c r="R10395" s="127">
        <f t="shared" si="385"/>
        <v>0</v>
      </c>
      <c r="W10395" s="74" t="str">
        <f>IFERROR(VLOOKUP($O10395,'Customer List'!$A$1:$J$488,10,FALSE),"")</f>
        <v/>
      </c>
    </row>
    <row r="10396" spans="18:23">
      <c r="R10396" s="127">
        <f t="shared" si="385"/>
        <v>0</v>
      </c>
      <c r="W10396" s="74" t="str">
        <f>IFERROR(VLOOKUP($O10396,'Customer List'!$A$1:$J$488,10,FALSE),"")</f>
        <v/>
      </c>
    </row>
    <row r="10397" spans="18:23">
      <c r="R10397" s="127">
        <f t="shared" si="385"/>
        <v>0</v>
      </c>
      <c r="W10397" s="74" t="str">
        <f>IFERROR(VLOOKUP($O10397,'Customer List'!$A$1:$J$488,10,FALSE),"")</f>
        <v/>
      </c>
    </row>
    <row r="10398" spans="18:23">
      <c r="R10398" s="127">
        <f t="shared" si="385"/>
        <v>0</v>
      </c>
      <c r="W10398" s="74" t="str">
        <f>IFERROR(VLOOKUP($O10398,'Customer List'!$A$1:$J$488,10,FALSE),"")</f>
        <v/>
      </c>
    </row>
    <row r="10399" spans="18:23">
      <c r="R10399" s="127">
        <f t="shared" si="385"/>
        <v>0</v>
      </c>
      <c r="W10399" s="74" t="str">
        <f>IFERROR(VLOOKUP($O10399,'Customer List'!$A$1:$J$488,10,FALSE),"")</f>
        <v/>
      </c>
    </row>
    <row r="10400" spans="18:23">
      <c r="R10400" s="127">
        <f t="shared" si="385"/>
        <v>0</v>
      </c>
      <c r="W10400" s="74" t="str">
        <f>IFERROR(VLOOKUP($O10400,'Customer List'!$A$1:$J$488,10,FALSE),"")</f>
        <v/>
      </c>
    </row>
    <row r="10401" spans="18:23">
      <c r="R10401" s="127">
        <f t="shared" si="385"/>
        <v>0</v>
      </c>
      <c r="W10401" s="74" t="str">
        <f>IFERROR(VLOOKUP($O10401,'Customer List'!$A$1:$J$488,10,FALSE),"")</f>
        <v/>
      </c>
    </row>
    <row r="10402" spans="18:23">
      <c r="R10402" s="127">
        <f t="shared" ref="R10402:R10465" si="386">L10402-K10402</f>
        <v>0</v>
      </c>
      <c r="W10402" s="74" t="str">
        <f>IFERROR(VLOOKUP($O10402,'Customer List'!$A$1:$J$488,10,FALSE),"")</f>
        <v/>
      </c>
    </row>
    <row r="10403" spans="18:23">
      <c r="R10403" s="127">
        <f t="shared" si="386"/>
        <v>0</v>
      </c>
      <c r="W10403" s="74" t="str">
        <f>IFERROR(VLOOKUP($O10403,'Customer List'!$A$1:$J$488,10,FALSE),"")</f>
        <v/>
      </c>
    </row>
    <row r="10404" spans="18:23">
      <c r="R10404" s="127">
        <f t="shared" si="386"/>
        <v>0</v>
      </c>
      <c r="W10404" s="74" t="str">
        <f>IFERROR(VLOOKUP($O10404,'Customer List'!$A$1:$J$488,10,FALSE),"")</f>
        <v/>
      </c>
    </row>
    <row r="10405" spans="18:23">
      <c r="R10405" s="127">
        <f t="shared" si="386"/>
        <v>0</v>
      </c>
      <c r="W10405" s="74" t="str">
        <f>IFERROR(VLOOKUP($O10405,'Customer List'!$A$1:$J$488,10,FALSE),"")</f>
        <v/>
      </c>
    </row>
    <row r="10406" spans="18:23">
      <c r="R10406" s="127">
        <f t="shared" si="386"/>
        <v>0</v>
      </c>
      <c r="W10406" s="74" t="str">
        <f>IFERROR(VLOOKUP($O10406,'Customer List'!$A$1:$J$488,10,FALSE),"")</f>
        <v/>
      </c>
    </row>
    <row r="10407" spans="18:23">
      <c r="R10407" s="127">
        <f t="shared" si="386"/>
        <v>0</v>
      </c>
      <c r="W10407" s="74" t="str">
        <f>IFERROR(VLOOKUP($O10407,'Customer List'!$A$1:$J$488,10,FALSE),"")</f>
        <v/>
      </c>
    </row>
    <row r="10408" spans="18:23">
      <c r="R10408" s="127">
        <f t="shared" si="386"/>
        <v>0</v>
      </c>
      <c r="W10408" s="74" t="str">
        <f>IFERROR(VLOOKUP($O10408,'Customer List'!$A$1:$J$488,10,FALSE),"")</f>
        <v/>
      </c>
    </row>
    <row r="10409" spans="18:23">
      <c r="R10409" s="127">
        <f t="shared" si="386"/>
        <v>0</v>
      </c>
      <c r="W10409" s="74" t="str">
        <f>IFERROR(VLOOKUP($O10409,'Customer List'!$A$1:$J$488,10,FALSE),"")</f>
        <v/>
      </c>
    </row>
    <row r="10410" spans="18:23">
      <c r="R10410" s="127">
        <f t="shared" si="386"/>
        <v>0</v>
      </c>
      <c r="W10410" s="74" t="str">
        <f>IFERROR(VLOOKUP($O10410,'Customer List'!$A$1:$J$488,10,FALSE),"")</f>
        <v/>
      </c>
    </row>
    <row r="10411" spans="18:23">
      <c r="R10411" s="127">
        <f t="shared" si="386"/>
        <v>0</v>
      </c>
      <c r="W10411" s="74" t="str">
        <f>IFERROR(VLOOKUP($O10411,'Customer List'!$A$1:$J$488,10,FALSE),"")</f>
        <v/>
      </c>
    </row>
    <row r="10412" spans="18:23">
      <c r="R10412" s="127">
        <f t="shared" si="386"/>
        <v>0</v>
      </c>
      <c r="W10412" s="74" t="str">
        <f>IFERROR(VLOOKUP($O10412,'Customer List'!$A$1:$J$488,10,FALSE),"")</f>
        <v/>
      </c>
    </row>
    <row r="10413" spans="18:23">
      <c r="R10413" s="127">
        <f t="shared" si="386"/>
        <v>0</v>
      </c>
      <c r="W10413" s="74" t="str">
        <f>IFERROR(VLOOKUP($O10413,'Customer List'!$A$1:$J$488,10,FALSE),"")</f>
        <v/>
      </c>
    </row>
    <row r="10414" spans="18:23">
      <c r="R10414" s="127">
        <f t="shared" si="386"/>
        <v>0</v>
      </c>
      <c r="W10414" s="74" t="str">
        <f>IFERROR(VLOOKUP($O10414,'Customer List'!$A$1:$J$488,10,FALSE),"")</f>
        <v/>
      </c>
    </row>
    <row r="10415" spans="18:23">
      <c r="R10415" s="127">
        <f t="shared" si="386"/>
        <v>0</v>
      </c>
      <c r="W10415" s="74" t="str">
        <f>IFERROR(VLOOKUP($O10415,'Customer List'!$A$1:$J$488,10,FALSE),"")</f>
        <v/>
      </c>
    </row>
    <row r="10416" spans="18:23">
      <c r="R10416" s="127">
        <f t="shared" si="386"/>
        <v>0</v>
      </c>
      <c r="W10416" s="74" t="str">
        <f>IFERROR(VLOOKUP($O10416,'Customer List'!$A$1:$J$488,10,FALSE),"")</f>
        <v/>
      </c>
    </row>
    <row r="10417" spans="18:23">
      <c r="R10417" s="127">
        <f t="shared" si="386"/>
        <v>0</v>
      </c>
      <c r="W10417" s="74" t="str">
        <f>IFERROR(VLOOKUP($O10417,'Customer List'!$A$1:$J$488,10,FALSE),"")</f>
        <v/>
      </c>
    </row>
    <row r="10418" spans="18:23">
      <c r="R10418" s="127">
        <f t="shared" si="386"/>
        <v>0</v>
      </c>
      <c r="W10418" s="74" t="str">
        <f>IFERROR(VLOOKUP($O10418,'Customer List'!$A$1:$J$488,10,FALSE),"")</f>
        <v/>
      </c>
    </row>
    <row r="10419" spans="18:23">
      <c r="R10419" s="127">
        <f t="shared" si="386"/>
        <v>0</v>
      </c>
      <c r="W10419" s="74" t="str">
        <f>IFERROR(VLOOKUP($O10419,'Customer List'!$A$1:$J$488,10,FALSE),"")</f>
        <v/>
      </c>
    </row>
    <row r="10420" spans="18:23">
      <c r="R10420" s="127">
        <f t="shared" si="386"/>
        <v>0</v>
      </c>
      <c r="W10420" s="74" t="str">
        <f>IFERROR(VLOOKUP($O10420,'Customer List'!$A$1:$J$488,10,FALSE),"")</f>
        <v/>
      </c>
    </row>
    <row r="10421" spans="18:23">
      <c r="R10421" s="127">
        <f t="shared" si="386"/>
        <v>0</v>
      </c>
      <c r="W10421" s="74" t="str">
        <f>IFERROR(VLOOKUP($O10421,'Customer List'!$A$1:$J$488,10,FALSE),"")</f>
        <v/>
      </c>
    </row>
    <row r="10422" spans="18:23">
      <c r="R10422" s="127">
        <f t="shared" si="386"/>
        <v>0</v>
      </c>
      <c r="W10422" s="74" t="str">
        <f>IFERROR(VLOOKUP($O10422,'Customer List'!$A$1:$J$488,10,FALSE),"")</f>
        <v/>
      </c>
    </row>
    <row r="10423" spans="18:23">
      <c r="R10423" s="127">
        <f t="shared" si="386"/>
        <v>0</v>
      </c>
      <c r="W10423" s="74" t="str">
        <f>IFERROR(VLOOKUP($O10423,'Customer List'!$A$1:$J$488,10,FALSE),"")</f>
        <v/>
      </c>
    </row>
    <row r="10424" spans="18:23">
      <c r="R10424" s="127">
        <f t="shared" si="386"/>
        <v>0</v>
      </c>
      <c r="W10424" s="74" t="str">
        <f>IFERROR(VLOOKUP($O10424,'Customer List'!$A$1:$J$488,10,FALSE),"")</f>
        <v/>
      </c>
    </row>
    <row r="10425" spans="18:23">
      <c r="R10425" s="127">
        <f t="shared" si="386"/>
        <v>0</v>
      </c>
      <c r="W10425" s="74" t="str">
        <f>IFERROR(VLOOKUP($O10425,'Customer List'!$A$1:$J$488,10,FALSE),"")</f>
        <v/>
      </c>
    </row>
    <row r="10426" spans="18:23">
      <c r="R10426" s="127">
        <f t="shared" si="386"/>
        <v>0</v>
      </c>
      <c r="W10426" s="74" t="str">
        <f>IFERROR(VLOOKUP($O10426,'Customer List'!$A$1:$J$488,10,FALSE),"")</f>
        <v/>
      </c>
    </row>
    <row r="10427" spans="18:23">
      <c r="R10427" s="127">
        <f t="shared" si="386"/>
        <v>0</v>
      </c>
      <c r="W10427" s="74" t="str">
        <f>IFERROR(VLOOKUP($O10427,'Customer List'!$A$1:$J$488,10,FALSE),"")</f>
        <v/>
      </c>
    </row>
    <row r="10428" spans="18:23">
      <c r="R10428" s="127">
        <f t="shared" si="386"/>
        <v>0</v>
      </c>
      <c r="W10428" s="74" t="str">
        <f>IFERROR(VLOOKUP($O10428,'Customer List'!$A$1:$J$488,10,FALSE),"")</f>
        <v/>
      </c>
    </row>
    <row r="10429" spans="18:23">
      <c r="R10429" s="127">
        <f t="shared" si="386"/>
        <v>0</v>
      </c>
      <c r="W10429" s="74" t="str">
        <f>IFERROR(VLOOKUP($O10429,'Customer List'!$A$1:$J$488,10,FALSE),"")</f>
        <v/>
      </c>
    </row>
    <row r="10430" spans="18:23">
      <c r="R10430" s="127">
        <f t="shared" si="386"/>
        <v>0</v>
      </c>
      <c r="W10430" s="74" t="str">
        <f>IFERROR(VLOOKUP($O10430,'Customer List'!$A$1:$J$488,10,FALSE),"")</f>
        <v/>
      </c>
    </row>
    <row r="10431" spans="18:23">
      <c r="R10431" s="127">
        <f t="shared" si="386"/>
        <v>0</v>
      </c>
      <c r="W10431" s="74" t="str">
        <f>IFERROR(VLOOKUP($O10431,'Customer List'!$A$1:$J$488,10,FALSE),"")</f>
        <v/>
      </c>
    </row>
    <row r="10432" spans="18:23">
      <c r="R10432" s="127">
        <f t="shared" si="386"/>
        <v>0</v>
      </c>
      <c r="W10432" s="74" t="str">
        <f>IFERROR(VLOOKUP($O10432,'Customer List'!$A$1:$J$488,10,FALSE),"")</f>
        <v/>
      </c>
    </row>
    <row r="10433" spans="18:23">
      <c r="R10433" s="127">
        <f t="shared" si="386"/>
        <v>0</v>
      </c>
      <c r="W10433" s="74" t="str">
        <f>IFERROR(VLOOKUP($O10433,'Customer List'!$A$1:$J$488,10,FALSE),"")</f>
        <v/>
      </c>
    </row>
    <row r="10434" spans="18:23">
      <c r="R10434" s="127">
        <f t="shared" si="386"/>
        <v>0</v>
      </c>
      <c r="W10434" s="74" t="str">
        <f>IFERROR(VLOOKUP($O10434,'Customer List'!$A$1:$J$488,10,FALSE),"")</f>
        <v/>
      </c>
    </row>
    <row r="10435" spans="18:23">
      <c r="R10435" s="127">
        <f t="shared" si="386"/>
        <v>0</v>
      </c>
      <c r="W10435" s="74" t="str">
        <f>IFERROR(VLOOKUP($O10435,'Customer List'!$A$1:$J$488,10,FALSE),"")</f>
        <v/>
      </c>
    </row>
    <row r="10436" spans="18:23">
      <c r="R10436" s="127">
        <f t="shared" si="386"/>
        <v>0</v>
      </c>
      <c r="W10436" s="74" t="str">
        <f>IFERROR(VLOOKUP($O10436,'Customer List'!$A$1:$J$488,10,FALSE),"")</f>
        <v/>
      </c>
    </row>
    <row r="10437" spans="18:23">
      <c r="R10437" s="127">
        <f t="shared" si="386"/>
        <v>0</v>
      </c>
      <c r="W10437" s="74" t="str">
        <f>IFERROR(VLOOKUP($O10437,'Customer List'!$A$1:$J$488,10,FALSE),"")</f>
        <v/>
      </c>
    </row>
    <row r="10438" spans="18:23">
      <c r="R10438" s="127">
        <f t="shared" si="386"/>
        <v>0</v>
      </c>
      <c r="W10438" s="74" t="str">
        <f>IFERROR(VLOOKUP($O10438,'Customer List'!$A$1:$J$488,10,FALSE),"")</f>
        <v/>
      </c>
    </row>
    <row r="10439" spans="18:23">
      <c r="R10439" s="127">
        <f t="shared" si="386"/>
        <v>0</v>
      </c>
      <c r="W10439" s="74" t="str">
        <f>IFERROR(VLOOKUP($O10439,'Customer List'!$A$1:$J$488,10,FALSE),"")</f>
        <v/>
      </c>
    </row>
    <row r="10440" spans="18:23">
      <c r="R10440" s="127">
        <f t="shared" si="386"/>
        <v>0</v>
      </c>
      <c r="W10440" s="74" t="str">
        <f>IFERROR(VLOOKUP($O10440,'Customer List'!$A$1:$J$488,10,FALSE),"")</f>
        <v/>
      </c>
    </row>
    <row r="10441" spans="18:23">
      <c r="R10441" s="127">
        <f t="shared" si="386"/>
        <v>0</v>
      </c>
      <c r="W10441" s="74" t="str">
        <f>IFERROR(VLOOKUP($O10441,'Customer List'!$A$1:$J$488,10,FALSE),"")</f>
        <v/>
      </c>
    </row>
    <row r="10442" spans="18:23">
      <c r="R10442" s="127">
        <f t="shared" si="386"/>
        <v>0</v>
      </c>
      <c r="W10442" s="74" t="str">
        <f>IFERROR(VLOOKUP($O10442,'Customer List'!$A$1:$J$488,10,FALSE),"")</f>
        <v/>
      </c>
    </row>
    <row r="10443" spans="18:23">
      <c r="R10443" s="127">
        <f t="shared" si="386"/>
        <v>0</v>
      </c>
      <c r="W10443" s="74" t="str">
        <f>IFERROR(VLOOKUP($O10443,'Customer List'!$A$1:$J$488,10,FALSE),"")</f>
        <v/>
      </c>
    </row>
    <row r="10444" spans="18:23">
      <c r="R10444" s="127">
        <f t="shared" si="386"/>
        <v>0</v>
      </c>
      <c r="W10444" s="74" t="str">
        <f>IFERROR(VLOOKUP($O10444,'Customer List'!$A$1:$J$488,10,FALSE),"")</f>
        <v/>
      </c>
    </row>
    <row r="10445" spans="18:23">
      <c r="R10445" s="127">
        <f t="shared" si="386"/>
        <v>0</v>
      </c>
      <c r="W10445" s="74" t="str">
        <f>IFERROR(VLOOKUP($O10445,'Customer List'!$A$1:$J$488,10,FALSE),"")</f>
        <v/>
      </c>
    </row>
    <row r="10446" spans="18:23">
      <c r="R10446" s="127">
        <f t="shared" si="386"/>
        <v>0</v>
      </c>
      <c r="W10446" s="74" t="str">
        <f>IFERROR(VLOOKUP($O10446,'Customer List'!$A$1:$J$488,10,FALSE),"")</f>
        <v/>
      </c>
    </row>
    <row r="10447" spans="18:23">
      <c r="R10447" s="127">
        <f t="shared" si="386"/>
        <v>0</v>
      </c>
      <c r="W10447" s="74" t="str">
        <f>IFERROR(VLOOKUP($O10447,'Customer List'!$A$1:$J$488,10,FALSE),"")</f>
        <v/>
      </c>
    </row>
    <row r="10448" spans="18:23">
      <c r="R10448" s="127">
        <f t="shared" si="386"/>
        <v>0</v>
      </c>
      <c r="W10448" s="74" t="str">
        <f>IFERROR(VLOOKUP($O10448,'Customer List'!$A$1:$J$488,10,FALSE),"")</f>
        <v/>
      </c>
    </row>
    <row r="10449" spans="18:23">
      <c r="R10449" s="127">
        <f t="shared" si="386"/>
        <v>0</v>
      </c>
      <c r="W10449" s="74" t="str">
        <f>IFERROR(VLOOKUP($O10449,'Customer List'!$A$1:$J$488,10,FALSE),"")</f>
        <v/>
      </c>
    </row>
    <row r="10450" spans="18:23">
      <c r="R10450" s="127">
        <f t="shared" si="386"/>
        <v>0</v>
      </c>
      <c r="W10450" s="74" t="str">
        <f>IFERROR(VLOOKUP($O10450,'Customer List'!$A$1:$J$488,10,FALSE),"")</f>
        <v/>
      </c>
    </row>
    <row r="10451" spans="18:23">
      <c r="R10451" s="127">
        <f t="shared" si="386"/>
        <v>0</v>
      </c>
      <c r="W10451" s="74" t="str">
        <f>IFERROR(VLOOKUP($O10451,'Customer List'!$A$1:$J$488,10,FALSE),"")</f>
        <v/>
      </c>
    </row>
    <row r="10452" spans="18:23">
      <c r="R10452" s="127">
        <f t="shared" si="386"/>
        <v>0</v>
      </c>
      <c r="W10452" s="74" t="str">
        <f>IFERROR(VLOOKUP($O10452,'Customer List'!$A$1:$J$488,10,FALSE),"")</f>
        <v/>
      </c>
    </row>
    <row r="10453" spans="18:23">
      <c r="R10453" s="127">
        <f t="shared" si="386"/>
        <v>0</v>
      </c>
      <c r="W10453" s="74" t="str">
        <f>IFERROR(VLOOKUP($O10453,'Customer List'!$A$1:$J$488,10,FALSE),"")</f>
        <v/>
      </c>
    </row>
    <row r="10454" spans="18:23">
      <c r="R10454" s="127">
        <f t="shared" si="386"/>
        <v>0</v>
      </c>
      <c r="W10454" s="74" t="str">
        <f>IFERROR(VLOOKUP($O10454,'Customer List'!$A$1:$J$488,10,FALSE),"")</f>
        <v/>
      </c>
    </row>
    <row r="10455" spans="18:23">
      <c r="R10455" s="127">
        <f t="shared" si="386"/>
        <v>0</v>
      </c>
      <c r="W10455" s="74" t="str">
        <f>IFERROR(VLOOKUP($O10455,'Customer List'!$A$1:$J$488,10,FALSE),"")</f>
        <v/>
      </c>
    </row>
    <row r="10456" spans="18:23">
      <c r="R10456" s="127">
        <f t="shared" si="386"/>
        <v>0</v>
      </c>
      <c r="W10456" s="74" t="str">
        <f>IFERROR(VLOOKUP($O10456,'Customer List'!$A$1:$J$488,10,FALSE),"")</f>
        <v/>
      </c>
    </row>
    <row r="10457" spans="18:23">
      <c r="R10457" s="127">
        <f t="shared" si="386"/>
        <v>0</v>
      </c>
      <c r="W10457" s="74" t="str">
        <f>IFERROR(VLOOKUP($O10457,'Customer List'!$A$1:$J$488,10,FALSE),"")</f>
        <v/>
      </c>
    </row>
    <row r="10458" spans="18:23">
      <c r="R10458" s="127">
        <f t="shared" si="386"/>
        <v>0</v>
      </c>
      <c r="W10458" s="74" t="str">
        <f>IFERROR(VLOOKUP($O10458,'Customer List'!$A$1:$J$488,10,FALSE),"")</f>
        <v/>
      </c>
    </row>
    <row r="10459" spans="18:23">
      <c r="R10459" s="127">
        <f t="shared" si="386"/>
        <v>0</v>
      </c>
      <c r="W10459" s="74" t="str">
        <f>IFERROR(VLOOKUP($O10459,'Customer List'!$A$1:$J$488,10,FALSE),"")</f>
        <v/>
      </c>
    </row>
    <row r="10460" spans="18:23">
      <c r="R10460" s="127">
        <f t="shared" si="386"/>
        <v>0</v>
      </c>
      <c r="W10460" s="74" t="str">
        <f>IFERROR(VLOOKUP($O10460,'Customer List'!$A$1:$J$488,10,FALSE),"")</f>
        <v/>
      </c>
    </row>
    <row r="10461" spans="18:23">
      <c r="R10461" s="127">
        <f t="shared" si="386"/>
        <v>0</v>
      </c>
      <c r="W10461" s="74" t="str">
        <f>IFERROR(VLOOKUP($O10461,'Customer List'!$A$1:$J$488,10,FALSE),"")</f>
        <v/>
      </c>
    </row>
    <row r="10462" spans="18:23">
      <c r="R10462" s="127">
        <f t="shared" si="386"/>
        <v>0</v>
      </c>
      <c r="W10462" s="74" t="str">
        <f>IFERROR(VLOOKUP($O10462,'Customer List'!$A$1:$J$488,10,FALSE),"")</f>
        <v/>
      </c>
    </row>
    <row r="10463" spans="18:23">
      <c r="R10463" s="127">
        <f t="shared" si="386"/>
        <v>0</v>
      </c>
      <c r="W10463" s="74" t="str">
        <f>IFERROR(VLOOKUP($O10463,'Customer List'!$A$1:$J$488,10,FALSE),"")</f>
        <v/>
      </c>
    </row>
    <row r="10464" spans="18:23">
      <c r="R10464" s="127">
        <f t="shared" si="386"/>
        <v>0</v>
      </c>
      <c r="W10464" s="74" t="str">
        <f>IFERROR(VLOOKUP($O10464,'Customer List'!$A$1:$J$488,10,FALSE),"")</f>
        <v/>
      </c>
    </row>
    <row r="10465" spans="18:23">
      <c r="R10465" s="127">
        <f t="shared" si="386"/>
        <v>0</v>
      </c>
      <c r="W10465" s="74" t="str">
        <f>IFERROR(VLOOKUP($O10465,'Customer List'!$A$1:$J$488,10,FALSE),"")</f>
        <v/>
      </c>
    </row>
    <row r="10466" spans="18:23">
      <c r="R10466" s="127">
        <f t="shared" ref="R10466:R10529" si="387">L10466-K10466</f>
        <v>0</v>
      </c>
      <c r="W10466" s="74" t="str">
        <f>IFERROR(VLOOKUP($O10466,'Customer List'!$A$1:$J$488,10,FALSE),"")</f>
        <v/>
      </c>
    </row>
    <row r="10467" spans="18:23">
      <c r="R10467" s="127">
        <f t="shared" si="387"/>
        <v>0</v>
      </c>
      <c r="W10467" s="74" t="str">
        <f>IFERROR(VLOOKUP($O10467,'Customer List'!$A$1:$J$488,10,FALSE),"")</f>
        <v/>
      </c>
    </row>
    <row r="10468" spans="18:23">
      <c r="R10468" s="127">
        <f t="shared" si="387"/>
        <v>0</v>
      </c>
      <c r="W10468" s="74" t="str">
        <f>IFERROR(VLOOKUP($O10468,'Customer List'!$A$1:$J$488,10,FALSE),"")</f>
        <v/>
      </c>
    </row>
    <row r="10469" spans="18:23">
      <c r="R10469" s="127">
        <f t="shared" si="387"/>
        <v>0</v>
      </c>
      <c r="W10469" s="74" t="str">
        <f>IFERROR(VLOOKUP($O10469,'Customer List'!$A$1:$J$488,10,FALSE),"")</f>
        <v/>
      </c>
    </row>
    <row r="10470" spans="18:23">
      <c r="R10470" s="127">
        <f t="shared" si="387"/>
        <v>0</v>
      </c>
      <c r="W10470" s="74" t="str">
        <f>IFERROR(VLOOKUP($O10470,'Customer List'!$A$1:$J$488,10,FALSE),"")</f>
        <v/>
      </c>
    </row>
    <row r="10471" spans="18:23">
      <c r="R10471" s="127">
        <f t="shared" si="387"/>
        <v>0</v>
      </c>
      <c r="W10471" s="74" t="str">
        <f>IFERROR(VLOOKUP($O10471,'Customer List'!$A$1:$J$488,10,FALSE),"")</f>
        <v/>
      </c>
    </row>
    <row r="10472" spans="18:23">
      <c r="R10472" s="127">
        <f t="shared" si="387"/>
        <v>0</v>
      </c>
      <c r="W10472" s="74" t="str">
        <f>IFERROR(VLOOKUP($O10472,'Customer List'!$A$1:$J$488,10,FALSE),"")</f>
        <v/>
      </c>
    </row>
    <row r="10473" spans="18:23">
      <c r="R10473" s="127">
        <f t="shared" si="387"/>
        <v>0</v>
      </c>
      <c r="W10473" s="74" t="str">
        <f>IFERROR(VLOOKUP($O10473,'Customer List'!$A$1:$J$488,10,FALSE),"")</f>
        <v/>
      </c>
    </row>
    <row r="10474" spans="18:23">
      <c r="R10474" s="127">
        <f t="shared" si="387"/>
        <v>0</v>
      </c>
      <c r="W10474" s="74" t="str">
        <f>IFERROR(VLOOKUP($O10474,'Customer List'!$A$1:$J$488,10,FALSE),"")</f>
        <v/>
      </c>
    </row>
    <row r="10475" spans="18:23">
      <c r="R10475" s="127">
        <f t="shared" si="387"/>
        <v>0</v>
      </c>
      <c r="W10475" s="74" t="str">
        <f>IFERROR(VLOOKUP($O10475,'Customer List'!$A$1:$J$488,10,FALSE),"")</f>
        <v/>
      </c>
    </row>
    <row r="10476" spans="18:23">
      <c r="R10476" s="127">
        <f t="shared" si="387"/>
        <v>0</v>
      </c>
      <c r="W10476" s="74" t="str">
        <f>IFERROR(VLOOKUP($O10476,'Customer List'!$A$1:$J$488,10,FALSE),"")</f>
        <v/>
      </c>
    </row>
    <row r="10477" spans="18:23">
      <c r="R10477" s="127">
        <f t="shared" si="387"/>
        <v>0</v>
      </c>
      <c r="W10477" s="74" t="str">
        <f>IFERROR(VLOOKUP($O10477,'Customer List'!$A$1:$J$488,10,FALSE),"")</f>
        <v/>
      </c>
    </row>
    <row r="10478" spans="18:23">
      <c r="R10478" s="127">
        <f t="shared" si="387"/>
        <v>0</v>
      </c>
      <c r="W10478" s="74" t="str">
        <f>IFERROR(VLOOKUP($O10478,'Customer List'!$A$1:$J$488,10,FALSE),"")</f>
        <v/>
      </c>
    </row>
    <row r="10479" spans="18:23">
      <c r="R10479" s="127">
        <f t="shared" si="387"/>
        <v>0</v>
      </c>
      <c r="W10479" s="74" t="str">
        <f>IFERROR(VLOOKUP($O10479,'Customer List'!$A$1:$J$488,10,FALSE),"")</f>
        <v/>
      </c>
    </row>
    <row r="10480" spans="18:23">
      <c r="R10480" s="127">
        <f t="shared" si="387"/>
        <v>0</v>
      </c>
      <c r="W10480" s="74" t="str">
        <f>IFERROR(VLOOKUP($O10480,'Customer List'!$A$1:$J$488,10,FALSE),"")</f>
        <v/>
      </c>
    </row>
    <row r="10481" spans="18:23">
      <c r="R10481" s="127">
        <f t="shared" si="387"/>
        <v>0</v>
      </c>
      <c r="W10481" s="74" t="str">
        <f>IFERROR(VLOOKUP($O10481,'Customer List'!$A$1:$J$488,10,FALSE),"")</f>
        <v/>
      </c>
    </row>
    <row r="10482" spans="18:23">
      <c r="R10482" s="127">
        <f t="shared" si="387"/>
        <v>0</v>
      </c>
      <c r="W10482" s="74" t="str">
        <f>IFERROR(VLOOKUP($O10482,'Customer List'!$A$1:$J$488,10,FALSE),"")</f>
        <v/>
      </c>
    </row>
    <row r="10483" spans="18:23">
      <c r="R10483" s="127">
        <f t="shared" si="387"/>
        <v>0</v>
      </c>
      <c r="W10483" s="74" t="str">
        <f>IFERROR(VLOOKUP($O10483,'Customer List'!$A$1:$J$488,10,FALSE),"")</f>
        <v/>
      </c>
    </row>
    <row r="10484" spans="18:23">
      <c r="R10484" s="127">
        <f t="shared" si="387"/>
        <v>0</v>
      </c>
      <c r="W10484" s="74" t="str">
        <f>IFERROR(VLOOKUP($O10484,'Customer List'!$A$1:$J$488,10,FALSE),"")</f>
        <v/>
      </c>
    </row>
    <row r="10485" spans="18:23">
      <c r="R10485" s="127">
        <f t="shared" si="387"/>
        <v>0</v>
      </c>
      <c r="W10485" s="74" t="str">
        <f>IFERROR(VLOOKUP($O10485,'Customer List'!$A$1:$J$488,10,FALSE),"")</f>
        <v/>
      </c>
    </row>
    <row r="10486" spans="18:23">
      <c r="R10486" s="127">
        <f t="shared" si="387"/>
        <v>0</v>
      </c>
      <c r="W10486" s="74" t="str">
        <f>IFERROR(VLOOKUP($O10486,'Customer List'!$A$1:$J$488,10,FALSE),"")</f>
        <v/>
      </c>
    </row>
    <row r="10487" spans="18:23">
      <c r="R10487" s="127">
        <f t="shared" si="387"/>
        <v>0</v>
      </c>
      <c r="W10487" s="74" t="str">
        <f>IFERROR(VLOOKUP($O10487,'Customer List'!$A$1:$J$488,10,FALSE),"")</f>
        <v/>
      </c>
    </row>
    <row r="10488" spans="18:23">
      <c r="R10488" s="127">
        <f t="shared" si="387"/>
        <v>0</v>
      </c>
      <c r="W10488" s="74" t="str">
        <f>IFERROR(VLOOKUP($O10488,'Customer List'!$A$1:$J$488,10,FALSE),"")</f>
        <v/>
      </c>
    </row>
    <row r="10489" spans="18:23">
      <c r="R10489" s="127">
        <f t="shared" si="387"/>
        <v>0</v>
      </c>
      <c r="W10489" s="74" t="str">
        <f>IFERROR(VLOOKUP($O10489,'Customer List'!$A$1:$J$488,10,FALSE),"")</f>
        <v/>
      </c>
    </row>
    <row r="10490" spans="18:23">
      <c r="R10490" s="127">
        <f t="shared" si="387"/>
        <v>0</v>
      </c>
      <c r="W10490" s="74" t="str">
        <f>IFERROR(VLOOKUP($O10490,'Customer List'!$A$1:$J$488,10,FALSE),"")</f>
        <v/>
      </c>
    </row>
    <row r="10491" spans="18:23">
      <c r="R10491" s="127">
        <f t="shared" si="387"/>
        <v>0</v>
      </c>
      <c r="W10491" s="74" t="str">
        <f>IFERROR(VLOOKUP($O10491,'Customer List'!$A$1:$J$488,10,FALSE),"")</f>
        <v/>
      </c>
    </row>
    <row r="10492" spans="18:23">
      <c r="R10492" s="127">
        <f t="shared" si="387"/>
        <v>0</v>
      </c>
      <c r="W10492" s="74" t="str">
        <f>IFERROR(VLOOKUP($O10492,'Customer List'!$A$1:$J$488,10,FALSE),"")</f>
        <v/>
      </c>
    </row>
    <row r="10493" spans="18:23">
      <c r="R10493" s="127">
        <f t="shared" si="387"/>
        <v>0</v>
      </c>
      <c r="W10493" s="74" t="str">
        <f>IFERROR(VLOOKUP($O10493,'Customer List'!$A$1:$J$488,10,FALSE),"")</f>
        <v/>
      </c>
    </row>
    <row r="10494" spans="18:23">
      <c r="R10494" s="127">
        <f t="shared" si="387"/>
        <v>0</v>
      </c>
      <c r="W10494" s="74" t="str">
        <f>IFERROR(VLOOKUP($O10494,'Customer List'!$A$1:$J$488,10,FALSE),"")</f>
        <v/>
      </c>
    </row>
    <row r="10495" spans="18:23">
      <c r="R10495" s="127">
        <f t="shared" si="387"/>
        <v>0</v>
      </c>
      <c r="W10495" s="74" t="str">
        <f>IFERROR(VLOOKUP($O10495,'Customer List'!$A$1:$J$488,10,FALSE),"")</f>
        <v/>
      </c>
    </row>
    <row r="10496" spans="18:23">
      <c r="R10496" s="127">
        <f t="shared" si="387"/>
        <v>0</v>
      </c>
      <c r="W10496" s="74" t="str">
        <f>IFERROR(VLOOKUP($O10496,'Customer List'!$A$1:$J$488,10,FALSE),"")</f>
        <v/>
      </c>
    </row>
    <row r="10497" spans="18:23">
      <c r="R10497" s="127">
        <f t="shared" si="387"/>
        <v>0</v>
      </c>
      <c r="W10497" s="74" t="str">
        <f>IFERROR(VLOOKUP($O10497,'Customer List'!$A$1:$J$488,10,FALSE),"")</f>
        <v/>
      </c>
    </row>
    <row r="10498" spans="18:23">
      <c r="R10498" s="127">
        <f t="shared" si="387"/>
        <v>0</v>
      </c>
      <c r="W10498" s="74" t="str">
        <f>IFERROR(VLOOKUP($O10498,'Customer List'!$A$1:$J$488,10,FALSE),"")</f>
        <v/>
      </c>
    </row>
    <row r="10499" spans="18:23">
      <c r="R10499" s="127">
        <f t="shared" si="387"/>
        <v>0</v>
      </c>
      <c r="W10499" s="74" t="str">
        <f>IFERROR(VLOOKUP($O10499,'Customer List'!$A$1:$J$488,10,FALSE),"")</f>
        <v/>
      </c>
    </row>
    <row r="10500" spans="18:23">
      <c r="R10500" s="127">
        <f t="shared" si="387"/>
        <v>0</v>
      </c>
      <c r="W10500" s="74" t="str">
        <f>IFERROR(VLOOKUP($O10500,'Customer List'!$A$1:$J$488,10,FALSE),"")</f>
        <v/>
      </c>
    </row>
    <row r="10501" spans="18:23">
      <c r="R10501" s="127">
        <f t="shared" si="387"/>
        <v>0</v>
      </c>
      <c r="W10501" s="74" t="str">
        <f>IFERROR(VLOOKUP($O10501,'Customer List'!$A$1:$J$488,10,FALSE),"")</f>
        <v/>
      </c>
    </row>
    <row r="10502" spans="18:23">
      <c r="R10502" s="127">
        <f t="shared" si="387"/>
        <v>0</v>
      </c>
      <c r="W10502" s="74" t="str">
        <f>IFERROR(VLOOKUP($O10502,'Customer List'!$A$1:$J$488,10,FALSE),"")</f>
        <v/>
      </c>
    </row>
    <row r="10503" spans="18:23">
      <c r="R10503" s="127">
        <f t="shared" si="387"/>
        <v>0</v>
      </c>
      <c r="W10503" s="74" t="str">
        <f>IFERROR(VLOOKUP($O10503,'Customer List'!$A$1:$J$488,10,FALSE),"")</f>
        <v/>
      </c>
    </row>
    <row r="10504" spans="18:23">
      <c r="R10504" s="127">
        <f t="shared" si="387"/>
        <v>0</v>
      </c>
      <c r="W10504" s="74" t="str">
        <f>IFERROR(VLOOKUP($O10504,'Customer List'!$A$1:$J$488,10,FALSE),"")</f>
        <v/>
      </c>
    </row>
    <row r="10505" spans="18:23">
      <c r="R10505" s="127">
        <f t="shared" si="387"/>
        <v>0</v>
      </c>
      <c r="W10505" s="74" t="str">
        <f>IFERROR(VLOOKUP($O10505,'Customer List'!$A$1:$J$488,10,FALSE),"")</f>
        <v/>
      </c>
    </row>
    <row r="10506" spans="18:23">
      <c r="R10506" s="127">
        <f t="shared" si="387"/>
        <v>0</v>
      </c>
      <c r="W10506" s="74" t="str">
        <f>IFERROR(VLOOKUP($O10506,'Customer List'!$A$1:$J$488,10,FALSE),"")</f>
        <v/>
      </c>
    </row>
    <row r="10507" spans="18:23">
      <c r="R10507" s="127">
        <f t="shared" si="387"/>
        <v>0</v>
      </c>
      <c r="W10507" s="74" t="str">
        <f>IFERROR(VLOOKUP($O10507,'Customer List'!$A$1:$J$488,10,FALSE),"")</f>
        <v/>
      </c>
    </row>
    <row r="10508" spans="18:23">
      <c r="R10508" s="127">
        <f t="shared" si="387"/>
        <v>0</v>
      </c>
      <c r="W10508" s="74" t="str">
        <f>IFERROR(VLOOKUP($O10508,'Customer List'!$A$1:$J$488,10,FALSE),"")</f>
        <v/>
      </c>
    </row>
    <row r="10509" spans="18:23">
      <c r="R10509" s="127">
        <f t="shared" si="387"/>
        <v>0</v>
      </c>
      <c r="W10509" s="74" t="str">
        <f>IFERROR(VLOOKUP($O10509,'Customer List'!$A$1:$J$488,10,FALSE),"")</f>
        <v/>
      </c>
    </row>
    <row r="10510" spans="18:23">
      <c r="R10510" s="127">
        <f t="shared" si="387"/>
        <v>0</v>
      </c>
      <c r="W10510" s="74" t="str">
        <f>IFERROR(VLOOKUP($O10510,'Customer List'!$A$1:$J$488,10,FALSE),"")</f>
        <v/>
      </c>
    </row>
    <row r="10511" spans="18:23">
      <c r="R10511" s="127">
        <f t="shared" si="387"/>
        <v>0</v>
      </c>
      <c r="W10511" s="74" t="str">
        <f>IFERROR(VLOOKUP($O10511,'Customer List'!$A$1:$J$488,10,FALSE),"")</f>
        <v/>
      </c>
    </row>
    <row r="10512" spans="18:23">
      <c r="R10512" s="127">
        <f t="shared" si="387"/>
        <v>0</v>
      </c>
      <c r="W10512" s="74" t="str">
        <f>IFERROR(VLOOKUP($O10512,'Customer List'!$A$1:$J$488,10,FALSE),"")</f>
        <v/>
      </c>
    </row>
    <row r="10513" spans="18:23">
      <c r="R10513" s="127">
        <f t="shared" si="387"/>
        <v>0</v>
      </c>
      <c r="W10513" s="74" t="str">
        <f>IFERROR(VLOOKUP($O10513,'Customer List'!$A$1:$J$488,10,FALSE),"")</f>
        <v/>
      </c>
    </row>
    <row r="10514" spans="18:23">
      <c r="R10514" s="127">
        <f t="shared" si="387"/>
        <v>0</v>
      </c>
      <c r="W10514" s="74" t="str">
        <f>IFERROR(VLOOKUP($O10514,'Customer List'!$A$1:$J$488,10,FALSE),"")</f>
        <v/>
      </c>
    </row>
    <row r="10515" spans="18:23">
      <c r="R10515" s="127">
        <f t="shared" si="387"/>
        <v>0</v>
      </c>
      <c r="W10515" s="74" t="str">
        <f>IFERROR(VLOOKUP($O10515,'Customer List'!$A$1:$J$488,10,FALSE),"")</f>
        <v/>
      </c>
    </row>
    <row r="10516" spans="18:23">
      <c r="R10516" s="127">
        <f t="shared" si="387"/>
        <v>0</v>
      </c>
      <c r="W10516" s="74" t="str">
        <f>IFERROR(VLOOKUP($O10516,'Customer List'!$A$1:$J$488,10,FALSE),"")</f>
        <v/>
      </c>
    </row>
    <row r="10517" spans="18:23">
      <c r="R10517" s="127">
        <f t="shared" si="387"/>
        <v>0</v>
      </c>
      <c r="W10517" s="74" t="str">
        <f>IFERROR(VLOOKUP($O10517,'Customer List'!$A$1:$J$488,10,FALSE),"")</f>
        <v/>
      </c>
    </row>
    <row r="10518" spans="18:23">
      <c r="R10518" s="127">
        <f t="shared" si="387"/>
        <v>0</v>
      </c>
      <c r="W10518" s="74" t="str">
        <f>IFERROR(VLOOKUP($O10518,'Customer List'!$A$1:$J$488,10,FALSE),"")</f>
        <v/>
      </c>
    </row>
    <row r="10519" spans="18:23">
      <c r="R10519" s="127">
        <f t="shared" si="387"/>
        <v>0</v>
      </c>
      <c r="W10519" s="74" t="str">
        <f>IFERROR(VLOOKUP($O10519,'Customer List'!$A$1:$J$488,10,FALSE),"")</f>
        <v/>
      </c>
    </row>
    <row r="10520" spans="18:23">
      <c r="R10520" s="127">
        <f t="shared" si="387"/>
        <v>0</v>
      </c>
      <c r="W10520" s="74" t="str">
        <f>IFERROR(VLOOKUP($O10520,'Customer List'!$A$1:$J$488,10,FALSE),"")</f>
        <v/>
      </c>
    </row>
    <row r="10521" spans="18:23">
      <c r="R10521" s="127">
        <f t="shared" si="387"/>
        <v>0</v>
      </c>
      <c r="W10521" s="74" t="str">
        <f>IFERROR(VLOOKUP($O10521,'Customer List'!$A$1:$J$488,10,FALSE),"")</f>
        <v/>
      </c>
    </row>
    <row r="10522" spans="18:23">
      <c r="R10522" s="127">
        <f t="shared" si="387"/>
        <v>0</v>
      </c>
      <c r="W10522" s="74" t="str">
        <f>IFERROR(VLOOKUP($O10522,'Customer List'!$A$1:$J$488,10,FALSE),"")</f>
        <v/>
      </c>
    </row>
    <row r="10523" spans="18:23">
      <c r="R10523" s="127">
        <f t="shared" si="387"/>
        <v>0</v>
      </c>
      <c r="W10523" s="74" t="str">
        <f>IFERROR(VLOOKUP($O10523,'Customer List'!$A$1:$J$488,10,FALSE),"")</f>
        <v/>
      </c>
    </row>
    <row r="10524" spans="18:23">
      <c r="R10524" s="127">
        <f t="shared" si="387"/>
        <v>0</v>
      </c>
      <c r="W10524" s="74" t="str">
        <f>IFERROR(VLOOKUP($O10524,'Customer List'!$A$1:$J$488,10,FALSE),"")</f>
        <v/>
      </c>
    </row>
    <row r="10525" spans="18:23">
      <c r="R10525" s="127">
        <f t="shared" si="387"/>
        <v>0</v>
      </c>
      <c r="W10525" s="74" t="str">
        <f>IFERROR(VLOOKUP($O10525,'Customer List'!$A$1:$J$488,10,FALSE),"")</f>
        <v/>
      </c>
    </row>
    <row r="10526" spans="18:23">
      <c r="R10526" s="127">
        <f t="shared" si="387"/>
        <v>0</v>
      </c>
      <c r="W10526" s="74" t="str">
        <f>IFERROR(VLOOKUP($O10526,'Customer List'!$A$1:$J$488,10,FALSE),"")</f>
        <v/>
      </c>
    </row>
    <row r="10527" spans="18:23">
      <c r="R10527" s="127">
        <f t="shared" si="387"/>
        <v>0</v>
      </c>
      <c r="W10527" s="74" t="str">
        <f>IFERROR(VLOOKUP($O10527,'Customer List'!$A$1:$J$488,10,FALSE),"")</f>
        <v/>
      </c>
    </row>
    <row r="10528" spans="18:23">
      <c r="R10528" s="127">
        <f t="shared" si="387"/>
        <v>0</v>
      </c>
      <c r="W10528" s="74" t="str">
        <f>IFERROR(VLOOKUP($O10528,'Customer List'!$A$1:$J$488,10,FALSE),"")</f>
        <v/>
      </c>
    </row>
    <row r="10529" spans="18:23">
      <c r="R10529" s="127">
        <f t="shared" si="387"/>
        <v>0</v>
      </c>
      <c r="W10529" s="74" t="str">
        <f>IFERROR(VLOOKUP($O10529,'Customer List'!$A$1:$J$488,10,FALSE),"")</f>
        <v/>
      </c>
    </row>
    <row r="10530" spans="18:23">
      <c r="R10530" s="127">
        <f t="shared" ref="R10530:R10593" si="388">L10530-K10530</f>
        <v>0</v>
      </c>
      <c r="W10530" s="74" t="str">
        <f>IFERROR(VLOOKUP($O10530,'Customer List'!$A$1:$J$488,10,FALSE),"")</f>
        <v/>
      </c>
    </row>
    <row r="10531" spans="18:23">
      <c r="R10531" s="127">
        <f t="shared" si="388"/>
        <v>0</v>
      </c>
      <c r="W10531" s="74" t="str">
        <f>IFERROR(VLOOKUP($O10531,'Customer List'!$A$1:$J$488,10,FALSE),"")</f>
        <v/>
      </c>
    </row>
    <row r="10532" spans="18:23">
      <c r="R10532" s="127">
        <f t="shared" si="388"/>
        <v>0</v>
      </c>
      <c r="W10532" s="74" t="str">
        <f>IFERROR(VLOOKUP($O10532,'Customer List'!$A$1:$J$488,10,FALSE),"")</f>
        <v/>
      </c>
    </row>
    <row r="10533" spans="18:23">
      <c r="R10533" s="127">
        <f t="shared" si="388"/>
        <v>0</v>
      </c>
      <c r="W10533" s="74" t="str">
        <f>IFERROR(VLOOKUP($O10533,'Customer List'!$A$1:$J$488,10,FALSE),"")</f>
        <v/>
      </c>
    </row>
    <row r="10534" spans="18:23">
      <c r="R10534" s="127">
        <f t="shared" si="388"/>
        <v>0</v>
      </c>
      <c r="W10534" s="74" t="str">
        <f>IFERROR(VLOOKUP($O10534,'Customer List'!$A$1:$J$488,10,FALSE),"")</f>
        <v/>
      </c>
    </row>
    <row r="10535" spans="18:23">
      <c r="R10535" s="127">
        <f t="shared" si="388"/>
        <v>0</v>
      </c>
      <c r="W10535" s="74" t="str">
        <f>IFERROR(VLOOKUP($O10535,'Customer List'!$A$1:$J$488,10,FALSE),"")</f>
        <v/>
      </c>
    </row>
    <row r="10536" spans="18:23">
      <c r="R10536" s="127">
        <f t="shared" si="388"/>
        <v>0</v>
      </c>
      <c r="W10536" s="74" t="str">
        <f>IFERROR(VLOOKUP($O10536,'Customer List'!$A$1:$J$488,10,FALSE),"")</f>
        <v/>
      </c>
    </row>
    <row r="10537" spans="18:23">
      <c r="R10537" s="127">
        <f t="shared" si="388"/>
        <v>0</v>
      </c>
      <c r="W10537" s="74" t="str">
        <f>IFERROR(VLOOKUP($O10537,'Customer List'!$A$1:$J$488,10,FALSE),"")</f>
        <v/>
      </c>
    </row>
    <row r="10538" spans="18:23">
      <c r="R10538" s="127">
        <f t="shared" si="388"/>
        <v>0</v>
      </c>
      <c r="W10538" s="74" t="str">
        <f>IFERROR(VLOOKUP($O10538,'Customer List'!$A$1:$J$488,10,FALSE),"")</f>
        <v/>
      </c>
    </row>
    <row r="10539" spans="18:23">
      <c r="R10539" s="127">
        <f t="shared" si="388"/>
        <v>0</v>
      </c>
      <c r="W10539" s="74" t="str">
        <f>IFERROR(VLOOKUP($O10539,'Customer List'!$A$1:$J$488,10,FALSE),"")</f>
        <v/>
      </c>
    </row>
    <row r="10540" spans="18:23">
      <c r="R10540" s="127">
        <f t="shared" si="388"/>
        <v>0</v>
      </c>
      <c r="W10540" s="74" t="str">
        <f>IFERROR(VLOOKUP($O10540,'Customer List'!$A$1:$J$488,10,FALSE),"")</f>
        <v/>
      </c>
    </row>
    <row r="10541" spans="18:23">
      <c r="R10541" s="127">
        <f t="shared" si="388"/>
        <v>0</v>
      </c>
      <c r="W10541" s="74" t="str">
        <f>IFERROR(VLOOKUP($O10541,'Customer List'!$A$1:$J$488,10,FALSE),"")</f>
        <v/>
      </c>
    </row>
    <row r="10542" spans="18:23">
      <c r="R10542" s="127">
        <f t="shared" si="388"/>
        <v>0</v>
      </c>
      <c r="W10542" s="74" t="str">
        <f>IFERROR(VLOOKUP($O10542,'Customer List'!$A$1:$J$488,10,FALSE),"")</f>
        <v/>
      </c>
    </row>
    <row r="10543" spans="18:23">
      <c r="R10543" s="127">
        <f t="shared" si="388"/>
        <v>0</v>
      </c>
      <c r="W10543" s="74" t="str">
        <f>IFERROR(VLOOKUP($O10543,'Customer List'!$A$1:$J$488,10,FALSE),"")</f>
        <v/>
      </c>
    </row>
    <row r="10544" spans="18:23">
      <c r="R10544" s="127">
        <f t="shared" si="388"/>
        <v>0</v>
      </c>
      <c r="W10544" s="74" t="str">
        <f>IFERROR(VLOOKUP($O10544,'Customer List'!$A$1:$J$488,10,FALSE),"")</f>
        <v/>
      </c>
    </row>
    <row r="10545" spans="18:23">
      <c r="R10545" s="127">
        <f t="shared" si="388"/>
        <v>0</v>
      </c>
      <c r="W10545" s="74" t="str">
        <f>IFERROR(VLOOKUP($O10545,'Customer List'!$A$1:$J$488,10,FALSE),"")</f>
        <v/>
      </c>
    </row>
    <row r="10546" spans="18:23">
      <c r="R10546" s="127">
        <f t="shared" si="388"/>
        <v>0</v>
      </c>
      <c r="W10546" s="74" t="str">
        <f>IFERROR(VLOOKUP($O10546,'Customer List'!$A$1:$J$488,10,FALSE),"")</f>
        <v/>
      </c>
    </row>
    <row r="10547" spans="18:23">
      <c r="R10547" s="127">
        <f t="shared" si="388"/>
        <v>0</v>
      </c>
      <c r="W10547" s="74" t="str">
        <f>IFERROR(VLOOKUP($O10547,'Customer List'!$A$1:$J$488,10,FALSE),"")</f>
        <v/>
      </c>
    </row>
    <row r="10548" spans="18:23">
      <c r="R10548" s="127">
        <f t="shared" si="388"/>
        <v>0</v>
      </c>
      <c r="W10548" s="74" t="str">
        <f>IFERROR(VLOOKUP($O10548,'Customer List'!$A$1:$J$488,10,FALSE),"")</f>
        <v/>
      </c>
    </row>
    <row r="10549" spans="18:23">
      <c r="R10549" s="127">
        <f t="shared" si="388"/>
        <v>0</v>
      </c>
      <c r="W10549" s="74" t="str">
        <f>IFERROR(VLOOKUP($O10549,'Customer List'!$A$1:$J$488,10,FALSE),"")</f>
        <v/>
      </c>
    </row>
    <row r="10550" spans="18:23">
      <c r="R10550" s="127">
        <f t="shared" si="388"/>
        <v>0</v>
      </c>
      <c r="W10550" s="74" t="str">
        <f>IFERROR(VLOOKUP($O10550,'Customer List'!$A$1:$J$488,10,FALSE),"")</f>
        <v/>
      </c>
    </row>
    <row r="10551" spans="18:23">
      <c r="R10551" s="127">
        <f t="shared" si="388"/>
        <v>0</v>
      </c>
      <c r="W10551" s="74" t="str">
        <f>IFERROR(VLOOKUP($O10551,'Customer List'!$A$1:$J$488,10,FALSE),"")</f>
        <v/>
      </c>
    </row>
    <row r="10552" spans="18:23">
      <c r="R10552" s="127">
        <f t="shared" si="388"/>
        <v>0</v>
      </c>
      <c r="W10552" s="74" t="str">
        <f>IFERROR(VLOOKUP($O10552,'Customer List'!$A$1:$J$488,10,FALSE),"")</f>
        <v/>
      </c>
    </row>
    <row r="10553" spans="18:23">
      <c r="R10553" s="127">
        <f t="shared" si="388"/>
        <v>0</v>
      </c>
      <c r="W10553" s="74" t="str">
        <f>IFERROR(VLOOKUP($O10553,'Customer List'!$A$1:$J$488,10,FALSE),"")</f>
        <v/>
      </c>
    </row>
    <row r="10554" spans="18:23">
      <c r="R10554" s="127">
        <f t="shared" si="388"/>
        <v>0</v>
      </c>
      <c r="W10554" s="74" t="str">
        <f>IFERROR(VLOOKUP($O10554,'Customer List'!$A$1:$J$488,10,FALSE),"")</f>
        <v/>
      </c>
    </row>
    <row r="10555" spans="18:23">
      <c r="R10555" s="127">
        <f t="shared" si="388"/>
        <v>0</v>
      </c>
      <c r="W10555" s="74" t="str">
        <f>IFERROR(VLOOKUP($O10555,'Customer List'!$A$1:$J$488,10,FALSE),"")</f>
        <v/>
      </c>
    </row>
    <row r="10556" spans="18:23">
      <c r="R10556" s="127">
        <f t="shared" si="388"/>
        <v>0</v>
      </c>
      <c r="W10556" s="74" t="str">
        <f>IFERROR(VLOOKUP($O10556,'Customer List'!$A$1:$J$488,10,FALSE),"")</f>
        <v/>
      </c>
    </row>
    <row r="10557" spans="18:23">
      <c r="R10557" s="127">
        <f t="shared" si="388"/>
        <v>0</v>
      </c>
      <c r="W10557" s="74" t="str">
        <f>IFERROR(VLOOKUP($O10557,'Customer List'!$A$1:$J$488,10,FALSE),"")</f>
        <v/>
      </c>
    </row>
    <row r="10558" spans="18:23">
      <c r="R10558" s="127">
        <f t="shared" si="388"/>
        <v>0</v>
      </c>
      <c r="W10558" s="74" t="str">
        <f>IFERROR(VLOOKUP($O10558,'Customer List'!$A$1:$J$488,10,FALSE),"")</f>
        <v/>
      </c>
    </row>
    <row r="10559" spans="18:23">
      <c r="R10559" s="127">
        <f t="shared" si="388"/>
        <v>0</v>
      </c>
      <c r="W10559" s="74" t="str">
        <f>IFERROR(VLOOKUP($O10559,'Customer List'!$A$1:$J$488,10,FALSE),"")</f>
        <v/>
      </c>
    </row>
    <row r="10560" spans="18:23">
      <c r="R10560" s="127">
        <f t="shared" si="388"/>
        <v>0</v>
      </c>
      <c r="W10560" s="74" t="str">
        <f>IFERROR(VLOOKUP($O10560,'Customer List'!$A$1:$J$488,10,FALSE),"")</f>
        <v/>
      </c>
    </row>
    <row r="10561" spans="18:23">
      <c r="R10561" s="127">
        <f t="shared" si="388"/>
        <v>0</v>
      </c>
      <c r="W10561" s="74" t="str">
        <f>IFERROR(VLOOKUP($O10561,'Customer List'!$A$1:$J$488,10,FALSE),"")</f>
        <v/>
      </c>
    </row>
    <row r="10562" spans="18:23">
      <c r="R10562" s="127">
        <f t="shared" si="388"/>
        <v>0</v>
      </c>
      <c r="W10562" s="74" t="str">
        <f>IFERROR(VLOOKUP($O10562,'Customer List'!$A$1:$J$488,10,FALSE),"")</f>
        <v/>
      </c>
    </row>
    <row r="10563" spans="18:23">
      <c r="R10563" s="127">
        <f t="shared" si="388"/>
        <v>0</v>
      </c>
      <c r="W10563" s="74" t="str">
        <f>IFERROR(VLOOKUP($O10563,'Customer List'!$A$1:$J$488,10,FALSE),"")</f>
        <v/>
      </c>
    </row>
    <row r="10564" spans="18:23">
      <c r="R10564" s="127">
        <f t="shared" si="388"/>
        <v>0</v>
      </c>
      <c r="W10564" s="74" t="str">
        <f>IFERROR(VLOOKUP($O10564,'Customer List'!$A$1:$J$488,10,FALSE),"")</f>
        <v/>
      </c>
    </row>
    <row r="10565" spans="18:23">
      <c r="R10565" s="127">
        <f t="shared" si="388"/>
        <v>0</v>
      </c>
      <c r="W10565" s="74" t="str">
        <f>IFERROR(VLOOKUP($O10565,'Customer List'!$A$1:$J$488,10,FALSE),"")</f>
        <v/>
      </c>
    </row>
    <row r="10566" spans="18:23">
      <c r="R10566" s="127">
        <f t="shared" si="388"/>
        <v>0</v>
      </c>
      <c r="W10566" s="74" t="str">
        <f>IFERROR(VLOOKUP($O10566,'Customer List'!$A$1:$J$488,10,FALSE),"")</f>
        <v/>
      </c>
    </row>
    <row r="10567" spans="18:23">
      <c r="R10567" s="127">
        <f t="shared" si="388"/>
        <v>0</v>
      </c>
      <c r="W10567" s="74" t="str">
        <f>IFERROR(VLOOKUP($O10567,'Customer List'!$A$1:$J$488,10,FALSE),"")</f>
        <v/>
      </c>
    </row>
    <row r="10568" spans="18:23">
      <c r="R10568" s="127">
        <f t="shared" si="388"/>
        <v>0</v>
      </c>
      <c r="W10568" s="74" t="str">
        <f>IFERROR(VLOOKUP($O10568,'Customer List'!$A$1:$J$488,10,FALSE),"")</f>
        <v/>
      </c>
    </row>
    <row r="10569" spans="18:23">
      <c r="R10569" s="127">
        <f t="shared" si="388"/>
        <v>0</v>
      </c>
      <c r="W10569" s="74" t="str">
        <f>IFERROR(VLOOKUP($O10569,'Customer List'!$A$1:$J$488,10,FALSE),"")</f>
        <v/>
      </c>
    </row>
    <row r="10570" spans="18:23">
      <c r="R10570" s="127">
        <f t="shared" si="388"/>
        <v>0</v>
      </c>
      <c r="W10570" s="74" t="str">
        <f>IFERROR(VLOOKUP($O10570,'Customer List'!$A$1:$J$488,10,FALSE),"")</f>
        <v/>
      </c>
    </row>
    <row r="10571" spans="18:23">
      <c r="R10571" s="127">
        <f t="shared" si="388"/>
        <v>0</v>
      </c>
      <c r="W10571" s="74" t="str">
        <f>IFERROR(VLOOKUP($O10571,'Customer List'!$A$1:$J$488,10,FALSE),"")</f>
        <v/>
      </c>
    </row>
    <row r="10572" spans="18:23">
      <c r="R10572" s="127">
        <f t="shared" si="388"/>
        <v>0</v>
      </c>
      <c r="W10572" s="74" t="str">
        <f>IFERROR(VLOOKUP($O10572,'Customer List'!$A$1:$J$488,10,FALSE),"")</f>
        <v/>
      </c>
    </row>
    <row r="10573" spans="18:23">
      <c r="R10573" s="127">
        <f t="shared" si="388"/>
        <v>0</v>
      </c>
      <c r="W10573" s="74" t="str">
        <f>IFERROR(VLOOKUP($O10573,'Customer List'!$A$1:$J$488,10,FALSE),"")</f>
        <v/>
      </c>
    </row>
    <row r="10574" spans="18:23">
      <c r="R10574" s="127">
        <f t="shared" si="388"/>
        <v>0</v>
      </c>
      <c r="W10574" s="74" t="str">
        <f>IFERROR(VLOOKUP($O10574,'Customer List'!$A$1:$J$488,10,FALSE),"")</f>
        <v/>
      </c>
    </row>
    <row r="10575" spans="18:23">
      <c r="R10575" s="127">
        <f t="shared" si="388"/>
        <v>0</v>
      </c>
      <c r="W10575" s="74" t="str">
        <f>IFERROR(VLOOKUP($O10575,'Customer List'!$A$1:$J$488,10,FALSE),"")</f>
        <v/>
      </c>
    </row>
    <row r="10576" spans="18:23">
      <c r="R10576" s="127">
        <f t="shared" si="388"/>
        <v>0</v>
      </c>
      <c r="W10576" s="74" t="str">
        <f>IFERROR(VLOOKUP($O10576,'Customer List'!$A$1:$J$488,10,FALSE),"")</f>
        <v/>
      </c>
    </row>
    <row r="10577" spans="18:23">
      <c r="R10577" s="127">
        <f t="shared" si="388"/>
        <v>0</v>
      </c>
      <c r="W10577" s="74" t="str">
        <f>IFERROR(VLOOKUP($O10577,'Customer List'!$A$1:$J$488,10,FALSE),"")</f>
        <v/>
      </c>
    </row>
    <row r="10578" spans="18:23">
      <c r="R10578" s="127">
        <f t="shared" si="388"/>
        <v>0</v>
      </c>
      <c r="W10578" s="74" t="str">
        <f>IFERROR(VLOOKUP($O10578,'Customer List'!$A$1:$J$488,10,FALSE),"")</f>
        <v/>
      </c>
    </row>
    <row r="10579" spans="18:23">
      <c r="R10579" s="127">
        <f t="shared" si="388"/>
        <v>0</v>
      </c>
      <c r="W10579" s="74" t="str">
        <f>IFERROR(VLOOKUP($O10579,'Customer List'!$A$1:$J$488,10,FALSE),"")</f>
        <v/>
      </c>
    </row>
    <row r="10580" spans="18:23">
      <c r="R10580" s="127">
        <f t="shared" si="388"/>
        <v>0</v>
      </c>
      <c r="W10580" s="74" t="str">
        <f>IFERROR(VLOOKUP($O10580,'Customer List'!$A$1:$J$488,10,FALSE),"")</f>
        <v/>
      </c>
    </row>
    <row r="10581" spans="18:23">
      <c r="R10581" s="127">
        <f t="shared" si="388"/>
        <v>0</v>
      </c>
      <c r="W10581" s="74" t="str">
        <f>IFERROR(VLOOKUP($O10581,'Customer List'!$A$1:$J$488,10,FALSE),"")</f>
        <v/>
      </c>
    </row>
    <row r="10582" spans="18:23">
      <c r="R10582" s="127">
        <f t="shared" si="388"/>
        <v>0</v>
      </c>
      <c r="W10582" s="74" t="str">
        <f>IFERROR(VLOOKUP($O10582,'Customer List'!$A$1:$J$488,10,FALSE),"")</f>
        <v/>
      </c>
    </row>
    <row r="10583" spans="18:23">
      <c r="R10583" s="127">
        <f t="shared" si="388"/>
        <v>0</v>
      </c>
      <c r="W10583" s="74" t="str">
        <f>IFERROR(VLOOKUP($O10583,'Customer List'!$A$1:$J$488,10,FALSE),"")</f>
        <v/>
      </c>
    </row>
    <row r="10584" spans="18:23">
      <c r="R10584" s="127">
        <f t="shared" si="388"/>
        <v>0</v>
      </c>
      <c r="W10584" s="74" t="str">
        <f>IFERROR(VLOOKUP($O10584,'Customer List'!$A$1:$J$488,10,FALSE),"")</f>
        <v/>
      </c>
    </row>
    <row r="10585" spans="18:23">
      <c r="R10585" s="127">
        <f t="shared" si="388"/>
        <v>0</v>
      </c>
      <c r="W10585" s="74" t="str">
        <f>IFERROR(VLOOKUP($O10585,'Customer List'!$A$1:$J$488,10,FALSE),"")</f>
        <v/>
      </c>
    </row>
    <row r="10586" spans="18:23">
      <c r="R10586" s="127">
        <f t="shared" si="388"/>
        <v>0</v>
      </c>
      <c r="W10586" s="74" t="str">
        <f>IFERROR(VLOOKUP($O10586,'Customer List'!$A$1:$J$488,10,FALSE),"")</f>
        <v/>
      </c>
    </row>
    <row r="10587" spans="18:23">
      <c r="R10587" s="127">
        <f t="shared" si="388"/>
        <v>0</v>
      </c>
      <c r="W10587" s="74" t="str">
        <f>IFERROR(VLOOKUP($O10587,'Customer List'!$A$1:$J$488,10,FALSE),"")</f>
        <v/>
      </c>
    </row>
    <row r="10588" spans="18:23">
      <c r="R10588" s="127">
        <f t="shared" si="388"/>
        <v>0</v>
      </c>
      <c r="W10588" s="74" t="str">
        <f>IFERROR(VLOOKUP($O10588,'Customer List'!$A$1:$J$488,10,FALSE),"")</f>
        <v/>
      </c>
    </row>
    <row r="10589" spans="18:23">
      <c r="R10589" s="127">
        <f t="shared" si="388"/>
        <v>0</v>
      </c>
      <c r="W10589" s="74" t="str">
        <f>IFERROR(VLOOKUP($O10589,'Customer List'!$A$1:$J$488,10,FALSE),"")</f>
        <v/>
      </c>
    </row>
    <row r="10590" spans="18:23">
      <c r="R10590" s="127">
        <f t="shared" si="388"/>
        <v>0</v>
      </c>
      <c r="W10590" s="74" t="str">
        <f>IFERROR(VLOOKUP($O10590,'Customer List'!$A$1:$J$488,10,FALSE),"")</f>
        <v/>
      </c>
    </row>
    <row r="10591" spans="18:23">
      <c r="R10591" s="127">
        <f t="shared" si="388"/>
        <v>0</v>
      </c>
      <c r="W10591" s="74" t="str">
        <f>IFERROR(VLOOKUP($O10591,'Customer List'!$A$1:$J$488,10,FALSE),"")</f>
        <v/>
      </c>
    </row>
    <row r="10592" spans="18:23">
      <c r="R10592" s="127">
        <f t="shared" si="388"/>
        <v>0</v>
      </c>
      <c r="W10592" s="74" t="str">
        <f>IFERROR(VLOOKUP($O10592,'Customer List'!$A$1:$J$488,10,FALSE),"")</f>
        <v/>
      </c>
    </row>
    <row r="10593" spans="18:23">
      <c r="R10593" s="127">
        <f t="shared" si="388"/>
        <v>0</v>
      </c>
      <c r="W10593" s="74" t="str">
        <f>IFERROR(VLOOKUP($O10593,'Customer List'!$A$1:$J$488,10,FALSE),"")</f>
        <v/>
      </c>
    </row>
    <row r="10594" spans="18:23">
      <c r="R10594" s="127">
        <f t="shared" ref="R10594:R10657" si="389">L10594-K10594</f>
        <v>0</v>
      </c>
      <c r="W10594" s="74" t="str">
        <f>IFERROR(VLOOKUP($O10594,'Customer List'!$A$1:$J$488,10,FALSE),"")</f>
        <v/>
      </c>
    </row>
    <row r="10595" spans="18:23">
      <c r="R10595" s="127">
        <f t="shared" si="389"/>
        <v>0</v>
      </c>
      <c r="W10595" s="74" t="str">
        <f>IFERROR(VLOOKUP($O10595,'Customer List'!$A$1:$J$488,10,FALSE),"")</f>
        <v/>
      </c>
    </row>
    <row r="10596" spans="18:23">
      <c r="R10596" s="127">
        <f t="shared" si="389"/>
        <v>0</v>
      </c>
      <c r="W10596" s="74" t="str">
        <f>IFERROR(VLOOKUP($O10596,'Customer List'!$A$1:$J$488,10,FALSE),"")</f>
        <v/>
      </c>
    </row>
    <row r="10597" spans="18:23">
      <c r="R10597" s="127">
        <f t="shared" si="389"/>
        <v>0</v>
      </c>
      <c r="W10597" s="74" t="str">
        <f>IFERROR(VLOOKUP($O10597,'Customer List'!$A$1:$J$488,10,FALSE),"")</f>
        <v/>
      </c>
    </row>
    <row r="10598" spans="18:23">
      <c r="R10598" s="127">
        <f t="shared" si="389"/>
        <v>0</v>
      </c>
      <c r="W10598" s="74" t="str">
        <f>IFERROR(VLOOKUP($O10598,'Customer List'!$A$1:$J$488,10,FALSE),"")</f>
        <v/>
      </c>
    </row>
    <row r="10599" spans="18:23">
      <c r="R10599" s="127">
        <f t="shared" si="389"/>
        <v>0</v>
      </c>
      <c r="W10599" s="74" t="str">
        <f>IFERROR(VLOOKUP($O10599,'Customer List'!$A$1:$J$488,10,FALSE),"")</f>
        <v/>
      </c>
    </row>
    <row r="10600" spans="18:23">
      <c r="R10600" s="127">
        <f t="shared" si="389"/>
        <v>0</v>
      </c>
      <c r="W10600" s="74" t="str">
        <f>IFERROR(VLOOKUP($O10600,'Customer List'!$A$1:$J$488,10,FALSE),"")</f>
        <v/>
      </c>
    </row>
    <row r="10601" spans="18:23">
      <c r="R10601" s="127">
        <f t="shared" si="389"/>
        <v>0</v>
      </c>
      <c r="W10601" s="74" t="str">
        <f>IFERROR(VLOOKUP($O10601,'Customer List'!$A$1:$J$488,10,FALSE),"")</f>
        <v/>
      </c>
    </row>
    <row r="10602" spans="18:23">
      <c r="R10602" s="127">
        <f t="shared" si="389"/>
        <v>0</v>
      </c>
      <c r="W10602" s="74" t="str">
        <f>IFERROR(VLOOKUP($O10602,'Customer List'!$A$1:$J$488,10,FALSE),"")</f>
        <v/>
      </c>
    </row>
    <row r="10603" spans="18:23">
      <c r="R10603" s="127">
        <f t="shared" si="389"/>
        <v>0</v>
      </c>
      <c r="W10603" s="74" t="str">
        <f>IFERROR(VLOOKUP($O10603,'Customer List'!$A$1:$J$488,10,FALSE),"")</f>
        <v/>
      </c>
    </row>
    <row r="10604" spans="18:23">
      <c r="R10604" s="127">
        <f t="shared" si="389"/>
        <v>0</v>
      </c>
      <c r="W10604" s="74" t="str">
        <f>IFERROR(VLOOKUP($O10604,'Customer List'!$A$1:$J$488,10,FALSE),"")</f>
        <v/>
      </c>
    </row>
    <row r="10605" spans="18:23">
      <c r="R10605" s="127">
        <f t="shared" si="389"/>
        <v>0</v>
      </c>
      <c r="W10605" s="74" t="str">
        <f>IFERROR(VLOOKUP($O10605,'Customer List'!$A$1:$J$488,10,FALSE),"")</f>
        <v/>
      </c>
    </row>
    <row r="10606" spans="18:23">
      <c r="R10606" s="127">
        <f t="shared" si="389"/>
        <v>0</v>
      </c>
      <c r="W10606" s="74" t="str">
        <f>IFERROR(VLOOKUP($O10606,'Customer List'!$A$1:$J$488,10,FALSE),"")</f>
        <v/>
      </c>
    </row>
    <row r="10607" spans="18:23">
      <c r="R10607" s="127">
        <f t="shared" si="389"/>
        <v>0</v>
      </c>
      <c r="W10607" s="74" t="str">
        <f>IFERROR(VLOOKUP($O10607,'Customer List'!$A$1:$J$488,10,FALSE),"")</f>
        <v/>
      </c>
    </row>
    <row r="10608" spans="18:23">
      <c r="R10608" s="127">
        <f t="shared" si="389"/>
        <v>0</v>
      </c>
      <c r="W10608" s="74" t="str">
        <f>IFERROR(VLOOKUP($O10608,'Customer List'!$A$1:$J$488,10,FALSE),"")</f>
        <v/>
      </c>
    </row>
    <row r="10609" spans="18:23">
      <c r="R10609" s="127">
        <f t="shared" si="389"/>
        <v>0</v>
      </c>
      <c r="W10609" s="74" t="str">
        <f>IFERROR(VLOOKUP($O10609,'Customer List'!$A$1:$J$488,10,FALSE),"")</f>
        <v/>
      </c>
    </row>
    <row r="10610" spans="18:23">
      <c r="R10610" s="127">
        <f t="shared" si="389"/>
        <v>0</v>
      </c>
      <c r="W10610" s="74" t="str">
        <f>IFERROR(VLOOKUP($O10610,'Customer List'!$A$1:$J$488,10,FALSE),"")</f>
        <v/>
      </c>
    </row>
    <row r="10611" spans="18:23">
      <c r="R10611" s="127">
        <f t="shared" si="389"/>
        <v>0</v>
      </c>
      <c r="W10611" s="74" t="str">
        <f>IFERROR(VLOOKUP($O10611,'Customer List'!$A$1:$J$488,10,FALSE),"")</f>
        <v/>
      </c>
    </row>
    <row r="10612" spans="18:23">
      <c r="R10612" s="127">
        <f t="shared" si="389"/>
        <v>0</v>
      </c>
      <c r="W10612" s="74" t="str">
        <f>IFERROR(VLOOKUP($O10612,'Customer List'!$A$1:$J$488,10,FALSE),"")</f>
        <v/>
      </c>
    </row>
    <row r="10613" spans="18:23">
      <c r="R10613" s="127">
        <f t="shared" si="389"/>
        <v>0</v>
      </c>
      <c r="W10613" s="74" t="str">
        <f>IFERROR(VLOOKUP($O10613,'Customer List'!$A$1:$J$488,10,FALSE),"")</f>
        <v/>
      </c>
    </row>
    <row r="10614" spans="18:23">
      <c r="R10614" s="127">
        <f t="shared" si="389"/>
        <v>0</v>
      </c>
      <c r="W10614" s="74" t="str">
        <f>IFERROR(VLOOKUP($O10614,'Customer List'!$A$1:$J$488,10,FALSE),"")</f>
        <v/>
      </c>
    </row>
    <row r="10615" spans="18:23">
      <c r="R10615" s="127">
        <f t="shared" si="389"/>
        <v>0</v>
      </c>
      <c r="W10615" s="74" t="str">
        <f>IFERROR(VLOOKUP($O10615,'Customer List'!$A$1:$J$488,10,FALSE),"")</f>
        <v/>
      </c>
    </row>
    <row r="10616" spans="18:23">
      <c r="R10616" s="127">
        <f t="shared" si="389"/>
        <v>0</v>
      </c>
      <c r="W10616" s="74" t="str">
        <f>IFERROR(VLOOKUP($O10616,'Customer List'!$A$1:$J$488,10,FALSE),"")</f>
        <v/>
      </c>
    </row>
    <row r="10617" spans="18:23">
      <c r="R10617" s="127">
        <f t="shared" si="389"/>
        <v>0</v>
      </c>
      <c r="W10617" s="74" t="str">
        <f>IFERROR(VLOOKUP($O10617,'Customer List'!$A$1:$J$488,10,FALSE),"")</f>
        <v/>
      </c>
    </row>
    <row r="10618" spans="18:23">
      <c r="R10618" s="127">
        <f t="shared" si="389"/>
        <v>0</v>
      </c>
      <c r="W10618" s="74" t="str">
        <f>IFERROR(VLOOKUP($O10618,'Customer List'!$A$1:$J$488,10,FALSE),"")</f>
        <v/>
      </c>
    </row>
    <row r="10619" spans="18:23">
      <c r="R10619" s="127">
        <f t="shared" si="389"/>
        <v>0</v>
      </c>
      <c r="W10619" s="74" t="str">
        <f>IFERROR(VLOOKUP($O10619,'Customer List'!$A$1:$J$488,10,FALSE),"")</f>
        <v/>
      </c>
    </row>
    <row r="10620" spans="18:23">
      <c r="R10620" s="127">
        <f t="shared" si="389"/>
        <v>0</v>
      </c>
      <c r="W10620" s="74" t="str">
        <f>IFERROR(VLOOKUP($O10620,'Customer List'!$A$1:$J$488,10,FALSE),"")</f>
        <v/>
      </c>
    </row>
    <row r="10621" spans="18:23">
      <c r="R10621" s="127">
        <f t="shared" si="389"/>
        <v>0</v>
      </c>
      <c r="W10621" s="74" t="str">
        <f>IFERROR(VLOOKUP($O10621,'Customer List'!$A$1:$J$488,10,FALSE),"")</f>
        <v/>
      </c>
    </row>
    <row r="10622" spans="18:23">
      <c r="R10622" s="127">
        <f t="shared" si="389"/>
        <v>0</v>
      </c>
      <c r="W10622" s="74" t="str">
        <f>IFERROR(VLOOKUP($O10622,'Customer List'!$A$1:$J$488,10,FALSE),"")</f>
        <v/>
      </c>
    </row>
    <row r="10623" spans="18:23">
      <c r="R10623" s="127">
        <f t="shared" si="389"/>
        <v>0</v>
      </c>
      <c r="W10623" s="74" t="str">
        <f>IFERROR(VLOOKUP($O10623,'Customer List'!$A$1:$J$488,10,FALSE),"")</f>
        <v/>
      </c>
    </row>
    <row r="10624" spans="18:23">
      <c r="R10624" s="127">
        <f t="shared" si="389"/>
        <v>0</v>
      </c>
      <c r="W10624" s="74" t="str">
        <f>IFERROR(VLOOKUP($O10624,'Customer List'!$A$1:$J$488,10,FALSE),"")</f>
        <v/>
      </c>
    </row>
    <row r="10625" spans="18:23">
      <c r="R10625" s="127">
        <f t="shared" si="389"/>
        <v>0</v>
      </c>
      <c r="W10625" s="74" t="str">
        <f>IFERROR(VLOOKUP($O10625,'Customer List'!$A$1:$J$488,10,FALSE),"")</f>
        <v/>
      </c>
    </row>
    <row r="10626" spans="18:23">
      <c r="R10626" s="127">
        <f t="shared" si="389"/>
        <v>0</v>
      </c>
      <c r="W10626" s="74" t="str">
        <f>IFERROR(VLOOKUP($O10626,'Customer List'!$A$1:$J$488,10,FALSE),"")</f>
        <v/>
      </c>
    </row>
    <row r="10627" spans="18:23">
      <c r="R10627" s="127">
        <f t="shared" si="389"/>
        <v>0</v>
      </c>
      <c r="W10627" s="74" t="str">
        <f>IFERROR(VLOOKUP($O10627,'Customer List'!$A$1:$J$488,10,FALSE),"")</f>
        <v/>
      </c>
    </row>
    <row r="10628" spans="18:23">
      <c r="R10628" s="127">
        <f t="shared" si="389"/>
        <v>0</v>
      </c>
      <c r="W10628" s="74" t="str">
        <f>IFERROR(VLOOKUP($O10628,'Customer List'!$A$1:$J$488,10,FALSE),"")</f>
        <v/>
      </c>
    </row>
    <row r="10629" spans="18:23">
      <c r="R10629" s="127">
        <f t="shared" si="389"/>
        <v>0</v>
      </c>
      <c r="W10629" s="74" t="str">
        <f>IFERROR(VLOOKUP($O10629,'Customer List'!$A$1:$J$488,10,FALSE),"")</f>
        <v/>
      </c>
    </row>
    <row r="10630" spans="18:23">
      <c r="R10630" s="127">
        <f t="shared" si="389"/>
        <v>0</v>
      </c>
      <c r="W10630" s="74" t="str">
        <f>IFERROR(VLOOKUP($O10630,'Customer List'!$A$1:$J$488,10,FALSE),"")</f>
        <v/>
      </c>
    </row>
    <row r="10631" spans="18:23">
      <c r="R10631" s="127">
        <f t="shared" si="389"/>
        <v>0</v>
      </c>
      <c r="W10631" s="74" t="str">
        <f>IFERROR(VLOOKUP($O10631,'Customer List'!$A$1:$J$488,10,FALSE),"")</f>
        <v/>
      </c>
    </row>
    <row r="10632" spans="18:23">
      <c r="R10632" s="127">
        <f t="shared" si="389"/>
        <v>0</v>
      </c>
      <c r="W10632" s="74" t="str">
        <f>IFERROR(VLOOKUP($O10632,'Customer List'!$A$1:$J$488,10,FALSE),"")</f>
        <v/>
      </c>
    </row>
    <row r="10633" spans="18:23">
      <c r="R10633" s="127">
        <f t="shared" si="389"/>
        <v>0</v>
      </c>
      <c r="W10633" s="74" t="str">
        <f>IFERROR(VLOOKUP($O10633,'Customer List'!$A$1:$J$488,10,FALSE),"")</f>
        <v/>
      </c>
    </row>
    <row r="10634" spans="18:23">
      <c r="R10634" s="127">
        <f t="shared" si="389"/>
        <v>0</v>
      </c>
      <c r="W10634" s="74" t="str">
        <f>IFERROR(VLOOKUP($O10634,'Customer List'!$A$1:$J$488,10,FALSE),"")</f>
        <v/>
      </c>
    </row>
    <row r="10635" spans="18:23">
      <c r="R10635" s="127">
        <f t="shared" si="389"/>
        <v>0</v>
      </c>
      <c r="W10635" s="74" t="str">
        <f>IFERROR(VLOOKUP($O10635,'Customer List'!$A$1:$J$488,10,FALSE),"")</f>
        <v/>
      </c>
    </row>
    <row r="10636" spans="18:23">
      <c r="R10636" s="127">
        <f t="shared" si="389"/>
        <v>0</v>
      </c>
      <c r="W10636" s="74" t="str">
        <f>IFERROR(VLOOKUP($O10636,'Customer List'!$A$1:$J$488,10,FALSE),"")</f>
        <v/>
      </c>
    </row>
    <row r="10637" spans="18:23">
      <c r="R10637" s="127">
        <f t="shared" si="389"/>
        <v>0</v>
      </c>
      <c r="W10637" s="74" t="str">
        <f>IFERROR(VLOOKUP($O10637,'Customer List'!$A$1:$J$488,10,FALSE),"")</f>
        <v/>
      </c>
    </row>
    <row r="10638" spans="18:23">
      <c r="R10638" s="127">
        <f t="shared" si="389"/>
        <v>0</v>
      </c>
      <c r="W10638" s="74" t="str">
        <f>IFERROR(VLOOKUP($O10638,'Customer List'!$A$1:$J$488,10,FALSE),"")</f>
        <v/>
      </c>
    </row>
    <row r="10639" spans="18:23">
      <c r="R10639" s="127">
        <f t="shared" si="389"/>
        <v>0</v>
      </c>
      <c r="W10639" s="74" t="str">
        <f>IFERROR(VLOOKUP($O10639,'Customer List'!$A$1:$J$488,10,FALSE),"")</f>
        <v/>
      </c>
    </row>
    <row r="10640" spans="18:23">
      <c r="R10640" s="127">
        <f t="shared" si="389"/>
        <v>0</v>
      </c>
      <c r="W10640" s="74" t="str">
        <f>IFERROR(VLOOKUP($O10640,'Customer List'!$A$1:$J$488,10,FALSE),"")</f>
        <v/>
      </c>
    </row>
    <row r="10641" spans="18:23">
      <c r="R10641" s="127">
        <f t="shared" si="389"/>
        <v>0</v>
      </c>
      <c r="W10641" s="74" t="str">
        <f>IFERROR(VLOOKUP($O10641,'Customer List'!$A$1:$J$488,10,FALSE),"")</f>
        <v/>
      </c>
    </row>
    <row r="10642" spans="18:23">
      <c r="R10642" s="127">
        <f t="shared" si="389"/>
        <v>0</v>
      </c>
      <c r="W10642" s="74" t="str">
        <f>IFERROR(VLOOKUP($O10642,'Customer List'!$A$1:$J$488,10,FALSE),"")</f>
        <v/>
      </c>
    </row>
    <row r="10643" spans="18:23">
      <c r="R10643" s="127">
        <f t="shared" si="389"/>
        <v>0</v>
      </c>
      <c r="W10643" s="74" t="str">
        <f>IFERROR(VLOOKUP($O10643,'Customer List'!$A$1:$J$488,10,FALSE),"")</f>
        <v/>
      </c>
    </row>
    <row r="10644" spans="18:23">
      <c r="R10644" s="127">
        <f t="shared" si="389"/>
        <v>0</v>
      </c>
      <c r="W10644" s="74" t="str">
        <f>IFERROR(VLOOKUP($O10644,'Customer List'!$A$1:$J$488,10,FALSE),"")</f>
        <v/>
      </c>
    </row>
    <row r="10645" spans="18:23">
      <c r="R10645" s="127">
        <f t="shared" si="389"/>
        <v>0</v>
      </c>
      <c r="W10645" s="74" t="str">
        <f>IFERROR(VLOOKUP($O10645,'Customer List'!$A$1:$J$488,10,FALSE),"")</f>
        <v/>
      </c>
    </row>
    <row r="10646" spans="18:23">
      <c r="R10646" s="127">
        <f t="shared" si="389"/>
        <v>0</v>
      </c>
      <c r="W10646" s="74" t="str">
        <f>IFERROR(VLOOKUP($O10646,'Customer List'!$A$1:$J$488,10,FALSE),"")</f>
        <v/>
      </c>
    </row>
    <row r="10647" spans="18:23">
      <c r="R10647" s="127">
        <f t="shared" si="389"/>
        <v>0</v>
      </c>
      <c r="W10647" s="74" t="str">
        <f>IFERROR(VLOOKUP($O10647,'Customer List'!$A$1:$J$488,10,FALSE),"")</f>
        <v/>
      </c>
    </row>
    <row r="10648" spans="18:23">
      <c r="R10648" s="127">
        <f t="shared" si="389"/>
        <v>0</v>
      </c>
      <c r="W10648" s="74" t="str">
        <f>IFERROR(VLOOKUP($O10648,'Customer List'!$A$1:$J$488,10,FALSE),"")</f>
        <v/>
      </c>
    </row>
    <row r="10649" spans="18:23">
      <c r="R10649" s="127">
        <f t="shared" si="389"/>
        <v>0</v>
      </c>
      <c r="W10649" s="74" t="str">
        <f>IFERROR(VLOOKUP($O10649,'Customer List'!$A$1:$J$488,10,FALSE),"")</f>
        <v/>
      </c>
    </row>
    <row r="10650" spans="18:23">
      <c r="R10650" s="127">
        <f t="shared" si="389"/>
        <v>0</v>
      </c>
      <c r="W10650" s="74" t="str">
        <f>IFERROR(VLOOKUP($O10650,'Customer List'!$A$1:$J$488,10,FALSE),"")</f>
        <v/>
      </c>
    </row>
    <row r="10651" spans="18:23">
      <c r="R10651" s="127">
        <f t="shared" si="389"/>
        <v>0</v>
      </c>
      <c r="W10651" s="74" t="str">
        <f>IFERROR(VLOOKUP($O10651,'Customer List'!$A$1:$J$488,10,FALSE),"")</f>
        <v/>
      </c>
    </row>
    <row r="10652" spans="18:23">
      <c r="R10652" s="127">
        <f t="shared" si="389"/>
        <v>0</v>
      </c>
      <c r="W10652" s="74" t="str">
        <f>IFERROR(VLOOKUP($O10652,'Customer List'!$A$1:$J$488,10,FALSE),"")</f>
        <v/>
      </c>
    </row>
    <row r="10653" spans="18:23">
      <c r="R10653" s="127">
        <f t="shared" si="389"/>
        <v>0</v>
      </c>
      <c r="W10653" s="74" t="str">
        <f>IFERROR(VLOOKUP($O10653,'Customer List'!$A$1:$J$488,10,FALSE),"")</f>
        <v/>
      </c>
    </row>
    <row r="10654" spans="18:23">
      <c r="R10654" s="127">
        <f t="shared" si="389"/>
        <v>0</v>
      </c>
      <c r="W10654" s="74" t="str">
        <f>IFERROR(VLOOKUP($O10654,'Customer List'!$A$1:$J$488,10,FALSE),"")</f>
        <v/>
      </c>
    </row>
    <row r="10655" spans="18:23">
      <c r="R10655" s="127">
        <f t="shared" si="389"/>
        <v>0</v>
      </c>
      <c r="W10655" s="74" t="str">
        <f>IFERROR(VLOOKUP($O10655,'Customer List'!$A$1:$J$488,10,FALSE),"")</f>
        <v/>
      </c>
    </row>
    <row r="10656" spans="18:23">
      <c r="R10656" s="127">
        <f t="shared" si="389"/>
        <v>0</v>
      </c>
      <c r="W10656" s="74" t="str">
        <f>IFERROR(VLOOKUP($O10656,'Customer List'!$A$1:$J$488,10,FALSE),"")</f>
        <v/>
      </c>
    </row>
    <row r="10657" spans="18:23">
      <c r="R10657" s="127">
        <f t="shared" si="389"/>
        <v>0</v>
      </c>
      <c r="W10657" s="74" t="str">
        <f>IFERROR(VLOOKUP($O10657,'Customer List'!$A$1:$J$488,10,FALSE),"")</f>
        <v/>
      </c>
    </row>
    <row r="10658" spans="18:23">
      <c r="R10658" s="127">
        <f t="shared" ref="R10658:R10721" si="390">L10658-K10658</f>
        <v>0</v>
      </c>
      <c r="W10658" s="74" t="str">
        <f>IFERROR(VLOOKUP($O10658,'Customer List'!$A$1:$J$488,10,FALSE),"")</f>
        <v/>
      </c>
    </row>
    <row r="10659" spans="18:23">
      <c r="R10659" s="127">
        <f t="shared" si="390"/>
        <v>0</v>
      </c>
      <c r="W10659" s="74" t="str">
        <f>IFERROR(VLOOKUP($O10659,'Customer List'!$A$1:$J$488,10,FALSE),"")</f>
        <v/>
      </c>
    </row>
    <row r="10660" spans="18:23">
      <c r="R10660" s="127">
        <f t="shared" si="390"/>
        <v>0</v>
      </c>
      <c r="W10660" s="74" t="str">
        <f>IFERROR(VLOOKUP($O10660,'Customer List'!$A$1:$J$488,10,FALSE),"")</f>
        <v/>
      </c>
    </row>
    <row r="10661" spans="18:23">
      <c r="R10661" s="127">
        <f t="shared" si="390"/>
        <v>0</v>
      </c>
      <c r="W10661" s="74" t="str">
        <f>IFERROR(VLOOKUP($O10661,'Customer List'!$A$1:$J$488,10,FALSE),"")</f>
        <v/>
      </c>
    </row>
    <row r="10662" spans="18:23">
      <c r="R10662" s="127">
        <f t="shared" si="390"/>
        <v>0</v>
      </c>
      <c r="W10662" s="74" t="str">
        <f>IFERROR(VLOOKUP($O10662,'Customer List'!$A$1:$J$488,10,FALSE),"")</f>
        <v/>
      </c>
    </row>
    <row r="10663" spans="18:23">
      <c r="R10663" s="127">
        <f t="shared" si="390"/>
        <v>0</v>
      </c>
      <c r="W10663" s="74" t="str">
        <f>IFERROR(VLOOKUP($O10663,'Customer List'!$A$1:$J$488,10,FALSE),"")</f>
        <v/>
      </c>
    </row>
    <row r="10664" spans="18:23">
      <c r="R10664" s="127">
        <f t="shared" si="390"/>
        <v>0</v>
      </c>
      <c r="W10664" s="74" t="str">
        <f>IFERROR(VLOOKUP($O10664,'Customer List'!$A$1:$J$488,10,FALSE),"")</f>
        <v/>
      </c>
    </row>
    <row r="10665" spans="18:23">
      <c r="R10665" s="127">
        <f t="shared" si="390"/>
        <v>0</v>
      </c>
      <c r="W10665" s="74" t="str">
        <f>IFERROR(VLOOKUP($O10665,'Customer List'!$A$1:$J$488,10,FALSE),"")</f>
        <v/>
      </c>
    </row>
    <row r="10666" spans="18:23">
      <c r="R10666" s="127">
        <f t="shared" si="390"/>
        <v>0</v>
      </c>
      <c r="W10666" s="74" t="str">
        <f>IFERROR(VLOOKUP($O10666,'Customer List'!$A$1:$J$488,10,FALSE),"")</f>
        <v/>
      </c>
    </row>
    <row r="10667" spans="18:23">
      <c r="R10667" s="127">
        <f t="shared" si="390"/>
        <v>0</v>
      </c>
      <c r="W10667" s="74" t="str">
        <f>IFERROR(VLOOKUP($O10667,'Customer List'!$A$1:$J$488,10,FALSE),"")</f>
        <v/>
      </c>
    </row>
    <row r="10668" spans="18:23">
      <c r="R10668" s="127">
        <f t="shared" si="390"/>
        <v>0</v>
      </c>
      <c r="W10668" s="74" t="str">
        <f>IFERROR(VLOOKUP($O10668,'Customer List'!$A$1:$J$488,10,FALSE),"")</f>
        <v/>
      </c>
    </row>
    <row r="10669" spans="18:23">
      <c r="R10669" s="127">
        <f t="shared" si="390"/>
        <v>0</v>
      </c>
      <c r="W10669" s="74" t="str">
        <f>IFERROR(VLOOKUP($O10669,'Customer List'!$A$1:$J$488,10,FALSE),"")</f>
        <v/>
      </c>
    </row>
    <row r="10670" spans="18:23">
      <c r="R10670" s="127">
        <f t="shared" si="390"/>
        <v>0</v>
      </c>
      <c r="W10670" s="74" t="str">
        <f>IFERROR(VLOOKUP($O10670,'Customer List'!$A$1:$J$488,10,FALSE),"")</f>
        <v/>
      </c>
    </row>
    <row r="10671" spans="18:23">
      <c r="R10671" s="127">
        <f t="shared" si="390"/>
        <v>0</v>
      </c>
      <c r="W10671" s="74" t="str">
        <f>IFERROR(VLOOKUP($O10671,'Customer List'!$A$1:$J$488,10,FALSE),"")</f>
        <v/>
      </c>
    </row>
    <row r="10672" spans="18:23">
      <c r="R10672" s="127">
        <f t="shared" si="390"/>
        <v>0</v>
      </c>
      <c r="W10672" s="74" t="str">
        <f>IFERROR(VLOOKUP($O10672,'Customer List'!$A$1:$J$488,10,FALSE),"")</f>
        <v/>
      </c>
    </row>
    <row r="10673" spans="18:23">
      <c r="R10673" s="127">
        <f t="shared" si="390"/>
        <v>0</v>
      </c>
      <c r="W10673" s="74" t="str">
        <f>IFERROR(VLOOKUP($O10673,'Customer List'!$A$1:$J$488,10,FALSE),"")</f>
        <v/>
      </c>
    </row>
    <row r="10674" spans="18:23">
      <c r="R10674" s="127">
        <f t="shared" si="390"/>
        <v>0</v>
      </c>
      <c r="W10674" s="74" t="str">
        <f>IFERROR(VLOOKUP($O10674,'Customer List'!$A$1:$J$488,10,FALSE),"")</f>
        <v/>
      </c>
    </row>
    <row r="10675" spans="18:23">
      <c r="R10675" s="127">
        <f t="shared" si="390"/>
        <v>0</v>
      </c>
      <c r="W10675" s="74" t="str">
        <f>IFERROR(VLOOKUP($O10675,'Customer List'!$A$1:$J$488,10,FALSE),"")</f>
        <v/>
      </c>
    </row>
    <row r="10676" spans="18:23">
      <c r="R10676" s="127">
        <f t="shared" si="390"/>
        <v>0</v>
      </c>
      <c r="W10676" s="74" t="str">
        <f>IFERROR(VLOOKUP($O10676,'Customer List'!$A$1:$J$488,10,FALSE),"")</f>
        <v/>
      </c>
    </row>
    <row r="10677" spans="18:23">
      <c r="R10677" s="127">
        <f t="shared" si="390"/>
        <v>0</v>
      </c>
      <c r="W10677" s="74" t="str">
        <f>IFERROR(VLOOKUP($O10677,'Customer List'!$A$1:$J$488,10,FALSE),"")</f>
        <v/>
      </c>
    </row>
    <row r="10678" spans="18:23">
      <c r="R10678" s="127">
        <f t="shared" si="390"/>
        <v>0</v>
      </c>
      <c r="W10678" s="74" t="str">
        <f>IFERROR(VLOOKUP($O10678,'Customer List'!$A$1:$J$488,10,FALSE),"")</f>
        <v/>
      </c>
    </row>
    <row r="10679" spans="18:23">
      <c r="R10679" s="127">
        <f t="shared" si="390"/>
        <v>0</v>
      </c>
      <c r="W10679" s="74" t="str">
        <f>IFERROR(VLOOKUP($O10679,'Customer List'!$A$1:$J$488,10,FALSE),"")</f>
        <v/>
      </c>
    </row>
    <row r="10680" spans="18:23">
      <c r="R10680" s="127">
        <f t="shared" si="390"/>
        <v>0</v>
      </c>
      <c r="W10680" s="74" t="str">
        <f>IFERROR(VLOOKUP($O10680,'Customer List'!$A$1:$J$488,10,FALSE),"")</f>
        <v/>
      </c>
    </row>
    <row r="10681" spans="18:23">
      <c r="R10681" s="127">
        <f t="shared" si="390"/>
        <v>0</v>
      </c>
      <c r="W10681" s="74" t="str">
        <f>IFERROR(VLOOKUP($O10681,'Customer List'!$A$1:$J$488,10,FALSE),"")</f>
        <v/>
      </c>
    </row>
    <row r="10682" spans="18:23">
      <c r="R10682" s="127">
        <f t="shared" si="390"/>
        <v>0</v>
      </c>
      <c r="W10682" s="74" t="str">
        <f>IFERROR(VLOOKUP($O10682,'Customer List'!$A$1:$J$488,10,FALSE),"")</f>
        <v/>
      </c>
    </row>
    <row r="10683" spans="18:23">
      <c r="R10683" s="127">
        <f t="shared" si="390"/>
        <v>0</v>
      </c>
      <c r="W10683" s="74" t="str">
        <f>IFERROR(VLOOKUP($O10683,'Customer List'!$A$1:$J$488,10,FALSE),"")</f>
        <v/>
      </c>
    </row>
    <row r="10684" spans="18:23">
      <c r="R10684" s="127">
        <f t="shared" si="390"/>
        <v>0</v>
      </c>
      <c r="W10684" s="74" t="str">
        <f>IFERROR(VLOOKUP($O10684,'Customer List'!$A$1:$J$488,10,FALSE),"")</f>
        <v/>
      </c>
    </row>
    <row r="10685" spans="18:23">
      <c r="R10685" s="127">
        <f t="shared" si="390"/>
        <v>0</v>
      </c>
      <c r="W10685" s="74" t="str">
        <f>IFERROR(VLOOKUP($O10685,'Customer List'!$A$1:$J$488,10,FALSE),"")</f>
        <v/>
      </c>
    </row>
    <row r="10686" spans="18:23">
      <c r="R10686" s="127">
        <f t="shared" si="390"/>
        <v>0</v>
      </c>
      <c r="W10686" s="74" t="str">
        <f>IFERROR(VLOOKUP($O10686,'Customer List'!$A$1:$J$488,10,FALSE),"")</f>
        <v/>
      </c>
    </row>
    <row r="10687" spans="18:23">
      <c r="R10687" s="127">
        <f t="shared" si="390"/>
        <v>0</v>
      </c>
      <c r="W10687" s="74" t="str">
        <f>IFERROR(VLOOKUP($O10687,'Customer List'!$A$1:$J$488,10,FALSE),"")</f>
        <v/>
      </c>
    </row>
    <row r="10688" spans="18:23">
      <c r="R10688" s="127">
        <f t="shared" si="390"/>
        <v>0</v>
      </c>
      <c r="W10688" s="74" t="str">
        <f>IFERROR(VLOOKUP($O10688,'Customer List'!$A$1:$J$488,10,FALSE),"")</f>
        <v/>
      </c>
    </row>
    <row r="10689" spans="18:23">
      <c r="R10689" s="127">
        <f t="shared" si="390"/>
        <v>0</v>
      </c>
      <c r="W10689" s="74" t="str">
        <f>IFERROR(VLOOKUP($O10689,'Customer List'!$A$1:$J$488,10,FALSE),"")</f>
        <v/>
      </c>
    </row>
    <row r="10690" spans="18:23">
      <c r="R10690" s="127">
        <f t="shared" si="390"/>
        <v>0</v>
      </c>
      <c r="W10690" s="74" t="str">
        <f>IFERROR(VLOOKUP($O10690,'Customer List'!$A$1:$J$488,10,FALSE),"")</f>
        <v/>
      </c>
    </row>
    <row r="10691" spans="18:23">
      <c r="R10691" s="127">
        <f t="shared" si="390"/>
        <v>0</v>
      </c>
      <c r="W10691" s="74" t="str">
        <f>IFERROR(VLOOKUP($O10691,'Customer List'!$A$1:$J$488,10,FALSE),"")</f>
        <v/>
      </c>
    </row>
    <row r="10692" spans="18:23">
      <c r="R10692" s="127">
        <f t="shared" si="390"/>
        <v>0</v>
      </c>
      <c r="W10692" s="74" t="str">
        <f>IFERROR(VLOOKUP($O10692,'Customer List'!$A$1:$J$488,10,FALSE),"")</f>
        <v/>
      </c>
    </row>
    <row r="10693" spans="18:23">
      <c r="R10693" s="127">
        <f t="shared" si="390"/>
        <v>0</v>
      </c>
      <c r="W10693" s="74" t="str">
        <f>IFERROR(VLOOKUP($O10693,'Customer List'!$A$1:$J$488,10,FALSE),"")</f>
        <v/>
      </c>
    </row>
    <row r="10694" spans="18:23">
      <c r="R10694" s="127">
        <f t="shared" si="390"/>
        <v>0</v>
      </c>
      <c r="W10694" s="74" t="str">
        <f>IFERROR(VLOOKUP($O10694,'Customer List'!$A$1:$J$488,10,FALSE),"")</f>
        <v/>
      </c>
    </row>
    <row r="10695" spans="18:23">
      <c r="R10695" s="127">
        <f t="shared" si="390"/>
        <v>0</v>
      </c>
      <c r="W10695" s="74" t="str">
        <f>IFERROR(VLOOKUP($O10695,'Customer List'!$A$1:$J$488,10,FALSE),"")</f>
        <v/>
      </c>
    </row>
    <row r="10696" spans="18:23">
      <c r="R10696" s="127">
        <f t="shared" si="390"/>
        <v>0</v>
      </c>
      <c r="W10696" s="74" t="str">
        <f>IFERROR(VLOOKUP($O10696,'Customer List'!$A$1:$J$488,10,FALSE),"")</f>
        <v/>
      </c>
    </row>
    <row r="10697" spans="18:23">
      <c r="R10697" s="127">
        <f t="shared" si="390"/>
        <v>0</v>
      </c>
      <c r="W10697" s="74" t="str">
        <f>IFERROR(VLOOKUP($O10697,'Customer List'!$A$1:$J$488,10,FALSE),"")</f>
        <v/>
      </c>
    </row>
    <row r="10698" spans="18:23">
      <c r="R10698" s="127">
        <f t="shared" si="390"/>
        <v>0</v>
      </c>
      <c r="W10698" s="74" t="str">
        <f>IFERROR(VLOOKUP($O10698,'Customer List'!$A$1:$J$488,10,FALSE),"")</f>
        <v/>
      </c>
    </row>
    <row r="10699" spans="18:23">
      <c r="R10699" s="127">
        <f t="shared" si="390"/>
        <v>0</v>
      </c>
      <c r="W10699" s="74" t="str">
        <f>IFERROR(VLOOKUP($O10699,'Customer List'!$A$1:$J$488,10,FALSE),"")</f>
        <v/>
      </c>
    </row>
    <row r="10700" spans="18:23">
      <c r="R10700" s="127">
        <f t="shared" si="390"/>
        <v>0</v>
      </c>
      <c r="W10700" s="74" t="str">
        <f>IFERROR(VLOOKUP($O10700,'Customer List'!$A$1:$J$488,10,FALSE),"")</f>
        <v/>
      </c>
    </row>
    <row r="10701" spans="18:23">
      <c r="R10701" s="127">
        <f t="shared" si="390"/>
        <v>0</v>
      </c>
      <c r="W10701" s="74" t="str">
        <f>IFERROR(VLOOKUP($O10701,'Customer List'!$A$1:$J$488,10,FALSE),"")</f>
        <v/>
      </c>
    </row>
    <row r="10702" spans="18:23">
      <c r="R10702" s="127">
        <f t="shared" si="390"/>
        <v>0</v>
      </c>
      <c r="W10702" s="74" t="str">
        <f>IFERROR(VLOOKUP($O10702,'Customer List'!$A$1:$J$488,10,FALSE),"")</f>
        <v/>
      </c>
    </row>
    <row r="10703" spans="18:23">
      <c r="R10703" s="127">
        <f t="shared" si="390"/>
        <v>0</v>
      </c>
      <c r="W10703" s="74" t="str">
        <f>IFERROR(VLOOKUP($O10703,'Customer List'!$A$1:$J$488,10,FALSE),"")</f>
        <v/>
      </c>
    </row>
    <row r="10704" spans="18:23">
      <c r="R10704" s="127">
        <f t="shared" si="390"/>
        <v>0</v>
      </c>
      <c r="W10704" s="74" t="str">
        <f>IFERROR(VLOOKUP($O10704,'Customer List'!$A$1:$J$488,10,FALSE),"")</f>
        <v/>
      </c>
    </row>
    <row r="10705" spans="18:23">
      <c r="R10705" s="127">
        <f t="shared" si="390"/>
        <v>0</v>
      </c>
      <c r="W10705" s="74" t="str">
        <f>IFERROR(VLOOKUP($O10705,'Customer List'!$A$1:$J$488,10,FALSE),"")</f>
        <v/>
      </c>
    </row>
    <row r="10706" spans="18:23">
      <c r="R10706" s="127">
        <f t="shared" si="390"/>
        <v>0</v>
      </c>
      <c r="W10706" s="74" t="str">
        <f>IFERROR(VLOOKUP($O10706,'Customer List'!$A$1:$J$488,10,FALSE),"")</f>
        <v/>
      </c>
    </row>
    <row r="10707" spans="18:23">
      <c r="R10707" s="127">
        <f t="shared" si="390"/>
        <v>0</v>
      </c>
      <c r="W10707" s="74" t="str">
        <f>IFERROR(VLOOKUP($O10707,'Customer List'!$A$1:$J$488,10,FALSE),"")</f>
        <v/>
      </c>
    </row>
    <row r="10708" spans="18:23">
      <c r="R10708" s="127">
        <f t="shared" si="390"/>
        <v>0</v>
      </c>
      <c r="W10708" s="74" t="str">
        <f>IFERROR(VLOOKUP($O10708,'Customer List'!$A$1:$J$488,10,FALSE),"")</f>
        <v/>
      </c>
    </row>
    <row r="10709" spans="18:23">
      <c r="R10709" s="127">
        <f t="shared" si="390"/>
        <v>0</v>
      </c>
      <c r="W10709" s="74" t="str">
        <f>IFERROR(VLOOKUP($O10709,'Customer List'!$A$1:$J$488,10,FALSE),"")</f>
        <v/>
      </c>
    </row>
    <row r="10710" spans="18:23">
      <c r="R10710" s="127">
        <f t="shared" si="390"/>
        <v>0</v>
      </c>
      <c r="W10710" s="74" t="str">
        <f>IFERROR(VLOOKUP($O10710,'Customer List'!$A$1:$J$488,10,FALSE),"")</f>
        <v/>
      </c>
    </row>
    <row r="10711" spans="18:23">
      <c r="R10711" s="127">
        <f t="shared" si="390"/>
        <v>0</v>
      </c>
      <c r="W10711" s="74" t="str">
        <f>IFERROR(VLOOKUP($O10711,'Customer List'!$A$1:$J$488,10,FALSE),"")</f>
        <v/>
      </c>
    </row>
    <row r="10712" spans="18:23">
      <c r="R10712" s="127">
        <f t="shared" si="390"/>
        <v>0</v>
      </c>
      <c r="W10712" s="74" t="str">
        <f>IFERROR(VLOOKUP($O10712,'Customer List'!$A$1:$J$488,10,FALSE),"")</f>
        <v/>
      </c>
    </row>
    <row r="10713" spans="18:23">
      <c r="R10713" s="127">
        <f t="shared" si="390"/>
        <v>0</v>
      </c>
      <c r="W10713" s="74" t="str">
        <f>IFERROR(VLOOKUP($O10713,'Customer List'!$A$1:$J$488,10,FALSE),"")</f>
        <v/>
      </c>
    </row>
    <row r="10714" spans="18:23">
      <c r="R10714" s="127">
        <f t="shared" si="390"/>
        <v>0</v>
      </c>
      <c r="W10714" s="74" t="str">
        <f>IFERROR(VLOOKUP($O10714,'Customer List'!$A$1:$J$488,10,FALSE),"")</f>
        <v/>
      </c>
    </row>
    <row r="10715" spans="18:23">
      <c r="R10715" s="127">
        <f t="shared" si="390"/>
        <v>0</v>
      </c>
      <c r="W10715" s="74" t="str">
        <f>IFERROR(VLOOKUP($O10715,'Customer List'!$A$1:$J$488,10,FALSE),"")</f>
        <v/>
      </c>
    </row>
    <row r="10716" spans="18:23">
      <c r="R10716" s="127">
        <f t="shared" si="390"/>
        <v>0</v>
      </c>
      <c r="W10716" s="74" t="str">
        <f>IFERROR(VLOOKUP($O10716,'Customer List'!$A$1:$J$488,10,FALSE),"")</f>
        <v/>
      </c>
    </row>
    <row r="10717" spans="18:23">
      <c r="R10717" s="127">
        <f t="shared" si="390"/>
        <v>0</v>
      </c>
      <c r="W10717" s="74" t="str">
        <f>IFERROR(VLOOKUP($O10717,'Customer List'!$A$1:$J$488,10,FALSE),"")</f>
        <v/>
      </c>
    </row>
    <row r="10718" spans="18:23">
      <c r="R10718" s="127">
        <f t="shared" si="390"/>
        <v>0</v>
      </c>
      <c r="W10718" s="74" t="str">
        <f>IFERROR(VLOOKUP($O10718,'Customer List'!$A$1:$J$488,10,FALSE),"")</f>
        <v/>
      </c>
    </row>
    <row r="10719" spans="18:23">
      <c r="R10719" s="127">
        <f t="shared" si="390"/>
        <v>0</v>
      </c>
      <c r="W10719" s="74" t="str">
        <f>IFERROR(VLOOKUP($O10719,'Customer List'!$A$1:$J$488,10,FALSE),"")</f>
        <v/>
      </c>
    </row>
    <row r="10720" spans="18:23">
      <c r="R10720" s="127">
        <f t="shared" si="390"/>
        <v>0</v>
      </c>
      <c r="W10720" s="74" t="str">
        <f>IFERROR(VLOOKUP($O10720,'Customer List'!$A$1:$J$488,10,FALSE),"")</f>
        <v/>
      </c>
    </row>
    <row r="10721" spans="18:23">
      <c r="R10721" s="127">
        <f t="shared" si="390"/>
        <v>0</v>
      </c>
      <c r="W10721" s="74" t="str">
        <f>IFERROR(VLOOKUP($O10721,'Customer List'!$A$1:$J$488,10,FALSE),"")</f>
        <v/>
      </c>
    </row>
    <row r="10722" spans="18:23">
      <c r="R10722" s="127">
        <f t="shared" ref="R10722:R10785" si="391">L10722-K10722</f>
        <v>0</v>
      </c>
      <c r="W10722" s="74" t="str">
        <f>IFERROR(VLOOKUP($O10722,'Customer List'!$A$1:$J$488,10,FALSE),"")</f>
        <v/>
      </c>
    </row>
    <row r="10723" spans="18:23">
      <c r="R10723" s="127">
        <f t="shared" si="391"/>
        <v>0</v>
      </c>
      <c r="W10723" s="74" t="str">
        <f>IFERROR(VLOOKUP($O10723,'Customer List'!$A$1:$J$488,10,FALSE),"")</f>
        <v/>
      </c>
    </row>
    <row r="10724" spans="18:23">
      <c r="R10724" s="127">
        <f t="shared" si="391"/>
        <v>0</v>
      </c>
      <c r="W10724" s="74" t="str">
        <f>IFERROR(VLOOKUP($O10724,'Customer List'!$A$1:$J$488,10,FALSE),"")</f>
        <v/>
      </c>
    </row>
    <row r="10725" spans="18:23">
      <c r="R10725" s="127">
        <f t="shared" si="391"/>
        <v>0</v>
      </c>
      <c r="W10725" s="74" t="str">
        <f>IFERROR(VLOOKUP($O10725,'Customer List'!$A$1:$J$488,10,FALSE),"")</f>
        <v/>
      </c>
    </row>
    <row r="10726" spans="18:23">
      <c r="R10726" s="127">
        <f t="shared" si="391"/>
        <v>0</v>
      </c>
      <c r="W10726" s="74" t="str">
        <f>IFERROR(VLOOKUP($O10726,'Customer List'!$A$1:$J$488,10,FALSE),"")</f>
        <v/>
      </c>
    </row>
    <row r="10727" spans="18:23">
      <c r="R10727" s="127">
        <f t="shared" si="391"/>
        <v>0</v>
      </c>
      <c r="W10727" s="74" t="str">
        <f>IFERROR(VLOOKUP($O10727,'Customer List'!$A$1:$J$488,10,FALSE),"")</f>
        <v/>
      </c>
    </row>
    <row r="10728" spans="18:23">
      <c r="R10728" s="127">
        <f t="shared" si="391"/>
        <v>0</v>
      </c>
      <c r="W10728" s="74" t="str">
        <f>IFERROR(VLOOKUP($O10728,'Customer List'!$A$1:$J$488,10,FALSE),"")</f>
        <v/>
      </c>
    </row>
    <row r="10729" spans="18:23">
      <c r="R10729" s="127">
        <f t="shared" si="391"/>
        <v>0</v>
      </c>
      <c r="W10729" s="74" t="str">
        <f>IFERROR(VLOOKUP($O10729,'Customer List'!$A$1:$J$488,10,FALSE),"")</f>
        <v/>
      </c>
    </row>
    <row r="10730" spans="18:23">
      <c r="R10730" s="127">
        <f t="shared" si="391"/>
        <v>0</v>
      </c>
      <c r="W10730" s="74" t="str">
        <f>IFERROR(VLOOKUP($O10730,'Customer List'!$A$1:$J$488,10,FALSE),"")</f>
        <v/>
      </c>
    </row>
    <row r="10731" spans="18:23">
      <c r="R10731" s="127">
        <f t="shared" si="391"/>
        <v>0</v>
      </c>
      <c r="W10731" s="74" t="str">
        <f>IFERROR(VLOOKUP($O10731,'Customer List'!$A$1:$J$488,10,FALSE),"")</f>
        <v/>
      </c>
    </row>
    <row r="10732" spans="18:23">
      <c r="R10732" s="127">
        <f t="shared" si="391"/>
        <v>0</v>
      </c>
      <c r="W10732" s="74" t="str">
        <f>IFERROR(VLOOKUP($O10732,'Customer List'!$A$1:$J$488,10,FALSE),"")</f>
        <v/>
      </c>
    </row>
    <row r="10733" spans="18:23">
      <c r="R10733" s="127">
        <f t="shared" si="391"/>
        <v>0</v>
      </c>
      <c r="W10733" s="74" t="str">
        <f>IFERROR(VLOOKUP($O10733,'Customer List'!$A$1:$J$488,10,FALSE),"")</f>
        <v/>
      </c>
    </row>
    <row r="10734" spans="18:23">
      <c r="R10734" s="127">
        <f t="shared" si="391"/>
        <v>0</v>
      </c>
      <c r="W10734" s="74" t="str">
        <f>IFERROR(VLOOKUP($O10734,'Customer List'!$A$1:$J$488,10,FALSE),"")</f>
        <v/>
      </c>
    </row>
    <row r="10735" spans="18:23">
      <c r="R10735" s="127">
        <f t="shared" si="391"/>
        <v>0</v>
      </c>
      <c r="W10735" s="74" t="str">
        <f>IFERROR(VLOOKUP($O10735,'Customer List'!$A$1:$J$488,10,FALSE),"")</f>
        <v/>
      </c>
    </row>
    <row r="10736" spans="18:23">
      <c r="R10736" s="127">
        <f t="shared" si="391"/>
        <v>0</v>
      </c>
      <c r="W10736" s="74" t="str">
        <f>IFERROR(VLOOKUP($O10736,'Customer List'!$A$1:$J$488,10,FALSE),"")</f>
        <v/>
      </c>
    </row>
    <row r="10737" spans="18:23">
      <c r="R10737" s="127">
        <f t="shared" si="391"/>
        <v>0</v>
      </c>
      <c r="W10737" s="74" t="str">
        <f>IFERROR(VLOOKUP($O10737,'Customer List'!$A$1:$J$488,10,FALSE),"")</f>
        <v/>
      </c>
    </row>
    <row r="10738" spans="18:23">
      <c r="R10738" s="127">
        <f t="shared" si="391"/>
        <v>0</v>
      </c>
      <c r="W10738" s="74" t="str">
        <f>IFERROR(VLOOKUP($O10738,'Customer List'!$A$1:$J$488,10,FALSE),"")</f>
        <v/>
      </c>
    </row>
    <row r="10739" spans="18:23">
      <c r="R10739" s="127">
        <f t="shared" si="391"/>
        <v>0</v>
      </c>
      <c r="W10739" s="74" t="str">
        <f>IFERROR(VLOOKUP($O10739,'Customer List'!$A$1:$J$488,10,FALSE),"")</f>
        <v/>
      </c>
    </row>
    <row r="10740" spans="18:23">
      <c r="R10740" s="127">
        <f t="shared" si="391"/>
        <v>0</v>
      </c>
      <c r="W10740" s="74" t="str">
        <f>IFERROR(VLOOKUP($O10740,'Customer List'!$A$1:$J$488,10,FALSE),"")</f>
        <v/>
      </c>
    </row>
    <row r="10741" spans="18:23">
      <c r="R10741" s="127">
        <f t="shared" si="391"/>
        <v>0</v>
      </c>
      <c r="W10741" s="74" t="str">
        <f>IFERROR(VLOOKUP($O10741,'Customer List'!$A$1:$J$488,10,FALSE),"")</f>
        <v/>
      </c>
    </row>
    <row r="10742" spans="18:23">
      <c r="R10742" s="127">
        <f t="shared" si="391"/>
        <v>0</v>
      </c>
      <c r="W10742" s="74" t="str">
        <f>IFERROR(VLOOKUP($O10742,'Customer List'!$A$1:$J$488,10,FALSE),"")</f>
        <v/>
      </c>
    </row>
    <row r="10743" spans="18:23">
      <c r="R10743" s="127">
        <f t="shared" si="391"/>
        <v>0</v>
      </c>
      <c r="W10743" s="74" t="str">
        <f>IFERROR(VLOOKUP($O10743,'Customer List'!$A$1:$J$488,10,FALSE),"")</f>
        <v/>
      </c>
    </row>
    <row r="10744" spans="18:23">
      <c r="R10744" s="127">
        <f t="shared" si="391"/>
        <v>0</v>
      </c>
      <c r="W10744" s="74" t="str">
        <f>IFERROR(VLOOKUP($O10744,'Customer List'!$A$1:$J$488,10,FALSE),"")</f>
        <v/>
      </c>
    </row>
    <row r="10745" spans="18:23">
      <c r="R10745" s="127">
        <f t="shared" si="391"/>
        <v>0</v>
      </c>
      <c r="W10745" s="74" t="str">
        <f>IFERROR(VLOOKUP($O10745,'Customer List'!$A$1:$J$488,10,FALSE),"")</f>
        <v/>
      </c>
    </row>
    <row r="10746" spans="18:23">
      <c r="R10746" s="127">
        <f t="shared" si="391"/>
        <v>0</v>
      </c>
      <c r="W10746" s="74" t="str">
        <f>IFERROR(VLOOKUP($O10746,'Customer List'!$A$1:$J$488,10,FALSE),"")</f>
        <v/>
      </c>
    </row>
    <row r="10747" spans="18:23">
      <c r="R10747" s="127">
        <f t="shared" si="391"/>
        <v>0</v>
      </c>
      <c r="W10747" s="74" t="str">
        <f>IFERROR(VLOOKUP($O10747,'Customer List'!$A$1:$J$488,10,FALSE),"")</f>
        <v/>
      </c>
    </row>
    <row r="10748" spans="18:23">
      <c r="R10748" s="127">
        <f t="shared" si="391"/>
        <v>0</v>
      </c>
      <c r="W10748" s="74" t="str">
        <f>IFERROR(VLOOKUP($O10748,'Customer List'!$A$1:$J$488,10,FALSE),"")</f>
        <v/>
      </c>
    </row>
    <row r="10749" spans="18:23">
      <c r="R10749" s="127">
        <f t="shared" si="391"/>
        <v>0</v>
      </c>
      <c r="W10749" s="74" t="str">
        <f>IFERROR(VLOOKUP($O10749,'Customer List'!$A$1:$J$488,10,FALSE),"")</f>
        <v/>
      </c>
    </row>
    <row r="10750" spans="18:23">
      <c r="R10750" s="127">
        <f t="shared" si="391"/>
        <v>0</v>
      </c>
      <c r="W10750" s="74" t="str">
        <f>IFERROR(VLOOKUP($O10750,'Customer List'!$A$1:$J$488,10,FALSE),"")</f>
        <v/>
      </c>
    </row>
    <row r="10751" spans="18:23">
      <c r="R10751" s="127">
        <f t="shared" si="391"/>
        <v>0</v>
      </c>
      <c r="W10751" s="74" t="str">
        <f>IFERROR(VLOOKUP($O10751,'Customer List'!$A$1:$J$488,10,FALSE),"")</f>
        <v/>
      </c>
    </row>
    <row r="10752" spans="18:23">
      <c r="R10752" s="127">
        <f t="shared" si="391"/>
        <v>0</v>
      </c>
      <c r="W10752" s="74" t="str">
        <f>IFERROR(VLOOKUP($O10752,'Customer List'!$A$1:$J$488,10,FALSE),"")</f>
        <v/>
      </c>
    </row>
    <row r="10753" spans="18:23">
      <c r="R10753" s="127">
        <f t="shared" si="391"/>
        <v>0</v>
      </c>
      <c r="W10753" s="74" t="str">
        <f>IFERROR(VLOOKUP($O10753,'Customer List'!$A$1:$J$488,10,FALSE),"")</f>
        <v/>
      </c>
    </row>
    <row r="10754" spans="18:23">
      <c r="R10754" s="127">
        <f t="shared" si="391"/>
        <v>0</v>
      </c>
      <c r="W10754" s="74" t="str">
        <f>IFERROR(VLOOKUP($O10754,'Customer List'!$A$1:$J$488,10,FALSE),"")</f>
        <v/>
      </c>
    </row>
    <row r="10755" spans="18:23">
      <c r="R10755" s="127">
        <f t="shared" si="391"/>
        <v>0</v>
      </c>
      <c r="W10755" s="74" t="str">
        <f>IFERROR(VLOOKUP($O10755,'Customer List'!$A$1:$J$488,10,FALSE),"")</f>
        <v/>
      </c>
    </row>
    <row r="10756" spans="18:23">
      <c r="R10756" s="127">
        <f t="shared" si="391"/>
        <v>0</v>
      </c>
      <c r="W10756" s="74" t="str">
        <f>IFERROR(VLOOKUP($O10756,'Customer List'!$A$1:$J$488,10,FALSE),"")</f>
        <v/>
      </c>
    </row>
    <row r="10757" spans="18:23">
      <c r="R10757" s="127">
        <f t="shared" si="391"/>
        <v>0</v>
      </c>
      <c r="W10757" s="74" t="str">
        <f>IFERROR(VLOOKUP($O10757,'Customer List'!$A$1:$J$488,10,FALSE),"")</f>
        <v/>
      </c>
    </row>
    <row r="10758" spans="18:23">
      <c r="R10758" s="127">
        <f t="shared" si="391"/>
        <v>0</v>
      </c>
      <c r="W10758" s="74" t="str">
        <f>IFERROR(VLOOKUP($O10758,'Customer List'!$A$1:$J$488,10,FALSE),"")</f>
        <v/>
      </c>
    </row>
    <row r="10759" spans="18:23">
      <c r="R10759" s="127">
        <f t="shared" si="391"/>
        <v>0</v>
      </c>
      <c r="W10759" s="74" t="str">
        <f>IFERROR(VLOOKUP($O10759,'Customer List'!$A$1:$J$488,10,FALSE),"")</f>
        <v/>
      </c>
    </row>
    <row r="10760" spans="18:23">
      <c r="R10760" s="127">
        <f t="shared" si="391"/>
        <v>0</v>
      </c>
      <c r="W10760" s="74" t="str">
        <f>IFERROR(VLOOKUP($O10760,'Customer List'!$A$1:$J$488,10,FALSE),"")</f>
        <v/>
      </c>
    </row>
    <row r="10761" spans="18:23">
      <c r="R10761" s="127">
        <f t="shared" si="391"/>
        <v>0</v>
      </c>
      <c r="W10761" s="74" t="str">
        <f>IFERROR(VLOOKUP($O10761,'Customer List'!$A$1:$J$488,10,FALSE),"")</f>
        <v/>
      </c>
    </row>
    <row r="10762" spans="18:23">
      <c r="R10762" s="127">
        <f t="shared" si="391"/>
        <v>0</v>
      </c>
      <c r="W10762" s="74" t="str">
        <f>IFERROR(VLOOKUP($O10762,'Customer List'!$A$1:$J$488,10,FALSE),"")</f>
        <v/>
      </c>
    </row>
    <row r="10763" spans="18:23">
      <c r="R10763" s="127">
        <f t="shared" si="391"/>
        <v>0</v>
      </c>
      <c r="W10763" s="74" t="str">
        <f>IFERROR(VLOOKUP($O10763,'Customer List'!$A$1:$J$488,10,FALSE),"")</f>
        <v/>
      </c>
    </row>
    <row r="10764" spans="18:23">
      <c r="R10764" s="127">
        <f t="shared" si="391"/>
        <v>0</v>
      </c>
      <c r="W10764" s="74" t="str">
        <f>IFERROR(VLOOKUP($O10764,'Customer List'!$A$1:$J$488,10,FALSE),"")</f>
        <v/>
      </c>
    </row>
    <row r="10765" spans="18:23">
      <c r="R10765" s="127">
        <f t="shared" si="391"/>
        <v>0</v>
      </c>
      <c r="W10765" s="74" t="str">
        <f>IFERROR(VLOOKUP($O10765,'Customer List'!$A$1:$J$488,10,FALSE),"")</f>
        <v/>
      </c>
    </row>
    <row r="10766" spans="18:23">
      <c r="R10766" s="127">
        <f t="shared" si="391"/>
        <v>0</v>
      </c>
      <c r="W10766" s="74" t="str">
        <f>IFERROR(VLOOKUP($O10766,'Customer List'!$A$1:$J$488,10,FALSE),"")</f>
        <v/>
      </c>
    </row>
    <row r="10767" spans="18:23">
      <c r="R10767" s="127">
        <f t="shared" si="391"/>
        <v>0</v>
      </c>
      <c r="W10767" s="74" t="str">
        <f>IFERROR(VLOOKUP($O10767,'Customer List'!$A$1:$J$488,10,FALSE),"")</f>
        <v/>
      </c>
    </row>
    <row r="10768" spans="18:23">
      <c r="R10768" s="127">
        <f t="shared" si="391"/>
        <v>0</v>
      </c>
      <c r="W10768" s="74" t="str">
        <f>IFERROR(VLOOKUP($O10768,'Customer List'!$A$1:$J$488,10,FALSE),"")</f>
        <v/>
      </c>
    </row>
    <row r="10769" spans="18:23">
      <c r="R10769" s="127">
        <f t="shared" si="391"/>
        <v>0</v>
      </c>
      <c r="W10769" s="74" t="str">
        <f>IFERROR(VLOOKUP($O10769,'Customer List'!$A$1:$J$488,10,FALSE),"")</f>
        <v/>
      </c>
    </row>
    <row r="10770" spans="18:23">
      <c r="R10770" s="127">
        <f t="shared" si="391"/>
        <v>0</v>
      </c>
      <c r="W10770" s="74" t="str">
        <f>IFERROR(VLOOKUP($O10770,'Customer List'!$A$1:$J$488,10,FALSE),"")</f>
        <v/>
      </c>
    </row>
    <row r="10771" spans="18:23">
      <c r="R10771" s="127">
        <f t="shared" si="391"/>
        <v>0</v>
      </c>
      <c r="W10771" s="74" t="str">
        <f>IFERROR(VLOOKUP($O10771,'Customer List'!$A$1:$J$488,10,FALSE),"")</f>
        <v/>
      </c>
    </row>
    <row r="10772" spans="18:23">
      <c r="R10772" s="127">
        <f t="shared" si="391"/>
        <v>0</v>
      </c>
      <c r="W10772" s="74" t="str">
        <f>IFERROR(VLOOKUP($O10772,'Customer List'!$A$1:$J$488,10,FALSE),"")</f>
        <v/>
      </c>
    </row>
    <row r="10773" spans="18:23">
      <c r="R10773" s="127">
        <f t="shared" si="391"/>
        <v>0</v>
      </c>
      <c r="W10773" s="74" t="str">
        <f>IFERROR(VLOOKUP($O10773,'Customer List'!$A$1:$J$488,10,FALSE),"")</f>
        <v/>
      </c>
    </row>
    <row r="10774" spans="18:23">
      <c r="R10774" s="127">
        <f t="shared" si="391"/>
        <v>0</v>
      </c>
      <c r="W10774" s="74" t="str">
        <f>IFERROR(VLOOKUP($O10774,'Customer List'!$A$1:$J$488,10,FALSE),"")</f>
        <v/>
      </c>
    </row>
    <row r="10775" spans="18:23">
      <c r="R10775" s="127">
        <f t="shared" si="391"/>
        <v>0</v>
      </c>
      <c r="W10775" s="74" t="str">
        <f>IFERROR(VLOOKUP($O10775,'Customer List'!$A$1:$J$488,10,FALSE),"")</f>
        <v/>
      </c>
    </row>
    <row r="10776" spans="18:23">
      <c r="R10776" s="127">
        <f t="shared" si="391"/>
        <v>0</v>
      </c>
      <c r="W10776" s="74" t="str">
        <f>IFERROR(VLOOKUP($O10776,'Customer List'!$A$1:$J$488,10,FALSE),"")</f>
        <v/>
      </c>
    </row>
    <row r="10777" spans="18:23">
      <c r="R10777" s="127">
        <f t="shared" si="391"/>
        <v>0</v>
      </c>
      <c r="W10777" s="74" t="str">
        <f>IFERROR(VLOOKUP($O10777,'Customer List'!$A$1:$J$488,10,FALSE),"")</f>
        <v/>
      </c>
    </row>
    <row r="10778" spans="18:23">
      <c r="R10778" s="127">
        <f t="shared" si="391"/>
        <v>0</v>
      </c>
      <c r="W10778" s="74" t="str">
        <f>IFERROR(VLOOKUP($O10778,'Customer List'!$A$1:$J$488,10,FALSE),"")</f>
        <v/>
      </c>
    </row>
    <row r="10779" spans="18:23">
      <c r="R10779" s="127">
        <f t="shared" si="391"/>
        <v>0</v>
      </c>
      <c r="W10779" s="74" t="str">
        <f>IFERROR(VLOOKUP($O10779,'Customer List'!$A$1:$J$488,10,FALSE),"")</f>
        <v/>
      </c>
    </row>
    <row r="10780" spans="18:23">
      <c r="R10780" s="127">
        <f t="shared" si="391"/>
        <v>0</v>
      </c>
      <c r="W10780" s="74" t="str">
        <f>IFERROR(VLOOKUP($O10780,'Customer List'!$A$1:$J$488,10,FALSE),"")</f>
        <v/>
      </c>
    </row>
    <row r="10781" spans="18:23">
      <c r="R10781" s="127">
        <f t="shared" si="391"/>
        <v>0</v>
      </c>
      <c r="W10781" s="74" t="str">
        <f>IFERROR(VLOOKUP($O10781,'Customer List'!$A$1:$J$488,10,FALSE),"")</f>
        <v/>
      </c>
    </row>
    <row r="10782" spans="18:23">
      <c r="R10782" s="127">
        <f t="shared" si="391"/>
        <v>0</v>
      </c>
      <c r="W10782" s="74" t="str">
        <f>IFERROR(VLOOKUP($O10782,'Customer List'!$A$1:$J$488,10,FALSE),"")</f>
        <v/>
      </c>
    </row>
    <row r="10783" spans="18:23">
      <c r="R10783" s="127">
        <f t="shared" si="391"/>
        <v>0</v>
      </c>
      <c r="W10783" s="74" t="str">
        <f>IFERROR(VLOOKUP($O10783,'Customer List'!$A$1:$J$488,10,FALSE),"")</f>
        <v/>
      </c>
    </row>
    <row r="10784" spans="18:23">
      <c r="R10784" s="127">
        <f t="shared" si="391"/>
        <v>0</v>
      </c>
      <c r="W10784" s="74" t="str">
        <f>IFERROR(VLOOKUP($O10784,'Customer List'!$A$1:$J$488,10,FALSE),"")</f>
        <v/>
      </c>
    </row>
    <row r="10785" spans="18:23">
      <c r="R10785" s="127">
        <f t="shared" si="391"/>
        <v>0</v>
      </c>
      <c r="W10785" s="74" t="str">
        <f>IFERROR(VLOOKUP($O10785,'Customer List'!$A$1:$J$488,10,FALSE),"")</f>
        <v/>
      </c>
    </row>
    <row r="10786" spans="18:23">
      <c r="R10786" s="127">
        <f t="shared" ref="R10786:R10849" si="392">L10786-K10786</f>
        <v>0</v>
      </c>
      <c r="W10786" s="74" t="str">
        <f>IFERROR(VLOOKUP($O10786,'Customer List'!$A$1:$J$488,10,FALSE),"")</f>
        <v/>
      </c>
    </row>
    <row r="10787" spans="18:23">
      <c r="R10787" s="127">
        <f t="shared" si="392"/>
        <v>0</v>
      </c>
      <c r="W10787" s="74" t="str">
        <f>IFERROR(VLOOKUP($O10787,'Customer List'!$A$1:$J$488,10,FALSE),"")</f>
        <v/>
      </c>
    </row>
    <row r="10788" spans="18:23">
      <c r="R10788" s="127">
        <f t="shared" si="392"/>
        <v>0</v>
      </c>
      <c r="W10788" s="74" t="str">
        <f>IFERROR(VLOOKUP($O10788,'Customer List'!$A$1:$J$488,10,FALSE),"")</f>
        <v/>
      </c>
    </row>
    <row r="10789" spans="18:23">
      <c r="R10789" s="127">
        <f t="shared" si="392"/>
        <v>0</v>
      </c>
      <c r="W10789" s="74" t="str">
        <f>IFERROR(VLOOKUP($O10789,'Customer List'!$A$1:$J$488,10,FALSE),"")</f>
        <v/>
      </c>
    </row>
    <row r="10790" spans="18:23">
      <c r="R10790" s="127">
        <f t="shared" si="392"/>
        <v>0</v>
      </c>
      <c r="W10790" s="74" t="str">
        <f>IFERROR(VLOOKUP($O10790,'Customer List'!$A$1:$J$488,10,FALSE),"")</f>
        <v/>
      </c>
    </row>
    <row r="10791" spans="18:23">
      <c r="R10791" s="127">
        <f t="shared" si="392"/>
        <v>0</v>
      </c>
      <c r="W10791" s="74" t="str">
        <f>IFERROR(VLOOKUP($O10791,'Customer List'!$A$1:$J$488,10,FALSE),"")</f>
        <v/>
      </c>
    </row>
    <row r="10792" spans="18:23">
      <c r="R10792" s="127">
        <f t="shared" si="392"/>
        <v>0</v>
      </c>
      <c r="W10792" s="74" t="str">
        <f>IFERROR(VLOOKUP($O10792,'Customer List'!$A$1:$J$488,10,FALSE),"")</f>
        <v/>
      </c>
    </row>
    <row r="10793" spans="18:23">
      <c r="R10793" s="127">
        <f t="shared" si="392"/>
        <v>0</v>
      </c>
      <c r="W10793" s="74" t="str">
        <f>IFERROR(VLOOKUP($O10793,'Customer List'!$A$1:$J$488,10,FALSE),"")</f>
        <v/>
      </c>
    </row>
    <row r="10794" spans="18:23">
      <c r="R10794" s="127">
        <f t="shared" si="392"/>
        <v>0</v>
      </c>
      <c r="W10794" s="74" t="str">
        <f>IFERROR(VLOOKUP($O10794,'Customer List'!$A$1:$J$488,10,FALSE),"")</f>
        <v/>
      </c>
    </row>
    <row r="10795" spans="18:23">
      <c r="R10795" s="127">
        <f t="shared" si="392"/>
        <v>0</v>
      </c>
      <c r="W10795" s="74" t="str">
        <f>IFERROR(VLOOKUP($O10795,'Customer List'!$A$1:$J$488,10,FALSE),"")</f>
        <v/>
      </c>
    </row>
    <row r="10796" spans="18:23">
      <c r="R10796" s="127">
        <f t="shared" si="392"/>
        <v>0</v>
      </c>
      <c r="W10796" s="74" t="str">
        <f>IFERROR(VLOOKUP($O10796,'Customer List'!$A$1:$J$488,10,FALSE),"")</f>
        <v/>
      </c>
    </row>
    <row r="10797" spans="18:23">
      <c r="R10797" s="127">
        <f t="shared" si="392"/>
        <v>0</v>
      </c>
      <c r="W10797" s="74" t="str">
        <f>IFERROR(VLOOKUP($O10797,'Customer List'!$A$1:$J$488,10,FALSE),"")</f>
        <v/>
      </c>
    </row>
    <row r="10798" spans="18:23">
      <c r="R10798" s="127">
        <f t="shared" si="392"/>
        <v>0</v>
      </c>
      <c r="W10798" s="74" t="str">
        <f>IFERROR(VLOOKUP($O10798,'Customer List'!$A$1:$J$488,10,FALSE),"")</f>
        <v/>
      </c>
    </row>
    <row r="10799" spans="18:23">
      <c r="R10799" s="127">
        <f t="shared" si="392"/>
        <v>0</v>
      </c>
      <c r="W10799" s="74" t="str">
        <f>IFERROR(VLOOKUP($O10799,'Customer List'!$A$1:$J$488,10,FALSE),"")</f>
        <v/>
      </c>
    </row>
    <row r="10800" spans="18:23">
      <c r="R10800" s="127">
        <f t="shared" si="392"/>
        <v>0</v>
      </c>
      <c r="W10800" s="74" t="str">
        <f>IFERROR(VLOOKUP($O10800,'Customer List'!$A$1:$J$488,10,FALSE),"")</f>
        <v/>
      </c>
    </row>
    <row r="10801" spans="18:23">
      <c r="R10801" s="127">
        <f t="shared" si="392"/>
        <v>0</v>
      </c>
      <c r="W10801" s="74" t="str">
        <f>IFERROR(VLOOKUP($O10801,'Customer List'!$A$1:$J$488,10,FALSE),"")</f>
        <v/>
      </c>
    </row>
    <row r="10802" spans="18:23">
      <c r="R10802" s="127">
        <f t="shared" si="392"/>
        <v>0</v>
      </c>
      <c r="W10802" s="74" t="str">
        <f>IFERROR(VLOOKUP($O10802,'Customer List'!$A$1:$J$488,10,FALSE),"")</f>
        <v/>
      </c>
    </row>
    <row r="10803" spans="18:23">
      <c r="R10803" s="127">
        <f t="shared" si="392"/>
        <v>0</v>
      </c>
      <c r="W10803" s="74" t="str">
        <f>IFERROR(VLOOKUP($O10803,'Customer List'!$A$1:$J$488,10,FALSE),"")</f>
        <v/>
      </c>
    </row>
    <row r="10804" spans="18:23">
      <c r="R10804" s="127">
        <f t="shared" si="392"/>
        <v>0</v>
      </c>
      <c r="W10804" s="74" t="str">
        <f>IFERROR(VLOOKUP($O10804,'Customer List'!$A$1:$J$488,10,FALSE),"")</f>
        <v/>
      </c>
    </row>
    <row r="10805" spans="18:23">
      <c r="R10805" s="127">
        <f t="shared" si="392"/>
        <v>0</v>
      </c>
      <c r="W10805" s="74" t="str">
        <f>IFERROR(VLOOKUP($O10805,'Customer List'!$A$1:$J$488,10,FALSE),"")</f>
        <v/>
      </c>
    </row>
    <row r="10806" spans="18:23">
      <c r="R10806" s="127">
        <f t="shared" si="392"/>
        <v>0</v>
      </c>
      <c r="W10806" s="74" t="str">
        <f>IFERROR(VLOOKUP($O10806,'Customer List'!$A$1:$J$488,10,FALSE),"")</f>
        <v/>
      </c>
    </row>
    <row r="10807" spans="18:23">
      <c r="R10807" s="127">
        <f t="shared" si="392"/>
        <v>0</v>
      </c>
      <c r="W10807" s="74" t="str">
        <f>IFERROR(VLOOKUP($O10807,'Customer List'!$A$1:$J$488,10,FALSE),"")</f>
        <v/>
      </c>
    </row>
    <row r="10808" spans="18:23">
      <c r="R10808" s="127">
        <f t="shared" si="392"/>
        <v>0</v>
      </c>
      <c r="W10808" s="74" t="str">
        <f>IFERROR(VLOOKUP($O10808,'Customer List'!$A$1:$J$488,10,FALSE),"")</f>
        <v/>
      </c>
    </row>
    <row r="10809" spans="18:23">
      <c r="R10809" s="127">
        <f t="shared" si="392"/>
        <v>0</v>
      </c>
      <c r="W10809" s="74" t="str">
        <f>IFERROR(VLOOKUP($O10809,'Customer List'!$A$1:$J$488,10,FALSE),"")</f>
        <v/>
      </c>
    </row>
    <row r="10810" spans="18:23">
      <c r="R10810" s="127">
        <f t="shared" si="392"/>
        <v>0</v>
      </c>
      <c r="W10810" s="74" t="str">
        <f>IFERROR(VLOOKUP($O10810,'Customer List'!$A$1:$J$488,10,FALSE),"")</f>
        <v/>
      </c>
    </row>
    <row r="10811" spans="18:23">
      <c r="R10811" s="127">
        <f t="shared" si="392"/>
        <v>0</v>
      </c>
      <c r="W10811" s="74" t="str">
        <f>IFERROR(VLOOKUP($O10811,'Customer List'!$A$1:$J$488,10,FALSE),"")</f>
        <v/>
      </c>
    </row>
    <row r="10812" spans="18:23">
      <c r="R10812" s="127">
        <f t="shared" si="392"/>
        <v>0</v>
      </c>
      <c r="W10812" s="74" t="str">
        <f>IFERROR(VLOOKUP($O10812,'Customer List'!$A$1:$J$488,10,FALSE),"")</f>
        <v/>
      </c>
    </row>
    <row r="10813" spans="18:23">
      <c r="R10813" s="127">
        <f t="shared" si="392"/>
        <v>0</v>
      </c>
      <c r="W10813" s="74" t="str">
        <f>IFERROR(VLOOKUP($O10813,'Customer List'!$A$1:$J$488,10,FALSE),"")</f>
        <v/>
      </c>
    </row>
    <row r="10814" spans="18:23">
      <c r="R10814" s="127">
        <f t="shared" si="392"/>
        <v>0</v>
      </c>
      <c r="W10814" s="74" t="str">
        <f>IFERROR(VLOOKUP($O10814,'Customer List'!$A$1:$J$488,10,FALSE),"")</f>
        <v/>
      </c>
    </row>
    <row r="10815" spans="18:23">
      <c r="R10815" s="127">
        <f t="shared" si="392"/>
        <v>0</v>
      </c>
      <c r="W10815" s="74" t="str">
        <f>IFERROR(VLOOKUP($O10815,'Customer List'!$A$1:$J$488,10,FALSE),"")</f>
        <v/>
      </c>
    </row>
    <row r="10816" spans="18:23">
      <c r="R10816" s="127">
        <f t="shared" si="392"/>
        <v>0</v>
      </c>
      <c r="W10816" s="74" t="str">
        <f>IFERROR(VLOOKUP($O10816,'Customer List'!$A$1:$J$488,10,FALSE),"")</f>
        <v/>
      </c>
    </row>
    <row r="10817" spans="18:23">
      <c r="R10817" s="127">
        <f t="shared" si="392"/>
        <v>0</v>
      </c>
      <c r="W10817" s="74" t="str">
        <f>IFERROR(VLOOKUP($O10817,'Customer List'!$A$1:$J$488,10,FALSE),"")</f>
        <v/>
      </c>
    </row>
    <row r="10818" spans="18:23">
      <c r="R10818" s="127">
        <f t="shared" si="392"/>
        <v>0</v>
      </c>
      <c r="W10818" s="74" t="str">
        <f>IFERROR(VLOOKUP($O10818,'Customer List'!$A$1:$J$488,10,FALSE),"")</f>
        <v/>
      </c>
    </row>
    <row r="10819" spans="18:23">
      <c r="R10819" s="127">
        <f t="shared" si="392"/>
        <v>0</v>
      </c>
      <c r="W10819" s="74" t="str">
        <f>IFERROR(VLOOKUP($O10819,'Customer List'!$A$1:$J$488,10,FALSE),"")</f>
        <v/>
      </c>
    </row>
    <row r="10820" spans="18:23">
      <c r="R10820" s="127">
        <f t="shared" si="392"/>
        <v>0</v>
      </c>
      <c r="W10820" s="74" t="str">
        <f>IFERROR(VLOOKUP($O10820,'Customer List'!$A$1:$J$488,10,FALSE),"")</f>
        <v/>
      </c>
    </row>
    <row r="10821" spans="18:23">
      <c r="R10821" s="127">
        <f t="shared" si="392"/>
        <v>0</v>
      </c>
      <c r="W10821" s="74" t="str">
        <f>IFERROR(VLOOKUP($O10821,'Customer List'!$A$1:$J$488,10,FALSE),"")</f>
        <v/>
      </c>
    </row>
    <row r="10822" spans="18:23">
      <c r="R10822" s="127">
        <f t="shared" si="392"/>
        <v>0</v>
      </c>
      <c r="W10822" s="74" t="str">
        <f>IFERROR(VLOOKUP($O10822,'Customer List'!$A$1:$J$488,10,FALSE),"")</f>
        <v/>
      </c>
    </row>
    <row r="10823" spans="18:23">
      <c r="R10823" s="127">
        <f t="shared" si="392"/>
        <v>0</v>
      </c>
      <c r="W10823" s="74" t="str">
        <f>IFERROR(VLOOKUP($O10823,'Customer List'!$A$1:$J$488,10,FALSE),"")</f>
        <v/>
      </c>
    </row>
    <row r="10824" spans="18:23">
      <c r="R10824" s="127">
        <f t="shared" si="392"/>
        <v>0</v>
      </c>
      <c r="W10824" s="74" t="str">
        <f>IFERROR(VLOOKUP($O10824,'Customer List'!$A$1:$J$488,10,FALSE),"")</f>
        <v/>
      </c>
    </row>
    <row r="10825" spans="18:23">
      <c r="R10825" s="127">
        <f t="shared" si="392"/>
        <v>0</v>
      </c>
      <c r="W10825" s="74" t="str">
        <f>IFERROR(VLOOKUP($O10825,'Customer List'!$A$1:$J$488,10,FALSE),"")</f>
        <v/>
      </c>
    </row>
    <row r="10826" spans="18:23">
      <c r="R10826" s="127">
        <f t="shared" si="392"/>
        <v>0</v>
      </c>
      <c r="W10826" s="74" t="str">
        <f>IFERROR(VLOOKUP($O10826,'Customer List'!$A$1:$J$488,10,FALSE),"")</f>
        <v/>
      </c>
    </row>
    <row r="10827" spans="18:23">
      <c r="R10827" s="127">
        <f t="shared" si="392"/>
        <v>0</v>
      </c>
      <c r="W10827" s="74" t="str">
        <f>IFERROR(VLOOKUP($O10827,'Customer List'!$A$1:$J$488,10,FALSE),"")</f>
        <v/>
      </c>
    </row>
    <row r="10828" spans="18:23">
      <c r="R10828" s="127">
        <f t="shared" si="392"/>
        <v>0</v>
      </c>
      <c r="W10828" s="74" t="str">
        <f>IFERROR(VLOOKUP($O10828,'Customer List'!$A$1:$J$488,10,FALSE),"")</f>
        <v/>
      </c>
    </row>
    <row r="10829" spans="18:23">
      <c r="R10829" s="127">
        <f t="shared" si="392"/>
        <v>0</v>
      </c>
      <c r="W10829" s="74" t="str">
        <f>IFERROR(VLOOKUP($O10829,'Customer List'!$A$1:$J$488,10,FALSE),"")</f>
        <v/>
      </c>
    </row>
    <row r="10830" spans="18:23">
      <c r="R10830" s="127">
        <f t="shared" si="392"/>
        <v>0</v>
      </c>
      <c r="W10830" s="74" t="str">
        <f>IFERROR(VLOOKUP($O10830,'Customer List'!$A$1:$J$488,10,FALSE),"")</f>
        <v/>
      </c>
    </row>
    <row r="10831" spans="18:23">
      <c r="R10831" s="127">
        <f t="shared" si="392"/>
        <v>0</v>
      </c>
      <c r="W10831" s="74" t="str">
        <f>IFERROR(VLOOKUP($O10831,'Customer List'!$A$1:$J$488,10,FALSE),"")</f>
        <v/>
      </c>
    </row>
    <row r="10832" spans="18:23">
      <c r="R10832" s="127">
        <f t="shared" si="392"/>
        <v>0</v>
      </c>
      <c r="W10832" s="74" t="str">
        <f>IFERROR(VLOOKUP($O10832,'Customer List'!$A$1:$J$488,10,FALSE),"")</f>
        <v/>
      </c>
    </row>
    <row r="10833" spans="18:23">
      <c r="R10833" s="127">
        <f t="shared" si="392"/>
        <v>0</v>
      </c>
      <c r="W10833" s="74" t="str">
        <f>IFERROR(VLOOKUP($O10833,'Customer List'!$A$1:$J$488,10,FALSE),"")</f>
        <v/>
      </c>
    </row>
    <row r="10834" spans="18:23">
      <c r="R10834" s="127">
        <f t="shared" si="392"/>
        <v>0</v>
      </c>
      <c r="W10834" s="74" t="str">
        <f>IFERROR(VLOOKUP($O10834,'Customer List'!$A$1:$J$488,10,FALSE),"")</f>
        <v/>
      </c>
    </row>
    <row r="10835" spans="18:23">
      <c r="R10835" s="127">
        <f t="shared" si="392"/>
        <v>0</v>
      </c>
      <c r="W10835" s="74" t="str">
        <f>IFERROR(VLOOKUP($O10835,'Customer List'!$A$1:$J$488,10,FALSE),"")</f>
        <v/>
      </c>
    </row>
    <row r="10836" spans="18:23">
      <c r="R10836" s="127">
        <f t="shared" si="392"/>
        <v>0</v>
      </c>
      <c r="W10836" s="74" t="str">
        <f>IFERROR(VLOOKUP($O10836,'Customer List'!$A$1:$J$488,10,FALSE),"")</f>
        <v/>
      </c>
    </row>
    <row r="10837" spans="18:23">
      <c r="R10837" s="127">
        <f t="shared" si="392"/>
        <v>0</v>
      </c>
      <c r="W10837" s="74" t="str">
        <f>IFERROR(VLOOKUP($O10837,'Customer List'!$A$1:$J$488,10,FALSE),"")</f>
        <v/>
      </c>
    </row>
    <row r="10838" spans="18:23">
      <c r="R10838" s="127">
        <f t="shared" si="392"/>
        <v>0</v>
      </c>
      <c r="W10838" s="74" t="str">
        <f>IFERROR(VLOOKUP($O10838,'Customer List'!$A$1:$J$488,10,FALSE),"")</f>
        <v/>
      </c>
    </row>
    <row r="10839" spans="18:23">
      <c r="R10839" s="127">
        <f t="shared" si="392"/>
        <v>0</v>
      </c>
      <c r="W10839" s="74" t="str">
        <f>IFERROR(VLOOKUP($O10839,'Customer List'!$A$1:$J$488,10,FALSE),"")</f>
        <v/>
      </c>
    </row>
    <row r="10840" spans="18:23">
      <c r="R10840" s="127">
        <f t="shared" si="392"/>
        <v>0</v>
      </c>
      <c r="W10840" s="74" t="str">
        <f>IFERROR(VLOOKUP($O10840,'Customer List'!$A$1:$J$488,10,FALSE),"")</f>
        <v/>
      </c>
    </row>
    <row r="10841" spans="18:23">
      <c r="R10841" s="127">
        <f t="shared" si="392"/>
        <v>0</v>
      </c>
      <c r="W10841" s="74" t="str">
        <f>IFERROR(VLOOKUP($O10841,'Customer List'!$A$1:$J$488,10,FALSE),"")</f>
        <v/>
      </c>
    </row>
    <row r="10842" spans="18:23">
      <c r="R10842" s="127">
        <f t="shared" si="392"/>
        <v>0</v>
      </c>
      <c r="W10842" s="74" t="str">
        <f>IFERROR(VLOOKUP($O10842,'Customer List'!$A$1:$J$488,10,FALSE),"")</f>
        <v/>
      </c>
    </row>
    <row r="10843" spans="18:23">
      <c r="R10843" s="127">
        <f t="shared" si="392"/>
        <v>0</v>
      </c>
      <c r="W10843" s="74" t="str">
        <f>IFERROR(VLOOKUP($O10843,'Customer List'!$A$1:$J$488,10,FALSE),"")</f>
        <v/>
      </c>
    </row>
    <row r="10844" spans="18:23">
      <c r="R10844" s="127">
        <f t="shared" si="392"/>
        <v>0</v>
      </c>
      <c r="W10844" s="74" t="str">
        <f>IFERROR(VLOOKUP($O10844,'Customer List'!$A$1:$J$488,10,FALSE),"")</f>
        <v/>
      </c>
    </row>
    <row r="10845" spans="18:23">
      <c r="R10845" s="127">
        <f t="shared" si="392"/>
        <v>0</v>
      </c>
      <c r="W10845" s="74" t="str">
        <f>IFERROR(VLOOKUP($O10845,'Customer List'!$A$1:$J$488,10,FALSE),"")</f>
        <v/>
      </c>
    </row>
    <row r="10846" spans="18:23">
      <c r="R10846" s="127">
        <f t="shared" si="392"/>
        <v>0</v>
      </c>
      <c r="W10846" s="74" t="str">
        <f>IFERROR(VLOOKUP($O10846,'Customer List'!$A$1:$J$488,10,FALSE),"")</f>
        <v/>
      </c>
    </row>
    <row r="10847" spans="18:23">
      <c r="R10847" s="127">
        <f t="shared" si="392"/>
        <v>0</v>
      </c>
      <c r="W10847" s="74" t="str">
        <f>IFERROR(VLOOKUP($O10847,'Customer List'!$A$1:$J$488,10,FALSE),"")</f>
        <v/>
      </c>
    </row>
    <row r="10848" spans="18:23">
      <c r="R10848" s="127">
        <f t="shared" si="392"/>
        <v>0</v>
      </c>
      <c r="W10848" s="74" t="str">
        <f>IFERROR(VLOOKUP($O10848,'Customer List'!$A$1:$J$488,10,FALSE),"")</f>
        <v/>
      </c>
    </row>
    <row r="10849" spans="18:23">
      <c r="R10849" s="127">
        <f t="shared" si="392"/>
        <v>0</v>
      </c>
      <c r="W10849" s="74" t="str">
        <f>IFERROR(VLOOKUP($O10849,'Customer List'!$A$1:$J$488,10,FALSE),"")</f>
        <v/>
      </c>
    </row>
    <row r="10850" spans="18:23">
      <c r="R10850" s="127">
        <f t="shared" ref="R10850:R10913" si="393">L10850-K10850</f>
        <v>0</v>
      </c>
      <c r="W10850" s="74" t="str">
        <f>IFERROR(VLOOKUP($O10850,'Customer List'!$A$1:$J$488,10,FALSE),"")</f>
        <v/>
      </c>
    </row>
    <row r="10851" spans="18:23">
      <c r="R10851" s="127">
        <f t="shared" si="393"/>
        <v>0</v>
      </c>
      <c r="W10851" s="74" t="str">
        <f>IFERROR(VLOOKUP($O10851,'Customer List'!$A$1:$J$488,10,FALSE),"")</f>
        <v/>
      </c>
    </row>
    <row r="10852" spans="18:23">
      <c r="R10852" s="127">
        <f t="shared" si="393"/>
        <v>0</v>
      </c>
      <c r="W10852" s="74" t="str">
        <f>IFERROR(VLOOKUP($O10852,'Customer List'!$A$1:$J$488,10,FALSE),"")</f>
        <v/>
      </c>
    </row>
    <row r="10853" spans="18:23">
      <c r="R10853" s="127">
        <f t="shared" si="393"/>
        <v>0</v>
      </c>
      <c r="W10853" s="74" t="str">
        <f>IFERROR(VLOOKUP($O10853,'Customer List'!$A$1:$J$488,10,FALSE),"")</f>
        <v/>
      </c>
    </row>
    <row r="10854" spans="18:23">
      <c r="R10854" s="127">
        <f t="shared" si="393"/>
        <v>0</v>
      </c>
      <c r="W10854" s="74" t="str">
        <f>IFERROR(VLOOKUP($O10854,'Customer List'!$A$1:$J$488,10,FALSE),"")</f>
        <v/>
      </c>
    </row>
    <row r="10855" spans="18:23">
      <c r="R10855" s="127">
        <f t="shared" si="393"/>
        <v>0</v>
      </c>
      <c r="W10855" s="74" t="str">
        <f>IFERROR(VLOOKUP($O10855,'Customer List'!$A$1:$J$488,10,FALSE),"")</f>
        <v/>
      </c>
    </row>
    <row r="10856" spans="18:23">
      <c r="R10856" s="127">
        <f t="shared" si="393"/>
        <v>0</v>
      </c>
      <c r="W10856" s="74" t="str">
        <f>IFERROR(VLOOKUP($O10856,'Customer List'!$A$1:$J$488,10,FALSE),"")</f>
        <v/>
      </c>
    </row>
    <row r="10857" spans="18:23">
      <c r="R10857" s="127">
        <f t="shared" si="393"/>
        <v>0</v>
      </c>
      <c r="W10857" s="74" t="str">
        <f>IFERROR(VLOOKUP($O10857,'Customer List'!$A$1:$J$488,10,FALSE),"")</f>
        <v/>
      </c>
    </row>
    <row r="10858" spans="18:23">
      <c r="R10858" s="127">
        <f t="shared" si="393"/>
        <v>0</v>
      </c>
      <c r="W10858" s="74" t="str">
        <f>IFERROR(VLOOKUP($O10858,'Customer List'!$A$1:$J$488,10,FALSE),"")</f>
        <v/>
      </c>
    </row>
    <row r="10859" spans="18:23">
      <c r="R10859" s="127">
        <f t="shared" si="393"/>
        <v>0</v>
      </c>
      <c r="W10859" s="74" t="str">
        <f>IFERROR(VLOOKUP($O10859,'Customer List'!$A$1:$J$488,10,FALSE),"")</f>
        <v/>
      </c>
    </row>
    <row r="10860" spans="18:23">
      <c r="R10860" s="127">
        <f t="shared" si="393"/>
        <v>0</v>
      </c>
      <c r="W10860" s="74" t="str">
        <f>IFERROR(VLOOKUP($O10860,'Customer List'!$A$1:$J$488,10,FALSE),"")</f>
        <v/>
      </c>
    </row>
    <row r="10861" spans="18:23">
      <c r="R10861" s="127">
        <f t="shared" si="393"/>
        <v>0</v>
      </c>
      <c r="W10861" s="74" t="str">
        <f>IFERROR(VLOOKUP($O10861,'Customer List'!$A$1:$J$488,10,FALSE),"")</f>
        <v/>
      </c>
    </row>
    <row r="10862" spans="18:23">
      <c r="R10862" s="127">
        <f t="shared" si="393"/>
        <v>0</v>
      </c>
      <c r="W10862" s="74" t="str">
        <f>IFERROR(VLOOKUP($O10862,'Customer List'!$A$1:$J$488,10,FALSE),"")</f>
        <v/>
      </c>
    </row>
    <row r="10863" spans="18:23">
      <c r="R10863" s="127">
        <f t="shared" si="393"/>
        <v>0</v>
      </c>
      <c r="W10863" s="74" t="str">
        <f>IFERROR(VLOOKUP($O10863,'Customer List'!$A$1:$J$488,10,FALSE),"")</f>
        <v/>
      </c>
    </row>
    <row r="10864" spans="18:23">
      <c r="R10864" s="127">
        <f t="shared" si="393"/>
        <v>0</v>
      </c>
      <c r="W10864" s="74" t="str">
        <f>IFERROR(VLOOKUP($O10864,'Customer List'!$A$1:$J$488,10,FALSE),"")</f>
        <v/>
      </c>
    </row>
    <row r="10865" spans="18:23">
      <c r="R10865" s="127">
        <f t="shared" si="393"/>
        <v>0</v>
      </c>
      <c r="W10865" s="74" t="str">
        <f>IFERROR(VLOOKUP($O10865,'Customer List'!$A$1:$J$488,10,FALSE),"")</f>
        <v/>
      </c>
    </row>
    <row r="10866" spans="18:23">
      <c r="R10866" s="127">
        <f t="shared" si="393"/>
        <v>0</v>
      </c>
      <c r="W10866" s="74" t="str">
        <f>IFERROR(VLOOKUP($O10866,'Customer List'!$A$1:$J$488,10,FALSE),"")</f>
        <v/>
      </c>
    </row>
    <row r="10867" spans="18:23">
      <c r="R10867" s="127">
        <f t="shared" si="393"/>
        <v>0</v>
      </c>
      <c r="W10867" s="74" t="str">
        <f>IFERROR(VLOOKUP($O10867,'Customer List'!$A$1:$J$488,10,FALSE),"")</f>
        <v/>
      </c>
    </row>
    <row r="10868" spans="18:23">
      <c r="R10868" s="127">
        <f t="shared" si="393"/>
        <v>0</v>
      </c>
      <c r="W10868" s="74" t="str">
        <f>IFERROR(VLOOKUP($O10868,'Customer List'!$A$1:$J$488,10,FALSE),"")</f>
        <v/>
      </c>
    </row>
    <row r="10869" spans="18:23">
      <c r="R10869" s="127">
        <f t="shared" si="393"/>
        <v>0</v>
      </c>
      <c r="W10869" s="74" t="str">
        <f>IFERROR(VLOOKUP($O10869,'Customer List'!$A$1:$J$488,10,FALSE),"")</f>
        <v/>
      </c>
    </row>
    <row r="10870" spans="18:23">
      <c r="R10870" s="127">
        <f t="shared" si="393"/>
        <v>0</v>
      </c>
      <c r="W10870" s="74" t="str">
        <f>IFERROR(VLOOKUP($O10870,'Customer List'!$A$1:$J$488,10,FALSE),"")</f>
        <v/>
      </c>
    </row>
    <row r="10871" spans="18:23">
      <c r="R10871" s="127">
        <f t="shared" si="393"/>
        <v>0</v>
      </c>
      <c r="W10871" s="74" t="str">
        <f>IFERROR(VLOOKUP($O10871,'Customer List'!$A$1:$J$488,10,FALSE),"")</f>
        <v/>
      </c>
    </row>
    <row r="10872" spans="18:23">
      <c r="R10872" s="127">
        <f t="shared" si="393"/>
        <v>0</v>
      </c>
      <c r="W10872" s="74" t="str">
        <f>IFERROR(VLOOKUP($O10872,'Customer List'!$A$1:$J$488,10,FALSE),"")</f>
        <v/>
      </c>
    </row>
    <row r="10873" spans="18:23">
      <c r="R10873" s="127">
        <f t="shared" si="393"/>
        <v>0</v>
      </c>
      <c r="W10873" s="74" t="str">
        <f>IFERROR(VLOOKUP($O10873,'Customer List'!$A$1:$J$488,10,FALSE),"")</f>
        <v/>
      </c>
    </row>
    <row r="10874" spans="18:23">
      <c r="R10874" s="127">
        <f t="shared" si="393"/>
        <v>0</v>
      </c>
      <c r="W10874" s="74" t="str">
        <f>IFERROR(VLOOKUP($O10874,'Customer List'!$A$1:$J$488,10,FALSE),"")</f>
        <v/>
      </c>
    </row>
    <row r="10875" spans="18:23">
      <c r="R10875" s="127">
        <f t="shared" si="393"/>
        <v>0</v>
      </c>
      <c r="W10875" s="74" t="str">
        <f>IFERROR(VLOOKUP($O10875,'Customer List'!$A$1:$J$488,10,FALSE),"")</f>
        <v/>
      </c>
    </row>
    <row r="10876" spans="18:23">
      <c r="R10876" s="127">
        <f t="shared" si="393"/>
        <v>0</v>
      </c>
      <c r="W10876" s="74" t="str">
        <f>IFERROR(VLOOKUP($O10876,'Customer List'!$A$1:$J$488,10,FALSE),"")</f>
        <v/>
      </c>
    </row>
    <row r="10877" spans="18:23">
      <c r="R10877" s="127">
        <f t="shared" si="393"/>
        <v>0</v>
      </c>
      <c r="W10877" s="74" t="str">
        <f>IFERROR(VLOOKUP($O10877,'Customer List'!$A$1:$J$488,10,FALSE),"")</f>
        <v/>
      </c>
    </row>
    <row r="10878" spans="18:23">
      <c r="R10878" s="127">
        <f t="shared" si="393"/>
        <v>0</v>
      </c>
      <c r="W10878" s="74" t="str">
        <f>IFERROR(VLOOKUP($O10878,'Customer List'!$A$1:$J$488,10,FALSE),"")</f>
        <v/>
      </c>
    </row>
    <row r="10879" spans="18:23">
      <c r="R10879" s="127">
        <f t="shared" si="393"/>
        <v>0</v>
      </c>
      <c r="W10879" s="74" t="str">
        <f>IFERROR(VLOOKUP($O10879,'Customer List'!$A$1:$J$488,10,FALSE),"")</f>
        <v/>
      </c>
    </row>
    <row r="10880" spans="18:23">
      <c r="R10880" s="127">
        <f t="shared" si="393"/>
        <v>0</v>
      </c>
      <c r="W10880" s="74" t="str">
        <f>IFERROR(VLOOKUP($O10880,'Customer List'!$A$1:$J$488,10,FALSE),"")</f>
        <v/>
      </c>
    </row>
    <row r="10881" spans="18:23">
      <c r="R10881" s="127">
        <f t="shared" si="393"/>
        <v>0</v>
      </c>
      <c r="W10881" s="74" t="str">
        <f>IFERROR(VLOOKUP($O10881,'Customer List'!$A$1:$J$488,10,FALSE),"")</f>
        <v/>
      </c>
    </row>
    <row r="10882" spans="18:23">
      <c r="R10882" s="127">
        <f t="shared" si="393"/>
        <v>0</v>
      </c>
      <c r="W10882" s="74" t="str">
        <f>IFERROR(VLOOKUP($O10882,'Customer List'!$A$1:$J$488,10,FALSE),"")</f>
        <v/>
      </c>
    </row>
    <row r="10883" spans="18:23">
      <c r="R10883" s="127">
        <f t="shared" si="393"/>
        <v>0</v>
      </c>
      <c r="W10883" s="74" t="str">
        <f>IFERROR(VLOOKUP($O10883,'Customer List'!$A$1:$J$488,10,FALSE),"")</f>
        <v/>
      </c>
    </row>
    <row r="10884" spans="18:23">
      <c r="R10884" s="127">
        <f t="shared" si="393"/>
        <v>0</v>
      </c>
      <c r="W10884" s="74" t="str">
        <f>IFERROR(VLOOKUP($O10884,'Customer List'!$A$1:$J$488,10,FALSE),"")</f>
        <v/>
      </c>
    </row>
    <row r="10885" spans="18:23">
      <c r="R10885" s="127">
        <f t="shared" si="393"/>
        <v>0</v>
      </c>
      <c r="W10885" s="74" t="str">
        <f>IFERROR(VLOOKUP($O10885,'Customer List'!$A$1:$J$488,10,FALSE),"")</f>
        <v/>
      </c>
    </row>
    <row r="10886" spans="18:23">
      <c r="R10886" s="127">
        <f t="shared" si="393"/>
        <v>0</v>
      </c>
      <c r="W10886" s="74" t="str">
        <f>IFERROR(VLOOKUP($O10886,'Customer List'!$A$1:$J$488,10,FALSE),"")</f>
        <v/>
      </c>
    </row>
    <row r="10887" spans="18:23">
      <c r="R10887" s="127">
        <f t="shared" si="393"/>
        <v>0</v>
      </c>
      <c r="W10887" s="74" t="str">
        <f>IFERROR(VLOOKUP($O10887,'Customer List'!$A$1:$J$488,10,FALSE),"")</f>
        <v/>
      </c>
    </row>
    <row r="10888" spans="18:23">
      <c r="R10888" s="127">
        <f t="shared" si="393"/>
        <v>0</v>
      </c>
      <c r="W10888" s="74" t="str">
        <f>IFERROR(VLOOKUP($O10888,'Customer List'!$A$1:$J$488,10,FALSE),"")</f>
        <v/>
      </c>
    </row>
    <row r="10889" spans="18:23">
      <c r="R10889" s="127">
        <f t="shared" si="393"/>
        <v>0</v>
      </c>
      <c r="W10889" s="74" t="str">
        <f>IFERROR(VLOOKUP($O10889,'Customer List'!$A$1:$J$488,10,FALSE),"")</f>
        <v/>
      </c>
    </row>
    <row r="10890" spans="18:23">
      <c r="R10890" s="127">
        <f t="shared" si="393"/>
        <v>0</v>
      </c>
      <c r="W10890" s="74" t="str">
        <f>IFERROR(VLOOKUP($O10890,'Customer List'!$A$1:$J$488,10,FALSE),"")</f>
        <v/>
      </c>
    </row>
    <row r="10891" spans="18:23">
      <c r="R10891" s="127">
        <f t="shared" si="393"/>
        <v>0</v>
      </c>
      <c r="W10891" s="74" t="str">
        <f>IFERROR(VLOOKUP($O10891,'Customer List'!$A$1:$J$488,10,FALSE),"")</f>
        <v/>
      </c>
    </row>
    <row r="10892" spans="18:23">
      <c r="R10892" s="127">
        <f t="shared" si="393"/>
        <v>0</v>
      </c>
      <c r="W10892" s="74" t="str">
        <f>IFERROR(VLOOKUP($O10892,'Customer List'!$A$1:$J$488,10,FALSE),"")</f>
        <v/>
      </c>
    </row>
    <row r="10893" spans="18:23">
      <c r="R10893" s="127">
        <f t="shared" si="393"/>
        <v>0</v>
      </c>
      <c r="W10893" s="74" t="str">
        <f>IFERROR(VLOOKUP($O10893,'Customer List'!$A$1:$J$488,10,FALSE),"")</f>
        <v/>
      </c>
    </row>
    <row r="10894" spans="18:23">
      <c r="R10894" s="127">
        <f t="shared" si="393"/>
        <v>0</v>
      </c>
      <c r="W10894" s="74" t="str">
        <f>IFERROR(VLOOKUP($O10894,'Customer List'!$A$1:$J$488,10,FALSE),"")</f>
        <v/>
      </c>
    </row>
    <row r="10895" spans="18:23">
      <c r="R10895" s="127">
        <f t="shared" si="393"/>
        <v>0</v>
      </c>
      <c r="W10895" s="74" t="str">
        <f>IFERROR(VLOOKUP($O10895,'Customer List'!$A$1:$J$488,10,FALSE),"")</f>
        <v/>
      </c>
    </row>
    <row r="10896" spans="18:23">
      <c r="R10896" s="127">
        <f t="shared" si="393"/>
        <v>0</v>
      </c>
      <c r="W10896" s="74" t="str">
        <f>IFERROR(VLOOKUP($O10896,'Customer List'!$A$1:$J$488,10,FALSE),"")</f>
        <v/>
      </c>
    </row>
    <row r="10897" spans="18:23">
      <c r="R10897" s="127">
        <f t="shared" si="393"/>
        <v>0</v>
      </c>
      <c r="W10897" s="74" t="str">
        <f>IFERROR(VLOOKUP($O10897,'Customer List'!$A$1:$J$488,10,FALSE),"")</f>
        <v/>
      </c>
    </row>
    <row r="10898" spans="18:23">
      <c r="R10898" s="127">
        <f t="shared" si="393"/>
        <v>0</v>
      </c>
      <c r="W10898" s="74" t="str">
        <f>IFERROR(VLOOKUP($O10898,'Customer List'!$A$1:$J$488,10,FALSE),"")</f>
        <v/>
      </c>
    </row>
    <row r="10899" spans="18:23">
      <c r="R10899" s="127">
        <f t="shared" si="393"/>
        <v>0</v>
      </c>
      <c r="W10899" s="74" t="str">
        <f>IFERROR(VLOOKUP($O10899,'Customer List'!$A$1:$J$488,10,FALSE),"")</f>
        <v/>
      </c>
    </row>
    <row r="10900" spans="18:23">
      <c r="R10900" s="127">
        <f t="shared" si="393"/>
        <v>0</v>
      </c>
      <c r="W10900" s="74" t="str">
        <f>IFERROR(VLOOKUP($O10900,'Customer List'!$A$1:$J$488,10,FALSE),"")</f>
        <v/>
      </c>
    </row>
    <row r="10901" spans="18:23">
      <c r="R10901" s="127">
        <f t="shared" si="393"/>
        <v>0</v>
      </c>
      <c r="W10901" s="74" t="str">
        <f>IFERROR(VLOOKUP($O10901,'Customer List'!$A$1:$J$488,10,FALSE),"")</f>
        <v/>
      </c>
    </row>
    <row r="10902" spans="18:23">
      <c r="R10902" s="127">
        <f t="shared" si="393"/>
        <v>0</v>
      </c>
      <c r="W10902" s="74" t="str">
        <f>IFERROR(VLOOKUP($O10902,'Customer List'!$A$1:$J$488,10,FALSE),"")</f>
        <v/>
      </c>
    </row>
    <row r="10903" spans="18:23">
      <c r="R10903" s="127">
        <f t="shared" si="393"/>
        <v>0</v>
      </c>
      <c r="W10903" s="74" t="str">
        <f>IFERROR(VLOOKUP($O10903,'Customer List'!$A$1:$J$488,10,FALSE),"")</f>
        <v/>
      </c>
    </row>
    <row r="10904" spans="18:23">
      <c r="R10904" s="127">
        <f t="shared" si="393"/>
        <v>0</v>
      </c>
      <c r="W10904" s="74" t="str">
        <f>IFERROR(VLOOKUP($O10904,'Customer List'!$A$1:$J$488,10,FALSE),"")</f>
        <v/>
      </c>
    </row>
    <row r="10905" spans="18:23">
      <c r="R10905" s="127">
        <f t="shared" si="393"/>
        <v>0</v>
      </c>
      <c r="W10905" s="74" t="str">
        <f>IFERROR(VLOOKUP($O10905,'Customer List'!$A$1:$J$488,10,FALSE),"")</f>
        <v/>
      </c>
    </row>
    <row r="10906" spans="18:23">
      <c r="R10906" s="127">
        <f t="shared" si="393"/>
        <v>0</v>
      </c>
      <c r="W10906" s="74" t="str">
        <f>IFERROR(VLOOKUP($O10906,'Customer List'!$A$1:$J$488,10,FALSE),"")</f>
        <v/>
      </c>
    </row>
    <row r="10907" spans="18:23">
      <c r="R10907" s="127">
        <f t="shared" si="393"/>
        <v>0</v>
      </c>
      <c r="W10907" s="74" t="str">
        <f>IFERROR(VLOOKUP($O10907,'Customer List'!$A$1:$J$488,10,FALSE),"")</f>
        <v/>
      </c>
    </row>
    <row r="10908" spans="18:23">
      <c r="R10908" s="127">
        <f t="shared" si="393"/>
        <v>0</v>
      </c>
      <c r="W10908" s="74" t="str">
        <f>IFERROR(VLOOKUP($O10908,'Customer List'!$A$1:$J$488,10,FALSE),"")</f>
        <v/>
      </c>
    </row>
    <row r="10909" spans="18:23">
      <c r="R10909" s="127">
        <f t="shared" si="393"/>
        <v>0</v>
      </c>
      <c r="W10909" s="74" t="str">
        <f>IFERROR(VLOOKUP($O10909,'Customer List'!$A$1:$J$488,10,FALSE),"")</f>
        <v/>
      </c>
    </row>
    <row r="10910" spans="18:23">
      <c r="R10910" s="127">
        <f t="shared" si="393"/>
        <v>0</v>
      </c>
      <c r="W10910" s="74" t="str">
        <f>IFERROR(VLOOKUP($O10910,'Customer List'!$A$1:$J$488,10,FALSE),"")</f>
        <v/>
      </c>
    </row>
    <row r="10911" spans="18:23">
      <c r="R10911" s="127">
        <f t="shared" si="393"/>
        <v>0</v>
      </c>
      <c r="W10911" s="74" t="str">
        <f>IFERROR(VLOOKUP($O10911,'Customer List'!$A$1:$J$488,10,FALSE),"")</f>
        <v/>
      </c>
    </row>
    <row r="10912" spans="18:23">
      <c r="R10912" s="127">
        <f t="shared" si="393"/>
        <v>0</v>
      </c>
      <c r="W10912" s="74" t="str">
        <f>IFERROR(VLOOKUP($O10912,'Customer List'!$A$1:$J$488,10,FALSE),"")</f>
        <v/>
      </c>
    </row>
    <row r="10913" spans="18:23">
      <c r="R10913" s="127">
        <f t="shared" si="393"/>
        <v>0</v>
      </c>
      <c r="W10913" s="74" t="str">
        <f>IFERROR(VLOOKUP($O10913,'Customer List'!$A$1:$J$488,10,FALSE),"")</f>
        <v/>
      </c>
    </row>
    <row r="10914" spans="18:23">
      <c r="R10914" s="127">
        <f t="shared" ref="R10914:R10977" si="394">L10914-K10914</f>
        <v>0</v>
      </c>
      <c r="W10914" s="74" t="str">
        <f>IFERROR(VLOOKUP($O10914,'Customer List'!$A$1:$J$488,10,FALSE),"")</f>
        <v/>
      </c>
    </row>
    <row r="10915" spans="18:23">
      <c r="R10915" s="127">
        <f t="shared" si="394"/>
        <v>0</v>
      </c>
      <c r="W10915" s="74" t="str">
        <f>IFERROR(VLOOKUP($O10915,'Customer List'!$A$1:$J$488,10,FALSE),"")</f>
        <v/>
      </c>
    </row>
    <row r="10916" spans="18:23">
      <c r="R10916" s="127">
        <f t="shared" si="394"/>
        <v>0</v>
      </c>
      <c r="W10916" s="74" t="str">
        <f>IFERROR(VLOOKUP($O10916,'Customer List'!$A$1:$J$488,10,FALSE),"")</f>
        <v/>
      </c>
    </row>
    <row r="10917" spans="18:23">
      <c r="R10917" s="127">
        <f t="shared" si="394"/>
        <v>0</v>
      </c>
      <c r="W10917" s="74" t="str">
        <f>IFERROR(VLOOKUP($O10917,'Customer List'!$A$1:$J$488,10,FALSE),"")</f>
        <v/>
      </c>
    </row>
    <row r="10918" spans="18:23">
      <c r="R10918" s="127">
        <f t="shared" si="394"/>
        <v>0</v>
      </c>
      <c r="W10918" s="74" t="str">
        <f>IFERROR(VLOOKUP($O10918,'Customer List'!$A$1:$J$488,10,FALSE),"")</f>
        <v/>
      </c>
    </row>
    <row r="10919" spans="18:23">
      <c r="R10919" s="127">
        <f t="shared" si="394"/>
        <v>0</v>
      </c>
      <c r="W10919" s="74" t="str">
        <f>IFERROR(VLOOKUP($O10919,'Customer List'!$A$1:$J$488,10,FALSE),"")</f>
        <v/>
      </c>
    </row>
    <row r="10920" spans="18:23">
      <c r="R10920" s="127">
        <f t="shared" si="394"/>
        <v>0</v>
      </c>
      <c r="W10920" s="74" t="str">
        <f>IFERROR(VLOOKUP($O10920,'Customer List'!$A$1:$J$488,10,FALSE),"")</f>
        <v/>
      </c>
    </row>
    <row r="10921" spans="18:23">
      <c r="R10921" s="127">
        <f t="shared" si="394"/>
        <v>0</v>
      </c>
      <c r="W10921" s="74" t="str">
        <f>IFERROR(VLOOKUP($O10921,'Customer List'!$A$1:$J$488,10,FALSE),"")</f>
        <v/>
      </c>
    </row>
    <row r="10922" spans="18:23">
      <c r="R10922" s="127">
        <f t="shared" si="394"/>
        <v>0</v>
      </c>
      <c r="W10922" s="74" t="str">
        <f>IFERROR(VLOOKUP($O10922,'Customer List'!$A$1:$J$488,10,FALSE),"")</f>
        <v/>
      </c>
    </row>
    <row r="10923" spans="18:23">
      <c r="R10923" s="127">
        <f t="shared" si="394"/>
        <v>0</v>
      </c>
      <c r="W10923" s="74" t="str">
        <f>IFERROR(VLOOKUP($O10923,'Customer List'!$A$1:$J$488,10,FALSE),"")</f>
        <v/>
      </c>
    </row>
    <row r="10924" spans="18:23">
      <c r="R10924" s="127">
        <f t="shared" si="394"/>
        <v>0</v>
      </c>
      <c r="W10924" s="74" t="str">
        <f>IFERROR(VLOOKUP($O10924,'Customer List'!$A$1:$J$488,10,FALSE),"")</f>
        <v/>
      </c>
    </row>
    <row r="10925" spans="18:23">
      <c r="R10925" s="127">
        <f t="shared" si="394"/>
        <v>0</v>
      </c>
      <c r="W10925" s="74" t="str">
        <f>IFERROR(VLOOKUP($O10925,'Customer List'!$A$1:$J$488,10,FALSE),"")</f>
        <v/>
      </c>
    </row>
    <row r="10926" spans="18:23">
      <c r="R10926" s="127">
        <f t="shared" si="394"/>
        <v>0</v>
      </c>
      <c r="W10926" s="74" t="str">
        <f>IFERROR(VLOOKUP($O10926,'Customer List'!$A$1:$J$488,10,FALSE),"")</f>
        <v/>
      </c>
    </row>
    <row r="10927" spans="18:23">
      <c r="R10927" s="127">
        <f t="shared" si="394"/>
        <v>0</v>
      </c>
      <c r="W10927" s="74" t="str">
        <f>IFERROR(VLOOKUP($O10927,'Customer List'!$A$1:$J$488,10,FALSE),"")</f>
        <v/>
      </c>
    </row>
    <row r="10928" spans="18:23">
      <c r="R10928" s="127">
        <f t="shared" si="394"/>
        <v>0</v>
      </c>
      <c r="W10928" s="74" t="str">
        <f>IFERROR(VLOOKUP($O10928,'Customer List'!$A$1:$J$488,10,FALSE),"")</f>
        <v/>
      </c>
    </row>
    <row r="10929" spans="18:23">
      <c r="R10929" s="127">
        <f t="shared" si="394"/>
        <v>0</v>
      </c>
      <c r="W10929" s="74" t="str">
        <f>IFERROR(VLOOKUP($O10929,'Customer List'!$A$1:$J$488,10,FALSE),"")</f>
        <v/>
      </c>
    </row>
    <row r="10930" spans="18:23">
      <c r="R10930" s="127">
        <f t="shared" si="394"/>
        <v>0</v>
      </c>
      <c r="W10930" s="74" t="str">
        <f>IFERROR(VLOOKUP($O10930,'Customer List'!$A$1:$J$488,10,FALSE),"")</f>
        <v/>
      </c>
    </row>
    <row r="10931" spans="18:23">
      <c r="R10931" s="127">
        <f t="shared" si="394"/>
        <v>0</v>
      </c>
      <c r="W10931" s="74" t="str">
        <f>IFERROR(VLOOKUP($O10931,'Customer List'!$A$1:$J$488,10,FALSE),"")</f>
        <v/>
      </c>
    </row>
    <row r="10932" spans="18:23">
      <c r="R10932" s="127">
        <f t="shared" si="394"/>
        <v>0</v>
      </c>
      <c r="W10932" s="74" t="str">
        <f>IFERROR(VLOOKUP($O10932,'Customer List'!$A$1:$J$488,10,FALSE),"")</f>
        <v/>
      </c>
    </row>
    <row r="10933" spans="18:23">
      <c r="R10933" s="127">
        <f t="shared" si="394"/>
        <v>0</v>
      </c>
      <c r="W10933" s="74" t="str">
        <f>IFERROR(VLOOKUP($O10933,'Customer List'!$A$1:$J$488,10,FALSE),"")</f>
        <v/>
      </c>
    </row>
    <row r="10934" spans="18:23">
      <c r="R10934" s="127">
        <f t="shared" si="394"/>
        <v>0</v>
      </c>
      <c r="W10934" s="74" t="str">
        <f>IFERROR(VLOOKUP($O10934,'Customer List'!$A$1:$J$488,10,FALSE),"")</f>
        <v/>
      </c>
    </row>
    <row r="10935" spans="18:23">
      <c r="R10935" s="127">
        <f t="shared" si="394"/>
        <v>0</v>
      </c>
      <c r="W10935" s="74" t="str">
        <f>IFERROR(VLOOKUP($O10935,'Customer List'!$A$1:$J$488,10,FALSE),"")</f>
        <v/>
      </c>
    </row>
    <row r="10936" spans="18:23">
      <c r="R10936" s="127">
        <f t="shared" si="394"/>
        <v>0</v>
      </c>
      <c r="W10936" s="74" t="str">
        <f>IFERROR(VLOOKUP($O10936,'Customer List'!$A$1:$J$488,10,FALSE),"")</f>
        <v/>
      </c>
    </row>
    <row r="10937" spans="18:23">
      <c r="R10937" s="127">
        <f t="shared" si="394"/>
        <v>0</v>
      </c>
      <c r="W10937" s="74" t="str">
        <f>IFERROR(VLOOKUP($O10937,'Customer List'!$A$1:$J$488,10,FALSE),"")</f>
        <v/>
      </c>
    </row>
    <row r="10938" spans="18:23">
      <c r="R10938" s="127">
        <f t="shared" si="394"/>
        <v>0</v>
      </c>
      <c r="W10938" s="74" t="str">
        <f>IFERROR(VLOOKUP($O10938,'Customer List'!$A$1:$J$488,10,FALSE),"")</f>
        <v/>
      </c>
    </row>
    <row r="10939" spans="18:23">
      <c r="R10939" s="127">
        <f t="shared" si="394"/>
        <v>0</v>
      </c>
      <c r="W10939" s="74" t="str">
        <f>IFERROR(VLOOKUP($O10939,'Customer List'!$A$1:$J$488,10,FALSE),"")</f>
        <v/>
      </c>
    </row>
    <row r="10940" spans="18:23">
      <c r="R10940" s="127">
        <f t="shared" si="394"/>
        <v>0</v>
      </c>
      <c r="W10940" s="74" t="str">
        <f>IFERROR(VLOOKUP($O10940,'Customer List'!$A$1:$J$488,10,FALSE),"")</f>
        <v/>
      </c>
    </row>
    <row r="10941" spans="18:23">
      <c r="R10941" s="127">
        <f t="shared" si="394"/>
        <v>0</v>
      </c>
      <c r="W10941" s="74" t="str">
        <f>IFERROR(VLOOKUP($O10941,'Customer List'!$A$1:$J$488,10,FALSE),"")</f>
        <v/>
      </c>
    </row>
    <row r="10942" spans="18:23">
      <c r="R10942" s="127">
        <f t="shared" si="394"/>
        <v>0</v>
      </c>
      <c r="W10942" s="74" t="str">
        <f>IFERROR(VLOOKUP($O10942,'Customer List'!$A$1:$J$488,10,FALSE),"")</f>
        <v/>
      </c>
    </row>
    <row r="10943" spans="18:23">
      <c r="R10943" s="127">
        <f t="shared" si="394"/>
        <v>0</v>
      </c>
      <c r="W10943" s="74" t="str">
        <f>IFERROR(VLOOKUP($O10943,'Customer List'!$A$1:$J$488,10,FALSE),"")</f>
        <v/>
      </c>
    </row>
    <row r="10944" spans="18:23">
      <c r="R10944" s="127">
        <f t="shared" si="394"/>
        <v>0</v>
      </c>
      <c r="W10944" s="74" t="str">
        <f>IFERROR(VLOOKUP($O10944,'Customer List'!$A$1:$J$488,10,FALSE),"")</f>
        <v/>
      </c>
    </row>
    <row r="10945" spans="18:23">
      <c r="R10945" s="127">
        <f t="shared" si="394"/>
        <v>0</v>
      </c>
      <c r="W10945" s="74" t="str">
        <f>IFERROR(VLOOKUP($O10945,'Customer List'!$A$1:$J$488,10,FALSE),"")</f>
        <v/>
      </c>
    </row>
    <row r="10946" spans="18:23">
      <c r="R10946" s="127">
        <f t="shared" si="394"/>
        <v>0</v>
      </c>
      <c r="W10946" s="74" t="str">
        <f>IFERROR(VLOOKUP($O10946,'Customer List'!$A$1:$J$488,10,FALSE),"")</f>
        <v/>
      </c>
    </row>
    <row r="10947" spans="18:23">
      <c r="R10947" s="127">
        <f t="shared" si="394"/>
        <v>0</v>
      </c>
      <c r="W10947" s="74" t="str">
        <f>IFERROR(VLOOKUP($O10947,'Customer List'!$A$1:$J$488,10,FALSE),"")</f>
        <v/>
      </c>
    </row>
    <row r="10948" spans="18:23">
      <c r="R10948" s="127">
        <f t="shared" si="394"/>
        <v>0</v>
      </c>
      <c r="W10948" s="74" t="str">
        <f>IFERROR(VLOOKUP($O10948,'Customer List'!$A$1:$J$488,10,FALSE),"")</f>
        <v/>
      </c>
    </row>
    <row r="10949" spans="18:23">
      <c r="R10949" s="127">
        <f t="shared" si="394"/>
        <v>0</v>
      </c>
      <c r="W10949" s="74" t="str">
        <f>IFERROR(VLOOKUP($O10949,'Customer List'!$A$1:$J$488,10,FALSE),"")</f>
        <v/>
      </c>
    </row>
    <row r="10950" spans="18:23">
      <c r="R10950" s="127">
        <f t="shared" si="394"/>
        <v>0</v>
      </c>
      <c r="W10950" s="74" t="str">
        <f>IFERROR(VLOOKUP($O10950,'Customer List'!$A$1:$J$488,10,FALSE),"")</f>
        <v/>
      </c>
    </row>
    <row r="10951" spans="18:23">
      <c r="R10951" s="127">
        <f t="shared" si="394"/>
        <v>0</v>
      </c>
      <c r="W10951" s="74" t="str">
        <f>IFERROR(VLOOKUP($O10951,'Customer List'!$A$1:$J$488,10,FALSE),"")</f>
        <v/>
      </c>
    </row>
    <row r="10952" spans="18:23">
      <c r="R10952" s="127">
        <f t="shared" si="394"/>
        <v>0</v>
      </c>
      <c r="W10952" s="74" t="str">
        <f>IFERROR(VLOOKUP($O10952,'Customer List'!$A$1:$J$488,10,FALSE),"")</f>
        <v/>
      </c>
    </row>
    <row r="10953" spans="18:23">
      <c r="R10953" s="127">
        <f t="shared" si="394"/>
        <v>0</v>
      </c>
      <c r="W10953" s="74" t="str">
        <f>IFERROR(VLOOKUP($O10953,'Customer List'!$A$1:$J$488,10,FALSE),"")</f>
        <v/>
      </c>
    </row>
    <row r="10954" spans="18:23">
      <c r="R10954" s="127">
        <f t="shared" si="394"/>
        <v>0</v>
      </c>
      <c r="W10954" s="74" t="str">
        <f>IFERROR(VLOOKUP($O10954,'Customer List'!$A$1:$J$488,10,FALSE),"")</f>
        <v/>
      </c>
    </row>
    <row r="10955" spans="18:23">
      <c r="R10955" s="127">
        <f t="shared" si="394"/>
        <v>0</v>
      </c>
      <c r="W10955" s="74" t="str">
        <f>IFERROR(VLOOKUP($O10955,'Customer List'!$A$1:$J$488,10,FALSE),"")</f>
        <v/>
      </c>
    </row>
    <row r="10956" spans="18:23">
      <c r="R10956" s="127">
        <f t="shared" si="394"/>
        <v>0</v>
      </c>
      <c r="W10956" s="74" t="str">
        <f>IFERROR(VLOOKUP($O10956,'Customer List'!$A$1:$J$488,10,FALSE),"")</f>
        <v/>
      </c>
    </row>
    <row r="10957" spans="18:23">
      <c r="R10957" s="127">
        <f t="shared" si="394"/>
        <v>0</v>
      </c>
      <c r="W10957" s="74" t="str">
        <f>IFERROR(VLOOKUP($O10957,'Customer List'!$A$1:$J$488,10,FALSE),"")</f>
        <v/>
      </c>
    </row>
    <row r="10958" spans="18:23">
      <c r="R10958" s="127">
        <f t="shared" si="394"/>
        <v>0</v>
      </c>
      <c r="W10958" s="74" t="str">
        <f>IFERROR(VLOOKUP($O10958,'Customer List'!$A$1:$J$488,10,FALSE),"")</f>
        <v/>
      </c>
    </row>
    <row r="10959" spans="18:23">
      <c r="R10959" s="127">
        <f t="shared" si="394"/>
        <v>0</v>
      </c>
      <c r="W10959" s="74" t="str">
        <f>IFERROR(VLOOKUP($O10959,'Customer List'!$A$1:$J$488,10,FALSE),"")</f>
        <v/>
      </c>
    </row>
    <row r="10960" spans="18:23">
      <c r="R10960" s="127">
        <f t="shared" si="394"/>
        <v>0</v>
      </c>
      <c r="W10960" s="74" t="str">
        <f>IFERROR(VLOOKUP($O10960,'Customer List'!$A$1:$J$488,10,FALSE),"")</f>
        <v/>
      </c>
    </row>
    <row r="10961" spans="18:23">
      <c r="R10961" s="127">
        <f t="shared" si="394"/>
        <v>0</v>
      </c>
      <c r="W10961" s="74" t="str">
        <f>IFERROR(VLOOKUP($O10961,'Customer List'!$A$1:$J$488,10,FALSE),"")</f>
        <v/>
      </c>
    </row>
    <row r="10962" spans="18:23">
      <c r="R10962" s="127">
        <f t="shared" si="394"/>
        <v>0</v>
      </c>
      <c r="W10962" s="74" t="str">
        <f>IFERROR(VLOOKUP($O10962,'Customer List'!$A$1:$J$488,10,FALSE),"")</f>
        <v/>
      </c>
    </row>
    <row r="10963" spans="18:23">
      <c r="R10963" s="127">
        <f t="shared" si="394"/>
        <v>0</v>
      </c>
      <c r="W10963" s="74" t="str">
        <f>IFERROR(VLOOKUP($O10963,'Customer List'!$A$1:$J$488,10,FALSE),"")</f>
        <v/>
      </c>
    </row>
    <row r="10964" spans="18:23">
      <c r="R10964" s="127">
        <f t="shared" si="394"/>
        <v>0</v>
      </c>
      <c r="W10964" s="74" t="str">
        <f>IFERROR(VLOOKUP($O10964,'Customer List'!$A$1:$J$488,10,FALSE),"")</f>
        <v/>
      </c>
    </row>
    <row r="10965" spans="18:23">
      <c r="R10965" s="127">
        <f t="shared" si="394"/>
        <v>0</v>
      </c>
      <c r="W10965" s="74" t="str">
        <f>IFERROR(VLOOKUP($O10965,'Customer List'!$A$1:$J$488,10,FALSE),"")</f>
        <v/>
      </c>
    </row>
    <row r="10966" spans="18:23">
      <c r="R10966" s="127">
        <f t="shared" si="394"/>
        <v>0</v>
      </c>
      <c r="W10966" s="74" t="str">
        <f>IFERROR(VLOOKUP($O10966,'Customer List'!$A$1:$J$488,10,FALSE),"")</f>
        <v/>
      </c>
    </row>
    <row r="10967" spans="18:23">
      <c r="R10967" s="127">
        <f t="shared" si="394"/>
        <v>0</v>
      </c>
      <c r="W10967" s="74" t="str">
        <f>IFERROR(VLOOKUP($O10967,'Customer List'!$A$1:$J$488,10,FALSE),"")</f>
        <v/>
      </c>
    </row>
    <row r="10968" spans="18:23">
      <c r="R10968" s="127">
        <f t="shared" si="394"/>
        <v>0</v>
      </c>
      <c r="W10968" s="74" t="str">
        <f>IFERROR(VLOOKUP($O10968,'Customer List'!$A$1:$J$488,10,FALSE),"")</f>
        <v/>
      </c>
    </row>
    <row r="10969" spans="18:23">
      <c r="R10969" s="127">
        <f t="shared" si="394"/>
        <v>0</v>
      </c>
      <c r="W10969" s="74" t="str">
        <f>IFERROR(VLOOKUP($O10969,'Customer List'!$A$1:$J$488,10,FALSE),"")</f>
        <v/>
      </c>
    </row>
    <row r="10970" spans="18:23">
      <c r="R10970" s="127">
        <f t="shared" si="394"/>
        <v>0</v>
      </c>
      <c r="W10970" s="74" t="str">
        <f>IFERROR(VLOOKUP($O10970,'Customer List'!$A$1:$J$488,10,FALSE),"")</f>
        <v/>
      </c>
    </row>
    <row r="10971" spans="18:23">
      <c r="R10971" s="127">
        <f t="shared" si="394"/>
        <v>0</v>
      </c>
      <c r="W10971" s="74" t="str">
        <f>IFERROR(VLOOKUP($O10971,'Customer List'!$A$1:$J$488,10,FALSE),"")</f>
        <v/>
      </c>
    </row>
    <row r="10972" spans="18:23">
      <c r="R10972" s="127">
        <f t="shared" si="394"/>
        <v>0</v>
      </c>
      <c r="W10972" s="74" t="str">
        <f>IFERROR(VLOOKUP($O10972,'Customer List'!$A$1:$J$488,10,FALSE),"")</f>
        <v/>
      </c>
    </row>
    <row r="10973" spans="18:23">
      <c r="R10973" s="127">
        <f t="shared" si="394"/>
        <v>0</v>
      </c>
      <c r="W10973" s="74" t="str">
        <f>IFERROR(VLOOKUP($O10973,'Customer List'!$A$1:$J$488,10,FALSE),"")</f>
        <v/>
      </c>
    </row>
    <row r="10974" spans="18:23">
      <c r="R10974" s="127">
        <f t="shared" si="394"/>
        <v>0</v>
      </c>
      <c r="W10974" s="74" t="str">
        <f>IFERROR(VLOOKUP($O10974,'Customer List'!$A$1:$J$488,10,FALSE),"")</f>
        <v/>
      </c>
    </row>
    <row r="10975" spans="18:23">
      <c r="R10975" s="127">
        <f t="shared" si="394"/>
        <v>0</v>
      </c>
      <c r="W10975" s="74" t="str">
        <f>IFERROR(VLOOKUP($O10975,'Customer List'!$A$1:$J$488,10,FALSE),"")</f>
        <v/>
      </c>
    </row>
    <row r="10976" spans="18:23">
      <c r="R10976" s="127">
        <f t="shared" si="394"/>
        <v>0</v>
      </c>
      <c r="W10976" s="74" t="str">
        <f>IFERROR(VLOOKUP($O10976,'Customer List'!$A$1:$J$488,10,FALSE),"")</f>
        <v/>
      </c>
    </row>
    <row r="10977" spans="18:23">
      <c r="R10977" s="127">
        <f t="shared" si="394"/>
        <v>0</v>
      </c>
      <c r="W10977" s="74" t="str">
        <f>IFERROR(VLOOKUP($O10977,'Customer List'!$A$1:$J$488,10,FALSE),"")</f>
        <v/>
      </c>
    </row>
    <row r="10978" spans="18:23">
      <c r="R10978" s="127">
        <f t="shared" ref="R10978:R11041" si="395">L10978-K10978</f>
        <v>0</v>
      </c>
      <c r="W10978" s="74" t="str">
        <f>IFERROR(VLOOKUP($O10978,'Customer List'!$A$1:$J$488,10,FALSE),"")</f>
        <v/>
      </c>
    </row>
    <row r="10979" spans="18:23">
      <c r="R10979" s="127">
        <f t="shared" si="395"/>
        <v>0</v>
      </c>
      <c r="W10979" s="74" t="str">
        <f>IFERROR(VLOOKUP($O10979,'Customer List'!$A$1:$J$488,10,FALSE),"")</f>
        <v/>
      </c>
    </row>
    <row r="10980" spans="18:23">
      <c r="R10980" s="127">
        <f t="shared" si="395"/>
        <v>0</v>
      </c>
      <c r="W10980" s="74" t="str">
        <f>IFERROR(VLOOKUP($O10980,'Customer List'!$A$1:$J$488,10,FALSE),"")</f>
        <v/>
      </c>
    </row>
    <row r="10981" spans="18:23">
      <c r="R10981" s="127">
        <f t="shared" si="395"/>
        <v>0</v>
      </c>
      <c r="W10981" s="74" t="str">
        <f>IFERROR(VLOOKUP($O10981,'Customer List'!$A$1:$J$488,10,FALSE),"")</f>
        <v/>
      </c>
    </row>
    <row r="10982" spans="18:23">
      <c r="R10982" s="127">
        <f t="shared" si="395"/>
        <v>0</v>
      </c>
      <c r="W10982" s="74" t="str">
        <f>IFERROR(VLOOKUP($O10982,'Customer List'!$A$1:$J$488,10,FALSE),"")</f>
        <v/>
      </c>
    </row>
    <row r="10983" spans="18:23">
      <c r="R10983" s="127">
        <f t="shared" si="395"/>
        <v>0</v>
      </c>
      <c r="W10983" s="74" t="str">
        <f>IFERROR(VLOOKUP($O10983,'Customer List'!$A$1:$J$488,10,FALSE),"")</f>
        <v/>
      </c>
    </row>
    <row r="10984" spans="18:23">
      <c r="R10984" s="127">
        <f t="shared" si="395"/>
        <v>0</v>
      </c>
      <c r="W10984" s="74" t="str">
        <f>IFERROR(VLOOKUP($O10984,'Customer List'!$A$1:$J$488,10,FALSE),"")</f>
        <v/>
      </c>
    </row>
    <row r="10985" spans="18:23">
      <c r="R10985" s="127">
        <f t="shared" si="395"/>
        <v>0</v>
      </c>
      <c r="W10985" s="74" t="str">
        <f>IFERROR(VLOOKUP($O10985,'Customer List'!$A$1:$J$488,10,FALSE),"")</f>
        <v/>
      </c>
    </row>
    <row r="10986" spans="18:23">
      <c r="R10986" s="127">
        <f t="shared" si="395"/>
        <v>0</v>
      </c>
      <c r="W10986" s="74" t="str">
        <f>IFERROR(VLOOKUP($O10986,'Customer List'!$A$1:$J$488,10,FALSE),"")</f>
        <v/>
      </c>
    </row>
    <row r="10987" spans="18:23">
      <c r="R10987" s="127">
        <f t="shared" si="395"/>
        <v>0</v>
      </c>
      <c r="W10987" s="74" t="str">
        <f>IFERROR(VLOOKUP($O10987,'Customer List'!$A$1:$J$488,10,FALSE),"")</f>
        <v/>
      </c>
    </row>
    <row r="10988" spans="18:23">
      <c r="R10988" s="127">
        <f t="shared" si="395"/>
        <v>0</v>
      </c>
      <c r="W10988" s="74" t="str">
        <f>IFERROR(VLOOKUP($O10988,'Customer List'!$A$1:$J$488,10,FALSE),"")</f>
        <v/>
      </c>
    </row>
    <row r="10989" spans="18:23">
      <c r="R10989" s="127">
        <f t="shared" si="395"/>
        <v>0</v>
      </c>
      <c r="W10989" s="74" t="str">
        <f>IFERROR(VLOOKUP($O10989,'Customer List'!$A$1:$J$488,10,FALSE),"")</f>
        <v/>
      </c>
    </row>
    <row r="10990" spans="18:23">
      <c r="R10990" s="127">
        <f t="shared" si="395"/>
        <v>0</v>
      </c>
      <c r="W10990" s="74" t="str">
        <f>IFERROR(VLOOKUP($O10990,'Customer List'!$A$1:$J$488,10,FALSE),"")</f>
        <v/>
      </c>
    </row>
    <row r="10991" spans="18:23">
      <c r="R10991" s="127">
        <f t="shared" si="395"/>
        <v>0</v>
      </c>
      <c r="W10991" s="74" t="str">
        <f>IFERROR(VLOOKUP($O10991,'Customer List'!$A$1:$J$488,10,FALSE),"")</f>
        <v/>
      </c>
    </row>
    <row r="10992" spans="18:23">
      <c r="R10992" s="127">
        <f t="shared" si="395"/>
        <v>0</v>
      </c>
      <c r="W10992" s="74" t="str">
        <f>IFERROR(VLOOKUP($O10992,'Customer List'!$A$1:$J$488,10,FALSE),"")</f>
        <v/>
      </c>
    </row>
    <row r="10993" spans="18:23">
      <c r="R10993" s="127">
        <f t="shared" si="395"/>
        <v>0</v>
      </c>
      <c r="W10993" s="74" t="str">
        <f>IFERROR(VLOOKUP($O10993,'Customer List'!$A$1:$J$488,10,FALSE),"")</f>
        <v/>
      </c>
    </row>
    <row r="10994" spans="18:23">
      <c r="R10994" s="127">
        <f t="shared" si="395"/>
        <v>0</v>
      </c>
      <c r="W10994" s="74" t="str">
        <f>IFERROR(VLOOKUP($O10994,'Customer List'!$A$1:$J$488,10,FALSE),"")</f>
        <v/>
      </c>
    </row>
    <row r="10995" spans="18:23">
      <c r="R10995" s="127">
        <f t="shared" si="395"/>
        <v>0</v>
      </c>
      <c r="W10995" s="74" t="str">
        <f>IFERROR(VLOOKUP($O10995,'Customer List'!$A$1:$J$488,10,FALSE),"")</f>
        <v/>
      </c>
    </row>
    <row r="10996" spans="18:23">
      <c r="R10996" s="127">
        <f t="shared" si="395"/>
        <v>0</v>
      </c>
      <c r="W10996" s="74" t="str">
        <f>IFERROR(VLOOKUP($O10996,'Customer List'!$A$1:$J$488,10,FALSE),"")</f>
        <v/>
      </c>
    </row>
    <row r="10997" spans="18:23">
      <c r="R10997" s="127">
        <f t="shared" si="395"/>
        <v>0</v>
      </c>
      <c r="W10997" s="74" t="str">
        <f>IFERROR(VLOOKUP($O10997,'Customer List'!$A$1:$J$488,10,FALSE),"")</f>
        <v/>
      </c>
    </row>
    <row r="10998" spans="18:23">
      <c r="R10998" s="127">
        <f t="shared" si="395"/>
        <v>0</v>
      </c>
      <c r="W10998" s="74" t="str">
        <f>IFERROR(VLOOKUP($O10998,'Customer List'!$A$1:$J$488,10,FALSE),"")</f>
        <v/>
      </c>
    </row>
    <row r="10999" spans="18:23">
      <c r="R10999" s="127">
        <f t="shared" si="395"/>
        <v>0</v>
      </c>
      <c r="W10999" s="74" t="str">
        <f>IFERROR(VLOOKUP($O10999,'Customer List'!$A$1:$J$488,10,FALSE),"")</f>
        <v/>
      </c>
    </row>
    <row r="11000" spans="18:23">
      <c r="R11000" s="127">
        <f t="shared" si="395"/>
        <v>0</v>
      </c>
      <c r="W11000" s="74" t="str">
        <f>IFERROR(VLOOKUP($O11000,'Customer List'!$A$1:$J$488,10,FALSE),"")</f>
        <v/>
      </c>
    </row>
    <row r="11001" spans="18:23">
      <c r="R11001" s="127">
        <f t="shared" si="395"/>
        <v>0</v>
      </c>
      <c r="W11001" s="74" t="str">
        <f>IFERROR(VLOOKUP($O11001,'Customer List'!$A$1:$J$488,10,FALSE),"")</f>
        <v/>
      </c>
    </row>
    <row r="11002" spans="18:23">
      <c r="R11002" s="127">
        <f t="shared" si="395"/>
        <v>0</v>
      </c>
      <c r="W11002" s="74" t="str">
        <f>IFERROR(VLOOKUP($O11002,'Customer List'!$A$1:$J$488,10,FALSE),"")</f>
        <v/>
      </c>
    </row>
    <row r="11003" spans="18:23">
      <c r="R11003" s="127">
        <f t="shared" si="395"/>
        <v>0</v>
      </c>
      <c r="W11003" s="74" t="str">
        <f>IFERROR(VLOOKUP($O11003,'Customer List'!$A$1:$J$488,10,FALSE),"")</f>
        <v/>
      </c>
    </row>
    <row r="11004" spans="18:23">
      <c r="R11004" s="127">
        <f t="shared" si="395"/>
        <v>0</v>
      </c>
      <c r="W11004" s="74" t="str">
        <f>IFERROR(VLOOKUP($O11004,'Customer List'!$A$1:$J$488,10,FALSE),"")</f>
        <v/>
      </c>
    </row>
    <row r="11005" spans="18:23">
      <c r="R11005" s="127">
        <f t="shared" si="395"/>
        <v>0</v>
      </c>
      <c r="W11005" s="74" t="str">
        <f>IFERROR(VLOOKUP($O11005,'Customer List'!$A$1:$J$488,10,FALSE),"")</f>
        <v/>
      </c>
    </row>
    <row r="11006" spans="18:23">
      <c r="R11006" s="127">
        <f t="shared" si="395"/>
        <v>0</v>
      </c>
      <c r="W11006" s="74" t="str">
        <f>IFERROR(VLOOKUP($O11006,'Customer List'!$A$1:$J$488,10,FALSE),"")</f>
        <v/>
      </c>
    </row>
    <row r="11007" spans="18:23">
      <c r="R11007" s="127">
        <f t="shared" si="395"/>
        <v>0</v>
      </c>
      <c r="W11007" s="74" t="str">
        <f>IFERROR(VLOOKUP($O11007,'Customer List'!$A$1:$J$488,10,FALSE),"")</f>
        <v/>
      </c>
    </row>
    <row r="11008" spans="18:23">
      <c r="R11008" s="127">
        <f t="shared" si="395"/>
        <v>0</v>
      </c>
      <c r="W11008" s="74" t="str">
        <f>IFERROR(VLOOKUP($O11008,'Customer List'!$A$1:$J$488,10,FALSE),"")</f>
        <v/>
      </c>
    </row>
    <row r="11009" spans="18:23">
      <c r="R11009" s="127">
        <f t="shared" si="395"/>
        <v>0</v>
      </c>
      <c r="W11009" s="74" t="str">
        <f>IFERROR(VLOOKUP($O11009,'Customer List'!$A$1:$J$488,10,FALSE),"")</f>
        <v/>
      </c>
    </row>
    <row r="11010" spans="18:23">
      <c r="R11010" s="127">
        <f t="shared" si="395"/>
        <v>0</v>
      </c>
      <c r="W11010" s="74" t="str">
        <f>IFERROR(VLOOKUP($O11010,'Customer List'!$A$1:$J$488,10,FALSE),"")</f>
        <v/>
      </c>
    </row>
    <row r="11011" spans="18:23">
      <c r="R11011" s="127">
        <f t="shared" si="395"/>
        <v>0</v>
      </c>
      <c r="W11011" s="74" t="str">
        <f>IFERROR(VLOOKUP($O11011,'Customer List'!$A$1:$J$488,10,FALSE),"")</f>
        <v/>
      </c>
    </row>
    <row r="11012" spans="18:23">
      <c r="R11012" s="127">
        <f t="shared" si="395"/>
        <v>0</v>
      </c>
      <c r="W11012" s="74" t="str">
        <f>IFERROR(VLOOKUP($O11012,'Customer List'!$A$1:$J$488,10,FALSE),"")</f>
        <v/>
      </c>
    </row>
    <row r="11013" spans="18:23">
      <c r="R11013" s="127">
        <f t="shared" si="395"/>
        <v>0</v>
      </c>
      <c r="W11013" s="74" t="str">
        <f>IFERROR(VLOOKUP($O11013,'Customer List'!$A$1:$J$488,10,FALSE),"")</f>
        <v/>
      </c>
    </row>
    <row r="11014" spans="18:23">
      <c r="R11014" s="127">
        <f t="shared" si="395"/>
        <v>0</v>
      </c>
      <c r="W11014" s="74" t="str">
        <f>IFERROR(VLOOKUP($O11014,'Customer List'!$A$1:$J$488,10,FALSE),"")</f>
        <v/>
      </c>
    </row>
    <row r="11015" spans="18:23">
      <c r="R11015" s="127">
        <f t="shared" si="395"/>
        <v>0</v>
      </c>
      <c r="W11015" s="74" t="str">
        <f>IFERROR(VLOOKUP($O11015,'Customer List'!$A$1:$J$488,10,FALSE),"")</f>
        <v/>
      </c>
    </row>
    <row r="11016" spans="18:23">
      <c r="R11016" s="127">
        <f t="shared" si="395"/>
        <v>0</v>
      </c>
      <c r="W11016" s="74" t="str">
        <f>IFERROR(VLOOKUP($O11016,'Customer List'!$A$1:$J$488,10,FALSE),"")</f>
        <v/>
      </c>
    </row>
    <row r="11017" spans="18:23">
      <c r="R11017" s="127">
        <f t="shared" si="395"/>
        <v>0</v>
      </c>
      <c r="W11017" s="74" t="str">
        <f>IFERROR(VLOOKUP($O11017,'Customer List'!$A$1:$J$488,10,FALSE),"")</f>
        <v/>
      </c>
    </row>
    <row r="11018" spans="18:23">
      <c r="R11018" s="127">
        <f t="shared" si="395"/>
        <v>0</v>
      </c>
      <c r="W11018" s="74" t="str">
        <f>IFERROR(VLOOKUP($O11018,'Customer List'!$A$1:$J$488,10,FALSE),"")</f>
        <v/>
      </c>
    </row>
    <row r="11019" spans="18:23">
      <c r="R11019" s="127">
        <f t="shared" si="395"/>
        <v>0</v>
      </c>
      <c r="W11019" s="74" t="str">
        <f>IFERROR(VLOOKUP($O11019,'Customer List'!$A$1:$J$488,10,FALSE),"")</f>
        <v/>
      </c>
    </row>
    <row r="11020" spans="18:23">
      <c r="R11020" s="127">
        <f t="shared" si="395"/>
        <v>0</v>
      </c>
      <c r="W11020" s="74" t="str">
        <f>IFERROR(VLOOKUP($O11020,'Customer List'!$A$1:$J$488,10,FALSE),"")</f>
        <v/>
      </c>
    </row>
    <row r="11021" spans="18:23">
      <c r="R11021" s="127">
        <f t="shared" si="395"/>
        <v>0</v>
      </c>
      <c r="W11021" s="74" t="str">
        <f>IFERROR(VLOOKUP($O11021,'Customer List'!$A$1:$J$488,10,FALSE),"")</f>
        <v/>
      </c>
    </row>
    <row r="11022" spans="18:23">
      <c r="R11022" s="127">
        <f t="shared" si="395"/>
        <v>0</v>
      </c>
      <c r="W11022" s="74" t="str">
        <f>IFERROR(VLOOKUP($O11022,'Customer List'!$A$1:$J$488,10,FALSE),"")</f>
        <v/>
      </c>
    </row>
    <row r="11023" spans="18:23">
      <c r="R11023" s="127">
        <f t="shared" si="395"/>
        <v>0</v>
      </c>
      <c r="W11023" s="74" t="str">
        <f>IFERROR(VLOOKUP($O11023,'Customer List'!$A$1:$J$488,10,FALSE),"")</f>
        <v/>
      </c>
    </row>
    <row r="11024" spans="18:23">
      <c r="R11024" s="127">
        <f t="shared" si="395"/>
        <v>0</v>
      </c>
      <c r="W11024" s="74" t="str">
        <f>IFERROR(VLOOKUP($O11024,'Customer List'!$A$1:$J$488,10,FALSE),"")</f>
        <v/>
      </c>
    </row>
    <row r="11025" spans="18:23">
      <c r="R11025" s="127">
        <f t="shared" si="395"/>
        <v>0</v>
      </c>
      <c r="W11025" s="74" t="str">
        <f>IFERROR(VLOOKUP($O11025,'Customer List'!$A$1:$J$488,10,FALSE),"")</f>
        <v/>
      </c>
    </row>
    <row r="11026" spans="18:23">
      <c r="R11026" s="127">
        <f t="shared" si="395"/>
        <v>0</v>
      </c>
      <c r="W11026" s="74" t="str">
        <f>IFERROR(VLOOKUP($O11026,'Customer List'!$A$1:$J$488,10,FALSE),"")</f>
        <v/>
      </c>
    </row>
    <row r="11027" spans="18:23">
      <c r="R11027" s="127">
        <f t="shared" si="395"/>
        <v>0</v>
      </c>
      <c r="W11027" s="74" t="str">
        <f>IFERROR(VLOOKUP($O11027,'Customer List'!$A$1:$J$488,10,FALSE),"")</f>
        <v/>
      </c>
    </row>
    <row r="11028" spans="18:23">
      <c r="R11028" s="127">
        <f t="shared" si="395"/>
        <v>0</v>
      </c>
      <c r="W11028" s="74" t="str">
        <f>IFERROR(VLOOKUP($O11028,'Customer List'!$A$1:$J$488,10,FALSE),"")</f>
        <v/>
      </c>
    </row>
    <row r="11029" spans="18:23">
      <c r="R11029" s="127">
        <f t="shared" si="395"/>
        <v>0</v>
      </c>
      <c r="W11029" s="74" t="str">
        <f>IFERROR(VLOOKUP($O11029,'Customer List'!$A$1:$J$488,10,FALSE),"")</f>
        <v/>
      </c>
    </row>
    <row r="11030" spans="18:23">
      <c r="R11030" s="127">
        <f t="shared" si="395"/>
        <v>0</v>
      </c>
      <c r="W11030" s="74" t="str">
        <f>IFERROR(VLOOKUP($O11030,'Customer List'!$A$1:$J$488,10,FALSE),"")</f>
        <v/>
      </c>
    </row>
    <row r="11031" spans="18:23">
      <c r="R11031" s="127">
        <f t="shared" si="395"/>
        <v>0</v>
      </c>
      <c r="W11031" s="74" t="str">
        <f>IFERROR(VLOOKUP($O11031,'Customer List'!$A$1:$J$488,10,FALSE),"")</f>
        <v/>
      </c>
    </row>
    <row r="11032" spans="18:23">
      <c r="R11032" s="127">
        <f t="shared" si="395"/>
        <v>0</v>
      </c>
      <c r="W11032" s="74" t="str">
        <f>IFERROR(VLOOKUP($O11032,'Customer List'!$A$1:$J$488,10,FALSE),"")</f>
        <v/>
      </c>
    </row>
    <row r="11033" spans="18:23">
      <c r="R11033" s="127">
        <f t="shared" si="395"/>
        <v>0</v>
      </c>
      <c r="W11033" s="74" t="str">
        <f>IFERROR(VLOOKUP($O11033,'Customer List'!$A$1:$J$488,10,FALSE),"")</f>
        <v/>
      </c>
    </row>
    <row r="11034" spans="18:23">
      <c r="R11034" s="127">
        <f t="shared" si="395"/>
        <v>0</v>
      </c>
      <c r="W11034" s="74" t="str">
        <f>IFERROR(VLOOKUP($O11034,'Customer List'!$A$1:$J$488,10,FALSE),"")</f>
        <v/>
      </c>
    </row>
    <row r="11035" spans="18:23">
      <c r="R11035" s="127">
        <f t="shared" si="395"/>
        <v>0</v>
      </c>
      <c r="W11035" s="74" t="str">
        <f>IFERROR(VLOOKUP($O11035,'Customer List'!$A$1:$J$488,10,FALSE),"")</f>
        <v/>
      </c>
    </row>
    <row r="11036" spans="18:23">
      <c r="R11036" s="127">
        <f t="shared" si="395"/>
        <v>0</v>
      </c>
      <c r="W11036" s="74" t="str">
        <f>IFERROR(VLOOKUP($O11036,'Customer List'!$A$1:$J$488,10,FALSE),"")</f>
        <v/>
      </c>
    </row>
    <row r="11037" spans="18:23">
      <c r="R11037" s="127">
        <f t="shared" si="395"/>
        <v>0</v>
      </c>
      <c r="W11037" s="74" t="str">
        <f>IFERROR(VLOOKUP($O11037,'Customer List'!$A$1:$J$488,10,FALSE),"")</f>
        <v/>
      </c>
    </row>
    <row r="11038" spans="18:23">
      <c r="R11038" s="127">
        <f t="shared" si="395"/>
        <v>0</v>
      </c>
      <c r="W11038" s="74" t="str">
        <f>IFERROR(VLOOKUP($O11038,'Customer List'!$A$1:$J$488,10,FALSE),"")</f>
        <v/>
      </c>
    </row>
    <row r="11039" spans="18:23">
      <c r="R11039" s="127">
        <f t="shared" si="395"/>
        <v>0</v>
      </c>
      <c r="W11039" s="74" t="str">
        <f>IFERROR(VLOOKUP($O11039,'Customer List'!$A$1:$J$488,10,FALSE),"")</f>
        <v/>
      </c>
    </row>
    <row r="11040" spans="18:23">
      <c r="R11040" s="127">
        <f t="shared" si="395"/>
        <v>0</v>
      </c>
      <c r="W11040" s="74" t="str">
        <f>IFERROR(VLOOKUP($O11040,'Customer List'!$A$1:$J$488,10,FALSE),"")</f>
        <v/>
      </c>
    </row>
    <row r="11041" spans="18:23">
      <c r="R11041" s="127">
        <f t="shared" si="395"/>
        <v>0</v>
      </c>
      <c r="W11041" s="74" t="str">
        <f>IFERROR(VLOOKUP($O11041,'Customer List'!$A$1:$J$488,10,FALSE),"")</f>
        <v/>
      </c>
    </row>
    <row r="11042" spans="18:23">
      <c r="R11042" s="127">
        <f t="shared" ref="R11042:R11105" si="396">L11042-K11042</f>
        <v>0</v>
      </c>
      <c r="W11042" s="74" t="str">
        <f>IFERROR(VLOOKUP($O11042,'Customer List'!$A$1:$J$488,10,FALSE),"")</f>
        <v/>
      </c>
    </row>
    <row r="11043" spans="18:23">
      <c r="R11043" s="127">
        <f t="shared" si="396"/>
        <v>0</v>
      </c>
      <c r="W11043" s="74" t="str">
        <f>IFERROR(VLOOKUP($O11043,'Customer List'!$A$1:$J$488,10,FALSE),"")</f>
        <v/>
      </c>
    </row>
    <row r="11044" spans="18:23">
      <c r="R11044" s="127">
        <f t="shared" si="396"/>
        <v>0</v>
      </c>
      <c r="W11044" s="74" t="str">
        <f>IFERROR(VLOOKUP($O11044,'Customer List'!$A$1:$J$488,10,FALSE),"")</f>
        <v/>
      </c>
    </row>
    <row r="11045" spans="18:23">
      <c r="R11045" s="127">
        <f t="shared" si="396"/>
        <v>0</v>
      </c>
      <c r="W11045" s="74" t="str">
        <f>IFERROR(VLOOKUP($O11045,'Customer List'!$A$1:$J$488,10,FALSE),"")</f>
        <v/>
      </c>
    </row>
    <row r="11046" spans="18:23">
      <c r="R11046" s="127">
        <f t="shared" si="396"/>
        <v>0</v>
      </c>
      <c r="W11046" s="74" t="str">
        <f>IFERROR(VLOOKUP($O11046,'Customer List'!$A$1:$J$488,10,FALSE),"")</f>
        <v/>
      </c>
    </row>
    <row r="11047" spans="18:23">
      <c r="R11047" s="127">
        <f t="shared" si="396"/>
        <v>0</v>
      </c>
      <c r="W11047" s="74" t="str">
        <f>IFERROR(VLOOKUP($O11047,'Customer List'!$A$1:$J$488,10,FALSE),"")</f>
        <v/>
      </c>
    </row>
    <row r="11048" spans="18:23">
      <c r="R11048" s="127">
        <f t="shared" si="396"/>
        <v>0</v>
      </c>
      <c r="W11048" s="74" t="str">
        <f>IFERROR(VLOOKUP($O11048,'Customer List'!$A$1:$J$488,10,FALSE),"")</f>
        <v/>
      </c>
    </row>
    <row r="11049" spans="18:23">
      <c r="R11049" s="127">
        <f t="shared" si="396"/>
        <v>0</v>
      </c>
      <c r="W11049" s="74" t="str">
        <f>IFERROR(VLOOKUP($O11049,'Customer List'!$A$1:$J$488,10,FALSE),"")</f>
        <v/>
      </c>
    </row>
    <row r="11050" spans="18:23">
      <c r="R11050" s="127">
        <f t="shared" si="396"/>
        <v>0</v>
      </c>
      <c r="W11050" s="74" t="str">
        <f>IFERROR(VLOOKUP($O11050,'Customer List'!$A$1:$J$488,10,FALSE),"")</f>
        <v/>
      </c>
    </row>
    <row r="11051" spans="18:23">
      <c r="R11051" s="127">
        <f t="shared" si="396"/>
        <v>0</v>
      </c>
      <c r="W11051" s="74" t="str">
        <f>IFERROR(VLOOKUP($O11051,'Customer List'!$A$1:$J$488,10,FALSE),"")</f>
        <v/>
      </c>
    </row>
    <row r="11052" spans="18:23">
      <c r="R11052" s="127">
        <f t="shared" si="396"/>
        <v>0</v>
      </c>
      <c r="W11052" s="74" t="str">
        <f>IFERROR(VLOOKUP($O11052,'Customer List'!$A$1:$J$488,10,FALSE),"")</f>
        <v/>
      </c>
    </row>
    <row r="11053" spans="18:23">
      <c r="R11053" s="127">
        <f t="shared" si="396"/>
        <v>0</v>
      </c>
      <c r="W11053" s="74" t="str">
        <f>IFERROR(VLOOKUP($O11053,'Customer List'!$A$1:$J$488,10,FALSE),"")</f>
        <v/>
      </c>
    </row>
    <row r="11054" spans="18:23">
      <c r="R11054" s="127">
        <f t="shared" si="396"/>
        <v>0</v>
      </c>
      <c r="W11054" s="74" t="str">
        <f>IFERROR(VLOOKUP($O11054,'Customer List'!$A$1:$J$488,10,FALSE),"")</f>
        <v/>
      </c>
    </row>
    <row r="11055" spans="18:23">
      <c r="R11055" s="127">
        <f t="shared" si="396"/>
        <v>0</v>
      </c>
      <c r="W11055" s="74" t="str">
        <f>IFERROR(VLOOKUP($O11055,'Customer List'!$A$1:$J$488,10,FALSE),"")</f>
        <v/>
      </c>
    </row>
    <row r="11056" spans="18:23">
      <c r="R11056" s="127">
        <f t="shared" si="396"/>
        <v>0</v>
      </c>
      <c r="W11056" s="74" t="str">
        <f>IFERROR(VLOOKUP($O11056,'Customer List'!$A$1:$J$488,10,FALSE),"")</f>
        <v/>
      </c>
    </row>
    <row r="11057" spans="18:23">
      <c r="R11057" s="127">
        <f t="shared" si="396"/>
        <v>0</v>
      </c>
      <c r="W11057" s="74" t="str">
        <f>IFERROR(VLOOKUP($O11057,'Customer List'!$A$1:$J$488,10,FALSE),"")</f>
        <v/>
      </c>
    </row>
    <row r="11058" spans="18:23">
      <c r="R11058" s="127">
        <f t="shared" si="396"/>
        <v>0</v>
      </c>
      <c r="W11058" s="74" t="str">
        <f>IFERROR(VLOOKUP($O11058,'Customer List'!$A$1:$J$488,10,FALSE),"")</f>
        <v/>
      </c>
    </row>
    <row r="11059" spans="18:23">
      <c r="R11059" s="127">
        <f t="shared" si="396"/>
        <v>0</v>
      </c>
      <c r="W11059" s="74" t="str">
        <f>IFERROR(VLOOKUP($O11059,'Customer List'!$A$1:$J$488,10,FALSE),"")</f>
        <v/>
      </c>
    </row>
    <row r="11060" spans="18:23">
      <c r="R11060" s="127">
        <f t="shared" si="396"/>
        <v>0</v>
      </c>
      <c r="W11060" s="74" t="str">
        <f>IFERROR(VLOOKUP($O11060,'Customer List'!$A$1:$J$488,10,FALSE),"")</f>
        <v/>
      </c>
    </row>
    <row r="11061" spans="18:23">
      <c r="R11061" s="127">
        <f t="shared" si="396"/>
        <v>0</v>
      </c>
      <c r="W11061" s="74" t="str">
        <f>IFERROR(VLOOKUP($O11061,'Customer List'!$A$1:$J$488,10,FALSE),"")</f>
        <v/>
      </c>
    </row>
    <row r="11062" spans="18:23">
      <c r="R11062" s="127">
        <f t="shared" si="396"/>
        <v>0</v>
      </c>
      <c r="W11062" s="74" t="str">
        <f>IFERROR(VLOOKUP($O11062,'Customer List'!$A$1:$J$488,10,FALSE),"")</f>
        <v/>
      </c>
    </row>
    <row r="11063" spans="18:23">
      <c r="R11063" s="127">
        <f t="shared" si="396"/>
        <v>0</v>
      </c>
      <c r="W11063" s="74" t="str">
        <f>IFERROR(VLOOKUP($O11063,'Customer List'!$A$1:$J$488,10,FALSE),"")</f>
        <v/>
      </c>
    </row>
    <row r="11064" spans="18:23">
      <c r="R11064" s="127">
        <f t="shared" si="396"/>
        <v>0</v>
      </c>
      <c r="W11064" s="74" t="str">
        <f>IFERROR(VLOOKUP($O11064,'Customer List'!$A$1:$J$488,10,FALSE),"")</f>
        <v/>
      </c>
    </row>
    <row r="11065" spans="18:23">
      <c r="R11065" s="127">
        <f t="shared" si="396"/>
        <v>0</v>
      </c>
      <c r="W11065" s="74" t="str">
        <f>IFERROR(VLOOKUP($O11065,'Customer List'!$A$1:$J$488,10,FALSE),"")</f>
        <v/>
      </c>
    </row>
    <row r="11066" spans="18:23">
      <c r="R11066" s="127">
        <f t="shared" si="396"/>
        <v>0</v>
      </c>
      <c r="W11066" s="74" t="str">
        <f>IFERROR(VLOOKUP($O11066,'Customer List'!$A$1:$J$488,10,FALSE),"")</f>
        <v/>
      </c>
    </row>
    <row r="11067" spans="18:23">
      <c r="R11067" s="127">
        <f t="shared" si="396"/>
        <v>0</v>
      </c>
      <c r="W11067" s="74" t="str">
        <f>IFERROR(VLOOKUP($O11067,'Customer List'!$A$1:$J$488,10,FALSE),"")</f>
        <v/>
      </c>
    </row>
    <row r="11068" spans="18:23">
      <c r="R11068" s="127">
        <f t="shared" si="396"/>
        <v>0</v>
      </c>
      <c r="W11068" s="74" t="str">
        <f>IFERROR(VLOOKUP($O11068,'Customer List'!$A$1:$J$488,10,FALSE),"")</f>
        <v/>
      </c>
    </row>
    <row r="11069" spans="18:23">
      <c r="R11069" s="127">
        <f t="shared" si="396"/>
        <v>0</v>
      </c>
      <c r="W11069" s="74" t="str">
        <f>IFERROR(VLOOKUP($O11069,'Customer List'!$A$1:$J$488,10,FALSE),"")</f>
        <v/>
      </c>
    </row>
    <row r="11070" spans="18:23">
      <c r="R11070" s="127">
        <f t="shared" si="396"/>
        <v>0</v>
      </c>
      <c r="W11070" s="74" t="str">
        <f>IFERROR(VLOOKUP($O11070,'Customer List'!$A$1:$J$488,10,FALSE),"")</f>
        <v/>
      </c>
    </row>
    <row r="11071" spans="18:23">
      <c r="R11071" s="127">
        <f t="shared" si="396"/>
        <v>0</v>
      </c>
      <c r="W11071" s="74" t="str">
        <f>IFERROR(VLOOKUP($O11071,'Customer List'!$A$1:$J$488,10,FALSE),"")</f>
        <v/>
      </c>
    </row>
    <row r="11072" spans="18:23">
      <c r="R11072" s="127">
        <f t="shared" si="396"/>
        <v>0</v>
      </c>
      <c r="W11072" s="74" t="str">
        <f>IFERROR(VLOOKUP($O11072,'Customer List'!$A$1:$J$488,10,FALSE),"")</f>
        <v/>
      </c>
    </row>
    <row r="11073" spans="18:23">
      <c r="R11073" s="127">
        <f t="shared" si="396"/>
        <v>0</v>
      </c>
      <c r="W11073" s="74" t="str">
        <f>IFERROR(VLOOKUP($O11073,'Customer List'!$A$1:$J$488,10,FALSE),"")</f>
        <v/>
      </c>
    </row>
    <row r="11074" spans="18:23">
      <c r="R11074" s="127">
        <f t="shared" si="396"/>
        <v>0</v>
      </c>
      <c r="W11074" s="74" t="str">
        <f>IFERROR(VLOOKUP($O11074,'Customer List'!$A$1:$J$488,10,FALSE),"")</f>
        <v/>
      </c>
    </row>
    <row r="11075" spans="18:23">
      <c r="R11075" s="127">
        <f t="shared" si="396"/>
        <v>0</v>
      </c>
      <c r="W11075" s="74" t="str">
        <f>IFERROR(VLOOKUP($O11075,'Customer List'!$A$1:$J$488,10,FALSE),"")</f>
        <v/>
      </c>
    </row>
    <row r="11076" spans="18:23">
      <c r="R11076" s="127">
        <f t="shared" si="396"/>
        <v>0</v>
      </c>
      <c r="W11076" s="74" t="str">
        <f>IFERROR(VLOOKUP($O11076,'Customer List'!$A$1:$J$488,10,FALSE),"")</f>
        <v/>
      </c>
    </row>
    <row r="11077" spans="18:23">
      <c r="R11077" s="127">
        <f t="shared" si="396"/>
        <v>0</v>
      </c>
      <c r="W11077" s="74" t="str">
        <f>IFERROR(VLOOKUP($O11077,'Customer List'!$A$1:$J$488,10,FALSE),"")</f>
        <v/>
      </c>
    </row>
    <row r="11078" spans="18:23">
      <c r="R11078" s="127">
        <f t="shared" si="396"/>
        <v>0</v>
      </c>
      <c r="W11078" s="74" t="str">
        <f>IFERROR(VLOOKUP($O11078,'Customer List'!$A$1:$J$488,10,FALSE),"")</f>
        <v/>
      </c>
    </row>
    <row r="11079" spans="18:23">
      <c r="R11079" s="127">
        <f t="shared" si="396"/>
        <v>0</v>
      </c>
      <c r="W11079" s="74" t="str">
        <f>IFERROR(VLOOKUP($O11079,'Customer List'!$A$1:$J$488,10,FALSE),"")</f>
        <v/>
      </c>
    </row>
    <row r="11080" spans="18:23">
      <c r="R11080" s="127">
        <f t="shared" si="396"/>
        <v>0</v>
      </c>
      <c r="W11080" s="74" t="str">
        <f>IFERROR(VLOOKUP($O11080,'Customer List'!$A$1:$J$488,10,FALSE),"")</f>
        <v/>
      </c>
    </row>
    <row r="11081" spans="18:23">
      <c r="R11081" s="127">
        <f t="shared" si="396"/>
        <v>0</v>
      </c>
      <c r="W11081" s="74" t="str">
        <f>IFERROR(VLOOKUP($O11081,'Customer List'!$A$1:$J$488,10,FALSE),"")</f>
        <v/>
      </c>
    </row>
    <row r="11082" spans="18:23">
      <c r="R11082" s="127">
        <f t="shared" si="396"/>
        <v>0</v>
      </c>
      <c r="W11082" s="74" t="str">
        <f>IFERROR(VLOOKUP($O11082,'Customer List'!$A$1:$J$488,10,FALSE),"")</f>
        <v/>
      </c>
    </row>
    <row r="11083" spans="18:23">
      <c r="R11083" s="127">
        <f t="shared" si="396"/>
        <v>0</v>
      </c>
      <c r="W11083" s="74" t="str">
        <f>IFERROR(VLOOKUP($O11083,'Customer List'!$A$1:$J$488,10,FALSE),"")</f>
        <v/>
      </c>
    </row>
    <row r="11084" spans="18:23">
      <c r="R11084" s="127">
        <f t="shared" si="396"/>
        <v>0</v>
      </c>
      <c r="W11084" s="74" t="str">
        <f>IFERROR(VLOOKUP($O11084,'Customer List'!$A$1:$J$488,10,FALSE),"")</f>
        <v/>
      </c>
    </row>
    <row r="11085" spans="18:23">
      <c r="R11085" s="127">
        <f t="shared" si="396"/>
        <v>0</v>
      </c>
      <c r="W11085" s="74" t="str">
        <f>IFERROR(VLOOKUP($O11085,'Customer List'!$A$1:$J$488,10,FALSE),"")</f>
        <v/>
      </c>
    </row>
    <row r="11086" spans="18:23">
      <c r="R11086" s="127">
        <f t="shared" si="396"/>
        <v>0</v>
      </c>
      <c r="W11086" s="74" t="str">
        <f>IFERROR(VLOOKUP($O11086,'Customer List'!$A$1:$J$488,10,FALSE),"")</f>
        <v/>
      </c>
    </row>
    <row r="11087" spans="18:23">
      <c r="R11087" s="127">
        <f t="shared" si="396"/>
        <v>0</v>
      </c>
      <c r="W11087" s="74" t="str">
        <f>IFERROR(VLOOKUP($O11087,'Customer List'!$A$1:$J$488,10,FALSE),"")</f>
        <v/>
      </c>
    </row>
    <row r="11088" spans="18:23">
      <c r="R11088" s="127">
        <f t="shared" si="396"/>
        <v>0</v>
      </c>
      <c r="W11088" s="74" t="str">
        <f>IFERROR(VLOOKUP($O11088,'Customer List'!$A$1:$J$488,10,FALSE),"")</f>
        <v/>
      </c>
    </row>
    <row r="11089" spans="18:23">
      <c r="R11089" s="127">
        <f t="shared" si="396"/>
        <v>0</v>
      </c>
      <c r="W11089" s="74" t="str">
        <f>IFERROR(VLOOKUP($O11089,'Customer List'!$A$1:$J$488,10,FALSE),"")</f>
        <v/>
      </c>
    </row>
    <row r="11090" spans="18:23">
      <c r="R11090" s="127">
        <f t="shared" si="396"/>
        <v>0</v>
      </c>
      <c r="W11090" s="74" t="str">
        <f>IFERROR(VLOOKUP($O11090,'Customer List'!$A$1:$J$488,10,FALSE),"")</f>
        <v/>
      </c>
    </row>
    <row r="11091" spans="18:23">
      <c r="R11091" s="127">
        <f t="shared" si="396"/>
        <v>0</v>
      </c>
      <c r="W11091" s="74" t="str">
        <f>IFERROR(VLOOKUP($O11091,'Customer List'!$A$1:$J$488,10,FALSE),"")</f>
        <v/>
      </c>
    </row>
    <row r="11092" spans="18:23">
      <c r="R11092" s="127">
        <f t="shared" si="396"/>
        <v>0</v>
      </c>
      <c r="W11092" s="74" t="str">
        <f>IFERROR(VLOOKUP($O11092,'Customer List'!$A$1:$J$488,10,FALSE),"")</f>
        <v/>
      </c>
    </row>
    <row r="11093" spans="18:23">
      <c r="R11093" s="127">
        <f t="shared" si="396"/>
        <v>0</v>
      </c>
      <c r="W11093" s="74" t="str">
        <f>IFERROR(VLOOKUP($O11093,'Customer List'!$A$1:$J$488,10,FALSE),"")</f>
        <v/>
      </c>
    </row>
    <row r="11094" spans="18:23">
      <c r="R11094" s="127">
        <f t="shared" si="396"/>
        <v>0</v>
      </c>
      <c r="W11094" s="74" t="str">
        <f>IFERROR(VLOOKUP($O11094,'Customer List'!$A$1:$J$488,10,FALSE),"")</f>
        <v/>
      </c>
    </row>
    <row r="11095" spans="18:23">
      <c r="R11095" s="127">
        <f t="shared" si="396"/>
        <v>0</v>
      </c>
      <c r="W11095" s="74" t="str">
        <f>IFERROR(VLOOKUP($O11095,'Customer List'!$A$1:$J$488,10,FALSE),"")</f>
        <v/>
      </c>
    </row>
    <row r="11096" spans="18:23">
      <c r="R11096" s="127">
        <f t="shared" si="396"/>
        <v>0</v>
      </c>
      <c r="W11096" s="74" t="str">
        <f>IFERROR(VLOOKUP($O11096,'Customer List'!$A$1:$J$488,10,FALSE),"")</f>
        <v/>
      </c>
    </row>
    <row r="11097" spans="18:23">
      <c r="R11097" s="127">
        <f t="shared" si="396"/>
        <v>0</v>
      </c>
      <c r="W11097" s="74" t="str">
        <f>IFERROR(VLOOKUP($O11097,'Customer List'!$A$1:$J$488,10,FALSE),"")</f>
        <v/>
      </c>
    </row>
    <row r="11098" spans="18:23">
      <c r="R11098" s="127">
        <f t="shared" si="396"/>
        <v>0</v>
      </c>
      <c r="W11098" s="74" t="str">
        <f>IFERROR(VLOOKUP($O11098,'Customer List'!$A$1:$J$488,10,FALSE),"")</f>
        <v/>
      </c>
    </row>
    <row r="11099" spans="18:23">
      <c r="R11099" s="127">
        <f t="shared" si="396"/>
        <v>0</v>
      </c>
      <c r="W11099" s="74" t="str">
        <f>IFERROR(VLOOKUP($O11099,'Customer List'!$A$1:$J$488,10,FALSE),"")</f>
        <v/>
      </c>
    </row>
    <row r="11100" spans="18:23">
      <c r="R11100" s="127">
        <f t="shared" si="396"/>
        <v>0</v>
      </c>
      <c r="W11100" s="74" t="str">
        <f>IFERROR(VLOOKUP($O11100,'Customer List'!$A$1:$J$488,10,FALSE),"")</f>
        <v/>
      </c>
    </row>
    <row r="11101" spans="18:23">
      <c r="R11101" s="127">
        <f t="shared" si="396"/>
        <v>0</v>
      </c>
      <c r="W11101" s="74" t="str">
        <f>IFERROR(VLOOKUP($O11101,'Customer List'!$A$1:$J$488,10,FALSE),"")</f>
        <v/>
      </c>
    </row>
    <row r="11102" spans="18:23">
      <c r="R11102" s="127">
        <f t="shared" si="396"/>
        <v>0</v>
      </c>
      <c r="W11102" s="74" t="str">
        <f>IFERROR(VLOOKUP($O11102,'Customer List'!$A$1:$J$488,10,FALSE),"")</f>
        <v/>
      </c>
    </row>
    <row r="11103" spans="18:23">
      <c r="R11103" s="127">
        <f t="shared" si="396"/>
        <v>0</v>
      </c>
      <c r="W11103" s="74" t="str">
        <f>IFERROR(VLOOKUP($O11103,'Customer List'!$A$1:$J$488,10,FALSE),"")</f>
        <v/>
      </c>
    </row>
    <row r="11104" spans="18:23">
      <c r="R11104" s="127">
        <f t="shared" si="396"/>
        <v>0</v>
      </c>
      <c r="W11104" s="74" t="str">
        <f>IFERROR(VLOOKUP($O11104,'Customer List'!$A$1:$J$488,10,FALSE),"")</f>
        <v/>
      </c>
    </row>
    <row r="11105" spans="18:23">
      <c r="R11105" s="127">
        <f t="shared" si="396"/>
        <v>0</v>
      </c>
      <c r="W11105" s="74" t="str">
        <f>IFERROR(VLOOKUP($O11105,'Customer List'!$A$1:$J$488,10,FALSE),"")</f>
        <v/>
      </c>
    </row>
    <row r="11106" spans="18:23">
      <c r="R11106" s="127">
        <f t="shared" ref="R11106:R11169" si="397">L11106-K11106</f>
        <v>0</v>
      </c>
      <c r="W11106" s="74" t="str">
        <f>IFERROR(VLOOKUP($O11106,'Customer List'!$A$1:$J$488,10,FALSE),"")</f>
        <v/>
      </c>
    </row>
    <row r="11107" spans="18:23">
      <c r="R11107" s="127">
        <f t="shared" si="397"/>
        <v>0</v>
      </c>
      <c r="W11107" s="74" t="str">
        <f>IFERROR(VLOOKUP($O11107,'Customer List'!$A$1:$J$488,10,FALSE),"")</f>
        <v/>
      </c>
    </row>
    <row r="11108" spans="18:23">
      <c r="R11108" s="127">
        <f t="shared" si="397"/>
        <v>0</v>
      </c>
      <c r="W11108" s="74" t="str">
        <f>IFERROR(VLOOKUP($O11108,'Customer List'!$A$1:$J$488,10,FALSE),"")</f>
        <v/>
      </c>
    </row>
    <row r="11109" spans="18:23">
      <c r="R11109" s="127">
        <f t="shared" si="397"/>
        <v>0</v>
      </c>
      <c r="W11109" s="74" t="str">
        <f>IFERROR(VLOOKUP($O11109,'Customer List'!$A$1:$J$488,10,FALSE),"")</f>
        <v/>
      </c>
    </row>
    <row r="11110" spans="18:23">
      <c r="R11110" s="127">
        <f t="shared" si="397"/>
        <v>0</v>
      </c>
      <c r="W11110" s="74" t="str">
        <f>IFERROR(VLOOKUP($O11110,'Customer List'!$A$1:$J$488,10,FALSE),"")</f>
        <v/>
      </c>
    </row>
    <row r="11111" spans="18:23">
      <c r="R11111" s="127">
        <f t="shared" si="397"/>
        <v>0</v>
      </c>
      <c r="W11111" s="74" t="str">
        <f>IFERROR(VLOOKUP($O11111,'Customer List'!$A$1:$J$488,10,FALSE),"")</f>
        <v/>
      </c>
    </row>
    <row r="11112" spans="18:23">
      <c r="R11112" s="127">
        <f t="shared" si="397"/>
        <v>0</v>
      </c>
      <c r="W11112" s="74" t="str">
        <f>IFERROR(VLOOKUP($O11112,'Customer List'!$A$1:$J$488,10,FALSE),"")</f>
        <v/>
      </c>
    </row>
    <row r="11113" spans="18:23">
      <c r="R11113" s="127">
        <f t="shared" si="397"/>
        <v>0</v>
      </c>
      <c r="W11113" s="74" t="str">
        <f>IFERROR(VLOOKUP($O11113,'Customer List'!$A$1:$J$488,10,FALSE),"")</f>
        <v/>
      </c>
    </row>
    <row r="11114" spans="18:23">
      <c r="R11114" s="127">
        <f t="shared" si="397"/>
        <v>0</v>
      </c>
      <c r="W11114" s="74" t="str">
        <f>IFERROR(VLOOKUP($O11114,'Customer List'!$A$1:$J$488,10,FALSE),"")</f>
        <v/>
      </c>
    </row>
    <row r="11115" spans="18:23">
      <c r="R11115" s="127">
        <f t="shared" si="397"/>
        <v>0</v>
      </c>
      <c r="W11115" s="74" t="str">
        <f>IFERROR(VLOOKUP($O11115,'Customer List'!$A$1:$J$488,10,FALSE),"")</f>
        <v/>
      </c>
    </row>
    <row r="11116" spans="18:23">
      <c r="R11116" s="127">
        <f t="shared" si="397"/>
        <v>0</v>
      </c>
      <c r="W11116" s="74" t="str">
        <f>IFERROR(VLOOKUP($O11116,'Customer List'!$A$1:$J$488,10,FALSE),"")</f>
        <v/>
      </c>
    </row>
    <row r="11117" spans="18:23">
      <c r="R11117" s="127">
        <f t="shared" si="397"/>
        <v>0</v>
      </c>
      <c r="W11117" s="74" t="str">
        <f>IFERROR(VLOOKUP($O11117,'Customer List'!$A$1:$J$488,10,FALSE),"")</f>
        <v/>
      </c>
    </row>
    <row r="11118" spans="18:23">
      <c r="R11118" s="127">
        <f t="shared" si="397"/>
        <v>0</v>
      </c>
      <c r="W11118" s="74" t="str">
        <f>IFERROR(VLOOKUP($O11118,'Customer List'!$A$1:$J$488,10,FALSE),"")</f>
        <v/>
      </c>
    </row>
    <row r="11119" spans="18:23">
      <c r="R11119" s="127">
        <f t="shared" si="397"/>
        <v>0</v>
      </c>
      <c r="W11119" s="74" t="str">
        <f>IFERROR(VLOOKUP($O11119,'Customer List'!$A$1:$J$488,10,FALSE),"")</f>
        <v/>
      </c>
    </row>
    <row r="11120" spans="18:23">
      <c r="R11120" s="127">
        <f t="shared" si="397"/>
        <v>0</v>
      </c>
      <c r="W11120" s="74" t="str">
        <f>IFERROR(VLOOKUP($O11120,'Customer List'!$A$1:$J$488,10,FALSE),"")</f>
        <v/>
      </c>
    </row>
    <row r="11121" spans="18:23">
      <c r="R11121" s="127">
        <f t="shared" si="397"/>
        <v>0</v>
      </c>
      <c r="W11121" s="74" t="str">
        <f>IFERROR(VLOOKUP($O11121,'Customer List'!$A$1:$J$488,10,FALSE),"")</f>
        <v/>
      </c>
    </row>
    <row r="11122" spans="18:23">
      <c r="R11122" s="127">
        <f t="shared" si="397"/>
        <v>0</v>
      </c>
      <c r="W11122" s="74" t="str">
        <f>IFERROR(VLOOKUP($O11122,'Customer List'!$A$1:$J$488,10,FALSE),"")</f>
        <v/>
      </c>
    </row>
    <row r="11123" spans="18:23">
      <c r="R11123" s="127">
        <f t="shared" si="397"/>
        <v>0</v>
      </c>
      <c r="W11123" s="74" t="str">
        <f>IFERROR(VLOOKUP($O11123,'Customer List'!$A$1:$J$488,10,FALSE),"")</f>
        <v/>
      </c>
    </row>
    <row r="11124" spans="18:23">
      <c r="R11124" s="127">
        <f t="shared" si="397"/>
        <v>0</v>
      </c>
      <c r="W11124" s="74" t="str">
        <f>IFERROR(VLOOKUP($O11124,'Customer List'!$A$1:$J$488,10,FALSE),"")</f>
        <v/>
      </c>
    </row>
    <row r="11125" spans="18:23">
      <c r="R11125" s="127">
        <f t="shared" si="397"/>
        <v>0</v>
      </c>
      <c r="W11125" s="74" t="str">
        <f>IFERROR(VLOOKUP($O11125,'Customer List'!$A$1:$J$488,10,FALSE),"")</f>
        <v/>
      </c>
    </row>
    <row r="11126" spans="18:23">
      <c r="R11126" s="127">
        <f t="shared" si="397"/>
        <v>0</v>
      </c>
      <c r="W11126" s="74" t="str">
        <f>IFERROR(VLOOKUP($O11126,'Customer List'!$A$1:$J$488,10,FALSE),"")</f>
        <v/>
      </c>
    </row>
    <row r="11127" spans="18:23">
      <c r="R11127" s="127">
        <f t="shared" si="397"/>
        <v>0</v>
      </c>
      <c r="W11127" s="74" t="str">
        <f>IFERROR(VLOOKUP($O11127,'Customer List'!$A$1:$J$488,10,FALSE),"")</f>
        <v/>
      </c>
    </row>
    <row r="11128" spans="18:23">
      <c r="R11128" s="127">
        <f t="shared" si="397"/>
        <v>0</v>
      </c>
      <c r="W11128" s="74" t="str">
        <f>IFERROR(VLOOKUP($O11128,'Customer List'!$A$1:$J$488,10,FALSE),"")</f>
        <v/>
      </c>
    </row>
    <row r="11129" spans="18:23">
      <c r="R11129" s="127">
        <f t="shared" si="397"/>
        <v>0</v>
      </c>
      <c r="W11129" s="74" t="str">
        <f>IFERROR(VLOOKUP($O11129,'Customer List'!$A$1:$J$488,10,FALSE),"")</f>
        <v/>
      </c>
    </row>
    <row r="11130" spans="18:23">
      <c r="R11130" s="127">
        <f t="shared" si="397"/>
        <v>0</v>
      </c>
      <c r="W11130" s="74" t="str">
        <f>IFERROR(VLOOKUP($O11130,'Customer List'!$A$1:$J$488,10,FALSE),"")</f>
        <v/>
      </c>
    </row>
    <row r="11131" spans="18:23">
      <c r="R11131" s="127">
        <f t="shared" si="397"/>
        <v>0</v>
      </c>
      <c r="W11131" s="74" t="str">
        <f>IFERROR(VLOOKUP($O11131,'Customer List'!$A$1:$J$488,10,FALSE),"")</f>
        <v/>
      </c>
    </row>
    <row r="11132" spans="18:23">
      <c r="R11132" s="127">
        <f t="shared" si="397"/>
        <v>0</v>
      </c>
      <c r="W11132" s="74" t="str">
        <f>IFERROR(VLOOKUP($O11132,'Customer List'!$A$1:$J$488,10,FALSE),"")</f>
        <v/>
      </c>
    </row>
    <row r="11133" spans="18:23">
      <c r="R11133" s="127">
        <f t="shared" si="397"/>
        <v>0</v>
      </c>
      <c r="W11133" s="74" t="str">
        <f>IFERROR(VLOOKUP($O11133,'Customer List'!$A$1:$J$488,10,FALSE),"")</f>
        <v/>
      </c>
    </row>
    <row r="11134" spans="18:23">
      <c r="R11134" s="127">
        <f t="shared" si="397"/>
        <v>0</v>
      </c>
      <c r="W11134" s="74" t="str">
        <f>IFERROR(VLOOKUP($O11134,'Customer List'!$A$1:$J$488,10,FALSE),"")</f>
        <v/>
      </c>
    </row>
    <row r="11135" spans="18:23">
      <c r="R11135" s="127">
        <f t="shared" si="397"/>
        <v>0</v>
      </c>
      <c r="W11135" s="74" t="str">
        <f>IFERROR(VLOOKUP($O11135,'Customer List'!$A$1:$J$488,10,FALSE),"")</f>
        <v/>
      </c>
    </row>
    <row r="11136" spans="18:23">
      <c r="R11136" s="127">
        <f t="shared" si="397"/>
        <v>0</v>
      </c>
      <c r="W11136" s="74" t="str">
        <f>IFERROR(VLOOKUP($O11136,'Customer List'!$A$1:$J$488,10,FALSE),"")</f>
        <v/>
      </c>
    </row>
    <row r="11137" spans="18:23">
      <c r="R11137" s="127">
        <f t="shared" si="397"/>
        <v>0</v>
      </c>
      <c r="W11137" s="74" t="str">
        <f>IFERROR(VLOOKUP($O11137,'Customer List'!$A$1:$J$488,10,FALSE),"")</f>
        <v/>
      </c>
    </row>
    <row r="11138" spans="18:23">
      <c r="R11138" s="127">
        <f t="shared" si="397"/>
        <v>0</v>
      </c>
      <c r="W11138" s="74" t="str">
        <f>IFERROR(VLOOKUP($O11138,'Customer List'!$A$1:$J$488,10,FALSE),"")</f>
        <v/>
      </c>
    </row>
    <row r="11139" spans="18:23">
      <c r="R11139" s="127">
        <f t="shared" si="397"/>
        <v>0</v>
      </c>
      <c r="W11139" s="74" t="str">
        <f>IFERROR(VLOOKUP($O11139,'Customer List'!$A$1:$J$488,10,FALSE),"")</f>
        <v/>
      </c>
    </row>
    <row r="11140" spans="18:23">
      <c r="R11140" s="127">
        <f t="shared" si="397"/>
        <v>0</v>
      </c>
      <c r="W11140" s="74" t="str">
        <f>IFERROR(VLOOKUP($O11140,'Customer List'!$A$1:$J$488,10,FALSE),"")</f>
        <v/>
      </c>
    </row>
    <row r="11141" spans="18:23">
      <c r="R11141" s="127">
        <f t="shared" si="397"/>
        <v>0</v>
      </c>
      <c r="W11141" s="74" t="str">
        <f>IFERROR(VLOOKUP($O11141,'Customer List'!$A$1:$J$488,10,FALSE),"")</f>
        <v/>
      </c>
    </row>
    <row r="11142" spans="18:23">
      <c r="R11142" s="127">
        <f t="shared" si="397"/>
        <v>0</v>
      </c>
      <c r="W11142" s="74" t="str">
        <f>IFERROR(VLOOKUP($O11142,'Customer List'!$A$1:$J$488,10,FALSE),"")</f>
        <v/>
      </c>
    </row>
    <row r="11143" spans="18:23">
      <c r="R11143" s="127">
        <f t="shared" si="397"/>
        <v>0</v>
      </c>
      <c r="W11143" s="74" t="str">
        <f>IFERROR(VLOOKUP($O11143,'Customer List'!$A$1:$J$488,10,FALSE),"")</f>
        <v/>
      </c>
    </row>
    <row r="11144" spans="18:23">
      <c r="R11144" s="127">
        <f t="shared" si="397"/>
        <v>0</v>
      </c>
      <c r="W11144" s="74" t="str">
        <f>IFERROR(VLOOKUP($O11144,'Customer List'!$A$1:$J$488,10,FALSE),"")</f>
        <v/>
      </c>
    </row>
    <row r="11145" spans="18:23">
      <c r="R11145" s="127">
        <f t="shared" si="397"/>
        <v>0</v>
      </c>
      <c r="W11145" s="74" t="str">
        <f>IFERROR(VLOOKUP($O11145,'Customer List'!$A$1:$J$488,10,FALSE),"")</f>
        <v/>
      </c>
    </row>
    <row r="11146" spans="18:23">
      <c r="R11146" s="127">
        <f t="shared" si="397"/>
        <v>0</v>
      </c>
      <c r="W11146" s="74" t="str">
        <f>IFERROR(VLOOKUP($O11146,'Customer List'!$A$1:$J$488,10,FALSE),"")</f>
        <v/>
      </c>
    </row>
    <row r="11147" spans="18:23">
      <c r="R11147" s="127">
        <f t="shared" si="397"/>
        <v>0</v>
      </c>
      <c r="W11147" s="74" t="str">
        <f>IFERROR(VLOOKUP($O11147,'Customer List'!$A$1:$J$488,10,FALSE),"")</f>
        <v/>
      </c>
    </row>
    <row r="11148" spans="18:23">
      <c r="R11148" s="127">
        <f t="shared" si="397"/>
        <v>0</v>
      </c>
      <c r="W11148" s="74" t="str">
        <f>IFERROR(VLOOKUP($O11148,'Customer List'!$A$1:$J$488,10,FALSE),"")</f>
        <v/>
      </c>
    </row>
    <row r="11149" spans="18:23">
      <c r="R11149" s="127">
        <f t="shared" si="397"/>
        <v>0</v>
      </c>
      <c r="W11149" s="74" t="str">
        <f>IFERROR(VLOOKUP($O11149,'Customer List'!$A$1:$J$488,10,FALSE),"")</f>
        <v/>
      </c>
    </row>
    <row r="11150" spans="18:23">
      <c r="R11150" s="127">
        <f t="shared" si="397"/>
        <v>0</v>
      </c>
      <c r="W11150" s="74" t="str">
        <f>IFERROR(VLOOKUP($O11150,'Customer List'!$A$1:$J$488,10,FALSE),"")</f>
        <v/>
      </c>
    </row>
    <row r="11151" spans="18:23">
      <c r="R11151" s="127">
        <f t="shared" si="397"/>
        <v>0</v>
      </c>
      <c r="W11151" s="74" t="str">
        <f>IFERROR(VLOOKUP($O11151,'Customer List'!$A$1:$J$488,10,FALSE),"")</f>
        <v/>
      </c>
    </row>
    <row r="11152" spans="18:23">
      <c r="R11152" s="127">
        <f t="shared" si="397"/>
        <v>0</v>
      </c>
      <c r="W11152" s="74" t="str">
        <f>IFERROR(VLOOKUP($O11152,'Customer List'!$A$1:$J$488,10,FALSE),"")</f>
        <v/>
      </c>
    </row>
    <row r="11153" spans="18:23">
      <c r="R11153" s="127">
        <f t="shared" si="397"/>
        <v>0</v>
      </c>
      <c r="W11153" s="74" t="str">
        <f>IFERROR(VLOOKUP($O11153,'Customer List'!$A$1:$J$488,10,FALSE),"")</f>
        <v/>
      </c>
    </row>
    <row r="11154" spans="18:23">
      <c r="R11154" s="127">
        <f t="shared" si="397"/>
        <v>0</v>
      </c>
      <c r="W11154" s="74" t="str">
        <f>IFERROR(VLOOKUP($O11154,'Customer List'!$A$1:$J$488,10,FALSE),"")</f>
        <v/>
      </c>
    </row>
    <row r="11155" spans="18:23">
      <c r="R11155" s="127">
        <f t="shared" si="397"/>
        <v>0</v>
      </c>
      <c r="W11155" s="74" t="str">
        <f>IFERROR(VLOOKUP($O11155,'Customer List'!$A$1:$J$488,10,FALSE),"")</f>
        <v/>
      </c>
    </row>
    <row r="11156" spans="18:23">
      <c r="R11156" s="127">
        <f t="shared" si="397"/>
        <v>0</v>
      </c>
      <c r="W11156" s="74" t="str">
        <f>IFERROR(VLOOKUP($O11156,'Customer List'!$A$1:$J$488,10,FALSE),"")</f>
        <v/>
      </c>
    </row>
    <row r="11157" spans="18:23">
      <c r="R11157" s="127">
        <f t="shared" si="397"/>
        <v>0</v>
      </c>
      <c r="W11157" s="74" t="str">
        <f>IFERROR(VLOOKUP($O11157,'Customer List'!$A$1:$J$488,10,FALSE),"")</f>
        <v/>
      </c>
    </row>
    <row r="11158" spans="18:23">
      <c r="R11158" s="127">
        <f t="shared" si="397"/>
        <v>0</v>
      </c>
      <c r="W11158" s="74" t="str">
        <f>IFERROR(VLOOKUP($O11158,'Customer List'!$A$1:$J$488,10,FALSE),"")</f>
        <v/>
      </c>
    </row>
    <row r="11159" spans="18:23">
      <c r="R11159" s="127">
        <f t="shared" si="397"/>
        <v>0</v>
      </c>
      <c r="W11159" s="74" t="str">
        <f>IFERROR(VLOOKUP($O11159,'Customer List'!$A$1:$J$488,10,FALSE),"")</f>
        <v/>
      </c>
    </row>
    <row r="11160" spans="18:23">
      <c r="R11160" s="127">
        <f t="shared" si="397"/>
        <v>0</v>
      </c>
      <c r="W11160" s="74" t="str">
        <f>IFERROR(VLOOKUP($O11160,'Customer List'!$A$1:$J$488,10,FALSE),"")</f>
        <v/>
      </c>
    </row>
    <row r="11161" spans="18:23">
      <c r="R11161" s="127">
        <f t="shared" si="397"/>
        <v>0</v>
      </c>
      <c r="W11161" s="74" t="str">
        <f>IFERROR(VLOOKUP($O11161,'Customer List'!$A$1:$J$488,10,FALSE),"")</f>
        <v/>
      </c>
    </row>
    <row r="11162" spans="18:23">
      <c r="R11162" s="127">
        <f t="shared" si="397"/>
        <v>0</v>
      </c>
      <c r="W11162" s="74" t="str">
        <f>IFERROR(VLOOKUP($O11162,'Customer List'!$A$1:$J$488,10,FALSE),"")</f>
        <v/>
      </c>
    </row>
    <row r="11163" spans="18:23">
      <c r="R11163" s="127">
        <f t="shared" si="397"/>
        <v>0</v>
      </c>
      <c r="W11163" s="74" t="str">
        <f>IFERROR(VLOOKUP($O11163,'Customer List'!$A$1:$J$488,10,FALSE),"")</f>
        <v/>
      </c>
    </row>
    <row r="11164" spans="18:23">
      <c r="R11164" s="127">
        <f t="shared" si="397"/>
        <v>0</v>
      </c>
      <c r="W11164" s="74" t="str">
        <f>IFERROR(VLOOKUP($O11164,'Customer List'!$A$1:$J$488,10,FALSE),"")</f>
        <v/>
      </c>
    </row>
    <row r="11165" spans="18:23">
      <c r="R11165" s="127">
        <f t="shared" si="397"/>
        <v>0</v>
      </c>
      <c r="W11165" s="74" t="str">
        <f>IFERROR(VLOOKUP($O11165,'Customer List'!$A$1:$J$488,10,FALSE),"")</f>
        <v/>
      </c>
    </row>
    <row r="11166" spans="18:23">
      <c r="R11166" s="127">
        <f t="shared" si="397"/>
        <v>0</v>
      </c>
      <c r="W11166" s="74" t="str">
        <f>IFERROR(VLOOKUP($O11166,'Customer List'!$A$1:$J$488,10,FALSE),"")</f>
        <v/>
      </c>
    </row>
    <row r="11167" spans="18:23">
      <c r="R11167" s="127">
        <f t="shared" si="397"/>
        <v>0</v>
      </c>
      <c r="W11167" s="74" t="str">
        <f>IFERROR(VLOOKUP($O11167,'Customer List'!$A$1:$J$488,10,FALSE),"")</f>
        <v/>
      </c>
    </row>
    <row r="11168" spans="18:23">
      <c r="R11168" s="127">
        <f t="shared" si="397"/>
        <v>0</v>
      </c>
      <c r="W11168" s="74" t="str">
        <f>IFERROR(VLOOKUP($O11168,'Customer List'!$A$1:$J$488,10,FALSE),"")</f>
        <v/>
      </c>
    </row>
    <row r="11169" spans="18:23">
      <c r="R11169" s="127">
        <f t="shared" si="397"/>
        <v>0</v>
      </c>
      <c r="W11169" s="74" t="str">
        <f>IFERROR(VLOOKUP($O11169,'Customer List'!$A$1:$J$488,10,FALSE),"")</f>
        <v/>
      </c>
    </row>
    <row r="11170" spans="18:23">
      <c r="R11170" s="127">
        <f t="shared" ref="R11170:R11233" si="398">L11170-K11170</f>
        <v>0</v>
      </c>
      <c r="W11170" s="74" t="str">
        <f>IFERROR(VLOOKUP($O11170,'Customer List'!$A$1:$J$488,10,FALSE),"")</f>
        <v/>
      </c>
    </row>
    <row r="11171" spans="18:23">
      <c r="R11171" s="127">
        <f t="shared" si="398"/>
        <v>0</v>
      </c>
      <c r="W11171" s="74" t="str">
        <f>IFERROR(VLOOKUP($O11171,'Customer List'!$A$1:$J$488,10,FALSE),"")</f>
        <v/>
      </c>
    </row>
    <row r="11172" spans="18:23">
      <c r="R11172" s="127">
        <f t="shared" si="398"/>
        <v>0</v>
      </c>
      <c r="W11172" s="74" t="str">
        <f>IFERROR(VLOOKUP($O11172,'Customer List'!$A$1:$J$488,10,FALSE),"")</f>
        <v/>
      </c>
    </row>
    <row r="11173" spans="18:23">
      <c r="R11173" s="127">
        <f t="shared" si="398"/>
        <v>0</v>
      </c>
      <c r="W11173" s="74" t="str">
        <f>IFERROR(VLOOKUP($O11173,'Customer List'!$A$1:$J$488,10,FALSE),"")</f>
        <v/>
      </c>
    </row>
    <row r="11174" spans="18:23">
      <c r="R11174" s="127">
        <f t="shared" si="398"/>
        <v>0</v>
      </c>
      <c r="W11174" s="74" t="str">
        <f>IFERROR(VLOOKUP($O11174,'Customer List'!$A$1:$J$488,10,FALSE),"")</f>
        <v/>
      </c>
    </row>
    <row r="11175" spans="18:23">
      <c r="R11175" s="127">
        <f t="shared" si="398"/>
        <v>0</v>
      </c>
      <c r="W11175" s="74" t="str">
        <f>IFERROR(VLOOKUP($O11175,'Customer List'!$A$1:$J$488,10,FALSE),"")</f>
        <v/>
      </c>
    </row>
    <row r="11176" spans="18:23">
      <c r="R11176" s="127">
        <f t="shared" si="398"/>
        <v>0</v>
      </c>
      <c r="W11176" s="74" t="str">
        <f>IFERROR(VLOOKUP($O11176,'Customer List'!$A$1:$J$488,10,FALSE),"")</f>
        <v/>
      </c>
    </row>
    <row r="11177" spans="18:23">
      <c r="R11177" s="127">
        <f t="shared" si="398"/>
        <v>0</v>
      </c>
      <c r="W11177" s="74" t="str">
        <f>IFERROR(VLOOKUP($O11177,'Customer List'!$A$1:$J$488,10,FALSE),"")</f>
        <v/>
      </c>
    </row>
    <row r="11178" spans="18:23">
      <c r="R11178" s="127">
        <f t="shared" si="398"/>
        <v>0</v>
      </c>
      <c r="W11178" s="74" t="str">
        <f>IFERROR(VLOOKUP($O11178,'Customer List'!$A$1:$J$488,10,FALSE),"")</f>
        <v/>
      </c>
    </row>
    <row r="11179" spans="18:23">
      <c r="R11179" s="127">
        <f t="shared" si="398"/>
        <v>0</v>
      </c>
      <c r="W11179" s="74" t="str">
        <f>IFERROR(VLOOKUP($O11179,'Customer List'!$A$1:$J$488,10,FALSE),"")</f>
        <v/>
      </c>
    </row>
    <row r="11180" spans="18:23">
      <c r="R11180" s="127">
        <f t="shared" si="398"/>
        <v>0</v>
      </c>
      <c r="W11180" s="74" t="str">
        <f>IFERROR(VLOOKUP($O11180,'Customer List'!$A$1:$J$488,10,FALSE),"")</f>
        <v/>
      </c>
    </row>
    <row r="11181" spans="18:23">
      <c r="R11181" s="127">
        <f t="shared" si="398"/>
        <v>0</v>
      </c>
      <c r="W11181" s="74" t="str">
        <f>IFERROR(VLOOKUP($O11181,'Customer List'!$A$1:$J$488,10,FALSE),"")</f>
        <v/>
      </c>
    </row>
    <row r="11182" spans="18:23">
      <c r="R11182" s="127">
        <f t="shared" si="398"/>
        <v>0</v>
      </c>
      <c r="W11182" s="74" t="str">
        <f>IFERROR(VLOOKUP($O11182,'Customer List'!$A$1:$J$488,10,FALSE),"")</f>
        <v/>
      </c>
    </row>
    <row r="11183" spans="18:23">
      <c r="R11183" s="127">
        <f t="shared" si="398"/>
        <v>0</v>
      </c>
      <c r="W11183" s="74" t="str">
        <f>IFERROR(VLOOKUP($O11183,'Customer List'!$A$1:$J$488,10,FALSE),"")</f>
        <v/>
      </c>
    </row>
    <row r="11184" spans="18:23">
      <c r="R11184" s="127">
        <f t="shared" si="398"/>
        <v>0</v>
      </c>
      <c r="W11184" s="74" t="str">
        <f>IFERROR(VLOOKUP($O11184,'Customer List'!$A$1:$J$488,10,FALSE),"")</f>
        <v/>
      </c>
    </row>
    <row r="11185" spans="18:23">
      <c r="R11185" s="127">
        <f t="shared" si="398"/>
        <v>0</v>
      </c>
      <c r="W11185" s="74" t="str">
        <f>IFERROR(VLOOKUP($O11185,'Customer List'!$A$1:$J$488,10,FALSE),"")</f>
        <v/>
      </c>
    </row>
    <row r="11186" spans="18:23">
      <c r="R11186" s="127">
        <f t="shared" si="398"/>
        <v>0</v>
      </c>
      <c r="W11186" s="74" t="str">
        <f>IFERROR(VLOOKUP($O11186,'Customer List'!$A$1:$J$488,10,FALSE),"")</f>
        <v/>
      </c>
    </row>
    <row r="11187" spans="18:23">
      <c r="R11187" s="127">
        <f t="shared" si="398"/>
        <v>0</v>
      </c>
      <c r="W11187" s="74" t="str">
        <f>IFERROR(VLOOKUP($O11187,'Customer List'!$A$1:$J$488,10,FALSE),"")</f>
        <v/>
      </c>
    </row>
    <row r="11188" spans="18:23">
      <c r="R11188" s="127">
        <f t="shared" si="398"/>
        <v>0</v>
      </c>
      <c r="W11188" s="74" t="str">
        <f>IFERROR(VLOOKUP($O11188,'Customer List'!$A$1:$J$488,10,FALSE),"")</f>
        <v/>
      </c>
    </row>
    <row r="11189" spans="18:23">
      <c r="R11189" s="127">
        <f t="shared" si="398"/>
        <v>0</v>
      </c>
      <c r="W11189" s="74" t="str">
        <f>IFERROR(VLOOKUP($O11189,'Customer List'!$A$1:$J$488,10,FALSE),"")</f>
        <v/>
      </c>
    </row>
    <row r="11190" spans="18:23">
      <c r="R11190" s="127">
        <f t="shared" si="398"/>
        <v>0</v>
      </c>
      <c r="W11190" s="74" t="str">
        <f>IFERROR(VLOOKUP($O11190,'Customer List'!$A$1:$J$488,10,FALSE),"")</f>
        <v/>
      </c>
    </row>
    <row r="11191" spans="18:23">
      <c r="R11191" s="127">
        <f t="shared" si="398"/>
        <v>0</v>
      </c>
      <c r="W11191" s="74" t="str">
        <f>IFERROR(VLOOKUP($O11191,'Customer List'!$A$1:$J$488,10,FALSE),"")</f>
        <v/>
      </c>
    </row>
    <row r="11192" spans="18:23">
      <c r="R11192" s="127">
        <f t="shared" si="398"/>
        <v>0</v>
      </c>
      <c r="W11192" s="74" t="str">
        <f>IFERROR(VLOOKUP($O11192,'Customer List'!$A$1:$J$488,10,FALSE),"")</f>
        <v/>
      </c>
    </row>
    <row r="11193" spans="18:23">
      <c r="R11193" s="127">
        <f t="shared" si="398"/>
        <v>0</v>
      </c>
      <c r="W11193" s="74" t="str">
        <f>IFERROR(VLOOKUP($O11193,'Customer List'!$A$1:$J$488,10,FALSE),"")</f>
        <v/>
      </c>
    </row>
    <row r="11194" spans="18:23">
      <c r="R11194" s="127">
        <f t="shared" si="398"/>
        <v>0</v>
      </c>
      <c r="W11194" s="74" t="str">
        <f>IFERROR(VLOOKUP($O11194,'Customer List'!$A$1:$J$488,10,FALSE),"")</f>
        <v/>
      </c>
    </row>
    <row r="11195" spans="18:23">
      <c r="R11195" s="127">
        <f t="shared" si="398"/>
        <v>0</v>
      </c>
      <c r="W11195" s="74" t="str">
        <f>IFERROR(VLOOKUP($O11195,'Customer List'!$A$1:$J$488,10,FALSE),"")</f>
        <v/>
      </c>
    </row>
    <row r="11196" spans="18:23">
      <c r="R11196" s="127">
        <f t="shared" si="398"/>
        <v>0</v>
      </c>
      <c r="W11196" s="74" t="str">
        <f>IFERROR(VLOOKUP($O11196,'Customer List'!$A$1:$J$488,10,FALSE),"")</f>
        <v/>
      </c>
    </row>
    <row r="11197" spans="18:23">
      <c r="R11197" s="127">
        <f t="shared" si="398"/>
        <v>0</v>
      </c>
      <c r="W11197" s="74" t="str">
        <f>IFERROR(VLOOKUP($O11197,'Customer List'!$A$1:$J$488,10,FALSE),"")</f>
        <v/>
      </c>
    </row>
    <row r="11198" spans="18:23">
      <c r="R11198" s="127">
        <f t="shared" si="398"/>
        <v>0</v>
      </c>
      <c r="W11198" s="74" t="str">
        <f>IFERROR(VLOOKUP($O11198,'Customer List'!$A$1:$J$488,10,FALSE),"")</f>
        <v/>
      </c>
    </row>
    <row r="11199" spans="18:23">
      <c r="R11199" s="127">
        <f t="shared" si="398"/>
        <v>0</v>
      </c>
      <c r="W11199" s="74" t="str">
        <f>IFERROR(VLOOKUP($O11199,'Customer List'!$A$1:$J$488,10,FALSE),"")</f>
        <v/>
      </c>
    </row>
    <row r="11200" spans="18:23">
      <c r="R11200" s="127">
        <f t="shared" si="398"/>
        <v>0</v>
      </c>
      <c r="W11200" s="74" t="str">
        <f>IFERROR(VLOOKUP($O11200,'Customer List'!$A$1:$J$488,10,FALSE),"")</f>
        <v/>
      </c>
    </row>
    <row r="11201" spans="18:23">
      <c r="R11201" s="127">
        <f t="shared" si="398"/>
        <v>0</v>
      </c>
      <c r="W11201" s="74" t="str">
        <f>IFERROR(VLOOKUP($O11201,'Customer List'!$A$1:$J$488,10,FALSE),"")</f>
        <v/>
      </c>
    </row>
    <row r="11202" spans="18:23">
      <c r="R11202" s="127">
        <f t="shared" si="398"/>
        <v>0</v>
      </c>
      <c r="W11202" s="74" t="str">
        <f>IFERROR(VLOOKUP($O11202,'Customer List'!$A$1:$J$488,10,FALSE),"")</f>
        <v/>
      </c>
    </row>
    <row r="11203" spans="18:23">
      <c r="R11203" s="127">
        <f t="shared" si="398"/>
        <v>0</v>
      </c>
      <c r="W11203" s="74" t="str">
        <f>IFERROR(VLOOKUP($O11203,'Customer List'!$A$1:$J$488,10,FALSE),"")</f>
        <v/>
      </c>
    </row>
    <row r="11204" spans="18:23">
      <c r="R11204" s="127">
        <f t="shared" si="398"/>
        <v>0</v>
      </c>
      <c r="W11204" s="74" t="str">
        <f>IFERROR(VLOOKUP($O11204,'Customer List'!$A$1:$J$488,10,FALSE),"")</f>
        <v/>
      </c>
    </row>
    <row r="11205" spans="18:23">
      <c r="R11205" s="127">
        <f t="shared" si="398"/>
        <v>0</v>
      </c>
      <c r="W11205" s="74" t="str">
        <f>IFERROR(VLOOKUP($O11205,'Customer List'!$A$1:$J$488,10,FALSE),"")</f>
        <v/>
      </c>
    </row>
    <row r="11206" spans="18:23">
      <c r="R11206" s="127">
        <f t="shared" si="398"/>
        <v>0</v>
      </c>
      <c r="W11206" s="74" t="str">
        <f>IFERROR(VLOOKUP($O11206,'Customer List'!$A$1:$J$488,10,FALSE),"")</f>
        <v/>
      </c>
    </row>
    <row r="11207" spans="18:23">
      <c r="R11207" s="127">
        <f t="shared" si="398"/>
        <v>0</v>
      </c>
      <c r="W11207" s="74" t="str">
        <f>IFERROR(VLOOKUP($O11207,'Customer List'!$A$1:$J$488,10,FALSE),"")</f>
        <v/>
      </c>
    </row>
    <row r="11208" spans="18:23">
      <c r="R11208" s="127">
        <f t="shared" si="398"/>
        <v>0</v>
      </c>
      <c r="W11208" s="74" t="str">
        <f>IFERROR(VLOOKUP($O11208,'Customer List'!$A$1:$J$488,10,FALSE),"")</f>
        <v/>
      </c>
    </row>
    <row r="11209" spans="18:23">
      <c r="R11209" s="127">
        <f t="shared" si="398"/>
        <v>0</v>
      </c>
      <c r="W11209" s="74" t="str">
        <f>IFERROR(VLOOKUP($O11209,'Customer List'!$A$1:$J$488,10,FALSE),"")</f>
        <v/>
      </c>
    </row>
    <row r="11210" spans="18:23">
      <c r="R11210" s="127">
        <f t="shared" si="398"/>
        <v>0</v>
      </c>
      <c r="W11210" s="74" t="str">
        <f>IFERROR(VLOOKUP($O11210,'Customer List'!$A$1:$J$488,10,FALSE),"")</f>
        <v/>
      </c>
    </row>
    <row r="11211" spans="18:23">
      <c r="R11211" s="127">
        <f t="shared" si="398"/>
        <v>0</v>
      </c>
      <c r="W11211" s="74" t="str">
        <f>IFERROR(VLOOKUP($O11211,'Customer List'!$A$1:$J$488,10,FALSE),"")</f>
        <v/>
      </c>
    </row>
    <row r="11212" spans="18:23">
      <c r="R11212" s="127">
        <f t="shared" si="398"/>
        <v>0</v>
      </c>
      <c r="W11212" s="74" t="str">
        <f>IFERROR(VLOOKUP($O11212,'Customer List'!$A$1:$J$488,10,FALSE),"")</f>
        <v/>
      </c>
    </row>
    <row r="11213" spans="18:23">
      <c r="R11213" s="127">
        <f t="shared" si="398"/>
        <v>0</v>
      </c>
      <c r="W11213" s="74" t="str">
        <f>IFERROR(VLOOKUP($O11213,'Customer List'!$A$1:$J$488,10,FALSE),"")</f>
        <v/>
      </c>
    </row>
    <row r="11214" spans="18:23">
      <c r="R11214" s="127">
        <f t="shared" si="398"/>
        <v>0</v>
      </c>
      <c r="W11214" s="74" t="str">
        <f>IFERROR(VLOOKUP($O11214,'Customer List'!$A$1:$J$488,10,FALSE),"")</f>
        <v/>
      </c>
    </row>
    <row r="11215" spans="18:23">
      <c r="R11215" s="127">
        <f t="shared" si="398"/>
        <v>0</v>
      </c>
      <c r="W11215" s="74" t="str">
        <f>IFERROR(VLOOKUP($O11215,'Customer List'!$A$1:$J$488,10,FALSE),"")</f>
        <v/>
      </c>
    </row>
    <row r="11216" spans="18:23">
      <c r="R11216" s="127">
        <f t="shared" si="398"/>
        <v>0</v>
      </c>
      <c r="W11216" s="74" t="str">
        <f>IFERROR(VLOOKUP($O11216,'Customer List'!$A$1:$J$488,10,FALSE),"")</f>
        <v/>
      </c>
    </row>
    <row r="11217" spans="18:23">
      <c r="R11217" s="127">
        <f t="shared" si="398"/>
        <v>0</v>
      </c>
      <c r="W11217" s="74" t="str">
        <f>IFERROR(VLOOKUP($O11217,'Customer List'!$A$1:$J$488,10,FALSE),"")</f>
        <v/>
      </c>
    </row>
    <row r="11218" spans="18:23">
      <c r="R11218" s="127">
        <f t="shared" si="398"/>
        <v>0</v>
      </c>
      <c r="W11218" s="74" t="str">
        <f>IFERROR(VLOOKUP($O11218,'Customer List'!$A$1:$J$488,10,FALSE),"")</f>
        <v/>
      </c>
    </row>
    <row r="11219" spans="18:23">
      <c r="R11219" s="127">
        <f t="shared" si="398"/>
        <v>0</v>
      </c>
      <c r="W11219" s="74" t="str">
        <f>IFERROR(VLOOKUP($O11219,'Customer List'!$A$1:$J$488,10,FALSE),"")</f>
        <v/>
      </c>
    </row>
    <row r="11220" spans="18:23">
      <c r="R11220" s="127">
        <f t="shared" si="398"/>
        <v>0</v>
      </c>
      <c r="W11220" s="74" t="str">
        <f>IFERROR(VLOOKUP($O11220,'Customer List'!$A$1:$J$488,10,FALSE),"")</f>
        <v/>
      </c>
    </row>
    <row r="11221" spans="18:23">
      <c r="R11221" s="127">
        <f t="shared" si="398"/>
        <v>0</v>
      </c>
      <c r="W11221" s="74" t="str">
        <f>IFERROR(VLOOKUP($O11221,'Customer List'!$A$1:$J$488,10,FALSE),"")</f>
        <v/>
      </c>
    </row>
    <row r="11222" spans="18:23">
      <c r="R11222" s="127">
        <f t="shared" si="398"/>
        <v>0</v>
      </c>
      <c r="W11222" s="74" t="str">
        <f>IFERROR(VLOOKUP($O11222,'Customer List'!$A$1:$J$488,10,FALSE),"")</f>
        <v/>
      </c>
    </row>
    <row r="11223" spans="18:23">
      <c r="R11223" s="127">
        <f t="shared" si="398"/>
        <v>0</v>
      </c>
      <c r="W11223" s="74" t="str">
        <f>IFERROR(VLOOKUP($O11223,'Customer List'!$A$1:$J$488,10,FALSE),"")</f>
        <v/>
      </c>
    </row>
    <row r="11224" spans="18:23">
      <c r="R11224" s="127">
        <f t="shared" si="398"/>
        <v>0</v>
      </c>
      <c r="W11224" s="74" t="str">
        <f>IFERROR(VLOOKUP($O11224,'Customer List'!$A$1:$J$488,10,FALSE),"")</f>
        <v/>
      </c>
    </row>
    <row r="11225" spans="18:23">
      <c r="R11225" s="127">
        <f t="shared" si="398"/>
        <v>0</v>
      </c>
      <c r="W11225" s="74" t="str">
        <f>IFERROR(VLOOKUP($O11225,'Customer List'!$A$1:$J$488,10,FALSE),"")</f>
        <v/>
      </c>
    </row>
    <row r="11226" spans="18:23">
      <c r="R11226" s="127">
        <f t="shared" si="398"/>
        <v>0</v>
      </c>
      <c r="W11226" s="74" t="str">
        <f>IFERROR(VLOOKUP($O11226,'Customer List'!$A$1:$J$488,10,FALSE),"")</f>
        <v/>
      </c>
    </row>
    <row r="11227" spans="18:23">
      <c r="R11227" s="127">
        <f t="shared" si="398"/>
        <v>0</v>
      </c>
      <c r="W11227" s="74" t="str">
        <f>IFERROR(VLOOKUP($O11227,'Customer List'!$A$1:$J$488,10,FALSE),"")</f>
        <v/>
      </c>
    </row>
    <row r="11228" spans="18:23">
      <c r="R11228" s="127">
        <f t="shared" si="398"/>
        <v>0</v>
      </c>
      <c r="W11228" s="74" t="str">
        <f>IFERROR(VLOOKUP($O11228,'Customer List'!$A$1:$J$488,10,FALSE),"")</f>
        <v/>
      </c>
    </row>
    <row r="11229" spans="18:23">
      <c r="R11229" s="127">
        <f t="shared" si="398"/>
        <v>0</v>
      </c>
      <c r="W11229" s="74" t="str">
        <f>IFERROR(VLOOKUP($O11229,'Customer List'!$A$1:$J$488,10,FALSE),"")</f>
        <v/>
      </c>
    </row>
    <row r="11230" spans="18:23">
      <c r="R11230" s="127">
        <f t="shared" si="398"/>
        <v>0</v>
      </c>
      <c r="W11230" s="74" t="str">
        <f>IFERROR(VLOOKUP($O11230,'Customer List'!$A$1:$J$488,10,FALSE),"")</f>
        <v/>
      </c>
    </row>
    <row r="11231" spans="18:23">
      <c r="R11231" s="127">
        <f t="shared" si="398"/>
        <v>0</v>
      </c>
      <c r="W11231" s="74" t="str">
        <f>IFERROR(VLOOKUP($O11231,'Customer List'!$A$1:$J$488,10,FALSE),"")</f>
        <v/>
      </c>
    </row>
    <row r="11232" spans="18:23">
      <c r="R11232" s="127">
        <f t="shared" si="398"/>
        <v>0</v>
      </c>
      <c r="W11232" s="74" t="str">
        <f>IFERROR(VLOOKUP($O11232,'Customer List'!$A$1:$J$488,10,FALSE),"")</f>
        <v/>
      </c>
    </row>
    <row r="11233" spans="18:23">
      <c r="R11233" s="127">
        <f t="shared" si="398"/>
        <v>0</v>
      </c>
      <c r="W11233" s="74" t="str">
        <f>IFERROR(VLOOKUP($O11233,'Customer List'!$A$1:$J$488,10,FALSE),"")</f>
        <v/>
      </c>
    </row>
    <row r="11234" spans="18:23">
      <c r="R11234" s="127">
        <f t="shared" ref="R11234:R11297" si="399">L11234-K11234</f>
        <v>0</v>
      </c>
      <c r="W11234" s="74" t="str">
        <f>IFERROR(VLOOKUP($O11234,'Customer List'!$A$1:$J$488,10,FALSE),"")</f>
        <v/>
      </c>
    </row>
    <row r="11235" spans="18:23">
      <c r="R11235" s="127">
        <f t="shared" si="399"/>
        <v>0</v>
      </c>
      <c r="W11235" s="74" t="str">
        <f>IFERROR(VLOOKUP($O11235,'Customer List'!$A$1:$J$488,10,FALSE),"")</f>
        <v/>
      </c>
    </row>
    <row r="11236" spans="18:23">
      <c r="R11236" s="127">
        <f t="shared" si="399"/>
        <v>0</v>
      </c>
      <c r="W11236" s="74" t="str">
        <f>IFERROR(VLOOKUP($O11236,'Customer List'!$A$1:$J$488,10,FALSE),"")</f>
        <v/>
      </c>
    </row>
    <row r="11237" spans="18:23">
      <c r="R11237" s="127">
        <f t="shared" si="399"/>
        <v>0</v>
      </c>
      <c r="W11237" s="74" t="str">
        <f>IFERROR(VLOOKUP($O11237,'Customer List'!$A$1:$J$488,10,FALSE),"")</f>
        <v/>
      </c>
    </row>
    <row r="11238" spans="18:23">
      <c r="R11238" s="127">
        <f t="shared" si="399"/>
        <v>0</v>
      </c>
      <c r="W11238" s="74" t="str">
        <f>IFERROR(VLOOKUP($O11238,'Customer List'!$A$1:$J$488,10,FALSE),"")</f>
        <v/>
      </c>
    </row>
    <row r="11239" spans="18:23">
      <c r="R11239" s="127">
        <f t="shared" si="399"/>
        <v>0</v>
      </c>
      <c r="W11239" s="74" t="str">
        <f>IFERROR(VLOOKUP($O11239,'Customer List'!$A$1:$J$488,10,FALSE),"")</f>
        <v/>
      </c>
    </row>
    <row r="11240" spans="18:23">
      <c r="R11240" s="127">
        <f t="shared" si="399"/>
        <v>0</v>
      </c>
      <c r="W11240" s="74" t="str">
        <f>IFERROR(VLOOKUP($O11240,'Customer List'!$A$1:$J$488,10,FALSE),"")</f>
        <v/>
      </c>
    </row>
    <row r="11241" spans="18:23">
      <c r="R11241" s="127">
        <f t="shared" si="399"/>
        <v>0</v>
      </c>
      <c r="W11241" s="74" t="str">
        <f>IFERROR(VLOOKUP($O11241,'Customer List'!$A$1:$J$488,10,FALSE),"")</f>
        <v/>
      </c>
    </row>
    <row r="11242" spans="18:23">
      <c r="R11242" s="127">
        <f t="shared" si="399"/>
        <v>0</v>
      </c>
      <c r="W11242" s="74" t="str">
        <f>IFERROR(VLOOKUP($O11242,'Customer List'!$A$1:$J$488,10,FALSE),"")</f>
        <v/>
      </c>
    </row>
    <row r="11243" spans="18:23">
      <c r="R11243" s="127">
        <f t="shared" si="399"/>
        <v>0</v>
      </c>
      <c r="W11243" s="74" t="str">
        <f>IFERROR(VLOOKUP($O11243,'Customer List'!$A$1:$J$488,10,FALSE),"")</f>
        <v/>
      </c>
    </row>
    <row r="11244" spans="18:23">
      <c r="R11244" s="127">
        <f t="shared" si="399"/>
        <v>0</v>
      </c>
      <c r="W11244" s="74" t="str">
        <f>IFERROR(VLOOKUP($O11244,'Customer List'!$A$1:$J$488,10,FALSE),"")</f>
        <v/>
      </c>
    </row>
    <row r="11245" spans="18:23">
      <c r="R11245" s="127">
        <f t="shared" si="399"/>
        <v>0</v>
      </c>
      <c r="W11245" s="74" t="str">
        <f>IFERROR(VLOOKUP($O11245,'Customer List'!$A$1:$J$488,10,FALSE),"")</f>
        <v/>
      </c>
    </row>
    <row r="11246" spans="18:23">
      <c r="R11246" s="127">
        <f t="shared" si="399"/>
        <v>0</v>
      </c>
      <c r="W11246" s="74" t="str">
        <f>IFERROR(VLOOKUP($O11246,'Customer List'!$A$1:$J$488,10,FALSE),"")</f>
        <v/>
      </c>
    </row>
    <row r="11247" spans="18:23">
      <c r="R11247" s="127">
        <f t="shared" si="399"/>
        <v>0</v>
      </c>
      <c r="W11247" s="74" t="str">
        <f>IFERROR(VLOOKUP($O11247,'Customer List'!$A$1:$J$488,10,FALSE),"")</f>
        <v/>
      </c>
    </row>
    <row r="11248" spans="18:23">
      <c r="R11248" s="127">
        <f t="shared" si="399"/>
        <v>0</v>
      </c>
      <c r="W11248" s="74" t="str">
        <f>IFERROR(VLOOKUP($O11248,'Customer List'!$A$1:$J$488,10,FALSE),"")</f>
        <v/>
      </c>
    </row>
    <row r="11249" spans="18:23">
      <c r="R11249" s="127">
        <f t="shared" si="399"/>
        <v>0</v>
      </c>
      <c r="W11249" s="74" t="str">
        <f>IFERROR(VLOOKUP($O11249,'Customer List'!$A$1:$J$488,10,FALSE),"")</f>
        <v/>
      </c>
    </row>
    <row r="11250" spans="18:23">
      <c r="R11250" s="127">
        <f t="shared" si="399"/>
        <v>0</v>
      </c>
      <c r="W11250" s="74" t="str">
        <f>IFERROR(VLOOKUP($O11250,'Customer List'!$A$1:$J$488,10,FALSE),"")</f>
        <v/>
      </c>
    </row>
    <row r="11251" spans="18:23">
      <c r="R11251" s="127">
        <f t="shared" si="399"/>
        <v>0</v>
      </c>
      <c r="W11251" s="74" t="str">
        <f>IFERROR(VLOOKUP($O11251,'Customer List'!$A$1:$J$488,10,FALSE),"")</f>
        <v/>
      </c>
    </row>
    <row r="11252" spans="18:23">
      <c r="R11252" s="127">
        <f t="shared" si="399"/>
        <v>0</v>
      </c>
      <c r="W11252" s="74" t="str">
        <f>IFERROR(VLOOKUP($O11252,'Customer List'!$A$1:$J$488,10,FALSE),"")</f>
        <v/>
      </c>
    </row>
    <row r="11253" spans="18:23">
      <c r="R11253" s="127">
        <f t="shared" si="399"/>
        <v>0</v>
      </c>
      <c r="W11253" s="74" t="str">
        <f>IFERROR(VLOOKUP($O11253,'Customer List'!$A$1:$J$488,10,FALSE),"")</f>
        <v/>
      </c>
    </row>
    <row r="11254" spans="18:23">
      <c r="R11254" s="127">
        <f t="shared" si="399"/>
        <v>0</v>
      </c>
      <c r="W11254" s="74" t="str">
        <f>IFERROR(VLOOKUP($O11254,'Customer List'!$A$1:$J$488,10,FALSE),"")</f>
        <v/>
      </c>
    </row>
    <row r="11255" spans="18:23">
      <c r="R11255" s="127">
        <f t="shared" si="399"/>
        <v>0</v>
      </c>
      <c r="W11255" s="74" t="str">
        <f>IFERROR(VLOOKUP($O11255,'Customer List'!$A$1:$J$488,10,FALSE),"")</f>
        <v/>
      </c>
    </row>
    <row r="11256" spans="18:23">
      <c r="R11256" s="127">
        <f t="shared" si="399"/>
        <v>0</v>
      </c>
      <c r="W11256" s="74" t="str">
        <f>IFERROR(VLOOKUP($O11256,'Customer List'!$A$1:$J$488,10,FALSE),"")</f>
        <v/>
      </c>
    </row>
    <row r="11257" spans="18:23">
      <c r="R11257" s="127">
        <f t="shared" si="399"/>
        <v>0</v>
      </c>
      <c r="W11257" s="74" t="str">
        <f>IFERROR(VLOOKUP($O11257,'Customer List'!$A$1:$J$488,10,FALSE),"")</f>
        <v/>
      </c>
    </row>
    <row r="11258" spans="18:23">
      <c r="R11258" s="127">
        <f t="shared" si="399"/>
        <v>0</v>
      </c>
      <c r="W11258" s="74" t="str">
        <f>IFERROR(VLOOKUP($O11258,'Customer List'!$A$1:$J$488,10,FALSE),"")</f>
        <v/>
      </c>
    </row>
    <row r="11259" spans="18:23">
      <c r="R11259" s="127">
        <f t="shared" si="399"/>
        <v>0</v>
      </c>
      <c r="W11259" s="74" t="str">
        <f>IFERROR(VLOOKUP($O11259,'Customer List'!$A$1:$J$488,10,FALSE),"")</f>
        <v/>
      </c>
    </row>
    <row r="11260" spans="18:23">
      <c r="R11260" s="127">
        <f t="shared" si="399"/>
        <v>0</v>
      </c>
      <c r="W11260" s="74" t="str">
        <f>IFERROR(VLOOKUP($O11260,'Customer List'!$A$1:$J$488,10,FALSE),"")</f>
        <v/>
      </c>
    </row>
    <row r="11261" spans="18:23">
      <c r="R11261" s="127">
        <f t="shared" si="399"/>
        <v>0</v>
      </c>
      <c r="W11261" s="74" t="str">
        <f>IFERROR(VLOOKUP($O11261,'Customer List'!$A$1:$J$488,10,FALSE),"")</f>
        <v/>
      </c>
    </row>
    <row r="11262" spans="18:23">
      <c r="R11262" s="127">
        <f t="shared" si="399"/>
        <v>0</v>
      </c>
      <c r="W11262" s="74" t="str">
        <f>IFERROR(VLOOKUP($O11262,'Customer List'!$A$1:$J$488,10,FALSE),"")</f>
        <v/>
      </c>
    </row>
    <row r="11263" spans="18:23">
      <c r="R11263" s="127">
        <f t="shared" si="399"/>
        <v>0</v>
      </c>
      <c r="W11263" s="74" t="str">
        <f>IFERROR(VLOOKUP($O11263,'Customer List'!$A$1:$J$488,10,FALSE),"")</f>
        <v/>
      </c>
    </row>
    <row r="11264" spans="18:23">
      <c r="R11264" s="127">
        <f t="shared" si="399"/>
        <v>0</v>
      </c>
      <c r="W11264" s="74" t="str">
        <f>IFERROR(VLOOKUP($O11264,'Customer List'!$A$1:$J$488,10,FALSE),"")</f>
        <v/>
      </c>
    </row>
    <row r="11265" spans="18:23">
      <c r="R11265" s="127">
        <f t="shared" si="399"/>
        <v>0</v>
      </c>
      <c r="W11265" s="74" t="str">
        <f>IFERROR(VLOOKUP($O11265,'Customer List'!$A$1:$J$488,10,FALSE),"")</f>
        <v/>
      </c>
    </row>
    <row r="11266" spans="18:23">
      <c r="R11266" s="127">
        <f t="shared" si="399"/>
        <v>0</v>
      </c>
      <c r="W11266" s="74" t="str">
        <f>IFERROR(VLOOKUP($O11266,'Customer List'!$A$1:$J$488,10,FALSE),"")</f>
        <v/>
      </c>
    </row>
    <row r="11267" spans="18:23">
      <c r="R11267" s="127">
        <f t="shared" si="399"/>
        <v>0</v>
      </c>
      <c r="W11267" s="74" t="str">
        <f>IFERROR(VLOOKUP($O11267,'Customer List'!$A$1:$J$488,10,FALSE),"")</f>
        <v/>
      </c>
    </row>
    <row r="11268" spans="18:23">
      <c r="R11268" s="127">
        <f t="shared" si="399"/>
        <v>0</v>
      </c>
      <c r="W11268" s="74" t="str">
        <f>IFERROR(VLOOKUP($O11268,'Customer List'!$A$1:$J$488,10,FALSE),"")</f>
        <v/>
      </c>
    </row>
    <row r="11269" spans="18:23">
      <c r="R11269" s="127">
        <f t="shared" si="399"/>
        <v>0</v>
      </c>
      <c r="W11269" s="74" t="str">
        <f>IFERROR(VLOOKUP($O11269,'Customer List'!$A$1:$J$488,10,FALSE),"")</f>
        <v/>
      </c>
    </row>
    <row r="11270" spans="18:23">
      <c r="R11270" s="127">
        <f t="shared" si="399"/>
        <v>0</v>
      </c>
      <c r="W11270" s="74" t="str">
        <f>IFERROR(VLOOKUP($O11270,'Customer List'!$A$1:$J$488,10,FALSE),"")</f>
        <v/>
      </c>
    </row>
    <row r="11271" spans="18:23">
      <c r="R11271" s="127">
        <f t="shared" si="399"/>
        <v>0</v>
      </c>
      <c r="W11271" s="74" t="str">
        <f>IFERROR(VLOOKUP($O11271,'Customer List'!$A$1:$J$488,10,FALSE),"")</f>
        <v/>
      </c>
    </row>
    <row r="11272" spans="18:23">
      <c r="R11272" s="127">
        <f t="shared" si="399"/>
        <v>0</v>
      </c>
      <c r="W11272" s="74" t="str">
        <f>IFERROR(VLOOKUP($O11272,'Customer List'!$A$1:$J$488,10,FALSE),"")</f>
        <v/>
      </c>
    </row>
    <row r="11273" spans="18:23">
      <c r="R11273" s="127">
        <f t="shared" si="399"/>
        <v>0</v>
      </c>
      <c r="W11273" s="74" t="str">
        <f>IFERROR(VLOOKUP($O11273,'Customer List'!$A$1:$J$488,10,FALSE),"")</f>
        <v/>
      </c>
    </row>
    <row r="11274" spans="18:23">
      <c r="R11274" s="127">
        <f t="shared" si="399"/>
        <v>0</v>
      </c>
      <c r="W11274" s="74" t="str">
        <f>IFERROR(VLOOKUP($O11274,'Customer List'!$A$1:$J$488,10,FALSE),"")</f>
        <v/>
      </c>
    </row>
    <row r="11275" spans="18:23">
      <c r="R11275" s="127">
        <f t="shared" si="399"/>
        <v>0</v>
      </c>
      <c r="W11275" s="74" t="str">
        <f>IFERROR(VLOOKUP($O11275,'Customer List'!$A$1:$J$488,10,FALSE),"")</f>
        <v/>
      </c>
    </row>
    <row r="11276" spans="18:23">
      <c r="R11276" s="127">
        <f t="shared" si="399"/>
        <v>0</v>
      </c>
      <c r="W11276" s="74" t="str">
        <f>IFERROR(VLOOKUP($O11276,'Customer List'!$A$1:$J$488,10,FALSE),"")</f>
        <v/>
      </c>
    </row>
    <row r="11277" spans="18:23">
      <c r="R11277" s="127">
        <f t="shared" si="399"/>
        <v>0</v>
      </c>
      <c r="W11277" s="74" t="str">
        <f>IFERROR(VLOOKUP($O11277,'Customer List'!$A$1:$J$488,10,FALSE),"")</f>
        <v/>
      </c>
    </row>
    <row r="11278" spans="18:23">
      <c r="R11278" s="127">
        <f t="shared" si="399"/>
        <v>0</v>
      </c>
      <c r="W11278" s="74" t="str">
        <f>IFERROR(VLOOKUP($O11278,'Customer List'!$A$1:$J$488,10,FALSE),"")</f>
        <v/>
      </c>
    </row>
    <row r="11279" spans="18:23">
      <c r="R11279" s="127">
        <f t="shared" si="399"/>
        <v>0</v>
      </c>
      <c r="W11279" s="74" t="str">
        <f>IFERROR(VLOOKUP($O11279,'Customer List'!$A$1:$J$488,10,FALSE),"")</f>
        <v/>
      </c>
    </row>
    <row r="11280" spans="18:23">
      <c r="R11280" s="127">
        <f t="shared" si="399"/>
        <v>0</v>
      </c>
      <c r="W11280" s="74" t="str">
        <f>IFERROR(VLOOKUP($O11280,'Customer List'!$A$1:$J$488,10,FALSE),"")</f>
        <v/>
      </c>
    </row>
    <row r="11281" spans="18:23">
      <c r="R11281" s="127">
        <f t="shared" si="399"/>
        <v>0</v>
      </c>
      <c r="W11281" s="74" t="str">
        <f>IFERROR(VLOOKUP($O11281,'Customer List'!$A$1:$J$488,10,FALSE),"")</f>
        <v/>
      </c>
    </row>
    <row r="11282" spans="18:23">
      <c r="R11282" s="127">
        <f t="shared" si="399"/>
        <v>0</v>
      </c>
      <c r="W11282" s="74" t="str">
        <f>IFERROR(VLOOKUP($O11282,'Customer List'!$A$1:$J$488,10,FALSE),"")</f>
        <v/>
      </c>
    </row>
    <row r="11283" spans="18:23">
      <c r="R11283" s="127">
        <f t="shared" si="399"/>
        <v>0</v>
      </c>
      <c r="W11283" s="74" t="str">
        <f>IFERROR(VLOOKUP($O11283,'Customer List'!$A$1:$J$488,10,FALSE),"")</f>
        <v/>
      </c>
    </row>
    <row r="11284" spans="18:23">
      <c r="R11284" s="127">
        <f t="shared" si="399"/>
        <v>0</v>
      </c>
      <c r="W11284" s="74" t="str">
        <f>IFERROR(VLOOKUP($O11284,'Customer List'!$A$1:$J$488,10,FALSE),"")</f>
        <v/>
      </c>
    </row>
    <row r="11285" spans="18:23">
      <c r="R11285" s="127">
        <f t="shared" si="399"/>
        <v>0</v>
      </c>
      <c r="W11285" s="74" t="str">
        <f>IFERROR(VLOOKUP($O11285,'Customer List'!$A$1:$J$488,10,FALSE),"")</f>
        <v/>
      </c>
    </row>
    <row r="11286" spans="18:23">
      <c r="R11286" s="127">
        <f t="shared" si="399"/>
        <v>0</v>
      </c>
      <c r="W11286" s="74" t="str">
        <f>IFERROR(VLOOKUP($O11286,'Customer List'!$A$1:$J$488,10,FALSE),"")</f>
        <v/>
      </c>
    </row>
    <row r="11287" spans="18:23">
      <c r="R11287" s="127">
        <f t="shared" si="399"/>
        <v>0</v>
      </c>
      <c r="W11287" s="74" t="str">
        <f>IFERROR(VLOOKUP($O11287,'Customer List'!$A$1:$J$488,10,FALSE),"")</f>
        <v/>
      </c>
    </row>
    <row r="11288" spans="18:23">
      <c r="R11288" s="127">
        <f t="shared" si="399"/>
        <v>0</v>
      </c>
      <c r="W11288" s="74" t="str">
        <f>IFERROR(VLOOKUP($O11288,'Customer List'!$A$1:$J$488,10,FALSE),"")</f>
        <v/>
      </c>
    </row>
    <row r="11289" spans="18:23">
      <c r="R11289" s="127">
        <f t="shared" si="399"/>
        <v>0</v>
      </c>
      <c r="W11289" s="74" t="str">
        <f>IFERROR(VLOOKUP($O11289,'Customer List'!$A$1:$J$488,10,FALSE),"")</f>
        <v/>
      </c>
    </row>
    <row r="11290" spans="18:23">
      <c r="R11290" s="127">
        <f t="shared" si="399"/>
        <v>0</v>
      </c>
      <c r="W11290" s="74" t="str">
        <f>IFERROR(VLOOKUP($O11290,'Customer List'!$A$1:$J$488,10,FALSE),"")</f>
        <v/>
      </c>
    </row>
    <row r="11291" spans="18:23">
      <c r="R11291" s="127">
        <f t="shared" si="399"/>
        <v>0</v>
      </c>
      <c r="W11291" s="74" t="str">
        <f>IFERROR(VLOOKUP($O11291,'Customer List'!$A$1:$J$488,10,FALSE),"")</f>
        <v/>
      </c>
    </row>
    <row r="11292" spans="18:23">
      <c r="R11292" s="127">
        <f t="shared" si="399"/>
        <v>0</v>
      </c>
      <c r="W11292" s="74" t="str">
        <f>IFERROR(VLOOKUP($O11292,'Customer List'!$A$1:$J$488,10,FALSE),"")</f>
        <v/>
      </c>
    </row>
    <row r="11293" spans="18:23">
      <c r="R11293" s="127">
        <f t="shared" si="399"/>
        <v>0</v>
      </c>
      <c r="W11293" s="74" t="str">
        <f>IFERROR(VLOOKUP($O11293,'Customer List'!$A$1:$J$488,10,FALSE),"")</f>
        <v/>
      </c>
    </row>
    <row r="11294" spans="18:23">
      <c r="R11294" s="127">
        <f t="shared" si="399"/>
        <v>0</v>
      </c>
      <c r="W11294" s="74" t="str">
        <f>IFERROR(VLOOKUP($O11294,'Customer List'!$A$1:$J$488,10,FALSE),"")</f>
        <v/>
      </c>
    </row>
    <row r="11295" spans="18:23">
      <c r="R11295" s="127">
        <f t="shared" si="399"/>
        <v>0</v>
      </c>
      <c r="W11295" s="74" t="str">
        <f>IFERROR(VLOOKUP($O11295,'Customer List'!$A$1:$J$488,10,FALSE),"")</f>
        <v/>
      </c>
    </row>
    <row r="11296" spans="18:23">
      <c r="R11296" s="127">
        <f t="shared" si="399"/>
        <v>0</v>
      </c>
      <c r="W11296" s="74" t="str">
        <f>IFERROR(VLOOKUP($O11296,'Customer List'!$A$1:$J$488,10,FALSE),"")</f>
        <v/>
      </c>
    </row>
    <row r="11297" spans="18:23">
      <c r="R11297" s="127">
        <f t="shared" si="399"/>
        <v>0</v>
      </c>
      <c r="W11297" s="74" t="str">
        <f>IFERROR(VLOOKUP($O11297,'Customer List'!$A$1:$J$488,10,FALSE),"")</f>
        <v/>
      </c>
    </row>
    <row r="11298" spans="18:23">
      <c r="R11298" s="127">
        <f t="shared" ref="R11298:R11361" si="400">L11298-K11298</f>
        <v>0</v>
      </c>
      <c r="W11298" s="74" t="str">
        <f>IFERROR(VLOOKUP($O11298,'Customer List'!$A$1:$J$488,10,FALSE),"")</f>
        <v/>
      </c>
    </row>
    <row r="11299" spans="18:23">
      <c r="R11299" s="127">
        <f t="shared" si="400"/>
        <v>0</v>
      </c>
      <c r="W11299" s="74" t="str">
        <f>IFERROR(VLOOKUP($O11299,'Customer List'!$A$1:$J$488,10,FALSE),"")</f>
        <v/>
      </c>
    </row>
    <row r="11300" spans="18:23">
      <c r="R11300" s="127">
        <f t="shared" si="400"/>
        <v>0</v>
      </c>
      <c r="W11300" s="74" t="str">
        <f>IFERROR(VLOOKUP($O11300,'Customer List'!$A$1:$J$488,10,FALSE),"")</f>
        <v/>
      </c>
    </row>
    <row r="11301" spans="18:23">
      <c r="R11301" s="127">
        <f t="shared" si="400"/>
        <v>0</v>
      </c>
      <c r="W11301" s="74" t="str">
        <f>IFERROR(VLOOKUP($O11301,'Customer List'!$A$1:$J$488,10,FALSE),"")</f>
        <v/>
      </c>
    </row>
    <row r="11302" spans="18:23">
      <c r="R11302" s="127">
        <f t="shared" si="400"/>
        <v>0</v>
      </c>
      <c r="W11302" s="74" t="str">
        <f>IFERROR(VLOOKUP($O11302,'Customer List'!$A$1:$J$488,10,FALSE),"")</f>
        <v/>
      </c>
    </row>
    <row r="11303" spans="18:23">
      <c r="R11303" s="127">
        <f t="shared" si="400"/>
        <v>0</v>
      </c>
      <c r="W11303" s="74" t="str">
        <f>IFERROR(VLOOKUP($O11303,'Customer List'!$A$1:$J$488,10,FALSE),"")</f>
        <v/>
      </c>
    </row>
    <row r="11304" spans="18:23">
      <c r="R11304" s="127">
        <f t="shared" si="400"/>
        <v>0</v>
      </c>
      <c r="W11304" s="74" t="str">
        <f>IFERROR(VLOOKUP($O11304,'Customer List'!$A$1:$J$488,10,FALSE),"")</f>
        <v/>
      </c>
    </row>
    <row r="11305" spans="18:23">
      <c r="R11305" s="127">
        <f t="shared" si="400"/>
        <v>0</v>
      </c>
      <c r="W11305" s="74" t="str">
        <f>IFERROR(VLOOKUP($O11305,'Customer List'!$A$1:$J$488,10,FALSE),"")</f>
        <v/>
      </c>
    </row>
    <row r="11306" spans="18:23">
      <c r="R11306" s="127">
        <f t="shared" si="400"/>
        <v>0</v>
      </c>
      <c r="W11306" s="74" t="str">
        <f>IFERROR(VLOOKUP($O11306,'Customer List'!$A$1:$J$488,10,FALSE),"")</f>
        <v/>
      </c>
    </row>
    <row r="11307" spans="18:23">
      <c r="R11307" s="127">
        <f t="shared" si="400"/>
        <v>0</v>
      </c>
      <c r="W11307" s="74" t="str">
        <f>IFERROR(VLOOKUP($O11307,'Customer List'!$A$1:$J$488,10,FALSE),"")</f>
        <v/>
      </c>
    </row>
    <row r="11308" spans="18:23">
      <c r="R11308" s="127">
        <f t="shared" si="400"/>
        <v>0</v>
      </c>
      <c r="W11308" s="74" t="str">
        <f>IFERROR(VLOOKUP($O11308,'Customer List'!$A$1:$J$488,10,FALSE),"")</f>
        <v/>
      </c>
    </row>
    <row r="11309" spans="18:23">
      <c r="R11309" s="127">
        <f t="shared" si="400"/>
        <v>0</v>
      </c>
      <c r="W11309" s="74" t="str">
        <f>IFERROR(VLOOKUP($O11309,'Customer List'!$A$1:$J$488,10,FALSE),"")</f>
        <v/>
      </c>
    </row>
    <row r="11310" spans="18:23">
      <c r="R11310" s="127">
        <f t="shared" si="400"/>
        <v>0</v>
      </c>
      <c r="W11310" s="74" t="str">
        <f>IFERROR(VLOOKUP($O11310,'Customer List'!$A$1:$J$488,10,FALSE),"")</f>
        <v/>
      </c>
    </row>
    <row r="11311" spans="18:23">
      <c r="R11311" s="127">
        <f t="shared" si="400"/>
        <v>0</v>
      </c>
      <c r="W11311" s="74" t="str">
        <f>IFERROR(VLOOKUP($O11311,'Customer List'!$A$1:$J$488,10,FALSE),"")</f>
        <v/>
      </c>
    </row>
    <row r="11312" spans="18:23">
      <c r="R11312" s="127">
        <f t="shared" si="400"/>
        <v>0</v>
      </c>
      <c r="W11312" s="74" t="str">
        <f>IFERROR(VLOOKUP($O11312,'Customer List'!$A$1:$J$488,10,FALSE),"")</f>
        <v/>
      </c>
    </row>
    <row r="11313" spans="18:23">
      <c r="R11313" s="127">
        <f t="shared" si="400"/>
        <v>0</v>
      </c>
      <c r="W11313" s="74" t="str">
        <f>IFERROR(VLOOKUP($O11313,'Customer List'!$A$1:$J$488,10,FALSE),"")</f>
        <v/>
      </c>
    </row>
    <row r="11314" spans="18:23">
      <c r="R11314" s="127">
        <f t="shared" si="400"/>
        <v>0</v>
      </c>
      <c r="W11314" s="74" t="str">
        <f>IFERROR(VLOOKUP($O11314,'Customer List'!$A$1:$J$488,10,FALSE),"")</f>
        <v/>
      </c>
    </row>
    <row r="11315" spans="18:23">
      <c r="R11315" s="127">
        <f t="shared" si="400"/>
        <v>0</v>
      </c>
      <c r="W11315" s="74" t="str">
        <f>IFERROR(VLOOKUP($O11315,'Customer List'!$A$1:$J$488,10,FALSE),"")</f>
        <v/>
      </c>
    </row>
    <row r="11316" spans="18:23">
      <c r="R11316" s="127">
        <f t="shared" si="400"/>
        <v>0</v>
      </c>
      <c r="W11316" s="74" t="str">
        <f>IFERROR(VLOOKUP($O11316,'Customer List'!$A$1:$J$488,10,FALSE),"")</f>
        <v/>
      </c>
    </row>
    <row r="11317" spans="18:23">
      <c r="R11317" s="127">
        <f t="shared" si="400"/>
        <v>0</v>
      </c>
      <c r="W11317" s="74" t="str">
        <f>IFERROR(VLOOKUP($O11317,'Customer List'!$A$1:$J$488,10,FALSE),"")</f>
        <v/>
      </c>
    </row>
    <row r="11318" spans="18:23">
      <c r="R11318" s="127">
        <f t="shared" si="400"/>
        <v>0</v>
      </c>
      <c r="W11318" s="74" t="str">
        <f>IFERROR(VLOOKUP($O11318,'Customer List'!$A$1:$J$488,10,FALSE),"")</f>
        <v/>
      </c>
    </row>
    <row r="11319" spans="18:23">
      <c r="R11319" s="127">
        <f t="shared" si="400"/>
        <v>0</v>
      </c>
      <c r="W11319" s="74" t="str">
        <f>IFERROR(VLOOKUP($O11319,'Customer List'!$A$1:$J$488,10,FALSE),"")</f>
        <v/>
      </c>
    </row>
    <row r="11320" spans="18:23">
      <c r="R11320" s="127">
        <f t="shared" si="400"/>
        <v>0</v>
      </c>
      <c r="W11320" s="74" t="str">
        <f>IFERROR(VLOOKUP($O11320,'Customer List'!$A$1:$J$488,10,FALSE),"")</f>
        <v/>
      </c>
    </row>
    <row r="11321" spans="18:23">
      <c r="R11321" s="127">
        <f t="shared" si="400"/>
        <v>0</v>
      </c>
      <c r="W11321" s="74" t="str">
        <f>IFERROR(VLOOKUP($O11321,'Customer List'!$A$1:$J$488,10,FALSE),"")</f>
        <v/>
      </c>
    </row>
    <row r="11322" spans="18:23">
      <c r="R11322" s="127">
        <f t="shared" si="400"/>
        <v>0</v>
      </c>
      <c r="W11322" s="74" t="str">
        <f>IFERROR(VLOOKUP($O11322,'Customer List'!$A$1:$J$488,10,FALSE),"")</f>
        <v/>
      </c>
    </row>
    <row r="11323" spans="18:23">
      <c r="R11323" s="127">
        <f t="shared" si="400"/>
        <v>0</v>
      </c>
      <c r="W11323" s="74" t="str">
        <f>IFERROR(VLOOKUP($O11323,'Customer List'!$A$1:$J$488,10,FALSE),"")</f>
        <v/>
      </c>
    </row>
    <row r="11324" spans="18:23">
      <c r="R11324" s="127">
        <f t="shared" si="400"/>
        <v>0</v>
      </c>
      <c r="W11324" s="74" t="str">
        <f>IFERROR(VLOOKUP($O11324,'Customer List'!$A$1:$J$488,10,FALSE),"")</f>
        <v/>
      </c>
    </row>
    <row r="11325" spans="18:23">
      <c r="R11325" s="127">
        <f t="shared" si="400"/>
        <v>0</v>
      </c>
      <c r="W11325" s="74" t="str">
        <f>IFERROR(VLOOKUP($O11325,'Customer List'!$A$1:$J$488,10,FALSE),"")</f>
        <v/>
      </c>
    </row>
    <row r="11326" spans="18:23">
      <c r="R11326" s="127">
        <f t="shared" si="400"/>
        <v>0</v>
      </c>
      <c r="W11326" s="74" t="str">
        <f>IFERROR(VLOOKUP($O11326,'Customer List'!$A$1:$J$488,10,FALSE),"")</f>
        <v/>
      </c>
    </row>
    <row r="11327" spans="18:23">
      <c r="R11327" s="127">
        <f t="shared" si="400"/>
        <v>0</v>
      </c>
      <c r="W11327" s="74" t="str">
        <f>IFERROR(VLOOKUP($O11327,'Customer List'!$A$1:$J$488,10,FALSE),"")</f>
        <v/>
      </c>
    </row>
    <row r="11328" spans="18:23">
      <c r="R11328" s="127">
        <f t="shared" si="400"/>
        <v>0</v>
      </c>
      <c r="W11328" s="74" t="str">
        <f>IFERROR(VLOOKUP($O11328,'Customer List'!$A$1:$J$488,10,FALSE),"")</f>
        <v/>
      </c>
    </row>
    <row r="11329" spans="18:23">
      <c r="R11329" s="127">
        <f t="shared" si="400"/>
        <v>0</v>
      </c>
      <c r="W11329" s="74" t="str">
        <f>IFERROR(VLOOKUP($O11329,'Customer List'!$A$1:$J$488,10,FALSE),"")</f>
        <v/>
      </c>
    </row>
    <row r="11330" spans="18:23">
      <c r="R11330" s="127">
        <f t="shared" si="400"/>
        <v>0</v>
      </c>
      <c r="W11330" s="74" t="str">
        <f>IFERROR(VLOOKUP($O11330,'Customer List'!$A$1:$J$488,10,FALSE),"")</f>
        <v/>
      </c>
    </row>
    <row r="11331" spans="18:23">
      <c r="R11331" s="127">
        <f t="shared" si="400"/>
        <v>0</v>
      </c>
      <c r="W11331" s="74" t="str">
        <f>IFERROR(VLOOKUP($O11331,'Customer List'!$A$1:$J$488,10,FALSE),"")</f>
        <v/>
      </c>
    </row>
    <row r="11332" spans="18:23">
      <c r="R11332" s="127">
        <f t="shared" si="400"/>
        <v>0</v>
      </c>
      <c r="W11332" s="74" t="str">
        <f>IFERROR(VLOOKUP($O11332,'Customer List'!$A$1:$J$488,10,FALSE),"")</f>
        <v/>
      </c>
    </row>
    <row r="11333" spans="18:23">
      <c r="R11333" s="127">
        <f t="shared" si="400"/>
        <v>0</v>
      </c>
      <c r="W11333" s="74" t="str">
        <f>IFERROR(VLOOKUP($O11333,'Customer List'!$A$1:$J$488,10,FALSE),"")</f>
        <v/>
      </c>
    </row>
    <row r="11334" spans="18:23">
      <c r="R11334" s="127">
        <f t="shared" si="400"/>
        <v>0</v>
      </c>
      <c r="W11334" s="74" t="str">
        <f>IFERROR(VLOOKUP($O11334,'Customer List'!$A$1:$J$488,10,FALSE),"")</f>
        <v/>
      </c>
    </row>
    <row r="11335" spans="18:23">
      <c r="R11335" s="127">
        <f t="shared" si="400"/>
        <v>0</v>
      </c>
      <c r="W11335" s="74" t="str">
        <f>IFERROR(VLOOKUP($O11335,'Customer List'!$A$1:$J$488,10,FALSE),"")</f>
        <v/>
      </c>
    </row>
    <row r="11336" spans="18:23">
      <c r="R11336" s="127">
        <f t="shared" si="400"/>
        <v>0</v>
      </c>
      <c r="W11336" s="74" t="str">
        <f>IFERROR(VLOOKUP($O11336,'Customer List'!$A$1:$J$488,10,FALSE),"")</f>
        <v/>
      </c>
    </row>
    <row r="11337" spans="18:23">
      <c r="R11337" s="127">
        <f t="shared" si="400"/>
        <v>0</v>
      </c>
      <c r="W11337" s="74" t="str">
        <f>IFERROR(VLOOKUP($O11337,'Customer List'!$A$1:$J$488,10,FALSE),"")</f>
        <v/>
      </c>
    </row>
    <row r="11338" spans="18:23">
      <c r="R11338" s="127">
        <f t="shared" si="400"/>
        <v>0</v>
      </c>
      <c r="W11338" s="74" t="str">
        <f>IFERROR(VLOOKUP($O11338,'Customer List'!$A$1:$J$488,10,FALSE),"")</f>
        <v/>
      </c>
    </row>
    <row r="11339" spans="18:23">
      <c r="R11339" s="127">
        <f t="shared" si="400"/>
        <v>0</v>
      </c>
      <c r="W11339" s="74" t="str">
        <f>IFERROR(VLOOKUP($O11339,'Customer List'!$A$1:$J$488,10,FALSE),"")</f>
        <v/>
      </c>
    </row>
    <row r="11340" spans="18:23">
      <c r="R11340" s="127">
        <f t="shared" si="400"/>
        <v>0</v>
      </c>
      <c r="W11340" s="74" t="str">
        <f>IFERROR(VLOOKUP($O11340,'Customer List'!$A$1:$J$488,10,FALSE),"")</f>
        <v/>
      </c>
    </row>
    <row r="11341" spans="18:23">
      <c r="R11341" s="127">
        <f t="shared" si="400"/>
        <v>0</v>
      </c>
      <c r="W11341" s="74" t="str">
        <f>IFERROR(VLOOKUP($O11341,'Customer List'!$A$1:$J$488,10,FALSE),"")</f>
        <v/>
      </c>
    </row>
    <row r="11342" spans="18:23">
      <c r="R11342" s="127">
        <f t="shared" si="400"/>
        <v>0</v>
      </c>
      <c r="W11342" s="74" t="str">
        <f>IFERROR(VLOOKUP($O11342,'Customer List'!$A$1:$J$488,10,FALSE),"")</f>
        <v/>
      </c>
    </row>
    <row r="11343" spans="18:23">
      <c r="R11343" s="127">
        <f t="shared" si="400"/>
        <v>0</v>
      </c>
      <c r="W11343" s="74" t="str">
        <f>IFERROR(VLOOKUP($O11343,'Customer List'!$A$1:$J$488,10,FALSE),"")</f>
        <v/>
      </c>
    </row>
    <row r="11344" spans="18:23">
      <c r="R11344" s="127">
        <f t="shared" si="400"/>
        <v>0</v>
      </c>
      <c r="W11344" s="74" t="str">
        <f>IFERROR(VLOOKUP($O11344,'Customer List'!$A$1:$J$488,10,FALSE),"")</f>
        <v/>
      </c>
    </row>
    <row r="11345" spans="18:23">
      <c r="R11345" s="127">
        <f t="shared" si="400"/>
        <v>0</v>
      </c>
      <c r="W11345" s="74" t="str">
        <f>IFERROR(VLOOKUP($O11345,'Customer List'!$A$1:$J$488,10,FALSE),"")</f>
        <v/>
      </c>
    </row>
    <row r="11346" spans="18:23">
      <c r="R11346" s="127">
        <f t="shared" si="400"/>
        <v>0</v>
      </c>
      <c r="W11346" s="74" t="str">
        <f>IFERROR(VLOOKUP($O11346,'Customer List'!$A$1:$J$488,10,FALSE),"")</f>
        <v/>
      </c>
    </row>
    <row r="11347" spans="18:23">
      <c r="R11347" s="127">
        <f t="shared" si="400"/>
        <v>0</v>
      </c>
      <c r="W11347" s="74" t="str">
        <f>IFERROR(VLOOKUP($O11347,'Customer List'!$A$1:$J$488,10,FALSE),"")</f>
        <v/>
      </c>
    </row>
    <row r="11348" spans="18:23">
      <c r="R11348" s="127">
        <f t="shared" si="400"/>
        <v>0</v>
      </c>
      <c r="W11348" s="74" t="str">
        <f>IFERROR(VLOOKUP($O11348,'Customer List'!$A$1:$J$488,10,FALSE),"")</f>
        <v/>
      </c>
    </row>
    <row r="11349" spans="18:23">
      <c r="R11349" s="127">
        <f t="shared" si="400"/>
        <v>0</v>
      </c>
      <c r="W11349" s="74" t="str">
        <f>IFERROR(VLOOKUP($O11349,'Customer List'!$A$1:$J$488,10,FALSE),"")</f>
        <v/>
      </c>
    </row>
    <row r="11350" spans="18:23">
      <c r="R11350" s="127">
        <f t="shared" si="400"/>
        <v>0</v>
      </c>
      <c r="W11350" s="74" t="str">
        <f>IFERROR(VLOOKUP($O11350,'Customer List'!$A$1:$J$488,10,FALSE),"")</f>
        <v/>
      </c>
    </row>
    <row r="11351" spans="18:23">
      <c r="R11351" s="127">
        <f t="shared" si="400"/>
        <v>0</v>
      </c>
      <c r="W11351" s="74" t="str">
        <f>IFERROR(VLOOKUP($O11351,'Customer List'!$A$1:$J$488,10,FALSE),"")</f>
        <v/>
      </c>
    </row>
    <row r="11352" spans="18:23">
      <c r="R11352" s="127">
        <f t="shared" si="400"/>
        <v>0</v>
      </c>
      <c r="W11352" s="74" t="str">
        <f>IFERROR(VLOOKUP($O11352,'Customer List'!$A$1:$J$488,10,FALSE),"")</f>
        <v/>
      </c>
    </row>
    <row r="11353" spans="18:23">
      <c r="R11353" s="127">
        <f t="shared" si="400"/>
        <v>0</v>
      </c>
      <c r="W11353" s="74" t="str">
        <f>IFERROR(VLOOKUP($O11353,'Customer List'!$A$1:$J$488,10,FALSE),"")</f>
        <v/>
      </c>
    </row>
    <row r="11354" spans="18:23">
      <c r="R11354" s="127">
        <f t="shared" si="400"/>
        <v>0</v>
      </c>
      <c r="W11354" s="74" t="str">
        <f>IFERROR(VLOOKUP($O11354,'Customer List'!$A$1:$J$488,10,FALSE),"")</f>
        <v/>
      </c>
    </row>
    <row r="11355" spans="18:23">
      <c r="R11355" s="127">
        <f t="shared" si="400"/>
        <v>0</v>
      </c>
      <c r="W11355" s="74" t="str">
        <f>IFERROR(VLOOKUP($O11355,'Customer List'!$A$1:$J$488,10,FALSE),"")</f>
        <v/>
      </c>
    </row>
    <row r="11356" spans="18:23">
      <c r="R11356" s="127">
        <f t="shared" si="400"/>
        <v>0</v>
      </c>
      <c r="W11356" s="74" t="str">
        <f>IFERROR(VLOOKUP($O11356,'Customer List'!$A$1:$J$488,10,FALSE),"")</f>
        <v/>
      </c>
    </row>
    <row r="11357" spans="18:23">
      <c r="R11357" s="127">
        <f t="shared" si="400"/>
        <v>0</v>
      </c>
      <c r="W11357" s="74" t="str">
        <f>IFERROR(VLOOKUP($O11357,'Customer List'!$A$1:$J$488,10,FALSE),"")</f>
        <v/>
      </c>
    </row>
    <row r="11358" spans="18:23">
      <c r="R11358" s="127">
        <f t="shared" si="400"/>
        <v>0</v>
      </c>
      <c r="W11358" s="74" t="str">
        <f>IFERROR(VLOOKUP($O11358,'Customer List'!$A$1:$J$488,10,FALSE),"")</f>
        <v/>
      </c>
    </row>
    <row r="11359" spans="18:23">
      <c r="R11359" s="127">
        <f t="shared" si="400"/>
        <v>0</v>
      </c>
      <c r="W11359" s="74" t="str">
        <f>IFERROR(VLOOKUP($O11359,'Customer List'!$A$1:$J$488,10,FALSE),"")</f>
        <v/>
      </c>
    </row>
    <row r="11360" spans="18:23">
      <c r="R11360" s="127">
        <f t="shared" si="400"/>
        <v>0</v>
      </c>
      <c r="W11360" s="74" t="str">
        <f>IFERROR(VLOOKUP($O11360,'Customer List'!$A$1:$J$488,10,FALSE),"")</f>
        <v/>
      </c>
    </row>
    <row r="11361" spans="18:23">
      <c r="R11361" s="127">
        <f t="shared" si="400"/>
        <v>0</v>
      </c>
      <c r="W11361" s="74" t="str">
        <f>IFERROR(VLOOKUP($O11361,'Customer List'!$A$1:$J$488,10,FALSE),"")</f>
        <v/>
      </c>
    </row>
    <row r="11362" spans="18:23">
      <c r="R11362" s="127">
        <f t="shared" ref="R11362:R11425" si="401">L11362-K11362</f>
        <v>0</v>
      </c>
      <c r="W11362" s="74" t="str">
        <f>IFERROR(VLOOKUP($O11362,'Customer List'!$A$1:$J$488,10,FALSE),"")</f>
        <v/>
      </c>
    </row>
    <row r="11363" spans="18:23">
      <c r="R11363" s="127">
        <f t="shared" si="401"/>
        <v>0</v>
      </c>
      <c r="W11363" s="74" t="str">
        <f>IFERROR(VLOOKUP($O11363,'Customer List'!$A$1:$J$488,10,FALSE),"")</f>
        <v/>
      </c>
    </row>
    <row r="11364" spans="18:23">
      <c r="R11364" s="127">
        <f t="shared" si="401"/>
        <v>0</v>
      </c>
      <c r="W11364" s="74" t="str">
        <f>IFERROR(VLOOKUP($O11364,'Customer List'!$A$1:$J$488,10,FALSE),"")</f>
        <v/>
      </c>
    </row>
    <row r="11365" spans="18:23">
      <c r="R11365" s="127">
        <f t="shared" si="401"/>
        <v>0</v>
      </c>
      <c r="W11365" s="74" t="str">
        <f>IFERROR(VLOOKUP($O11365,'Customer List'!$A$1:$J$488,10,FALSE),"")</f>
        <v/>
      </c>
    </row>
    <row r="11366" spans="18:23">
      <c r="R11366" s="127">
        <f t="shared" si="401"/>
        <v>0</v>
      </c>
      <c r="W11366" s="74" t="str">
        <f>IFERROR(VLOOKUP($O11366,'Customer List'!$A$1:$J$488,10,FALSE),"")</f>
        <v/>
      </c>
    </row>
    <row r="11367" spans="18:23">
      <c r="R11367" s="127">
        <f t="shared" si="401"/>
        <v>0</v>
      </c>
      <c r="W11367" s="74" t="str">
        <f>IFERROR(VLOOKUP($O11367,'Customer List'!$A$1:$J$488,10,FALSE),"")</f>
        <v/>
      </c>
    </row>
    <row r="11368" spans="18:23">
      <c r="R11368" s="127">
        <f t="shared" si="401"/>
        <v>0</v>
      </c>
      <c r="W11368" s="74" t="str">
        <f>IFERROR(VLOOKUP($O11368,'Customer List'!$A$1:$J$488,10,FALSE),"")</f>
        <v/>
      </c>
    </row>
    <row r="11369" spans="18:23">
      <c r="R11369" s="127">
        <f t="shared" si="401"/>
        <v>0</v>
      </c>
      <c r="W11369" s="74" t="str">
        <f>IFERROR(VLOOKUP($O11369,'Customer List'!$A$1:$J$488,10,FALSE),"")</f>
        <v/>
      </c>
    </row>
    <row r="11370" spans="18:23">
      <c r="R11370" s="127">
        <f t="shared" si="401"/>
        <v>0</v>
      </c>
      <c r="W11370" s="74" t="str">
        <f>IFERROR(VLOOKUP($O11370,'Customer List'!$A$1:$J$488,10,FALSE),"")</f>
        <v/>
      </c>
    </row>
    <row r="11371" spans="18:23">
      <c r="R11371" s="127">
        <f t="shared" si="401"/>
        <v>0</v>
      </c>
      <c r="W11371" s="74" t="str">
        <f>IFERROR(VLOOKUP($O11371,'Customer List'!$A$1:$J$488,10,FALSE),"")</f>
        <v/>
      </c>
    </row>
    <row r="11372" spans="18:23">
      <c r="R11372" s="127">
        <f t="shared" si="401"/>
        <v>0</v>
      </c>
      <c r="W11372" s="74" t="str">
        <f>IFERROR(VLOOKUP($O11372,'Customer List'!$A$1:$J$488,10,FALSE),"")</f>
        <v/>
      </c>
    </row>
    <row r="11373" spans="18:23">
      <c r="R11373" s="127">
        <f t="shared" si="401"/>
        <v>0</v>
      </c>
      <c r="W11373" s="74" t="str">
        <f>IFERROR(VLOOKUP($O11373,'Customer List'!$A$1:$J$488,10,FALSE),"")</f>
        <v/>
      </c>
    </row>
    <row r="11374" spans="18:23">
      <c r="R11374" s="127">
        <f t="shared" si="401"/>
        <v>0</v>
      </c>
      <c r="W11374" s="74" t="str">
        <f>IFERROR(VLOOKUP($O11374,'Customer List'!$A$1:$J$488,10,FALSE),"")</f>
        <v/>
      </c>
    </row>
    <row r="11375" spans="18:23">
      <c r="R11375" s="127">
        <f t="shared" si="401"/>
        <v>0</v>
      </c>
      <c r="W11375" s="74" t="str">
        <f>IFERROR(VLOOKUP($O11375,'Customer List'!$A$1:$J$488,10,FALSE),"")</f>
        <v/>
      </c>
    </row>
    <row r="11376" spans="18:23">
      <c r="R11376" s="127">
        <f t="shared" si="401"/>
        <v>0</v>
      </c>
      <c r="W11376" s="74" t="str">
        <f>IFERROR(VLOOKUP($O11376,'Customer List'!$A$1:$J$488,10,FALSE),"")</f>
        <v/>
      </c>
    </row>
    <row r="11377" spans="18:23">
      <c r="R11377" s="127">
        <f t="shared" si="401"/>
        <v>0</v>
      </c>
      <c r="W11377" s="74" t="str">
        <f>IFERROR(VLOOKUP($O11377,'Customer List'!$A$1:$J$488,10,FALSE),"")</f>
        <v/>
      </c>
    </row>
    <row r="11378" spans="18:23">
      <c r="R11378" s="127">
        <f t="shared" si="401"/>
        <v>0</v>
      </c>
      <c r="W11378" s="74" t="str">
        <f>IFERROR(VLOOKUP($O11378,'Customer List'!$A$1:$J$488,10,FALSE),"")</f>
        <v/>
      </c>
    </row>
    <row r="11379" spans="18:23">
      <c r="R11379" s="127">
        <f t="shared" si="401"/>
        <v>0</v>
      </c>
      <c r="W11379" s="74" t="str">
        <f>IFERROR(VLOOKUP($O11379,'Customer List'!$A$1:$J$488,10,FALSE),"")</f>
        <v/>
      </c>
    </row>
    <row r="11380" spans="18:23">
      <c r="R11380" s="127">
        <f t="shared" si="401"/>
        <v>0</v>
      </c>
      <c r="W11380" s="74" t="str">
        <f>IFERROR(VLOOKUP($O11380,'Customer List'!$A$1:$J$488,10,FALSE),"")</f>
        <v/>
      </c>
    </row>
    <row r="11381" spans="18:23">
      <c r="R11381" s="127">
        <f t="shared" si="401"/>
        <v>0</v>
      </c>
      <c r="W11381" s="74" t="str">
        <f>IFERROR(VLOOKUP($O11381,'Customer List'!$A$1:$J$488,10,FALSE),"")</f>
        <v/>
      </c>
    </row>
    <row r="11382" spans="18:23">
      <c r="R11382" s="127">
        <f t="shared" si="401"/>
        <v>0</v>
      </c>
      <c r="W11382" s="74" t="str">
        <f>IFERROR(VLOOKUP($O11382,'Customer List'!$A$1:$J$488,10,FALSE),"")</f>
        <v/>
      </c>
    </row>
    <row r="11383" spans="18:23">
      <c r="R11383" s="127">
        <f t="shared" si="401"/>
        <v>0</v>
      </c>
      <c r="W11383" s="74" t="str">
        <f>IFERROR(VLOOKUP($O11383,'Customer List'!$A$1:$J$488,10,FALSE),"")</f>
        <v/>
      </c>
    </row>
    <row r="11384" spans="18:23">
      <c r="R11384" s="127">
        <f t="shared" si="401"/>
        <v>0</v>
      </c>
      <c r="W11384" s="74" t="str">
        <f>IFERROR(VLOOKUP($O11384,'Customer List'!$A$1:$J$488,10,FALSE),"")</f>
        <v/>
      </c>
    </row>
    <row r="11385" spans="18:23">
      <c r="R11385" s="127">
        <f t="shared" si="401"/>
        <v>0</v>
      </c>
      <c r="W11385" s="74" t="str">
        <f>IFERROR(VLOOKUP($O11385,'Customer List'!$A$1:$J$488,10,FALSE),"")</f>
        <v/>
      </c>
    </row>
    <row r="11386" spans="18:23">
      <c r="R11386" s="127">
        <f t="shared" si="401"/>
        <v>0</v>
      </c>
      <c r="W11386" s="74" t="str">
        <f>IFERROR(VLOOKUP($O11386,'Customer List'!$A$1:$J$488,10,FALSE),"")</f>
        <v/>
      </c>
    </row>
    <row r="11387" spans="18:23">
      <c r="R11387" s="127">
        <f t="shared" si="401"/>
        <v>0</v>
      </c>
      <c r="W11387" s="74" t="str">
        <f>IFERROR(VLOOKUP($O11387,'Customer List'!$A$1:$J$488,10,FALSE),"")</f>
        <v/>
      </c>
    </row>
    <row r="11388" spans="18:23">
      <c r="R11388" s="127">
        <f t="shared" si="401"/>
        <v>0</v>
      </c>
      <c r="W11388" s="74" t="str">
        <f>IFERROR(VLOOKUP($O11388,'Customer List'!$A$1:$J$488,10,FALSE),"")</f>
        <v/>
      </c>
    </row>
    <row r="11389" spans="18:23">
      <c r="R11389" s="127">
        <f t="shared" si="401"/>
        <v>0</v>
      </c>
      <c r="W11389" s="74" t="str">
        <f>IFERROR(VLOOKUP($O11389,'Customer List'!$A$1:$J$488,10,FALSE),"")</f>
        <v/>
      </c>
    </row>
    <row r="11390" spans="18:23">
      <c r="R11390" s="127">
        <f t="shared" si="401"/>
        <v>0</v>
      </c>
      <c r="W11390" s="74" t="str">
        <f>IFERROR(VLOOKUP($O11390,'Customer List'!$A$1:$J$488,10,FALSE),"")</f>
        <v/>
      </c>
    </row>
    <row r="11391" spans="18:23">
      <c r="R11391" s="127">
        <f t="shared" si="401"/>
        <v>0</v>
      </c>
      <c r="W11391" s="74" t="str">
        <f>IFERROR(VLOOKUP($O11391,'Customer List'!$A$1:$J$488,10,FALSE),"")</f>
        <v/>
      </c>
    </row>
    <row r="11392" spans="18:23">
      <c r="R11392" s="127">
        <f t="shared" si="401"/>
        <v>0</v>
      </c>
      <c r="W11392" s="74" t="str">
        <f>IFERROR(VLOOKUP($O11392,'Customer List'!$A$1:$J$488,10,FALSE),"")</f>
        <v/>
      </c>
    </row>
    <row r="11393" spans="18:23">
      <c r="R11393" s="127">
        <f t="shared" si="401"/>
        <v>0</v>
      </c>
      <c r="W11393" s="74" t="str">
        <f>IFERROR(VLOOKUP($O11393,'Customer List'!$A$1:$J$488,10,FALSE),"")</f>
        <v/>
      </c>
    </row>
    <row r="11394" spans="18:23">
      <c r="R11394" s="127">
        <f t="shared" si="401"/>
        <v>0</v>
      </c>
      <c r="W11394" s="74" t="str">
        <f>IFERROR(VLOOKUP($O11394,'Customer List'!$A$1:$J$488,10,FALSE),"")</f>
        <v/>
      </c>
    </row>
    <row r="11395" spans="18:23">
      <c r="R11395" s="127">
        <f t="shared" si="401"/>
        <v>0</v>
      </c>
      <c r="W11395" s="74" t="str">
        <f>IFERROR(VLOOKUP($O11395,'Customer List'!$A$1:$J$488,10,FALSE),"")</f>
        <v/>
      </c>
    </row>
    <row r="11396" spans="18:23">
      <c r="R11396" s="127">
        <f t="shared" si="401"/>
        <v>0</v>
      </c>
      <c r="W11396" s="74" t="str">
        <f>IFERROR(VLOOKUP($O11396,'Customer List'!$A$1:$J$488,10,FALSE),"")</f>
        <v/>
      </c>
    </row>
    <row r="11397" spans="18:23">
      <c r="R11397" s="127">
        <f t="shared" si="401"/>
        <v>0</v>
      </c>
      <c r="W11397" s="74" t="str">
        <f>IFERROR(VLOOKUP($O11397,'Customer List'!$A$1:$J$488,10,FALSE),"")</f>
        <v/>
      </c>
    </row>
    <row r="11398" spans="18:23">
      <c r="R11398" s="127">
        <f t="shared" si="401"/>
        <v>0</v>
      </c>
      <c r="W11398" s="74" t="str">
        <f>IFERROR(VLOOKUP($O11398,'Customer List'!$A$1:$J$488,10,FALSE),"")</f>
        <v/>
      </c>
    </row>
    <row r="11399" spans="18:23">
      <c r="R11399" s="127">
        <f t="shared" si="401"/>
        <v>0</v>
      </c>
      <c r="W11399" s="74" t="str">
        <f>IFERROR(VLOOKUP($O11399,'Customer List'!$A$1:$J$488,10,FALSE),"")</f>
        <v/>
      </c>
    </row>
    <row r="11400" spans="18:23">
      <c r="R11400" s="127">
        <f t="shared" si="401"/>
        <v>0</v>
      </c>
      <c r="W11400" s="74" t="str">
        <f>IFERROR(VLOOKUP($O11400,'Customer List'!$A$1:$J$488,10,FALSE),"")</f>
        <v/>
      </c>
    </row>
    <row r="11401" spans="18:23">
      <c r="R11401" s="127">
        <f t="shared" si="401"/>
        <v>0</v>
      </c>
      <c r="W11401" s="74" t="str">
        <f>IFERROR(VLOOKUP($O11401,'Customer List'!$A$1:$J$488,10,FALSE),"")</f>
        <v/>
      </c>
    </row>
    <row r="11402" spans="18:23">
      <c r="R11402" s="127">
        <f t="shared" si="401"/>
        <v>0</v>
      </c>
      <c r="W11402" s="74" t="str">
        <f>IFERROR(VLOOKUP($O11402,'Customer List'!$A$1:$J$488,10,FALSE),"")</f>
        <v/>
      </c>
    </row>
    <row r="11403" spans="18:23">
      <c r="R11403" s="127">
        <f t="shared" si="401"/>
        <v>0</v>
      </c>
      <c r="W11403" s="74" t="str">
        <f>IFERROR(VLOOKUP($O11403,'Customer List'!$A$1:$J$488,10,FALSE),"")</f>
        <v/>
      </c>
    </row>
    <row r="11404" spans="18:23">
      <c r="R11404" s="127">
        <f t="shared" si="401"/>
        <v>0</v>
      </c>
      <c r="W11404" s="74" t="str">
        <f>IFERROR(VLOOKUP($O11404,'Customer List'!$A$1:$J$488,10,FALSE),"")</f>
        <v/>
      </c>
    </row>
    <row r="11405" spans="18:23">
      <c r="R11405" s="127">
        <f t="shared" si="401"/>
        <v>0</v>
      </c>
      <c r="W11405" s="74" t="str">
        <f>IFERROR(VLOOKUP($O11405,'Customer List'!$A$1:$J$488,10,FALSE),"")</f>
        <v/>
      </c>
    </row>
    <row r="11406" spans="18:23">
      <c r="R11406" s="127">
        <f t="shared" si="401"/>
        <v>0</v>
      </c>
      <c r="W11406" s="74" t="str">
        <f>IFERROR(VLOOKUP($O11406,'Customer List'!$A$1:$J$488,10,FALSE),"")</f>
        <v/>
      </c>
    </row>
    <row r="11407" spans="18:23">
      <c r="R11407" s="127">
        <f t="shared" si="401"/>
        <v>0</v>
      </c>
      <c r="W11407" s="74" t="str">
        <f>IFERROR(VLOOKUP($O11407,'Customer List'!$A$1:$J$488,10,FALSE),"")</f>
        <v/>
      </c>
    </row>
    <row r="11408" spans="18:23">
      <c r="R11408" s="127">
        <f t="shared" si="401"/>
        <v>0</v>
      </c>
      <c r="W11408" s="74" t="str">
        <f>IFERROR(VLOOKUP($O11408,'Customer List'!$A$1:$J$488,10,FALSE),"")</f>
        <v/>
      </c>
    </row>
    <row r="11409" spans="18:23">
      <c r="R11409" s="127">
        <f t="shared" si="401"/>
        <v>0</v>
      </c>
      <c r="W11409" s="74" t="str">
        <f>IFERROR(VLOOKUP($O11409,'Customer List'!$A$1:$J$488,10,FALSE),"")</f>
        <v/>
      </c>
    </row>
    <row r="11410" spans="18:23">
      <c r="R11410" s="127">
        <f t="shared" si="401"/>
        <v>0</v>
      </c>
      <c r="W11410" s="74" t="str">
        <f>IFERROR(VLOOKUP($O11410,'Customer List'!$A$1:$J$488,10,FALSE),"")</f>
        <v/>
      </c>
    </row>
    <row r="11411" spans="18:23">
      <c r="R11411" s="127">
        <f t="shared" si="401"/>
        <v>0</v>
      </c>
      <c r="W11411" s="74" t="str">
        <f>IFERROR(VLOOKUP($O11411,'Customer List'!$A$1:$J$488,10,FALSE),"")</f>
        <v/>
      </c>
    </row>
    <row r="11412" spans="18:23">
      <c r="R11412" s="127">
        <f t="shared" si="401"/>
        <v>0</v>
      </c>
      <c r="W11412" s="74" t="str">
        <f>IFERROR(VLOOKUP($O11412,'Customer List'!$A$1:$J$488,10,FALSE),"")</f>
        <v/>
      </c>
    </row>
    <row r="11413" spans="18:23">
      <c r="R11413" s="127">
        <f t="shared" si="401"/>
        <v>0</v>
      </c>
      <c r="W11413" s="74" t="str">
        <f>IFERROR(VLOOKUP($O11413,'Customer List'!$A$1:$J$488,10,FALSE),"")</f>
        <v/>
      </c>
    </row>
    <row r="11414" spans="18:23">
      <c r="R11414" s="127">
        <f t="shared" si="401"/>
        <v>0</v>
      </c>
      <c r="W11414" s="74" t="str">
        <f>IFERROR(VLOOKUP($O11414,'Customer List'!$A$1:$J$488,10,FALSE),"")</f>
        <v/>
      </c>
    </row>
    <row r="11415" spans="18:23">
      <c r="R11415" s="127">
        <f t="shared" si="401"/>
        <v>0</v>
      </c>
      <c r="W11415" s="74" t="str">
        <f>IFERROR(VLOOKUP($O11415,'Customer List'!$A$1:$J$488,10,FALSE),"")</f>
        <v/>
      </c>
    </row>
    <row r="11416" spans="18:23">
      <c r="R11416" s="127">
        <f t="shared" si="401"/>
        <v>0</v>
      </c>
      <c r="W11416" s="74" t="str">
        <f>IFERROR(VLOOKUP($O11416,'Customer List'!$A$1:$J$488,10,FALSE),"")</f>
        <v/>
      </c>
    </row>
    <row r="11417" spans="18:23">
      <c r="R11417" s="127">
        <f t="shared" si="401"/>
        <v>0</v>
      </c>
      <c r="W11417" s="74" t="str">
        <f>IFERROR(VLOOKUP($O11417,'Customer List'!$A$1:$J$488,10,FALSE),"")</f>
        <v/>
      </c>
    </row>
    <row r="11418" spans="18:23">
      <c r="R11418" s="127">
        <f t="shared" si="401"/>
        <v>0</v>
      </c>
      <c r="W11418" s="74" t="str">
        <f>IFERROR(VLOOKUP($O11418,'Customer List'!$A$1:$J$488,10,FALSE),"")</f>
        <v/>
      </c>
    </row>
    <row r="11419" spans="18:23">
      <c r="R11419" s="127">
        <f t="shared" si="401"/>
        <v>0</v>
      </c>
      <c r="W11419" s="74" t="str">
        <f>IFERROR(VLOOKUP($O11419,'Customer List'!$A$1:$J$488,10,FALSE),"")</f>
        <v/>
      </c>
    </row>
    <row r="11420" spans="18:23">
      <c r="R11420" s="127">
        <f t="shared" si="401"/>
        <v>0</v>
      </c>
      <c r="W11420" s="74" t="str">
        <f>IFERROR(VLOOKUP($O11420,'Customer List'!$A$1:$J$488,10,FALSE),"")</f>
        <v/>
      </c>
    </row>
    <row r="11421" spans="18:23">
      <c r="R11421" s="127">
        <f t="shared" si="401"/>
        <v>0</v>
      </c>
      <c r="W11421" s="74" t="str">
        <f>IFERROR(VLOOKUP($O11421,'Customer List'!$A$1:$J$488,10,FALSE),"")</f>
        <v/>
      </c>
    </row>
    <row r="11422" spans="18:23">
      <c r="R11422" s="127">
        <f t="shared" si="401"/>
        <v>0</v>
      </c>
      <c r="W11422" s="74" t="str">
        <f>IFERROR(VLOOKUP($O11422,'Customer List'!$A$1:$J$488,10,FALSE),"")</f>
        <v/>
      </c>
    </row>
    <row r="11423" spans="18:23">
      <c r="R11423" s="127">
        <f t="shared" si="401"/>
        <v>0</v>
      </c>
      <c r="W11423" s="74" t="str">
        <f>IFERROR(VLOOKUP($O11423,'Customer List'!$A$1:$J$488,10,FALSE),"")</f>
        <v/>
      </c>
    </row>
    <row r="11424" spans="18:23">
      <c r="R11424" s="127">
        <f t="shared" si="401"/>
        <v>0</v>
      </c>
      <c r="W11424" s="74" t="str">
        <f>IFERROR(VLOOKUP($O11424,'Customer List'!$A$1:$J$488,10,FALSE),"")</f>
        <v/>
      </c>
    </row>
    <row r="11425" spans="18:23">
      <c r="R11425" s="127">
        <f t="shared" si="401"/>
        <v>0</v>
      </c>
      <c r="W11425" s="74" t="str">
        <f>IFERROR(VLOOKUP($O11425,'Customer List'!$A$1:$J$488,10,FALSE),"")</f>
        <v/>
      </c>
    </row>
    <row r="11426" spans="18:23">
      <c r="R11426" s="127">
        <f t="shared" ref="R11426:R11489" si="402">L11426-K11426</f>
        <v>0</v>
      </c>
      <c r="W11426" s="74" t="str">
        <f>IFERROR(VLOOKUP($O11426,'Customer List'!$A$1:$J$488,10,FALSE),"")</f>
        <v/>
      </c>
    </row>
    <row r="11427" spans="18:23">
      <c r="R11427" s="127">
        <f t="shared" si="402"/>
        <v>0</v>
      </c>
      <c r="W11427" s="74" t="str">
        <f>IFERROR(VLOOKUP($O11427,'Customer List'!$A$1:$J$488,10,FALSE),"")</f>
        <v/>
      </c>
    </row>
    <row r="11428" spans="18:23">
      <c r="R11428" s="127">
        <f t="shared" si="402"/>
        <v>0</v>
      </c>
      <c r="W11428" s="74" t="str">
        <f>IFERROR(VLOOKUP($O11428,'Customer List'!$A$1:$J$488,10,FALSE),"")</f>
        <v/>
      </c>
    </row>
    <row r="11429" spans="18:23">
      <c r="R11429" s="127">
        <f t="shared" si="402"/>
        <v>0</v>
      </c>
      <c r="W11429" s="74" t="str">
        <f>IFERROR(VLOOKUP($O11429,'Customer List'!$A$1:$J$488,10,FALSE),"")</f>
        <v/>
      </c>
    </row>
    <row r="11430" spans="18:23">
      <c r="R11430" s="127">
        <f t="shared" si="402"/>
        <v>0</v>
      </c>
      <c r="W11430" s="74" t="str">
        <f>IFERROR(VLOOKUP($O11430,'Customer List'!$A$1:$J$488,10,FALSE),"")</f>
        <v/>
      </c>
    </row>
    <row r="11431" spans="18:23">
      <c r="R11431" s="127">
        <f t="shared" si="402"/>
        <v>0</v>
      </c>
      <c r="W11431" s="74" t="str">
        <f>IFERROR(VLOOKUP($O11431,'Customer List'!$A$1:$J$488,10,FALSE),"")</f>
        <v/>
      </c>
    </row>
    <row r="11432" spans="18:23">
      <c r="R11432" s="127">
        <f t="shared" si="402"/>
        <v>0</v>
      </c>
      <c r="W11432" s="74" t="str">
        <f>IFERROR(VLOOKUP($O11432,'Customer List'!$A$1:$J$488,10,FALSE),"")</f>
        <v/>
      </c>
    </row>
    <row r="11433" spans="18:23">
      <c r="R11433" s="127">
        <f t="shared" si="402"/>
        <v>0</v>
      </c>
      <c r="W11433" s="74" t="str">
        <f>IFERROR(VLOOKUP($O11433,'Customer List'!$A$1:$J$488,10,FALSE),"")</f>
        <v/>
      </c>
    </row>
    <row r="11434" spans="18:23">
      <c r="R11434" s="127">
        <f t="shared" si="402"/>
        <v>0</v>
      </c>
      <c r="W11434" s="74" t="str">
        <f>IFERROR(VLOOKUP($O11434,'Customer List'!$A$1:$J$488,10,FALSE),"")</f>
        <v/>
      </c>
    </row>
    <row r="11435" spans="18:23">
      <c r="R11435" s="127">
        <f t="shared" si="402"/>
        <v>0</v>
      </c>
      <c r="W11435" s="74" t="str">
        <f>IFERROR(VLOOKUP($O11435,'Customer List'!$A$1:$J$488,10,FALSE),"")</f>
        <v/>
      </c>
    </row>
    <row r="11436" spans="18:23">
      <c r="R11436" s="127">
        <f t="shared" si="402"/>
        <v>0</v>
      </c>
      <c r="W11436" s="74" t="str">
        <f>IFERROR(VLOOKUP($O11436,'Customer List'!$A$1:$J$488,10,FALSE),"")</f>
        <v/>
      </c>
    </row>
    <row r="11437" spans="18:23">
      <c r="R11437" s="127">
        <f t="shared" si="402"/>
        <v>0</v>
      </c>
      <c r="W11437" s="74" t="str">
        <f>IFERROR(VLOOKUP($O11437,'Customer List'!$A$1:$J$488,10,FALSE),"")</f>
        <v/>
      </c>
    </row>
    <row r="11438" spans="18:23">
      <c r="R11438" s="127">
        <f t="shared" si="402"/>
        <v>0</v>
      </c>
      <c r="W11438" s="74" t="str">
        <f>IFERROR(VLOOKUP($O11438,'Customer List'!$A$1:$J$488,10,FALSE),"")</f>
        <v/>
      </c>
    </row>
    <row r="11439" spans="18:23">
      <c r="R11439" s="127">
        <f t="shared" si="402"/>
        <v>0</v>
      </c>
      <c r="W11439" s="74" t="str">
        <f>IFERROR(VLOOKUP($O11439,'Customer List'!$A$1:$J$488,10,FALSE),"")</f>
        <v/>
      </c>
    </row>
    <row r="11440" spans="18:23">
      <c r="R11440" s="127">
        <f t="shared" si="402"/>
        <v>0</v>
      </c>
      <c r="W11440" s="74" t="str">
        <f>IFERROR(VLOOKUP($O11440,'Customer List'!$A$1:$J$488,10,FALSE),"")</f>
        <v/>
      </c>
    </row>
    <row r="11441" spans="18:23">
      <c r="R11441" s="127">
        <f t="shared" si="402"/>
        <v>0</v>
      </c>
      <c r="W11441" s="74" t="str">
        <f>IFERROR(VLOOKUP($O11441,'Customer List'!$A$1:$J$488,10,FALSE),"")</f>
        <v/>
      </c>
    </row>
    <row r="11442" spans="18:23">
      <c r="R11442" s="127">
        <f t="shared" si="402"/>
        <v>0</v>
      </c>
      <c r="W11442" s="74" t="str">
        <f>IFERROR(VLOOKUP($O11442,'Customer List'!$A$1:$J$488,10,FALSE),"")</f>
        <v/>
      </c>
    </row>
    <row r="11443" spans="18:23">
      <c r="R11443" s="127">
        <f t="shared" si="402"/>
        <v>0</v>
      </c>
      <c r="W11443" s="74" t="str">
        <f>IFERROR(VLOOKUP($O11443,'Customer List'!$A$1:$J$488,10,FALSE),"")</f>
        <v/>
      </c>
    </row>
    <row r="11444" spans="18:23">
      <c r="R11444" s="127">
        <f t="shared" si="402"/>
        <v>0</v>
      </c>
      <c r="W11444" s="74" t="str">
        <f>IFERROR(VLOOKUP($O11444,'Customer List'!$A$1:$J$488,10,FALSE),"")</f>
        <v/>
      </c>
    </row>
    <row r="11445" spans="18:23">
      <c r="R11445" s="127">
        <f t="shared" si="402"/>
        <v>0</v>
      </c>
      <c r="W11445" s="74" t="str">
        <f>IFERROR(VLOOKUP($O11445,'Customer List'!$A$1:$J$488,10,FALSE),"")</f>
        <v/>
      </c>
    </row>
    <row r="11446" spans="18:23">
      <c r="R11446" s="127">
        <f t="shared" si="402"/>
        <v>0</v>
      </c>
      <c r="W11446" s="74" t="str">
        <f>IFERROR(VLOOKUP($O11446,'Customer List'!$A$1:$J$488,10,FALSE),"")</f>
        <v/>
      </c>
    </row>
    <row r="11447" spans="18:23">
      <c r="R11447" s="127">
        <f t="shared" si="402"/>
        <v>0</v>
      </c>
      <c r="W11447" s="74" t="str">
        <f>IFERROR(VLOOKUP($O11447,'Customer List'!$A$1:$J$488,10,FALSE),"")</f>
        <v/>
      </c>
    </row>
    <row r="11448" spans="18:23">
      <c r="R11448" s="127">
        <f t="shared" si="402"/>
        <v>0</v>
      </c>
      <c r="W11448" s="74" t="str">
        <f>IFERROR(VLOOKUP($O11448,'Customer List'!$A$1:$J$488,10,FALSE),"")</f>
        <v/>
      </c>
    </row>
    <row r="11449" spans="18:23">
      <c r="R11449" s="127">
        <f t="shared" si="402"/>
        <v>0</v>
      </c>
      <c r="W11449" s="74" t="str">
        <f>IFERROR(VLOOKUP($O11449,'Customer List'!$A$1:$J$488,10,FALSE),"")</f>
        <v/>
      </c>
    </row>
    <row r="11450" spans="18:23">
      <c r="R11450" s="127">
        <f t="shared" si="402"/>
        <v>0</v>
      </c>
      <c r="W11450" s="74" t="str">
        <f>IFERROR(VLOOKUP($O11450,'Customer List'!$A$1:$J$488,10,FALSE),"")</f>
        <v/>
      </c>
    </row>
    <row r="11451" spans="18:23">
      <c r="R11451" s="127">
        <f t="shared" si="402"/>
        <v>0</v>
      </c>
      <c r="W11451" s="74" t="str">
        <f>IFERROR(VLOOKUP($O11451,'Customer List'!$A$1:$J$488,10,FALSE),"")</f>
        <v/>
      </c>
    </row>
    <row r="11452" spans="18:23">
      <c r="R11452" s="127">
        <f t="shared" si="402"/>
        <v>0</v>
      </c>
      <c r="W11452" s="74" t="str">
        <f>IFERROR(VLOOKUP($O11452,'Customer List'!$A$1:$J$488,10,FALSE),"")</f>
        <v/>
      </c>
    </row>
    <row r="11453" spans="18:23">
      <c r="R11453" s="127">
        <f t="shared" si="402"/>
        <v>0</v>
      </c>
      <c r="W11453" s="74" t="str">
        <f>IFERROR(VLOOKUP($O11453,'Customer List'!$A$1:$J$488,10,FALSE),"")</f>
        <v/>
      </c>
    </row>
    <row r="11454" spans="18:23">
      <c r="R11454" s="127">
        <f t="shared" si="402"/>
        <v>0</v>
      </c>
      <c r="W11454" s="74" t="str">
        <f>IFERROR(VLOOKUP($O11454,'Customer List'!$A$1:$J$488,10,FALSE),"")</f>
        <v/>
      </c>
    </row>
    <row r="11455" spans="18:23">
      <c r="R11455" s="127">
        <f t="shared" si="402"/>
        <v>0</v>
      </c>
      <c r="W11455" s="74" t="str">
        <f>IFERROR(VLOOKUP($O11455,'Customer List'!$A$1:$J$488,10,FALSE),"")</f>
        <v/>
      </c>
    </row>
    <row r="11456" spans="18:23">
      <c r="R11456" s="127">
        <f t="shared" si="402"/>
        <v>0</v>
      </c>
      <c r="W11456" s="74" t="str">
        <f>IFERROR(VLOOKUP($O11456,'Customer List'!$A$1:$J$488,10,FALSE),"")</f>
        <v/>
      </c>
    </row>
    <row r="11457" spans="18:23">
      <c r="R11457" s="127">
        <f t="shared" si="402"/>
        <v>0</v>
      </c>
      <c r="W11457" s="74" t="str">
        <f>IFERROR(VLOOKUP($O11457,'Customer List'!$A$1:$J$488,10,FALSE),"")</f>
        <v/>
      </c>
    </row>
    <row r="11458" spans="18:23">
      <c r="R11458" s="127">
        <f t="shared" si="402"/>
        <v>0</v>
      </c>
      <c r="W11458" s="74" t="str">
        <f>IFERROR(VLOOKUP($O11458,'Customer List'!$A$1:$J$488,10,FALSE),"")</f>
        <v/>
      </c>
    </row>
    <row r="11459" spans="18:23">
      <c r="R11459" s="127">
        <f t="shared" si="402"/>
        <v>0</v>
      </c>
      <c r="W11459" s="74" t="str">
        <f>IFERROR(VLOOKUP($O11459,'Customer List'!$A$1:$J$488,10,FALSE),"")</f>
        <v/>
      </c>
    </row>
    <row r="11460" spans="18:23">
      <c r="R11460" s="127">
        <f t="shared" si="402"/>
        <v>0</v>
      </c>
      <c r="W11460" s="74" t="str">
        <f>IFERROR(VLOOKUP($O11460,'Customer List'!$A$1:$J$488,10,FALSE),"")</f>
        <v/>
      </c>
    </row>
    <row r="11461" spans="18:23">
      <c r="R11461" s="127">
        <f t="shared" si="402"/>
        <v>0</v>
      </c>
      <c r="W11461" s="74" t="str">
        <f>IFERROR(VLOOKUP($O11461,'Customer List'!$A$1:$J$488,10,FALSE),"")</f>
        <v/>
      </c>
    </row>
    <row r="11462" spans="18:23">
      <c r="R11462" s="127">
        <f t="shared" si="402"/>
        <v>0</v>
      </c>
      <c r="W11462" s="74" t="str">
        <f>IFERROR(VLOOKUP($O11462,'Customer List'!$A$1:$J$488,10,FALSE),"")</f>
        <v/>
      </c>
    </row>
    <row r="11463" spans="18:23">
      <c r="R11463" s="127">
        <f t="shared" si="402"/>
        <v>0</v>
      </c>
      <c r="W11463" s="74" t="str">
        <f>IFERROR(VLOOKUP($O11463,'Customer List'!$A$1:$J$488,10,FALSE),"")</f>
        <v/>
      </c>
    </row>
    <row r="11464" spans="18:23">
      <c r="R11464" s="127">
        <f t="shared" si="402"/>
        <v>0</v>
      </c>
      <c r="W11464" s="74" t="str">
        <f>IFERROR(VLOOKUP($O11464,'Customer List'!$A$1:$J$488,10,FALSE),"")</f>
        <v/>
      </c>
    </row>
    <row r="11465" spans="18:23">
      <c r="R11465" s="127">
        <f t="shared" si="402"/>
        <v>0</v>
      </c>
      <c r="W11465" s="74" t="str">
        <f>IFERROR(VLOOKUP($O11465,'Customer List'!$A$1:$J$488,10,FALSE),"")</f>
        <v/>
      </c>
    </row>
    <row r="11466" spans="18:23">
      <c r="R11466" s="127">
        <f t="shared" si="402"/>
        <v>0</v>
      </c>
      <c r="W11466" s="74" t="str">
        <f>IFERROR(VLOOKUP($O11466,'Customer List'!$A$1:$J$488,10,FALSE),"")</f>
        <v/>
      </c>
    </row>
    <row r="11467" spans="18:23">
      <c r="R11467" s="127">
        <f t="shared" si="402"/>
        <v>0</v>
      </c>
      <c r="W11467" s="74" t="str">
        <f>IFERROR(VLOOKUP($O11467,'Customer List'!$A$1:$J$488,10,FALSE),"")</f>
        <v/>
      </c>
    </row>
    <row r="11468" spans="18:23">
      <c r="R11468" s="127">
        <f t="shared" si="402"/>
        <v>0</v>
      </c>
      <c r="W11468" s="74" t="str">
        <f>IFERROR(VLOOKUP($O11468,'Customer List'!$A$1:$J$488,10,FALSE),"")</f>
        <v/>
      </c>
    </row>
    <row r="11469" spans="18:23">
      <c r="R11469" s="127">
        <f t="shared" si="402"/>
        <v>0</v>
      </c>
      <c r="W11469" s="74" t="str">
        <f>IFERROR(VLOOKUP($O11469,'Customer List'!$A$1:$J$488,10,FALSE),"")</f>
        <v/>
      </c>
    </row>
    <row r="11470" spans="18:23">
      <c r="R11470" s="127">
        <f t="shared" si="402"/>
        <v>0</v>
      </c>
      <c r="W11470" s="74" t="str">
        <f>IFERROR(VLOOKUP($O11470,'Customer List'!$A$1:$J$488,10,FALSE),"")</f>
        <v/>
      </c>
    </row>
    <row r="11471" spans="18:23">
      <c r="R11471" s="127">
        <f t="shared" si="402"/>
        <v>0</v>
      </c>
      <c r="W11471" s="74" t="str">
        <f>IFERROR(VLOOKUP($O11471,'Customer List'!$A$1:$J$488,10,FALSE),"")</f>
        <v/>
      </c>
    </row>
    <row r="11472" spans="18:23">
      <c r="R11472" s="127">
        <f t="shared" si="402"/>
        <v>0</v>
      </c>
      <c r="W11472" s="74" t="str">
        <f>IFERROR(VLOOKUP($O11472,'Customer List'!$A$1:$J$488,10,FALSE),"")</f>
        <v/>
      </c>
    </row>
    <row r="11473" spans="18:23">
      <c r="R11473" s="127">
        <f t="shared" si="402"/>
        <v>0</v>
      </c>
      <c r="W11473" s="74" t="str">
        <f>IFERROR(VLOOKUP($O11473,'Customer List'!$A$1:$J$488,10,FALSE),"")</f>
        <v/>
      </c>
    </row>
    <row r="11474" spans="18:23">
      <c r="R11474" s="127">
        <f t="shared" si="402"/>
        <v>0</v>
      </c>
      <c r="W11474" s="74" t="str">
        <f>IFERROR(VLOOKUP($O11474,'Customer List'!$A$1:$J$488,10,FALSE),"")</f>
        <v/>
      </c>
    </row>
    <row r="11475" spans="18:23">
      <c r="R11475" s="127">
        <f t="shared" si="402"/>
        <v>0</v>
      </c>
      <c r="W11475" s="74" t="str">
        <f>IFERROR(VLOOKUP($O11475,'Customer List'!$A$1:$J$488,10,FALSE),"")</f>
        <v/>
      </c>
    </row>
    <row r="11476" spans="18:23">
      <c r="R11476" s="127">
        <f t="shared" si="402"/>
        <v>0</v>
      </c>
      <c r="W11476" s="74" t="str">
        <f>IFERROR(VLOOKUP($O11476,'Customer List'!$A$1:$J$488,10,FALSE),"")</f>
        <v/>
      </c>
    </row>
    <row r="11477" spans="18:23">
      <c r="R11477" s="127">
        <f t="shared" si="402"/>
        <v>0</v>
      </c>
      <c r="W11477" s="74" t="str">
        <f>IFERROR(VLOOKUP($O11477,'Customer List'!$A$1:$J$488,10,FALSE),"")</f>
        <v/>
      </c>
    </row>
    <row r="11478" spans="18:23">
      <c r="R11478" s="127">
        <f t="shared" si="402"/>
        <v>0</v>
      </c>
      <c r="W11478" s="74" t="str">
        <f>IFERROR(VLOOKUP($O11478,'Customer List'!$A$1:$J$488,10,FALSE),"")</f>
        <v/>
      </c>
    </row>
    <row r="11479" spans="18:23">
      <c r="R11479" s="127">
        <f t="shared" si="402"/>
        <v>0</v>
      </c>
      <c r="W11479" s="74" t="str">
        <f>IFERROR(VLOOKUP($O11479,'Customer List'!$A$1:$J$488,10,FALSE),"")</f>
        <v/>
      </c>
    </row>
    <row r="11480" spans="18:23">
      <c r="R11480" s="127">
        <f t="shared" si="402"/>
        <v>0</v>
      </c>
      <c r="W11480" s="74" t="str">
        <f>IFERROR(VLOOKUP($O11480,'Customer List'!$A$1:$J$488,10,FALSE),"")</f>
        <v/>
      </c>
    </row>
    <row r="11481" spans="18:23">
      <c r="R11481" s="127">
        <f t="shared" si="402"/>
        <v>0</v>
      </c>
      <c r="W11481" s="74" t="str">
        <f>IFERROR(VLOOKUP($O11481,'Customer List'!$A$1:$J$488,10,FALSE),"")</f>
        <v/>
      </c>
    </row>
    <row r="11482" spans="18:23">
      <c r="R11482" s="127">
        <f t="shared" si="402"/>
        <v>0</v>
      </c>
      <c r="W11482" s="74" t="str">
        <f>IFERROR(VLOOKUP($O11482,'Customer List'!$A$1:$J$488,10,FALSE),"")</f>
        <v/>
      </c>
    </row>
    <row r="11483" spans="18:23">
      <c r="R11483" s="127">
        <f t="shared" si="402"/>
        <v>0</v>
      </c>
      <c r="W11483" s="74" t="str">
        <f>IFERROR(VLOOKUP($O11483,'Customer List'!$A$1:$J$488,10,FALSE),"")</f>
        <v/>
      </c>
    </row>
    <row r="11484" spans="18:23">
      <c r="R11484" s="127">
        <f t="shared" si="402"/>
        <v>0</v>
      </c>
      <c r="W11484" s="74" t="str">
        <f>IFERROR(VLOOKUP($O11484,'Customer List'!$A$1:$J$488,10,FALSE),"")</f>
        <v/>
      </c>
    </row>
    <row r="11485" spans="18:23">
      <c r="R11485" s="127">
        <f t="shared" si="402"/>
        <v>0</v>
      </c>
      <c r="W11485" s="74" t="str">
        <f>IFERROR(VLOOKUP($O11485,'Customer List'!$A$1:$J$488,10,FALSE),"")</f>
        <v/>
      </c>
    </row>
    <row r="11486" spans="18:23">
      <c r="R11486" s="127">
        <f t="shared" si="402"/>
        <v>0</v>
      </c>
      <c r="W11486" s="74" t="str">
        <f>IFERROR(VLOOKUP($O11486,'Customer List'!$A$1:$J$488,10,FALSE),"")</f>
        <v/>
      </c>
    </row>
    <row r="11487" spans="18:23">
      <c r="R11487" s="127">
        <f t="shared" si="402"/>
        <v>0</v>
      </c>
      <c r="W11487" s="74" t="str">
        <f>IFERROR(VLOOKUP($O11487,'Customer List'!$A$1:$J$488,10,FALSE),"")</f>
        <v/>
      </c>
    </row>
    <row r="11488" spans="18:23">
      <c r="R11488" s="127">
        <f t="shared" si="402"/>
        <v>0</v>
      </c>
      <c r="W11488" s="74" t="str">
        <f>IFERROR(VLOOKUP($O11488,'Customer List'!$A$1:$J$488,10,FALSE),"")</f>
        <v/>
      </c>
    </row>
    <row r="11489" spans="18:23">
      <c r="R11489" s="127">
        <f t="shared" si="402"/>
        <v>0</v>
      </c>
      <c r="W11489" s="74" t="str">
        <f>IFERROR(VLOOKUP($O11489,'Customer List'!$A$1:$J$488,10,FALSE),"")</f>
        <v/>
      </c>
    </row>
    <row r="11490" spans="18:23">
      <c r="R11490" s="127">
        <f t="shared" ref="R11490:R11553" si="403">L11490-K11490</f>
        <v>0</v>
      </c>
      <c r="W11490" s="74" t="str">
        <f>IFERROR(VLOOKUP($O11490,'Customer List'!$A$1:$J$488,10,FALSE),"")</f>
        <v/>
      </c>
    </row>
    <row r="11491" spans="18:23">
      <c r="R11491" s="127">
        <f t="shared" si="403"/>
        <v>0</v>
      </c>
      <c r="W11491" s="74" t="str">
        <f>IFERROR(VLOOKUP($O11491,'Customer List'!$A$1:$J$488,10,FALSE),"")</f>
        <v/>
      </c>
    </row>
    <row r="11492" spans="18:23">
      <c r="R11492" s="127">
        <f t="shared" si="403"/>
        <v>0</v>
      </c>
      <c r="W11492" s="74" t="str">
        <f>IFERROR(VLOOKUP($O11492,'Customer List'!$A$1:$J$488,10,FALSE),"")</f>
        <v/>
      </c>
    </row>
    <row r="11493" spans="18:23">
      <c r="R11493" s="127">
        <f t="shared" si="403"/>
        <v>0</v>
      </c>
      <c r="W11493" s="74" t="str">
        <f>IFERROR(VLOOKUP($O11493,'Customer List'!$A$1:$J$488,10,FALSE),"")</f>
        <v/>
      </c>
    </row>
    <row r="11494" spans="18:23">
      <c r="R11494" s="127">
        <f t="shared" si="403"/>
        <v>0</v>
      </c>
      <c r="W11494" s="74" t="str">
        <f>IFERROR(VLOOKUP($O11494,'Customer List'!$A$1:$J$488,10,FALSE),"")</f>
        <v/>
      </c>
    </row>
    <row r="11495" spans="18:23">
      <c r="R11495" s="127">
        <f t="shared" si="403"/>
        <v>0</v>
      </c>
      <c r="W11495" s="74" t="str">
        <f>IFERROR(VLOOKUP($O11495,'Customer List'!$A$1:$J$488,10,FALSE),"")</f>
        <v/>
      </c>
    </row>
    <row r="11496" spans="18:23">
      <c r="R11496" s="127">
        <f t="shared" si="403"/>
        <v>0</v>
      </c>
      <c r="W11496" s="74" t="str">
        <f>IFERROR(VLOOKUP($O11496,'Customer List'!$A$1:$J$488,10,FALSE),"")</f>
        <v/>
      </c>
    </row>
    <row r="11497" spans="18:23">
      <c r="R11497" s="127">
        <f t="shared" si="403"/>
        <v>0</v>
      </c>
      <c r="W11497" s="74" t="str">
        <f>IFERROR(VLOOKUP($O11497,'Customer List'!$A$1:$J$488,10,FALSE),"")</f>
        <v/>
      </c>
    </row>
    <row r="11498" spans="18:23">
      <c r="R11498" s="127">
        <f t="shared" si="403"/>
        <v>0</v>
      </c>
      <c r="W11498" s="74" t="str">
        <f>IFERROR(VLOOKUP($O11498,'Customer List'!$A$1:$J$488,10,FALSE),"")</f>
        <v/>
      </c>
    </row>
    <row r="11499" spans="18:23">
      <c r="R11499" s="127">
        <f t="shared" si="403"/>
        <v>0</v>
      </c>
      <c r="W11499" s="74" t="str">
        <f>IFERROR(VLOOKUP($O11499,'Customer List'!$A$1:$J$488,10,FALSE),"")</f>
        <v/>
      </c>
    </row>
    <row r="11500" spans="18:23">
      <c r="R11500" s="127">
        <f t="shared" si="403"/>
        <v>0</v>
      </c>
      <c r="W11500" s="74" t="str">
        <f>IFERROR(VLOOKUP($O11500,'Customer List'!$A$1:$J$488,10,FALSE),"")</f>
        <v/>
      </c>
    </row>
    <row r="11501" spans="18:23">
      <c r="R11501" s="127">
        <f t="shared" si="403"/>
        <v>0</v>
      </c>
      <c r="W11501" s="74" t="str">
        <f>IFERROR(VLOOKUP($O11501,'Customer List'!$A$1:$J$488,10,FALSE),"")</f>
        <v/>
      </c>
    </row>
    <row r="11502" spans="18:23">
      <c r="R11502" s="127">
        <f t="shared" si="403"/>
        <v>0</v>
      </c>
      <c r="W11502" s="74" t="str">
        <f>IFERROR(VLOOKUP($O11502,'Customer List'!$A$1:$J$488,10,FALSE),"")</f>
        <v/>
      </c>
    </row>
    <row r="11503" spans="18:23">
      <c r="R11503" s="127">
        <f t="shared" si="403"/>
        <v>0</v>
      </c>
      <c r="W11503" s="74" t="str">
        <f>IFERROR(VLOOKUP($O11503,'Customer List'!$A$1:$J$488,10,FALSE),"")</f>
        <v/>
      </c>
    </row>
    <row r="11504" spans="18:23">
      <c r="R11504" s="127">
        <f t="shared" si="403"/>
        <v>0</v>
      </c>
      <c r="W11504" s="74" t="str">
        <f>IFERROR(VLOOKUP($O11504,'Customer List'!$A$1:$J$488,10,FALSE),"")</f>
        <v/>
      </c>
    </row>
    <row r="11505" spans="18:23">
      <c r="R11505" s="127">
        <f t="shared" si="403"/>
        <v>0</v>
      </c>
      <c r="W11505" s="74" t="str">
        <f>IFERROR(VLOOKUP($O11505,'Customer List'!$A$1:$J$488,10,FALSE),"")</f>
        <v/>
      </c>
    </row>
    <row r="11506" spans="18:23">
      <c r="R11506" s="127">
        <f t="shared" si="403"/>
        <v>0</v>
      </c>
      <c r="W11506" s="74" t="str">
        <f>IFERROR(VLOOKUP($O11506,'Customer List'!$A$1:$J$488,10,FALSE),"")</f>
        <v/>
      </c>
    </row>
    <row r="11507" spans="18:23">
      <c r="R11507" s="127">
        <f t="shared" si="403"/>
        <v>0</v>
      </c>
      <c r="W11507" s="74" t="str">
        <f>IFERROR(VLOOKUP($O11507,'Customer List'!$A$1:$J$488,10,FALSE),"")</f>
        <v/>
      </c>
    </row>
    <row r="11508" spans="18:23">
      <c r="R11508" s="127">
        <f t="shared" si="403"/>
        <v>0</v>
      </c>
      <c r="W11508" s="74" t="str">
        <f>IFERROR(VLOOKUP($O11508,'Customer List'!$A$1:$J$488,10,FALSE),"")</f>
        <v/>
      </c>
    </row>
    <row r="11509" spans="18:23">
      <c r="R11509" s="127">
        <f t="shared" si="403"/>
        <v>0</v>
      </c>
      <c r="W11509" s="74" t="str">
        <f>IFERROR(VLOOKUP($O11509,'Customer List'!$A$1:$J$488,10,FALSE),"")</f>
        <v/>
      </c>
    </row>
    <row r="11510" spans="18:23">
      <c r="R11510" s="127">
        <f t="shared" si="403"/>
        <v>0</v>
      </c>
      <c r="W11510" s="74" t="str">
        <f>IFERROR(VLOOKUP($O11510,'Customer List'!$A$1:$J$488,10,FALSE),"")</f>
        <v/>
      </c>
    </row>
    <row r="11511" spans="18:23">
      <c r="R11511" s="127">
        <f t="shared" si="403"/>
        <v>0</v>
      </c>
      <c r="W11511" s="74" t="str">
        <f>IFERROR(VLOOKUP($O11511,'Customer List'!$A$1:$J$488,10,FALSE),"")</f>
        <v/>
      </c>
    </row>
    <row r="11512" spans="18:23">
      <c r="R11512" s="127">
        <f t="shared" si="403"/>
        <v>0</v>
      </c>
      <c r="W11512" s="74" t="str">
        <f>IFERROR(VLOOKUP($O11512,'Customer List'!$A$1:$J$488,10,FALSE),"")</f>
        <v/>
      </c>
    </row>
    <row r="11513" spans="18:23">
      <c r="R11513" s="127">
        <f t="shared" si="403"/>
        <v>0</v>
      </c>
      <c r="W11513" s="74" t="str">
        <f>IFERROR(VLOOKUP($O11513,'Customer List'!$A$1:$J$488,10,FALSE),"")</f>
        <v/>
      </c>
    </row>
    <row r="11514" spans="18:23">
      <c r="R11514" s="127">
        <f t="shared" si="403"/>
        <v>0</v>
      </c>
      <c r="W11514" s="74" t="str">
        <f>IFERROR(VLOOKUP($O11514,'Customer List'!$A$1:$J$488,10,FALSE),"")</f>
        <v/>
      </c>
    </row>
    <row r="11515" spans="18:23">
      <c r="R11515" s="127">
        <f t="shared" si="403"/>
        <v>0</v>
      </c>
      <c r="W11515" s="74" t="str">
        <f>IFERROR(VLOOKUP($O11515,'Customer List'!$A$1:$J$488,10,FALSE),"")</f>
        <v/>
      </c>
    </row>
    <row r="11516" spans="18:23">
      <c r="R11516" s="127">
        <f t="shared" si="403"/>
        <v>0</v>
      </c>
      <c r="W11516" s="74" t="str">
        <f>IFERROR(VLOOKUP($O11516,'Customer List'!$A$1:$J$488,10,FALSE),"")</f>
        <v/>
      </c>
    </row>
    <row r="11517" spans="18:23">
      <c r="R11517" s="127">
        <f t="shared" si="403"/>
        <v>0</v>
      </c>
      <c r="W11517" s="74" t="str">
        <f>IFERROR(VLOOKUP($O11517,'Customer List'!$A$1:$J$488,10,FALSE),"")</f>
        <v/>
      </c>
    </row>
    <row r="11518" spans="18:23">
      <c r="R11518" s="127">
        <f t="shared" si="403"/>
        <v>0</v>
      </c>
      <c r="W11518" s="74" t="str">
        <f>IFERROR(VLOOKUP($O11518,'Customer List'!$A$1:$J$488,10,FALSE),"")</f>
        <v/>
      </c>
    </row>
    <row r="11519" spans="18:23">
      <c r="R11519" s="127">
        <f t="shared" si="403"/>
        <v>0</v>
      </c>
      <c r="W11519" s="74" t="str">
        <f>IFERROR(VLOOKUP($O11519,'Customer List'!$A$1:$J$488,10,FALSE),"")</f>
        <v/>
      </c>
    </row>
    <row r="11520" spans="18:23">
      <c r="R11520" s="127">
        <f t="shared" si="403"/>
        <v>0</v>
      </c>
      <c r="W11520" s="74" t="str">
        <f>IFERROR(VLOOKUP($O11520,'Customer List'!$A$1:$J$488,10,FALSE),"")</f>
        <v/>
      </c>
    </row>
    <row r="11521" spans="18:23">
      <c r="R11521" s="127">
        <f t="shared" si="403"/>
        <v>0</v>
      </c>
      <c r="W11521" s="74" t="str">
        <f>IFERROR(VLOOKUP($O11521,'Customer List'!$A$1:$J$488,10,FALSE),"")</f>
        <v/>
      </c>
    </row>
    <row r="11522" spans="18:23">
      <c r="R11522" s="127">
        <f t="shared" si="403"/>
        <v>0</v>
      </c>
      <c r="W11522" s="74" t="str">
        <f>IFERROR(VLOOKUP($O11522,'Customer List'!$A$1:$J$488,10,FALSE),"")</f>
        <v/>
      </c>
    </row>
    <row r="11523" spans="18:23">
      <c r="R11523" s="127">
        <f t="shared" si="403"/>
        <v>0</v>
      </c>
      <c r="W11523" s="74" t="str">
        <f>IFERROR(VLOOKUP($O11523,'Customer List'!$A$1:$J$488,10,FALSE),"")</f>
        <v/>
      </c>
    </row>
    <row r="11524" spans="18:23">
      <c r="R11524" s="127">
        <f t="shared" si="403"/>
        <v>0</v>
      </c>
      <c r="W11524" s="74" t="str">
        <f>IFERROR(VLOOKUP($O11524,'Customer List'!$A$1:$J$488,10,FALSE),"")</f>
        <v/>
      </c>
    </row>
    <row r="11525" spans="18:23">
      <c r="R11525" s="127">
        <f t="shared" si="403"/>
        <v>0</v>
      </c>
      <c r="W11525" s="74" t="str">
        <f>IFERROR(VLOOKUP($O11525,'Customer List'!$A$1:$J$488,10,FALSE),"")</f>
        <v/>
      </c>
    </row>
    <row r="11526" spans="18:23">
      <c r="R11526" s="127">
        <f t="shared" si="403"/>
        <v>0</v>
      </c>
      <c r="W11526" s="74" t="str">
        <f>IFERROR(VLOOKUP($O11526,'Customer List'!$A$1:$J$488,10,FALSE),"")</f>
        <v/>
      </c>
    </row>
    <row r="11527" spans="18:23">
      <c r="R11527" s="127">
        <f t="shared" si="403"/>
        <v>0</v>
      </c>
      <c r="W11527" s="74" t="str">
        <f>IFERROR(VLOOKUP($O11527,'Customer List'!$A$1:$J$488,10,FALSE),"")</f>
        <v/>
      </c>
    </row>
    <row r="11528" spans="18:23">
      <c r="R11528" s="127">
        <f t="shared" si="403"/>
        <v>0</v>
      </c>
      <c r="W11528" s="74" t="str">
        <f>IFERROR(VLOOKUP($O11528,'Customer List'!$A$1:$J$488,10,FALSE),"")</f>
        <v/>
      </c>
    </row>
    <row r="11529" spans="18:23">
      <c r="R11529" s="127">
        <f t="shared" si="403"/>
        <v>0</v>
      </c>
      <c r="W11529" s="74" t="str">
        <f>IFERROR(VLOOKUP($O11529,'Customer List'!$A$1:$J$488,10,FALSE),"")</f>
        <v/>
      </c>
    </row>
    <row r="11530" spans="18:23">
      <c r="R11530" s="127">
        <f t="shared" si="403"/>
        <v>0</v>
      </c>
      <c r="W11530" s="74" t="str">
        <f>IFERROR(VLOOKUP($O11530,'Customer List'!$A$1:$J$488,10,FALSE),"")</f>
        <v/>
      </c>
    </row>
    <row r="11531" spans="18:23">
      <c r="R11531" s="127">
        <f t="shared" si="403"/>
        <v>0</v>
      </c>
      <c r="W11531" s="74" t="str">
        <f>IFERROR(VLOOKUP($O11531,'Customer List'!$A$1:$J$488,10,FALSE),"")</f>
        <v/>
      </c>
    </row>
    <row r="11532" spans="18:23">
      <c r="R11532" s="127">
        <f t="shared" si="403"/>
        <v>0</v>
      </c>
      <c r="W11532" s="74" t="str">
        <f>IFERROR(VLOOKUP($O11532,'Customer List'!$A$1:$J$488,10,FALSE),"")</f>
        <v/>
      </c>
    </row>
    <row r="11533" spans="18:23">
      <c r="R11533" s="127">
        <f t="shared" si="403"/>
        <v>0</v>
      </c>
      <c r="W11533" s="74" t="str">
        <f>IFERROR(VLOOKUP($O11533,'Customer List'!$A$1:$J$488,10,FALSE),"")</f>
        <v/>
      </c>
    </row>
    <row r="11534" spans="18:23">
      <c r="R11534" s="127">
        <f t="shared" si="403"/>
        <v>0</v>
      </c>
      <c r="W11534" s="74" t="str">
        <f>IFERROR(VLOOKUP($O11534,'Customer List'!$A$1:$J$488,10,FALSE),"")</f>
        <v/>
      </c>
    </row>
    <row r="11535" spans="18:23">
      <c r="R11535" s="127">
        <f t="shared" si="403"/>
        <v>0</v>
      </c>
      <c r="W11535" s="74" t="str">
        <f>IFERROR(VLOOKUP($O11535,'Customer List'!$A$1:$J$488,10,FALSE),"")</f>
        <v/>
      </c>
    </row>
    <row r="11536" spans="18:23">
      <c r="R11536" s="127">
        <f t="shared" si="403"/>
        <v>0</v>
      </c>
      <c r="W11536" s="74" t="str">
        <f>IFERROR(VLOOKUP($O11536,'Customer List'!$A$1:$J$488,10,FALSE),"")</f>
        <v/>
      </c>
    </row>
    <row r="11537" spans="18:23">
      <c r="R11537" s="127">
        <f t="shared" si="403"/>
        <v>0</v>
      </c>
      <c r="W11537" s="74" t="str">
        <f>IFERROR(VLOOKUP($O11537,'Customer List'!$A$1:$J$488,10,FALSE),"")</f>
        <v/>
      </c>
    </row>
    <row r="11538" spans="18:23">
      <c r="R11538" s="127">
        <f t="shared" si="403"/>
        <v>0</v>
      </c>
      <c r="W11538" s="74" t="str">
        <f>IFERROR(VLOOKUP($O11538,'Customer List'!$A$1:$J$488,10,FALSE),"")</f>
        <v/>
      </c>
    </row>
    <row r="11539" spans="18:23">
      <c r="R11539" s="127">
        <f t="shared" si="403"/>
        <v>0</v>
      </c>
      <c r="W11539" s="74" t="str">
        <f>IFERROR(VLOOKUP($O11539,'Customer List'!$A$1:$J$488,10,FALSE),"")</f>
        <v/>
      </c>
    </row>
    <row r="11540" spans="18:23">
      <c r="R11540" s="127">
        <f t="shared" si="403"/>
        <v>0</v>
      </c>
      <c r="W11540" s="74" t="str">
        <f>IFERROR(VLOOKUP($O11540,'Customer List'!$A$1:$J$488,10,FALSE),"")</f>
        <v/>
      </c>
    </row>
    <row r="11541" spans="18:23">
      <c r="R11541" s="127">
        <f t="shared" si="403"/>
        <v>0</v>
      </c>
      <c r="W11541" s="74" t="str">
        <f>IFERROR(VLOOKUP($O11541,'Customer List'!$A$1:$J$488,10,FALSE),"")</f>
        <v/>
      </c>
    </row>
    <row r="11542" spans="18:23">
      <c r="R11542" s="127">
        <f t="shared" si="403"/>
        <v>0</v>
      </c>
      <c r="W11542" s="74" t="str">
        <f>IFERROR(VLOOKUP($O11542,'Customer List'!$A$1:$J$488,10,FALSE),"")</f>
        <v/>
      </c>
    </row>
    <row r="11543" spans="18:23">
      <c r="R11543" s="127">
        <f t="shared" si="403"/>
        <v>0</v>
      </c>
      <c r="W11543" s="74" t="str">
        <f>IFERROR(VLOOKUP($O11543,'Customer List'!$A$1:$J$488,10,FALSE),"")</f>
        <v/>
      </c>
    </row>
    <row r="11544" spans="18:23">
      <c r="R11544" s="127">
        <f t="shared" si="403"/>
        <v>0</v>
      </c>
      <c r="W11544" s="74" t="str">
        <f>IFERROR(VLOOKUP($O11544,'Customer List'!$A$1:$J$488,10,FALSE),"")</f>
        <v/>
      </c>
    </row>
    <row r="11545" spans="18:23">
      <c r="R11545" s="127">
        <f t="shared" si="403"/>
        <v>0</v>
      </c>
      <c r="W11545" s="74" t="str">
        <f>IFERROR(VLOOKUP($O11545,'Customer List'!$A$1:$J$488,10,FALSE),"")</f>
        <v/>
      </c>
    </row>
    <row r="11546" spans="18:23">
      <c r="R11546" s="127">
        <f t="shared" si="403"/>
        <v>0</v>
      </c>
      <c r="W11546" s="74" t="str">
        <f>IFERROR(VLOOKUP($O11546,'Customer List'!$A$1:$J$488,10,FALSE),"")</f>
        <v/>
      </c>
    </row>
    <row r="11547" spans="18:23">
      <c r="R11547" s="127">
        <f t="shared" si="403"/>
        <v>0</v>
      </c>
      <c r="W11547" s="74" t="str">
        <f>IFERROR(VLOOKUP($O11547,'Customer List'!$A$1:$J$488,10,FALSE),"")</f>
        <v/>
      </c>
    </row>
    <row r="11548" spans="18:23">
      <c r="R11548" s="127">
        <f t="shared" si="403"/>
        <v>0</v>
      </c>
      <c r="W11548" s="74" t="str">
        <f>IFERROR(VLOOKUP($O11548,'Customer List'!$A$1:$J$488,10,FALSE),"")</f>
        <v/>
      </c>
    </row>
    <row r="11549" spans="18:23">
      <c r="R11549" s="127">
        <f t="shared" si="403"/>
        <v>0</v>
      </c>
      <c r="W11549" s="74" t="str">
        <f>IFERROR(VLOOKUP($O11549,'Customer List'!$A$1:$J$488,10,FALSE),"")</f>
        <v/>
      </c>
    </row>
    <row r="11550" spans="18:23">
      <c r="R11550" s="127">
        <f t="shared" si="403"/>
        <v>0</v>
      </c>
      <c r="W11550" s="74" t="str">
        <f>IFERROR(VLOOKUP($O11550,'Customer List'!$A$1:$J$488,10,FALSE),"")</f>
        <v/>
      </c>
    </row>
    <row r="11551" spans="18:23">
      <c r="R11551" s="127">
        <f t="shared" si="403"/>
        <v>0</v>
      </c>
      <c r="W11551" s="74" t="str">
        <f>IFERROR(VLOOKUP($O11551,'Customer List'!$A$1:$J$488,10,FALSE),"")</f>
        <v/>
      </c>
    </row>
    <row r="11552" spans="18:23">
      <c r="R11552" s="127">
        <f t="shared" si="403"/>
        <v>0</v>
      </c>
      <c r="W11552" s="74" t="str">
        <f>IFERROR(VLOOKUP($O11552,'Customer List'!$A$1:$J$488,10,FALSE),"")</f>
        <v/>
      </c>
    </row>
    <row r="11553" spans="18:23">
      <c r="R11553" s="127">
        <f t="shared" si="403"/>
        <v>0</v>
      </c>
      <c r="W11553" s="74" t="str">
        <f>IFERROR(VLOOKUP($O11553,'Customer List'!$A$1:$J$488,10,FALSE),"")</f>
        <v/>
      </c>
    </row>
    <row r="11554" spans="18:23">
      <c r="R11554" s="127">
        <f t="shared" ref="R11554:R11617" si="404">L11554-K11554</f>
        <v>0</v>
      </c>
      <c r="W11554" s="74" t="str">
        <f>IFERROR(VLOOKUP($O11554,'Customer List'!$A$1:$J$488,10,FALSE),"")</f>
        <v/>
      </c>
    </row>
    <row r="11555" spans="18:23">
      <c r="R11555" s="127">
        <f t="shared" si="404"/>
        <v>0</v>
      </c>
      <c r="W11555" s="74" t="str">
        <f>IFERROR(VLOOKUP($O11555,'Customer List'!$A$1:$J$488,10,FALSE),"")</f>
        <v/>
      </c>
    </row>
    <row r="11556" spans="18:23">
      <c r="R11556" s="127">
        <f t="shared" si="404"/>
        <v>0</v>
      </c>
      <c r="W11556" s="74" t="str">
        <f>IFERROR(VLOOKUP($O11556,'Customer List'!$A$1:$J$488,10,FALSE),"")</f>
        <v/>
      </c>
    </row>
    <row r="11557" spans="18:23">
      <c r="R11557" s="127">
        <f t="shared" si="404"/>
        <v>0</v>
      </c>
      <c r="W11557" s="74" t="str">
        <f>IFERROR(VLOOKUP($O11557,'Customer List'!$A$1:$J$488,10,FALSE),"")</f>
        <v/>
      </c>
    </row>
    <row r="11558" spans="18:23">
      <c r="R11558" s="127">
        <f t="shared" si="404"/>
        <v>0</v>
      </c>
      <c r="W11558" s="74" t="str">
        <f>IFERROR(VLOOKUP($O11558,'Customer List'!$A$1:$J$488,10,FALSE),"")</f>
        <v/>
      </c>
    </row>
    <row r="11559" spans="18:23">
      <c r="R11559" s="127">
        <f t="shared" si="404"/>
        <v>0</v>
      </c>
      <c r="W11559" s="74" t="str">
        <f>IFERROR(VLOOKUP($O11559,'Customer List'!$A$1:$J$488,10,FALSE),"")</f>
        <v/>
      </c>
    </row>
    <row r="11560" spans="18:23">
      <c r="R11560" s="127">
        <f t="shared" si="404"/>
        <v>0</v>
      </c>
      <c r="W11560" s="74" t="str">
        <f>IFERROR(VLOOKUP($O11560,'Customer List'!$A$1:$J$488,10,FALSE),"")</f>
        <v/>
      </c>
    </row>
    <row r="11561" spans="18:23">
      <c r="R11561" s="127">
        <f t="shared" si="404"/>
        <v>0</v>
      </c>
      <c r="W11561" s="74" t="str">
        <f>IFERROR(VLOOKUP($O11561,'Customer List'!$A$1:$J$488,10,FALSE),"")</f>
        <v/>
      </c>
    </row>
    <row r="11562" spans="18:23">
      <c r="R11562" s="127">
        <f t="shared" si="404"/>
        <v>0</v>
      </c>
      <c r="W11562" s="74" t="str">
        <f>IFERROR(VLOOKUP($O11562,'Customer List'!$A$1:$J$488,10,FALSE),"")</f>
        <v/>
      </c>
    </row>
    <row r="11563" spans="18:23">
      <c r="R11563" s="127">
        <f t="shared" si="404"/>
        <v>0</v>
      </c>
      <c r="W11563" s="74" t="str">
        <f>IFERROR(VLOOKUP($O11563,'Customer List'!$A$1:$J$488,10,FALSE),"")</f>
        <v/>
      </c>
    </row>
    <row r="11564" spans="18:23">
      <c r="R11564" s="127">
        <f t="shared" si="404"/>
        <v>0</v>
      </c>
      <c r="W11564" s="74" t="str">
        <f>IFERROR(VLOOKUP($O11564,'Customer List'!$A$1:$J$488,10,FALSE),"")</f>
        <v/>
      </c>
    </row>
    <row r="11565" spans="18:23">
      <c r="R11565" s="127">
        <f t="shared" si="404"/>
        <v>0</v>
      </c>
      <c r="W11565" s="74" t="str">
        <f>IFERROR(VLOOKUP($O11565,'Customer List'!$A$1:$J$488,10,FALSE),"")</f>
        <v/>
      </c>
    </row>
    <row r="11566" spans="18:23">
      <c r="R11566" s="127">
        <f t="shared" si="404"/>
        <v>0</v>
      </c>
      <c r="W11566" s="74" t="str">
        <f>IFERROR(VLOOKUP($O11566,'Customer List'!$A$1:$J$488,10,FALSE),"")</f>
        <v/>
      </c>
    </row>
    <row r="11567" spans="18:23">
      <c r="R11567" s="127">
        <f t="shared" si="404"/>
        <v>0</v>
      </c>
      <c r="W11567" s="74" t="str">
        <f>IFERROR(VLOOKUP($O11567,'Customer List'!$A$1:$J$488,10,FALSE),"")</f>
        <v/>
      </c>
    </row>
    <row r="11568" spans="18:23">
      <c r="R11568" s="127">
        <f t="shared" si="404"/>
        <v>0</v>
      </c>
      <c r="W11568" s="74" t="str">
        <f>IFERROR(VLOOKUP($O11568,'Customer List'!$A$1:$J$488,10,FALSE),"")</f>
        <v/>
      </c>
    </row>
    <row r="11569" spans="18:23">
      <c r="R11569" s="127">
        <f t="shared" si="404"/>
        <v>0</v>
      </c>
      <c r="W11569" s="74" t="str">
        <f>IFERROR(VLOOKUP($O11569,'Customer List'!$A$1:$J$488,10,FALSE),"")</f>
        <v/>
      </c>
    </row>
    <row r="11570" spans="18:23">
      <c r="R11570" s="127">
        <f t="shared" si="404"/>
        <v>0</v>
      </c>
      <c r="W11570" s="74" t="str">
        <f>IFERROR(VLOOKUP($O11570,'Customer List'!$A$1:$J$488,10,FALSE),"")</f>
        <v/>
      </c>
    </row>
    <row r="11571" spans="18:23">
      <c r="R11571" s="127">
        <f t="shared" si="404"/>
        <v>0</v>
      </c>
      <c r="W11571" s="74" t="str">
        <f>IFERROR(VLOOKUP($O11571,'Customer List'!$A$1:$J$488,10,FALSE),"")</f>
        <v/>
      </c>
    </row>
    <row r="11572" spans="18:23">
      <c r="R11572" s="127">
        <f t="shared" si="404"/>
        <v>0</v>
      </c>
      <c r="W11572" s="74" t="str">
        <f>IFERROR(VLOOKUP($O11572,'Customer List'!$A$1:$J$488,10,FALSE),"")</f>
        <v/>
      </c>
    </row>
    <row r="11573" spans="18:23">
      <c r="R11573" s="127">
        <f t="shared" si="404"/>
        <v>0</v>
      </c>
      <c r="W11573" s="74" t="str">
        <f>IFERROR(VLOOKUP($O11573,'Customer List'!$A$1:$J$488,10,FALSE),"")</f>
        <v/>
      </c>
    </row>
    <row r="11574" spans="18:23">
      <c r="R11574" s="127">
        <f t="shared" si="404"/>
        <v>0</v>
      </c>
      <c r="W11574" s="74" t="str">
        <f>IFERROR(VLOOKUP($O11574,'Customer List'!$A$1:$J$488,10,FALSE),"")</f>
        <v/>
      </c>
    </row>
    <row r="11575" spans="18:23">
      <c r="R11575" s="127">
        <f t="shared" si="404"/>
        <v>0</v>
      </c>
      <c r="W11575" s="74" t="str">
        <f>IFERROR(VLOOKUP($O11575,'Customer List'!$A$1:$J$488,10,FALSE),"")</f>
        <v/>
      </c>
    </row>
    <row r="11576" spans="18:23">
      <c r="R11576" s="127">
        <f t="shared" si="404"/>
        <v>0</v>
      </c>
      <c r="W11576" s="74" t="str">
        <f>IFERROR(VLOOKUP($O11576,'Customer List'!$A$1:$J$488,10,FALSE),"")</f>
        <v/>
      </c>
    </row>
    <row r="11577" spans="18:23">
      <c r="R11577" s="127">
        <f t="shared" si="404"/>
        <v>0</v>
      </c>
      <c r="W11577" s="74" t="str">
        <f>IFERROR(VLOOKUP($O11577,'Customer List'!$A$1:$J$488,10,FALSE),"")</f>
        <v/>
      </c>
    </row>
    <row r="11578" spans="18:23">
      <c r="R11578" s="127">
        <f t="shared" si="404"/>
        <v>0</v>
      </c>
      <c r="W11578" s="74" t="str">
        <f>IFERROR(VLOOKUP($O11578,'Customer List'!$A$1:$J$488,10,FALSE),"")</f>
        <v/>
      </c>
    </row>
    <row r="11579" spans="18:23">
      <c r="R11579" s="127">
        <f t="shared" si="404"/>
        <v>0</v>
      </c>
      <c r="W11579" s="74" t="str">
        <f>IFERROR(VLOOKUP($O11579,'Customer List'!$A$1:$J$488,10,FALSE),"")</f>
        <v/>
      </c>
    </row>
    <row r="11580" spans="18:23">
      <c r="R11580" s="127">
        <f t="shared" si="404"/>
        <v>0</v>
      </c>
      <c r="W11580" s="74" t="str">
        <f>IFERROR(VLOOKUP($O11580,'Customer List'!$A$1:$J$488,10,FALSE),"")</f>
        <v/>
      </c>
    </row>
    <row r="11581" spans="18:23">
      <c r="R11581" s="127">
        <f t="shared" si="404"/>
        <v>0</v>
      </c>
      <c r="W11581" s="74" t="str">
        <f>IFERROR(VLOOKUP($O11581,'Customer List'!$A$1:$J$488,10,FALSE),"")</f>
        <v/>
      </c>
    </row>
    <row r="11582" spans="18:23">
      <c r="R11582" s="127">
        <f t="shared" si="404"/>
        <v>0</v>
      </c>
      <c r="W11582" s="74" t="str">
        <f>IFERROR(VLOOKUP($O11582,'Customer List'!$A$1:$J$488,10,FALSE),"")</f>
        <v/>
      </c>
    </row>
    <row r="11583" spans="18:23">
      <c r="R11583" s="127">
        <f t="shared" si="404"/>
        <v>0</v>
      </c>
      <c r="W11583" s="74" t="str">
        <f>IFERROR(VLOOKUP($O11583,'Customer List'!$A$1:$J$488,10,FALSE),"")</f>
        <v/>
      </c>
    </row>
    <row r="11584" spans="18:23">
      <c r="R11584" s="127">
        <f t="shared" si="404"/>
        <v>0</v>
      </c>
      <c r="W11584" s="74" t="str">
        <f>IFERROR(VLOOKUP($O11584,'Customer List'!$A$1:$J$488,10,FALSE),"")</f>
        <v/>
      </c>
    </row>
    <row r="11585" spans="18:23">
      <c r="R11585" s="127">
        <f t="shared" si="404"/>
        <v>0</v>
      </c>
      <c r="W11585" s="74" t="str">
        <f>IFERROR(VLOOKUP($O11585,'Customer List'!$A$1:$J$488,10,FALSE),"")</f>
        <v/>
      </c>
    </row>
    <row r="11586" spans="18:23">
      <c r="R11586" s="127">
        <f t="shared" si="404"/>
        <v>0</v>
      </c>
      <c r="W11586" s="74" t="str">
        <f>IFERROR(VLOOKUP($O11586,'Customer List'!$A$1:$J$488,10,FALSE),"")</f>
        <v/>
      </c>
    </row>
    <row r="11587" spans="18:23">
      <c r="R11587" s="127">
        <f t="shared" si="404"/>
        <v>0</v>
      </c>
      <c r="W11587" s="74" t="str">
        <f>IFERROR(VLOOKUP($O11587,'Customer List'!$A$1:$J$488,10,FALSE),"")</f>
        <v/>
      </c>
    </row>
    <row r="11588" spans="18:23">
      <c r="R11588" s="127">
        <f t="shared" si="404"/>
        <v>0</v>
      </c>
      <c r="W11588" s="74" t="str">
        <f>IFERROR(VLOOKUP($O11588,'Customer List'!$A$1:$J$488,10,FALSE),"")</f>
        <v/>
      </c>
    </row>
    <row r="11589" spans="18:23">
      <c r="R11589" s="127">
        <f t="shared" si="404"/>
        <v>0</v>
      </c>
      <c r="W11589" s="74" t="str">
        <f>IFERROR(VLOOKUP($O11589,'Customer List'!$A$1:$J$488,10,FALSE),"")</f>
        <v/>
      </c>
    </row>
    <row r="11590" spans="18:23">
      <c r="R11590" s="127">
        <f t="shared" si="404"/>
        <v>0</v>
      </c>
      <c r="W11590" s="74" t="str">
        <f>IFERROR(VLOOKUP($O11590,'Customer List'!$A$1:$J$488,10,FALSE),"")</f>
        <v/>
      </c>
    </row>
    <row r="11591" spans="18:23">
      <c r="R11591" s="127">
        <f t="shared" si="404"/>
        <v>0</v>
      </c>
      <c r="W11591" s="74" t="str">
        <f>IFERROR(VLOOKUP($O11591,'Customer List'!$A$1:$J$488,10,FALSE),"")</f>
        <v/>
      </c>
    </row>
    <row r="11592" spans="18:23">
      <c r="R11592" s="127">
        <f t="shared" si="404"/>
        <v>0</v>
      </c>
      <c r="W11592" s="74" t="str">
        <f>IFERROR(VLOOKUP($O11592,'Customer List'!$A$1:$J$488,10,FALSE),"")</f>
        <v/>
      </c>
    </row>
    <row r="11593" spans="18:23">
      <c r="R11593" s="127">
        <f t="shared" si="404"/>
        <v>0</v>
      </c>
      <c r="W11593" s="74" t="str">
        <f>IFERROR(VLOOKUP($O11593,'Customer List'!$A$1:$J$488,10,FALSE),"")</f>
        <v/>
      </c>
    </row>
    <row r="11594" spans="18:23">
      <c r="R11594" s="127">
        <f t="shared" si="404"/>
        <v>0</v>
      </c>
      <c r="W11594" s="74" t="str">
        <f>IFERROR(VLOOKUP($O11594,'Customer List'!$A$1:$J$488,10,FALSE),"")</f>
        <v/>
      </c>
    </row>
    <row r="11595" spans="18:23">
      <c r="R11595" s="127">
        <f t="shared" si="404"/>
        <v>0</v>
      </c>
      <c r="W11595" s="74" t="str">
        <f>IFERROR(VLOOKUP($O11595,'Customer List'!$A$1:$J$488,10,FALSE),"")</f>
        <v/>
      </c>
    </row>
    <row r="11596" spans="18:23">
      <c r="R11596" s="127">
        <f t="shared" si="404"/>
        <v>0</v>
      </c>
      <c r="W11596" s="74" t="str">
        <f>IFERROR(VLOOKUP($O11596,'Customer List'!$A$1:$J$488,10,FALSE),"")</f>
        <v/>
      </c>
    </row>
    <row r="11597" spans="18:23">
      <c r="R11597" s="127">
        <f t="shared" si="404"/>
        <v>0</v>
      </c>
      <c r="W11597" s="74" t="str">
        <f>IFERROR(VLOOKUP($O11597,'Customer List'!$A$1:$J$488,10,FALSE),"")</f>
        <v/>
      </c>
    </row>
    <row r="11598" spans="18:23">
      <c r="R11598" s="127">
        <f t="shared" si="404"/>
        <v>0</v>
      </c>
      <c r="W11598" s="74" t="str">
        <f>IFERROR(VLOOKUP($O11598,'Customer List'!$A$1:$J$488,10,FALSE),"")</f>
        <v/>
      </c>
    </row>
    <row r="11599" spans="18:23">
      <c r="R11599" s="127">
        <f t="shared" si="404"/>
        <v>0</v>
      </c>
      <c r="W11599" s="74" t="str">
        <f>IFERROR(VLOOKUP($O11599,'Customer List'!$A$1:$J$488,10,FALSE),"")</f>
        <v/>
      </c>
    </row>
    <row r="11600" spans="18:23">
      <c r="R11600" s="127">
        <f t="shared" si="404"/>
        <v>0</v>
      </c>
      <c r="W11600" s="74" t="str">
        <f>IFERROR(VLOOKUP($O11600,'Customer List'!$A$1:$J$488,10,FALSE),"")</f>
        <v/>
      </c>
    </row>
    <row r="11601" spans="18:23">
      <c r="R11601" s="127">
        <f t="shared" si="404"/>
        <v>0</v>
      </c>
      <c r="W11601" s="74" t="str">
        <f>IFERROR(VLOOKUP($O11601,'Customer List'!$A$1:$J$488,10,FALSE),"")</f>
        <v/>
      </c>
    </row>
    <row r="11602" spans="18:23">
      <c r="R11602" s="127">
        <f t="shared" si="404"/>
        <v>0</v>
      </c>
      <c r="W11602" s="74" t="str">
        <f>IFERROR(VLOOKUP($O11602,'Customer List'!$A$1:$J$488,10,FALSE),"")</f>
        <v/>
      </c>
    </row>
    <row r="11603" spans="18:23">
      <c r="R11603" s="127">
        <f t="shared" si="404"/>
        <v>0</v>
      </c>
      <c r="W11603" s="74" t="str">
        <f>IFERROR(VLOOKUP($O11603,'Customer List'!$A$1:$J$488,10,FALSE),"")</f>
        <v/>
      </c>
    </row>
    <row r="11604" spans="18:23">
      <c r="R11604" s="127">
        <f t="shared" si="404"/>
        <v>0</v>
      </c>
      <c r="W11604" s="74" t="str">
        <f>IFERROR(VLOOKUP($O11604,'Customer List'!$A$1:$J$488,10,FALSE),"")</f>
        <v/>
      </c>
    </row>
    <row r="11605" spans="18:23">
      <c r="R11605" s="127">
        <f t="shared" si="404"/>
        <v>0</v>
      </c>
      <c r="W11605" s="74" t="str">
        <f>IFERROR(VLOOKUP($O11605,'Customer List'!$A$1:$J$488,10,FALSE),"")</f>
        <v/>
      </c>
    </row>
    <row r="11606" spans="18:23">
      <c r="R11606" s="127">
        <f t="shared" si="404"/>
        <v>0</v>
      </c>
      <c r="W11606" s="74" t="str">
        <f>IFERROR(VLOOKUP($O11606,'Customer List'!$A$1:$J$488,10,FALSE),"")</f>
        <v/>
      </c>
    </row>
    <row r="11607" spans="18:23">
      <c r="R11607" s="127">
        <f t="shared" si="404"/>
        <v>0</v>
      </c>
      <c r="W11607" s="74" t="str">
        <f>IFERROR(VLOOKUP($O11607,'Customer List'!$A$1:$J$488,10,FALSE),"")</f>
        <v/>
      </c>
    </row>
    <row r="11608" spans="18:23">
      <c r="R11608" s="127">
        <f t="shared" si="404"/>
        <v>0</v>
      </c>
      <c r="W11608" s="74" t="str">
        <f>IFERROR(VLOOKUP($O11608,'Customer List'!$A$1:$J$488,10,FALSE),"")</f>
        <v/>
      </c>
    </row>
    <row r="11609" spans="18:23">
      <c r="R11609" s="127">
        <f t="shared" si="404"/>
        <v>0</v>
      </c>
      <c r="W11609" s="74" t="str">
        <f>IFERROR(VLOOKUP($O11609,'Customer List'!$A$1:$J$488,10,FALSE),"")</f>
        <v/>
      </c>
    </row>
    <row r="11610" spans="18:23">
      <c r="R11610" s="127">
        <f t="shared" si="404"/>
        <v>0</v>
      </c>
      <c r="W11610" s="74" t="str">
        <f>IFERROR(VLOOKUP($O11610,'Customer List'!$A$1:$J$488,10,FALSE),"")</f>
        <v/>
      </c>
    </row>
    <row r="11611" spans="18:23">
      <c r="R11611" s="127">
        <f t="shared" si="404"/>
        <v>0</v>
      </c>
      <c r="W11611" s="74" t="str">
        <f>IFERROR(VLOOKUP($O11611,'Customer List'!$A$1:$J$488,10,FALSE),"")</f>
        <v/>
      </c>
    </row>
    <row r="11612" spans="18:23">
      <c r="R11612" s="127">
        <f t="shared" si="404"/>
        <v>0</v>
      </c>
      <c r="W11612" s="74" t="str">
        <f>IFERROR(VLOOKUP($O11612,'Customer List'!$A$1:$J$488,10,FALSE),"")</f>
        <v/>
      </c>
    </row>
    <row r="11613" spans="18:23">
      <c r="R11613" s="127">
        <f t="shared" si="404"/>
        <v>0</v>
      </c>
      <c r="W11613" s="74" t="str">
        <f>IFERROR(VLOOKUP($O11613,'Customer List'!$A$1:$J$488,10,FALSE),"")</f>
        <v/>
      </c>
    </row>
    <row r="11614" spans="18:23">
      <c r="R11614" s="127">
        <f t="shared" si="404"/>
        <v>0</v>
      </c>
      <c r="W11614" s="74" t="str">
        <f>IFERROR(VLOOKUP($O11614,'Customer List'!$A$1:$J$488,10,FALSE),"")</f>
        <v/>
      </c>
    </row>
    <row r="11615" spans="18:23">
      <c r="R11615" s="127">
        <f t="shared" si="404"/>
        <v>0</v>
      </c>
      <c r="W11615" s="74" t="str">
        <f>IFERROR(VLOOKUP($O11615,'Customer List'!$A$1:$J$488,10,FALSE),"")</f>
        <v/>
      </c>
    </row>
    <row r="11616" spans="18:23">
      <c r="R11616" s="127">
        <f t="shared" si="404"/>
        <v>0</v>
      </c>
      <c r="W11616" s="74" t="str">
        <f>IFERROR(VLOOKUP($O11616,'Customer List'!$A$1:$J$488,10,FALSE),"")</f>
        <v/>
      </c>
    </row>
    <row r="11617" spans="18:23">
      <c r="R11617" s="127">
        <f t="shared" si="404"/>
        <v>0</v>
      </c>
      <c r="W11617" s="74" t="str">
        <f>IFERROR(VLOOKUP($O11617,'Customer List'!$A$1:$J$488,10,FALSE),"")</f>
        <v/>
      </c>
    </row>
    <row r="11618" spans="18:23">
      <c r="R11618" s="127">
        <f t="shared" ref="R11618:R11664" si="405">L11618-K11618</f>
        <v>0</v>
      </c>
      <c r="W11618" s="74" t="str">
        <f>IFERROR(VLOOKUP($O11618,'Customer List'!$A$1:$J$488,10,FALSE),"")</f>
        <v/>
      </c>
    </row>
    <row r="11619" spans="18:23">
      <c r="R11619" s="127">
        <f t="shared" si="405"/>
        <v>0</v>
      </c>
      <c r="W11619" s="74" t="str">
        <f>IFERROR(VLOOKUP($O11619,'Customer List'!$A$1:$J$488,10,FALSE),"")</f>
        <v/>
      </c>
    </row>
    <row r="11620" spans="18:23">
      <c r="R11620" s="127">
        <f t="shared" si="405"/>
        <v>0</v>
      </c>
      <c r="W11620" s="74" t="str">
        <f>IFERROR(VLOOKUP($O11620,'Customer List'!$A$1:$J$488,10,FALSE),"")</f>
        <v/>
      </c>
    </row>
    <row r="11621" spans="18:23">
      <c r="R11621" s="127">
        <f t="shared" si="405"/>
        <v>0</v>
      </c>
      <c r="W11621" s="74" t="str">
        <f>IFERROR(VLOOKUP($O11621,'Customer List'!$A$1:$J$488,10,FALSE),"")</f>
        <v/>
      </c>
    </row>
    <row r="11622" spans="18:23">
      <c r="R11622" s="127">
        <f t="shared" si="405"/>
        <v>0</v>
      </c>
      <c r="W11622" s="74" t="str">
        <f>IFERROR(VLOOKUP($O11622,'Customer List'!$A$1:$J$488,10,FALSE),"")</f>
        <v/>
      </c>
    </row>
    <row r="11623" spans="18:23">
      <c r="R11623" s="127">
        <f t="shared" si="405"/>
        <v>0</v>
      </c>
      <c r="W11623" s="74" t="str">
        <f>IFERROR(VLOOKUP($O11623,'Customer List'!$A$1:$J$488,10,FALSE),"")</f>
        <v/>
      </c>
    </row>
    <row r="11624" spans="18:23">
      <c r="R11624" s="127">
        <f t="shared" si="405"/>
        <v>0</v>
      </c>
      <c r="W11624" s="74" t="str">
        <f>IFERROR(VLOOKUP($O11624,'Customer List'!$A$1:$J$488,10,FALSE),"")</f>
        <v/>
      </c>
    </row>
    <row r="11625" spans="18:23">
      <c r="R11625" s="127">
        <f t="shared" si="405"/>
        <v>0</v>
      </c>
      <c r="W11625" s="74" t="str">
        <f>IFERROR(VLOOKUP($O11625,'Customer List'!$A$1:$J$488,10,FALSE),"")</f>
        <v/>
      </c>
    </row>
    <row r="11626" spans="18:23">
      <c r="R11626" s="127">
        <f t="shared" si="405"/>
        <v>0</v>
      </c>
      <c r="W11626" s="74" t="str">
        <f>IFERROR(VLOOKUP($O11626,'Customer List'!$A$1:$J$488,10,FALSE),"")</f>
        <v/>
      </c>
    </row>
    <row r="11627" spans="18:23">
      <c r="R11627" s="127">
        <f t="shared" si="405"/>
        <v>0</v>
      </c>
      <c r="W11627" s="74" t="str">
        <f>IFERROR(VLOOKUP($O11627,'Customer List'!$A$1:$J$488,10,FALSE),"")</f>
        <v/>
      </c>
    </row>
    <row r="11628" spans="18:23">
      <c r="R11628" s="127">
        <f t="shared" si="405"/>
        <v>0</v>
      </c>
      <c r="W11628" s="74" t="str">
        <f>IFERROR(VLOOKUP($O11628,'Customer List'!$A$1:$J$488,10,FALSE),"")</f>
        <v/>
      </c>
    </row>
    <row r="11629" spans="18:23">
      <c r="R11629" s="127">
        <f t="shared" si="405"/>
        <v>0</v>
      </c>
      <c r="W11629" s="74" t="str">
        <f>IFERROR(VLOOKUP($O11629,'Customer List'!$A$1:$J$488,10,FALSE),"")</f>
        <v/>
      </c>
    </row>
    <row r="11630" spans="18:23">
      <c r="R11630" s="127">
        <f t="shared" si="405"/>
        <v>0</v>
      </c>
      <c r="W11630" s="74" t="str">
        <f>IFERROR(VLOOKUP($O11630,'Customer List'!$A$1:$J$488,10,FALSE),"")</f>
        <v/>
      </c>
    </row>
    <row r="11631" spans="18:23">
      <c r="R11631" s="127">
        <f t="shared" si="405"/>
        <v>0</v>
      </c>
      <c r="W11631" s="74" t="str">
        <f>IFERROR(VLOOKUP($O11631,'Customer List'!$A$1:$J$488,10,FALSE),"")</f>
        <v/>
      </c>
    </row>
    <row r="11632" spans="18:23">
      <c r="R11632" s="127">
        <f t="shared" si="405"/>
        <v>0</v>
      </c>
      <c r="W11632" s="74" t="str">
        <f>IFERROR(VLOOKUP($O11632,'Customer List'!$A$1:$J$488,10,FALSE),"")</f>
        <v/>
      </c>
    </row>
    <row r="11633" spans="18:23">
      <c r="R11633" s="127">
        <f t="shared" si="405"/>
        <v>0</v>
      </c>
      <c r="W11633" s="74" t="str">
        <f>IFERROR(VLOOKUP($O11633,'Customer List'!$A$1:$J$488,10,FALSE),"")</f>
        <v/>
      </c>
    </row>
    <row r="11634" spans="18:23">
      <c r="R11634" s="127">
        <f t="shared" si="405"/>
        <v>0</v>
      </c>
      <c r="W11634" s="74" t="str">
        <f>IFERROR(VLOOKUP($O11634,'Customer List'!$A$1:$J$488,10,FALSE),"")</f>
        <v/>
      </c>
    </row>
    <row r="11635" spans="18:23">
      <c r="R11635" s="127">
        <f t="shared" si="405"/>
        <v>0</v>
      </c>
      <c r="W11635" s="74" t="str">
        <f>IFERROR(VLOOKUP($O11635,'Customer List'!$A$1:$J$488,10,FALSE),"")</f>
        <v/>
      </c>
    </row>
    <row r="11636" spans="18:23">
      <c r="R11636" s="127">
        <f t="shared" si="405"/>
        <v>0</v>
      </c>
      <c r="W11636" s="74" t="str">
        <f>IFERROR(VLOOKUP($O11636,'Customer List'!$A$1:$J$488,10,FALSE),"")</f>
        <v/>
      </c>
    </row>
    <row r="11637" spans="18:23">
      <c r="R11637" s="127">
        <f t="shared" si="405"/>
        <v>0</v>
      </c>
      <c r="W11637" s="74" t="str">
        <f>IFERROR(VLOOKUP($O11637,'Customer List'!$A$1:$J$488,10,FALSE),"")</f>
        <v/>
      </c>
    </row>
    <row r="11638" spans="18:23">
      <c r="R11638" s="127">
        <f t="shared" si="405"/>
        <v>0</v>
      </c>
      <c r="W11638" s="74" t="str">
        <f>IFERROR(VLOOKUP($O11638,'Customer List'!$A$1:$J$488,10,FALSE),"")</f>
        <v/>
      </c>
    </row>
    <row r="11639" spans="18:23">
      <c r="R11639" s="127">
        <f t="shared" si="405"/>
        <v>0</v>
      </c>
      <c r="W11639" s="74" t="str">
        <f>IFERROR(VLOOKUP($O11639,'Customer List'!$A$1:$J$488,10,FALSE),"")</f>
        <v/>
      </c>
    </row>
    <row r="11640" spans="18:23">
      <c r="R11640" s="127">
        <f t="shared" si="405"/>
        <v>0</v>
      </c>
      <c r="W11640" s="74" t="str">
        <f>IFERROR(VLOOKUP($O11640,'Customer List'!$A$1:$J$488,10,FALSE),"")</f>
        <v/>
      </c>
    </row>
    <row r="11641" spans="18:23">
      <c r="R11641" s="127">
        <f t="shared" si="405"/>
        <v>0</v>
      </c>
      <c r="W11641" s="74" t="str">
        <f>IFERROR(VLOOKUP($O11641,'Customer List'!$A$1:$J$488,10,FALSE),"")</f>
        <v/>
      </c>
    </row>
    <row r="11642" spans="18:23">
      <c r="R11642" s="127">
        <f t="shared" si="405"/>
        <v>0</v>
      </c>
      <c r="W11642" s="74" t="str">
        <f>IFERROR(VLOOKUP($O11642,'Customer List'!$A$1:$J$488,10,FALSE),"")</f>
        <v/>
      </c>
    </row>
    <row r="11643" spans="18:23">
      <c r="R11643" s="127">
        <f t="shared" si="405"/>
        <v>0</v>
      </c>
      <c r="W11643" s="74" t="str">
        <f>IFERROR(VLOOKUP($O11643,'Customer List'!$A$1:$J$488,10,FALSE),"")</f>
        <v/>
      </c>
    </row>
    <row r="11644" spans="18:23">
      <c r="R11644" s="127">
        <f t="shared" si="405"/>
        <v>0</v>
      </c>
      <c r="W11644" s="74" t="str">
        <f>IFERROR(VLOOKUP($O11644,'Customer List'!$A$1:$J$488,10,FALSE),"")</f>
        <v/>
      </c>
    </row>
    <row r="11645" spans="18:23">
      <c r="R11645" s="127">
        <f t="shared" si="405"/>
        <v>0</v>
      </c>
      <c r="W11645" s="74" t="str">
        <f>IFERROR(VLOOKUP($O11645,'Customer List'!$A$1:$J$488,10,FALSE),"")</f>
        <v/>
      </c>
    </row>
    <row r="11646" spans="18:23">
      <c r="R11646" s="127">
        <f t="shared" si="405"/>
        <v>0</v>
      </c>
      <c r="W11646" s="74" t="str">
        <f>IFERROR(VLOOKUP($O11646,'Customer List'!$A$1:$J$488,10,FALSE),"")</f>
        <v/>
      </c>
    </row>
    <row r="11647" spans="18:23">
      <c r="R11647" s="127">
        <f t="shared" si="405"/>
        <v>0</v>
      </c>
      <c r="W11647" s="74" t="str">
        <f>IFERROR(VLOOKUP($O11647,'Customer List'!$A$1:$J$488,10,FALSE),"")</f>
        <v/>
      </c>
    </row>
    <row r="11648" spans="18:23">
      <c r="R11648" s="127">
        <f t="shared" si="405"/>
        <v>0</v>
      </c>
      <c r="W11648" s="74" t="str">
        <f>IFERROR(VLOOKUP($O11648,'Customer List'!$A$1:$J$488,10,FALSE),"")</f>
        <v/>
      </c>
    </row>
    <row r="11649" spans="18:23">
      <c r="R11649" s="127">
        <f t="shared" si="405"/>
        <v>0</v>
      </c>
      <c r="W11649" s="74" t="str">
        <f>IFERROR(VLOOKUP($O11649,'Customer List'!$A$1:$J$488,10,FALSE),"")</f>
        <v/>
      </c>
    </row>
    <row r="11650" spans="18:23">
      <c r="R11650" s="127">
        <f t="shared" si="405"/>
        <v>0</v>
      </c>
      <c r="W11650" s="74" t="str">
        <f>IFERROR(VLOOKUP($O11650,'Customer List'!$A$1:$J$488,10,FALSE),"")</f>
        <v/>
      </c>
    </row>
    <row r="11651" spans="18:23">
      <c r="R11651" s="127">
        <f t="shared" si="405"/>
        <v>0</v>
      </c>
      <c r="W11651" s="74" t="str">
        <f>IFERROR(VLOOKUP($O11651,'Customer List'!$A$1:$J$488,10,FALSE),"")</f>
        <v/>
      </c>
    </row>
    <row r="11652" spans="18:23">
      <c r="R11652" s="127">
        <f t="shared" si="405"/>
        <v>0</v>
      </c>
      <c r="W11652" s="74" t="str">
        <f>IFERROR(VLOOKUP($O11652,'Customer List'!$A$1:$J$488,10,FALSE),"")</f>
        <v/>
      </c>
    </row>
    <row r="11653" spans="18:23">
      <c r="R11653" s="127">
        <f t="shared" si="405"/>
        <v>0</v>
      </c>
      <c r="W11653" s="74" t="str">
        <f>IFERROR(VLOOKUP($O11653,'Customer List'!$A$1:$J$488,10,FALSE),"")</f>
        <v/>
      </c>
    </row>
    <row r="11654" spans="18:23">
      <c r="R11654" s="127">
        <f t="shared" si="405"/>
        <v>0</v>
      </c>
      <c r="W11654" s="74" t="str">
        <f>IFERROR(VLOOKUP($O11654,'Customer List'!$A$1:$J$488,10,FALSE),"")</f>
        <v/>
      </c>
    </row>
    <row r="11655" spans="18:23">
      <c r="R11655" s="127">
        <f t="shared" si="405"/>
        <v>0</v>
      </c>
      <c r="W11655" s="74" t="str">
        <f>IFERROR(VLOOKUP($O11655,'Customer List'!$A$1:$J$488,10,FALSE),"")</f>
        <v/>
      </c>
    </row>
    <row r="11656" spans="18:23">
      <c r="R11656" s="127">
        <f t="shared" si="405"/>
        <v>0</v>
      </c>
      <c r="W11656" s="74" t="str">
        <f>IFERROR(VLOOKUP($O11656,'Customer List'!$A$1:$J$488,10,FALSE),"")</f>
        <v/>
      </c>
    </row>
    <row r="11657" spans="18:23">
      <c r="R11657" s="127">
        <f t="shared" si="405"/>
        <v>0</v>
      </c>
      <c r="W11657" s="74" t="str">
        <f>IFERROR(VLOOKUP($O11657,'Customer List'!$A$1:$J$488,10,FALSE),"")</f>
        <v/>
      </c>
    </row>
    <row r="11658" spans="18:23">
      <c r="R11658" s="127">
        <f t="shared" si="405"/>
        <v>0</v>
      </c>
      <c r="W11658" s="74" t="str">
        <f>IFERROR(VLOOKUP($O11658,'Customer List'!$A$1:$J$488,10,FALSE),"")</f>
        <v/>
      </c>
    </row>
    <row r="11659" spans="18:23">
      <c r="R11659" s="127">
        <f t="shared" si="405"/>
        <v>0</v>
      </c>
      <c r="W11659" s="74" t="str">
        <f>IFERROR(VLOOKUP($O11659,'Customer List'!$A$1:$J$488,10,FALSE),"")</f>
        <v/>
      </c>
    </row>
    <row r="11660" spans="18:23">
      <c r="R11660" s="127">
        <f t="shared" si="405"/>
        <v>0</v>
      </c>
      <c r="W11660" s="74" t="str">
        <f>IFERROR(VLOOKUP($O11660,'Customer List'!$A$1:$J$488,10,FALSE),"")</f>
        <v/>
      </c>
    </row>
    <row r="11661" spans="18:23">
      <c r="R11661" s="127">
        <f t="shared" si="405"/>
        <v>0</v>
      </c>
    </row>
    <row r="11662" spans="18:23">
      <c r="R11662" s="127">
        <f t="shared" si="405"/>
        <v>0</v>
      </c>
    </row>
    <row r="11663" spans="18:23">
      <c r="R11663" s="127">
        <f t="shared" si="405"/>
        <v>0</v>
      </c>
    </row>
    <row r="11664" spans="18:23">
      <c r="R11664" s="127">
        <f t="shared" si="405"/>
        <v>0</v>
      </c>
    </row>
  </sheetData>
  <protectedRanges>
    <protectedRange sqref="S2:S1048576" name="Range2"/>
    <protectedRange sqref="P842:Q11664 K989:O11664 C520:J1048576 M426:N519 K520:N988 D295:H297 J295:K297 M295:N413 G426:I426 D426:D466 D475:D519 D205:K292 D204:J204 Q520:Q841 E298:K413 D298:D388 D394:D413 E426:F519 K426:K519 G427:J519 O208:O988 D128:K203 M128:N292 K11665:R1048576" name="Range1"/>
    <protectedRange sqref="L426:L519 L295:L413 K204 L128:L292" name="Range1_1"/>
    <protectedRange sqref="D93:N127 O93:O207" name="Range1_2"/>
    <protectedRange sqref="Q426:Q519 M293:N294 D293:K294 Q18:Q413 P18:P841 R18:R11664 P2:R17" name="Range1_4"/>
    <protectedRange sqref="M414:N414 D414:K414" name="Range1_5"/>
    <protectedRange sqref="L414" name="Range1_1_3"/>
    <protectedRange sqref="Q414" name="Range1_4_2"/>
    <protectedRange sqref="D415:K415 M415:N415 M425:N425 Q415 Q425 D425:I425 K425" name="Range1_4_1"/>
    <protectedRange sqref="L415 L425" name="Range1_1_1"/>
    <protectedRange sqref="M416:N424 G418:I424 D416:F424 K416:K424 G416:J417" name="Range1_6"/>
    <protectedRange sqref="L416:L424" name="Range1_1_2"/>
    <protectedRange sqref="Q416:Q424" name="Range1_4_3"/>
    <protectedRange sqref="D28:N30 D31:O92" name="Range1_2_1"/>
    <protectedRange sqref="O28:O30 D21:O27" name="Range1_7_1"/>
    <protectedRange sqref="M2:O20 D2:K20" name="Range1_4_4"/>
  </protectedRanges>
  <autoFilter ref="A1:W11664" xr:uid="{00000000-0001-0000-0100-000000000000}"/>
  <sortState xmlns:xlrd2="http://schemas.microsoft.com/office/spreadsheetml/2017/richdata2" ref="B2:O262">
    <sortCondition ref="O2:O262" customList="mre"/>
  </sortState>
  <dataConsolidate/>
  <phoneticPr fontId="42" type="noConversion"/>
  <conditionalFormatting sqref="O989:O1048576">
    <cfRule type="cellIs" dxfId="0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References!$B$3:$B$7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12" sqref="B12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66" t="s">
        <v>56</v>
      </c>
      <c r="H1" s="67" t="s">
        <v>56</v>
      </c>
      <c r="I1" s="68" t="s">
        <v>57</v>
      </c>
    </row>
    <row r="2" spans="1:9" ht="15" thickBot="1">
      <c r="A2" s="16"/>
      <c r="B2" s="64" t="s">
        <v>149</v>
      </c>
      <c r="C2" s="32" t="s">
        <v>14</v>
      </c>
      <c r="G2" s="18">
        <v>501</v>
      </c>
      <c r="H2" s="27" t="s">
        <v>58</v>
      </c>
      <c r="I2" s="69" t="s">
        <v>59</v>
      </c>
    </row>
    <row r="3" spans="1:9">
      <c r="A3" s="16"/>
      <c r="B3" s="18" t="s">
        <v>145</v>
      </c>
      <c r="C3" s="28">
        <v>50</v>
      </c>
      <c r="G3" s="14">
        <v>503</v>
      </c>
      <c r="H3" t="s">
        <v>60</v>
      </c>
      <c r="I3" s="56" t="s">
        <v>59</v>
      </c>
    </row>
    <row r="4" spans="1:9">
      <c r="B4" s="14" t="s">
        <v>146</v>
      </c>
      <c r="C4" s="20">
        <v>25</v>
      </c>
      <c r="G4" s="14">
        <v>505</v>
      </c>
      <c r="H4" t="s">
        <v>61</v>
      </c>
      <c r="I4" s="56" t="s">
        <v>59</v>
      </c>
    </row>
    <row r="5" spans="1:9">
      <c r="B5" s="14" t="s">
        <v>147</v>
      </c>
      <c r="C5" s="20">
        <v>15</v>
      </c>
      <c r="G5" s="14">
        <v>510</v>
      </c>
      <c r="H5" t="s">
        <v>62</v>
      </c>
      <c r="I5" s="56" t="s">
        <v>63</v>
      </c>
    </row>
    <row r="6" spans="1:9">
      <c r="A6" s="16"/>
      <c r="B6" s="14" t="s">
        <v>160</v>
      </c>
      <c r="C6" s="262">
        <v>40</v>
      </c>
      <c r="G6" s="14">
        <v>511</v>
      </c>
      <c r="H6" t="s">
        <v>64</v>
      </c>
      <c r="I6" s="56" t="s">
        <v>63</v>
      </c>
    </row>
    <row r="7" spans="1:9" ht="15" thickBot="1">
      <c r="A7" s="16"/>
      <c r="B7" s="15" t="s">
        <v>148</v>
      </c>
      <c r="C7" s="22">
        <v>50</v>
      </c>
      <c r="G7" s="14">
        <v>512</v>
      </c>
      <c r="H7" t="s">
        <v>65</v>
      </c>
      <c r="I7" s="56" t="s">
        <v>63</v>
      </c>
    </row>
    <row r="8" spans="1:9">
      <c r="G8" s="14">
        <v>513</v>
      </c>
      <c r="H8" t="s">
        <v>66</v>
      </c>
      <c r="I8" s="56" t="s">
        <v>63</v>
      </c>
    </row>
    <row r="9" spans="1:9">
      <c r="G9" s="14">
        <v>515</v>
      </c>
      <c r="H9" t="s">
        <v>67</v>
      </c>
      <c r="I9" s="56" t="s">
        <v>63</v>
      </c>
    </row>
    <row r="10" spans="1:9">
      <c r="G10" s="14">
        <v>516</v>
      </c>
      <c r="H10" t="s">
        <v>68</v>
      </c>
      <c r="I10" s="56" t="s">
        <v>63</v>
      </c>
    </row>
    <row r="11" spans="1:9">
      <c r="G11" s="14">
        <v>517</v>
      </c>
      <c r="H11" t="s">
        <v>69</v>
      </c>
      <c r="I11" s="56" t="s">
        <v>63</v>
      </c>
    </row>
    <row r="12" spans="1:9">
      <c r="G12" s="14">
        <v>518</v>
      </c>
      <c r="H12" t="s">
        <v>70</v>
      </c>
      <c r="I12" s="56" t="s">
        <v>63</v>
      </c>
    </row>
    <row r="13" spans="1:9">
      <c r="G13" s="14">
        <v>519</v>
      </c>
      <c r="H13" t="s">
        <v>71</v>
      </c>
      <c r="I13" s="56" t="s">
        <v>63</v>
      </c>
    </row>
    <row r="14" spans="1:9">
      <c r="G14" s="14">
        <v>530</v>
      </c>
      <c r="H14" t="s">
        <v>72</v>
      </c>
      <c r="I14" s="56" t="s">
        <v>73</v>
      </c>
    </row>
    <row r="15" spans="1:9">
      <c r="G15" s="14">
        <v>531</v>
      </c>
      <c r="H15" t="s">
        <v>74</v>
      </c>
      <c r="I15" s="56" t="s">
        <v>73</v>
      </c>
    </row>
    <row r="16" spans="1:9">
      <c r="G16" s="14">
        <v>532</v>
      </c>
      <c r="H16" t="s">
        <v>75</v>
      </c>
      <c r="I16" s="56" t="s">
        <v>73</v>
      </c>
    </row>
    <row r="17" spans="1:9">
      <c r="G17" s="14">
        <v>533</v>
      </c>
      <c r="H17" t="s">
        <v>76</v>
      </c>
      <c r="I17" s="56" t="s">
        <v>73</v>
      </c>
    </row>
    <row r="18" spans="1:9">
      <c r="G18" s="14">
        <v>534</v>
      </c>
      <c r="H18" t="s">
        <v>77</v>
      </c>
      <c r="I18" s="56" t="s">
        <v>73</v>
      </c>
    </row>
    <row r="19" spans="1:9">
      <c r="G19" s="14">
        <v>535</v>
      </c>
      <c r="H19" t="s">
        <v>78</v>
      </c>
      <c r="I19" s="56" t="s">
        <v>73</v>
      </c>
    </row>
    <row r="20" spans="1:9">
      <c r="G20" s="14">
        <v>540</v>
      </c>
      <c r="H20" t="s">
        <v>79</v>
      </c>
      <c r="I20" s="56" t="s">
        <v>80</v>
      </c>
    </row>
    <row r="21" spans="1:9">
      <c r="G21" s="14">
        <v>545</v>
      </c>
      <c r="H21" t="s">
        <v>81</v>
      </c>
      <c r="I21" s="56" t="s">
        <v>80</v>
      </c>
    </row>
    <row r="22" spans="1:9">
      <c r="G22" s="14">
        <v>549</v>
      </c>
      <c r="H22" t="s">
        <v>82</v>
      </c>
      <c r="I22" s="56" t="s">
        <v>80</v>
      </c>
    </row>
    <row r="23" spans="1:9">
      <c r="G23" s="14">
        <v>550</v>
      </c>
      <c r="H23" t="s">
        <v>83</v>
      </c>
      <c r="I23" s="56" t="s">
        <v>84</v>
      </c>
    </row>
    <row r="24" spans="1:9">
      <c r="G24" s="14">
        <v>551</v>
      </c>
      <c r="H24" t="s">
        <v>85</v>
      </c>
      <c r="I24" s="56" t="s">
        <v>84</v>
      </c>
    </row>
    <row r="25" spans="1:9">
      <c r="G25" s="14">
        <v>552</v>
      </c>
      <c r="H25" t="s">
        <v>86</v>
      </c>
      <c r="I25" s="56" t="s">
        <v>84</v>
      </c>
    </row>
    <row r="26" spans="1:9">
      <c r="G26" s="14">
        <v>553</v>
      </c>
      <c r="H26" t="s">
        <v>87</v>
      </c>
      <c r="I26" s="56" t="s">
        <v>84</v>
      </c>
    </row>
    <row r="27" spans="1:9">
      <c r="G27" s="14">
        <v>554</v>
      </c>
      <c r="H27" t="s">
        <v>88</v>
      </c>
      <c r="I27" s="56" t="s">
        <v>84</v>
      </c>
    </row>
    <row r="28" spans="1:9">
      <c r="G28" s="14">
        <v>555</v>
      </c>
      <c r="H28" t="s">
        <v>89</v>
      </c>
      <c r="I28" s="56" t="s">
        <v>84</v>
      </c>
    </row>
    <row r="29" spans="1:9">
      <c r="G29" s="14">
        <v>556</v>
      </c>
      <c r="H29" t="s">
        <v>90</v>
      </c>
      <c r="I29" s="56" t="s">
        <v>84</v>
      </c>
    </row>
    <row r="30" spans="1:9">
      <c r="G30" s="14">
        <v>557</v>
      </c>
      <c r="H30" t="s">
        <v>91</v>
      </c>
      <c r="I30" s="56" t="s">
        <v>84</v>
      </c>
    </row>
    <row r="31" spans="1:9">
      <c r="G31" s="14">
        <v>558</v>
      </c>
      <c r="H31" t="s">
        <v>92</v>
      </c>
      <c r="I31" s="56" t="s">
        <v>84</v>
      </c>
    </row>
    <row r="32" spans="1:9">
      <c r="A32" s="259"/>
      <c r="G32" s="14">
        <v>559</v>
      </c>
      <c r="H32" t="s">
        <v>93</v>
      </c>
      <c r="I32" s="56" t="s">
        <v>84</v>
      </c>
    </row>
    <row r="33" spans="7:9">
      <c r="G33" s="14">
        <v>560</v>
      </c>
      <c r="H33" t="s">
        <v>94</v>
      </c>
      <c r="I33" s="56" t="s">
        <v>84</v>
      </c>
    </row>
    <row r="34" spans="7:9">
      <c r="G34" s="14">
        <v>561</v>
      </c>
      <c r="H34" t="s">
        <v>95</v>
      </c>
      <c r="I34" s="56" t="s">
        <v>84</v>
      </c>
    </row>
    <row r="35" spans="7:9">
      <c r="G35" s="14">
        <v>562</v>
      </c>
      <c r="H35" t="s">
        <v>96</v>
      </c>
      <c r="I35" s="56" t="s">
        <v>84</v>
      </c>
    </row>
    <row r="36" spans="7:9">
      <c r="G36" s="14">
        <v>563</v>
      </c>
      <c r="H36" t="s">
        <v>97</v>
      </c>
      <c r="I36" s="56" t="s">
        <v>84</v>
      </c>
    </row>
    <row r="37" spans="7:9">
      <c r="G37" s="14">
        <v>580</v>
      </c>
      <c r="H37" t="s">
        <v>98</v>
      </c>
      <c r="I37" s="56" t="s">
        <v>99</v>
      </c>
    </row>
    <row r="38" spans="7:9">
      <c r="G38" s="14">
        <v>582</v>
      </c>
      <c r="H38" t="s">
        <v>100</v>
      </c>
      <c r="I38" s="56" t="s">
        <v>99</v>
      </c>
    </row>
    <row r="39" spans="7:9">
      <c r="G39" s="14">
        <v>585</v>
      </c>
      <c r="H39" t="s">
        <v>101</v>
      </c>
      <c r="I39" s="56" t="s">
        <v>99</v>
      </c>
    </row>
    <row r="40" spans="7:9">
      <c r="G40" s="14">
        <v>590</v>
      </c>
      <c r="H40" t="s">
        <v>102</v>
      </c>
      <c r="I40" s="56" t="s">
        <v>103</v>
      </c>
    </row>
    <row r="41" spans="7:9">
      <c r="G41" s="14">
        <v>591</v>
      </c>
      <c r="H41" t="s">
        <v>104</v>
      </c>
      <c r="I41" s="56" t="s">
        <v>103</v>
      </c>
    </row>
    <row r="42" spans="7:9">
      <c r="G42" s="14">
        <v>592</v>
      </c>
      <c r="H42" t="s">
        <v>105</v>
      </c>
      <c r="I42" s="56" t="s">
        <v>103</v>
      </c>
    </row>
    <row r="43" spans="7:9">
      <c r="G43" s="14">
        <v>593</v>
      </c>
      <c r="H43" t="s">
        <v>106</v>
      </c>
      <c r="I43" s="56" t="s">
        <v>103</v>
      </c>
    </row>
    <row r="44" spans="7:9">
      <c r="G44" s="14">
        <v>594</v>
      </c>
      <c r="H44" t="s">
        <v>107</v>
      </c>
      <c r="I44" s="56" t="s">
        <v>103</v>
      </c>
    </row>
    <row r="45" spans="7:9">
      <c r="G45" s="14">
        <v>597</v>
      </c>
      <c r="H45" t="s">
        <v>108</v>
      </c>
      <c r="I45" s="56" t="s">
        <v>103</v>
      </c>
    </row>
    <row r="46" spans="7:9">
      <c r="G46" s="14">
        <v>599</v>
      </c>
      <c r="H46" t="s">
        <v>109</v>
      </c>
      <c r="I46" s="56" t="s">
        <v>103</v>
      </c>
    </row>
    <row r="47" spans="7:9">
      <c r="G47" s="14">
        <v>671</v>
      </c>
      <c r="I47" s="56" t="s">
        <v>110</v>
      </c>
    </row>
    <row r="48" spans="7:9" ht="15" thickBot="1">
      <c r="G48" s="70" t="s">
        <v>111</v>
      </c>
      <c r="H48" s="21"/>
      <c r="I48" s="71" t="s">
        <v>18</v>
      </c>
    </row>
    <row r="95" spans="6:6">
      <c r="F95" s="78"/>
    </row>
  </sheetData>
  <phoneticPr fontId="4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115" zoomScaleNormal="115" workbookViewId="0">
      <pane xSplit="1" topLeftCell="H1" activePane="topRight" state="frozen"/>
      <selection pane="topRight" activeCell="A8" sqref="A8:XFD9"/>
    </sheetView>
  </sheetViews>
  <sheetFormatPr defaultColWidth="8.88671875" defaultRowHeight="14.4"/>
  <cols>
    <col min="1" max="1" width="21.88671875" style="192" bestFit="1" customWidth="1"/>
    <col min="2" max="2" width="6.44140625" style="192" bestFit="1" customWidth="1"/>
    <col min="3" max="3" width="33.88671875" style="192" bestFit="1" customWidth="1"/>
    <col min="4" max="4" width="36.5546875" style="192" bestFit="1" customWidth="1"/>
    <col min="5" max="5" width="99.5546875" style="74" bestFit="1" customWidth="1"/>
    <col min="6" max="6" width="37.5546875" style="74" bestFit="1" customWidth="1"/>
    <col min="7" max="7" width="53.88671875" style="192" bestFit="1" customWidth="1"/>
    <col min="8" max="8" width="18" style="74" bestFit="1" customWidth="1"/>
    <col min="9" max="9" width="55.5546875" style="192" bestFit="1" customWidth="1"/>
    <col min="10" max="10" width="38.5546875" style="192" bestFit="1" customWidth="1"/>
    <col min="11" max="11" width="38.5546875" style="192" customWidth="1"/>
    <col min="12" max="12" width="10.5546875" style="74" customWidth="1"/>
    <col min="13" max="16384" width="8.88671875" style="74"/>
  </cols>
  <sheetData>
    <row r="1" spans="1:12" s="156" customFormat="1" ht="12">
      <c r="A1" s="155" t="s">
        <v>112</v>
      </c>
      <c r="B1" s="155" t="s">
        <v>113</v>
      </c>
      <c r="C1" s="156" t="s">
        <v>114</v>
      </c>
      <c r="D1" s="156" t="s">
        <v>115</v>
      </c>
      <c r="E1" s="156" t="s">
        <v>116</v>
      </c>
      <c r="F1" s="156" t="s">
        <v>117</v>
      </c>
      <c r="G1" s="156" t="s">
        <v>118</v>
      </c>
      <c r="H1" s="156" t="s">
        <v>47</v>
      </c>
      <c r="I1" s="156" t="s">
        <v>119</v>
      </c>
      <c r="J1" s="156" t="s">
        <v>120</v>
      </c>
      <c r="K1" s="156" t="s">
        <v>121</v>
      </c>
      <c r="L1" s="156" t="s">
        <v>122</v>
      </c>
    </row>
    <row r="2" spans="1:12" s="40" customFormat="1">
      <c r="A2" s="1" t="s">
        <v>161</v>
      </c>
      <c r="B2" s="41" t="s">
        <v>163</v>
      </c>
      <c r="C2" s="1" t="s">
        <v>135</v>
      </c>
      <c r="D2" s="261" t="s">
        <v>143</v>
      </c>
      <c r="E2" s="1" t="s">
        <v>175</v>
      </c>
      <c r="F2" s="1" t="s">
        <v>158</v>
      </c>
      <c r="G2" s="1" t="s">
        <v>157</v>
      </c>
      <c r="H2" s="41" t="s">
        <v>111</v>
      </c>
      <c r="I2" s="260" t="s">
        <v>178</v>
      </c>
      <c r="J2" s="260" t="str">
        <f>IFERROR(VLOOKUP(Table2[[#This Row],[Funding Source]],References!$G$1:$I$48,3,FALSE),"")</f>
        <v>Other</v>
      </c>
      <c r="K2" s="263">
        <v>45473</v>
      </c>
      <c r="L2" s="162"/>
    </row>
    <row r="3" spans="1:12" s="40" customFormat="1">
      <c r="A3" s="1" t="s">
        <v>162</v>
      </c>
      <c r="B3" s="41" t="s">
        <v>164</v>
      </c>
      <c r="C3" s="1" t="s">
        <v>173</v>
      </c>
      <c r="D3" s="1" t="s">
        <v>143</v>
      </c>
      <c r="E3" s="1" t="s">
        <v>176</v>
      </c>
      <c r="F3" s="1" t="s">
        <v>158</v>
      </c>
      <c r="G3" s="1" t="s">
        <v>157</v>
      </c>
      <c r="H3" s="1">
        <v>510</v>
      </c>
      <c r="I3" s="53" t="s">
        <v>179</v>
      </c>
      <c r="J3" s="53" t="str">
        <f>IFERROR(VLOOKUP(Table2[[#This Row],[Funding Source]],References!$G$1:$I$48,3,FALSE),"")</f>
        <v>Associations and Foundations</v>
      </c>
      <c r="K3" s="80">
        <v>45261</v>
      </c>
    </row>
    <row r="4" spans="1:12" s="40" customFormat="1">
      <c r="A4" s="1" t="s">
        <v>165</v>
      </c>
      <c r="B4" s="41" t="s">
        <v>166</v>
      </c>
      <c r="C4" s="1" t="s">
        <v>167</v>
      </c>
      <c r="D4" s="1" t="s">
        <v>143</v>
      </c>
      <c r="E4" s="1" t="s">
        <v>174</v>
      </c>
      <c r="F4" s="1" t="s">
        <v>158</v>
      </c>
      <c r="G4" s="1" t="s">
        <v>157</v>
      </c>
      <c r="H4" s="1">
        <v>510</v>
      </c>
      <c r="I4" s="53" t="s">
        <v>177</v>
      </c>
      <c r="J4" s="53" t="str">
        <f>IFERROR(VLOOKUP(Table2[[#This Row],[Funding Source]],References!$G$1:$I$48,3,FALSE),"")</f>
        <v>Associations and Foundations</v>
      </c>
      <c r="K4" s="80">
        <v>45503</v>
      </c>
    </row>
    <row r="5" spans="1:12" s="40" customFormat="1">
      <c r="A5" s="1" t="s">
        <v>169</v>
      </c>
      <c r="B5" s="41" t="s">
        <v>170</v>
      </c>
      <c r="C5" s="1" t="s">
        <v>168</v>
      </c>
      <c r="D5" s="1" t="s">
        <v>127</v>
      </c>
      <c r="E5" s="1"/>
      <c r="F5" s="1"/>
      <c r="G5" s="1"/>
      <c r="H5" s="1"/>
      <c r="I5" s="53"/>
      <c r="J5" s="53" t="str">
        <f>IFERROR(VLOOKUP(Table2[[#This Row],[Funding Source]],References!$G$1:$I$48,3,FALSE),"")</f>
        <v/>
      </c>
      <c r="K5" s="53"/>
    </row>
    <row r="6" spans="1:12" s="40" customFormat="1">
      <c r="A6" s="1" t="s">
        <v>172</v>
      </c>
      <c r="B6" s="41" t="s">
        <v>171</v>
      </c>
      <c r="C6" s="1" t="s">
        <v>180</v>
      </c>
      <c r="D6" s="1" t="s">
        <v>192</v>
      </c>
      <c r="E6" s="1" t="s">
        <v>197</v>
      </c>
      <c r="F6" s="1" t="s">
        <v>128</v>
      </c>
      <c r="G6" s="1" t="s">
        <v>129</v>
      </c>
      <c r="H6" s="41" t="s">
        <v>111</v>
      </c>
      <c r="I6" s="53" t="s">
        <v>196</v>
      </c>
      <c r="J6" s="53" t="str">
        <f>IFERROR(VLOOKUP(Table2[[#This Row],[Funding Source]],References!$G$1:$I$48,3,FALSE),"")</f>
        <v>Other</v>
      </c>
      <c r="K6" s="80">
        <v>45838</v>
      </c>
    </row>
    <row r="7" spans="1:12" s="40" customFormat="1">
      <c r="A7" s="1" t="s">
        <v>181</v>
      </c>
      <c r="B7" s="41" t="s">
        <v>186</v>
      </c>
      <c r="C7" s="1" t="s">
        <v>130</v>
      </c>
      <c r="D7" s="1" t="s">
        <v>144</v>
      </c>
      <c r="E7" s="1" t="s">
        <v>195</v>
      </c>
      <c r="F7" s="1" t="s">
        <v>128</v>
      </c>
      <c r="G7" s="1" t="s">
        <v>129</v>
      </c>
      <c r="H7" s="41" t="s">
        <v>111</v>
      </c>
      <c r="I7" s="53" t="s">
        <v>194</v>
      </c>
      <c r="J7" s="53" t="str">
        <f>IFERROR(VLOOKUP(Table2[[#This Row],[Funding Source]],References!$G$1:$I$48,3,FALSE),"")</f>
        <v>Other</v>
      </c>
      <c r="K7" s="80">
        <v>45838</v>
      </c>
    </row>
    <row r="8" spans="1:12" s="40" customFormat="1">
      <c r="A8" s="1" t="s">
        <v>182</v>
      </c>
      <c r="B8" s="41" t="s">
        <v>190</v>
      </c>
      <c r="C8" s="1" t="s">
        <v>191</v>
      </c>
      <c r="D8" s="1" t="s">
        <v>144</v>
      </c>
      <c r="E8" s="45" t="s">
        <v>136</v>
      </c>
      <c r="F8" s="1" t="s">
        <v>128</v>
      </c>
      <c r="G8" s="1" t="s">
        <v>193</v>
      </c>
      <c r="H8" s="1">
        <v>590</v>
      </c>
      <c r="I8" s="53" t="s">
        <v>224</v>
      </c>
      <c r="J8" s="53" t="str">
        <f>IFERROR(VLOOKUP(Table2[[#This Row],[Funding Source]],References!$G$1:$I$48,3,FALSE),"")</f>
        <v>HHS Grants</v>
      </c>
      <c r="K8" s="80">
        <v>45900</v>
      </c>
    </row>
    <row r="9" spans="1:12" s="40" customFormat="1">
      <c r="A9" s="1" t="s">
        <v>183</v>
      </c>
      <c r="B9" s="41" t="s">
        <v>187</v>
      </c>
      <c r="C9" s="1" t="s">
        <v>191</v>
      </c>
      <c r="D9" s="1" t="s">
        <v>144</v>
      </c>
      <c r="E9" s="233" t="s">
        <v>141</v>
      </c>
      <c r="F9" s="1" t="s">
        <v>128</v>
      </c>
      <c r="G9" s="1" t="s">
        <v>193</v>
      </c>
      <c r="H9" s="1">
        <v>597</v>
      </c>
      <c r="I9" s="53" t="s">
        <v>142</v>
      </c>
      <c r="J9" s="53" t="str">
        <f>IFERROR(VLOOKUP(Table2[[#This Row],[Funding Source]],References!$G$1:$I$48,3,FALSE),"")</f>
        <v>HHS Grants</v>
      </c>
      <c r="K9" s="80">
        <v>45564</v>
      </c>
    </row>
    <row r="10" spans="1:12" s="40" customFormat="1" ht="15.6">
      <c r="A10" s="1" t="s">
        <v>184</v>
      </c>
      <c r="B10" s="41" t="s">
        <v>188</v>
      </c>
      <c r="C10" s="1" t="s">
        <v>217</v>
      </c>
      <c r="D10" s="1" t="s">
        <v>212</v>
      </c>
      <c r="E10" s="266" t="s">
        <v>213</v>
      </c>
      <c r="F10" s="115" t="s">
        <v>214</v>
      </c>
      <c r="G10" s="100" t="s">
        <v>215</v>
      </c>
      <c r="H10" s="43">
        <v>593</v>
      </c>
      <c r="I10" s="53" t="s">
        <v>216</v>
      </c>
      <c r="J10" s="53" t="str">
        <f>IFERROR(VLOOKUP(Table2[[#This Row],[Funding Source]],References!$G$1:$I$48,3,FALSE),"")</f>
        <v>HHS Grants</v>
      </c>
      <c r="K10" s="80">
        <v>46081</v>
      </c>
    </row>
    <row r="11" spans="1:12" s="40" customFormat="1" ht="15.6">
      <c r="A11" s="1" t="s">
        <v>185</v>
      </c>
      <c r="B11" s="41" t="s">
        <v>189</v>
      </c>
      <c r="C11" s="1"/>
      <c r="D11" s="1"/>
      <c r="E11" s="1"/>
      <c r="F11" s="1"/>
      <c r="G11" s="43"/>
      <c r="H11" s="41"/>
      <c r="I11" s="53"/>
      <c r="J11" s="53" t="str">
        <f>IFERROR(VLOOKUP(Table2[[#This Row],[Funding Source]],References!$G$1:$I$48,3,FALSE),"")</f>
        <v/>
      </c>
      <c r="K11" s="80"/>
    </row>
    <row r="12" spans="1:12" s="40" customFormat="1">
      <c r="A12" s="1"/>
      <c r="B12" s="41"/>
      <c r="C12" s="1"/>
      <c r="D12" s="1"/>
      <c r="E12" s="1"/>
      <c r="F12" s="1"/>
      <c r="G12" s="1"/>
      <c r="H12" s="1"/>
      <c r="I12" s="53"/>
      <c r="J12" s="53" t="str">
        <f>IFERROR(VLOOKUP(Table2[[#This Row],[Funding Source]],References!$G$1:$I$48,3,FALSE),"")</f>
        <v/>
      </c>
      <c r="K12" s="53"/>
    </row>
    <row r="13" spans="1:12" s="40" customFormat="1">
      <c r="A13" s="1"/>
      <c r="B13" s="41"/>
      <c r="C13" s="1"/>
      <c r="D13" s="1"/>
      <c r="E13" s="1"/>
      <c r="F13" s="1"/>
      <c r="G13" s="1"/>
      <c r="H13" s="1"/>
      <c r="I13" s="53"/>
      <c r="J13" s="53" t="s">
        <v>234</v>
      </c>
      <c r="K13" s="53"/>
    </row>
    <row r="14" spans="1:12" s="40" customFormat="1">
      <c r="A14" s="1"/>
      <c r="B14" s="41"/>
      <c r="C14" s="1"/>
      <c r="D14" s="1"/>
      <c r="E14" s="1"/>
      <c r="F14" s="1"/>
      <c r="G14" s="1"/>
      <c r="H14" s="1"/>
      <c r="I14" s="53"/>
      <c r="J14" s="53" t="str">
        <f>IFERROR(VLOOKUP(Table2[[#This Row],[Funding Source]],References!$G$1:$I$48,3,FALSE),"")</f>
        <v/>
      </c>
      <c r="K14" s="53"/>
    </row>
    <row r="15" spans="1:12" s="40" customFormat="1">
      <c r="A15" s="1"/>
      <c r="B15" s="41"/>
      <c r="C15" s="1"/>
      <c r="D15" s="1"/>
      <c r="E15" s="1"/>
      <c r="F15" s="1"/>
      <c r="G15" s="1"/>
      <c r="H15" s="1"/>
      <c r="I15" s="53"/>
      <c r="J15" s="53" t="str">
        <f>IFERROR(VLOOKUP(Table2[[#This Row],[Funding Source]],References!$G$1:$I$48,3,FALSE),"")</f>
        <v/>
      </c>
      <c r="K15" s="53"/>
    </row>
    <row r="16" spans="1:12" s="40" customFormat="1">
      <c r="A16" s="1"/>
      <c r="B16" s="41"/>
      <c r="C16" s="1"/>
      <c r="D16" s="1"/>
      <c r="E16" s="1"/>
      <c r="F16" s="1"/>
      <c r="G16" s="1"/>
      <c r="H16" s="1"/>
      <c r="I16" s="53"/>
      <c r="J16" s="53" t="str">
        <f>IFERROR(VLOOKUP(Table2[[#This Row],[Funding Source]],References!$G$1:$I$48,3,FALSE),"")</f>
        <v/>
      </c>
      <c r="K16" s="53"/>
    </row>
    <row r="17" spans="1:11" s="40" customFormat="1">
      <c r="A17" s="1"/>
      <c r="B17" s="41"/>
      <c r="C17" s="1"/>
      <c r="D17" s="1"/>
      <c r="E17" s="1"/>
      <c r="F17" s="1"/>
      <c r="G17" s="1"/>
      <c r="H17" s="1"/>
      <c r="I17" s="53"/>
      <c r="J17" s="53"/>
      <c r="K17" s="53"/>
    </row>
    <row r="18" spans="1:11" s="40" customFormat="1">
      <c r="A18" s="1"/>
      <c r="B18" s="41"/>
      <c r="C18" s="1"/>
      <c r="D18" s="1"/>
      <c r="E18" s="1"/>
      <c r="F18" s="1"/>
      <c r="G18" s="1"/>
      <c r="H18" s="1"/>
      <c r="I18" s="53"/>
      <c r="J18" s="53"/>
      <c r="K18" s="53"/>
    </row>
    <row r="19" spans="1:11" s="40" customFormat="1">
      <c r="A19" s="1"/>
      <c r="B19" s="41"/>
      <c r="C19" s="1"/>
      <c r="D19" s="1"/>
      <c r="E19" s="1"/>
      <c r="F19" s="1"/>
      <c r="G19" s="1"/>
      <c r="H19" s="1"/>
      <c r="I19" s="53"/>
      <c r="J19" s="53"/>
      <c r="K19" s="53"/>
    </row>
    <row r="20" spans="1:11" s="40" customFormat="1" ht="15.6">
      <c r="A20" s="42"/>
      <c r="B20" s="86"/>
      <c r="C20" s="1"/>
      <c r="D20" s="1"/>
      <c r="E20" s="1"/>
      <c r="F20" s="1"/>
      <c r="G20" s="43"/>
      <c r="H20" s="65"/>
      <c r="I20" s="53"/>
      <c r="J20" s="53"/>
      <c r="K20" s="80"/>
    </row>
    <row r="21" spans="1:11" s="40" customFormat="1">
      <c r="A21" s="1"/>
      <c r="B21" s="1"/>
      <c r="C21" s="1"/>
      <c r="D21" s="1"/>
      <c r="E21" s="1"/>
      <c r="F21" s="1"/>
      <c r="G21" s="1"/>
      <c r="H21" s="1"/>
      <c r="I21" s="53"/>
      <c r="J21" s="53"/>
      <c r="K21" s="53"/>
    </row>
    <row r="22" spans="1:11" s="40" customFormat="1">
      <c r="A22" s="1"/>
      <c r="B22" s="1"/>
      <c r="C22" s="1"/>
      <c r="D22" s="1"/>
      <c r="E22" s="1"/>
      <c r="F22" s="1"/>
      <c r="G22" s="1"/>
      <c r="H22" s="1"/>
      <c r="I22" s="53"/>
      <c r="J22" s="53"/>
      <c r="K22" s="53"/>
    </row>
    <row r="23" spans="1:11" s="40" customFormat="1">
      <c r="A23" s="1"/>
      <c r="B23" s="1"/>
      <c r="C23" s="1"/>
      <c r="D23" s="1"/>
      <c r="E23" s="1"/>
      <c r="F23" s="44"/>
      <c r="G23" s="1"/>
      <c r="H23" s="1"/>
      <c r="I23" s="53"/>
      <c r="J23" s="53"/>
      <c r="K23" s="53"/>
    </row>
    <row r="24" spans="1:11" s="40" customFormat="1">
      <c r="A24" s="1"/>
      <c r="B24" s="1"/>
      <c r="C24" s="1"/>
      <c r="D24" s="1"/>
      <c r="E24" s="1"/>
      <c r="F24" s="1"/>
      <c r="G24" s="1"/>
      <c r="H24" s="1"/>
      <c r="I24" s="53"/>
      <c r="J24" s="53"/>
      <c r="K24" s="53"/>
    </row>
    <row r="25" spans="1:11" s="40" customFormat="1">
      <c r="A25" s="1"/>
      <c r="B25" s="1"/>
      <c r="C25" s="1"/>
      <c r="D25" s="1"/>
      <c r="E25" s="1"/>
      <c r="F25" s="1"/>
      <c r="G25" s="1"/>
      <c r="H25" s="1"/>
      <c r="I25" s="53"/>
      <c r="J25" s="53"/>
      <c r="K25" s="53"/>
    </row>
    <row r="26" spans="1:11" s="40" customFormat="1">
      <c r="A26" s="1"/>
      <c r="B26" s="1"/>
      <c r="C26" s="1"/>
      <c r="D26" s="1"/>
      <c r="E26" s="1"/>
      <c r="F26" s="1"/>
      <c r="G26" s="1"/>
      <c r="H26" s="1"/>
      <c r="I26" s="53"/>
      <c r="J26" s="53"/>
      <c r="K26" s="53"/>
    </row>
    <row r="27" spans="1:11" s="40" customFormat="1">
      <c r="A27" s="1"/>
      <c r="B27" s="1"/>
      <c r="C27" s="1"/>
      <c r="D27" s="1"/>
      <c r="E27" s="1"/>
      <c r="F27" s="1"/>
      <c r="G27" s="1"/>
      <c r="H27" s="1"/>
      <c r="I27" s="53"/>
      <c r="J27" s="53"/>
      <c r="K27" s="53"/>
    </row>
    <row r="28" spans="1:11" s="40" customFormat="1">
      <c r="A28" s="1"/>
      <c r="B28" s="1"/>
      <c r="C28" s="1"/>
      <c r="D28" s="1"/>
      <c r="E28" s="1"/>
      <c r="F28" s="1"/>
      <c r="G28" s="1"/>
      <c r="H28" s="1"/>
      <c r="I28" s="53"/>
      <c r="J28" s="53"/>
      <c r="K28" s="53"/>
    </row>
    <row r="29" spans="1:11" s="40" customFormat="1">
      <c r="A29" s="42"/>
      <c r="B29" s="42"/>
      <c r="C29" s="42"/>
      <c r="D29" s="42"/>
      <c r="E29" s="42"/>
      <c r="F29" s="1"/>
      <c r="G29" s="44"/>
      <c r="H29" s="44"/>
      <c r="I29" s="53"/>
      <c r="J29" s="53"/>
      <c r="K29" s="53"/>
    </row>
    <row r="30" spans="1:11" s="40" customFormat="1">
      <c r="A30" s="42"/>
      <c r="B30" s="42"/>
      <c r="C30" s="42"/>
      <c r="D30" s="42"/>
      <c r="E30" s="42"/>
      <c r="F30" s="42"/>
      <c r="G30" s="42"/>
      <c r="H30" s="42"/>
      <c r="I30" s="53"/>
      <c r="J30" s="53"/>
      <c r="K30" s="53"/>
    </row>
    <row r="31" spans="1:11" s="40" customFormat="1">
      <c r="A31" s="42"/>
      <c r="B31" s="42"/>
      <c r="C31" s="42"/>
      <c r="D31" s="42"/>
      <c r="E31" s="42"/>
      <c r="F31" s="42"/>
      <c r="G31" s="42"/>
      <c r="H31" s="42"/>
      <c r="I31" s="53"/>
      <c r="J31" s="53"/>
      <c r="K31" s="53"/>
    </row>
    <row r="32" spans="1:11" s="40" customFormat="1">
      <c r="A32" s="1"/>
      <c r="B32" s="1"/>
      <c r="C32" s="1"/>
      <c r="D32" s="1"/>
      <c r="E32" s="1"/>
      <c r="F32" s="1"/>
      <c r="G32" s="1"/>
      <c r="H32" s="1"/>
      <c r="I32" s="53"/>
      <c r="J32" s="53"/>
      <c r="K32" s="53"/>
    </row>
    <row r="33" spans="1:11" s="40" customFormat="1">
      <c r="A33" s="42"/>
      <c r="B33" s="42"/>
      <c r="C33" s="42"/>
      <c r="D33" s="42"/>
      <c r="E33" s="42"/>
      <c r="F33" s="42"/>
      <c r="G33" s="42"/>
      <c r="H33" s="42"/>
      <c r="I33" s="53"/>
      <c r="J33" s="53"/>
      <c r="K33" s="53"/>
    </row>
    <row r="34" spans="1:11" s="40" customFormat="1">
      <c r="A34" s="42"/>
      <c r="B34" s="42"/>
      <c r="C34" s="42"/>
      <c r="D34" s="42"/>
      <c r="E34" s="42"/>
      <c r="F34" s="42"/>
      <c r="G34" s="42"/>
      <c r="H34" s="42"/>
      <c r="I34" s="53"/>
      <c r="J34" s="53"/>
      <c r="K34" s="53"/>
    </row>
    <row r="35" spans="1:11" s="40" customFormat="1">
      <c r="A35" s="42"/>
      <c r="B35" s="42"/>
      <c r="C35" s="42"/>
      <c r="D35" s="42"/>
      <c r="E35" s="42"/>
      <c r="F35" s="42"/>
      <c r="G35" s="42"/>
      <c r="H35" s="42"/>
      <c r="I35" s="53"/>
      <c r="J35" s="53"/>
      <c r="K35" s="53"/>
    </row>
    <row r="36" spans="1:11" s="40" customFormat="1">
      <c r="A36" s="1"/>
      <c r="B36" s="1"/>
      <c r="C36" s="1"/>
      <c r="D36" s="1"/>
      <c r="E36" s="1"/>
      <c r="F36" s="1"/>
      <c r="G36" s="1"/>
      <c r="H36" s="1"/>
      <c r="I36" s="53"/>
      <c r="J36" s="53"/>
      <c r="K36" s="53"/>
    </row>
    <row r="37" spans="1:11" s="40" customFormat="1">
      <c r="A37" s="1"/>
      <c r="B37" s="1"/>
      <c r="C37" s="1"/>
      <c r="D37" s="1"/>
      <c r="E37" s="1"/>
      <c r="F37" s="1"/>
      <c r="G37" s="1"/>
      <c r="H37" s="1"/>
      <c r="I37" s="53"/>
      <c r="J37" s="53"/>
      <c r="K37" s="53"/>
    </row>
    <row r="38" spans="1:11" s="40" customFormat="1">
      <c r="A38" s="1"/>
      <c r="B38" s="1"/>
      <c r="C38" s="1"/>
      <c r="D38" s="1"/>
      <c r="E38" s="1"/>
      <c r="F38" s="1"/>
      <c r="G38" s="1"/>
      <c r="H38" s="1"/>
      <c r="I38" s="53"/>
      <c r="J38" s="53"/>
      <c r="K38" s="53"/>
    </row>
    <row r="39" spans="1:11" s="40" customFormat="1">
      <c r="A39" s="1"/>
      <c r="B39" s="1"/>
      <c r="C39" s="1"/>
      <c r="D39" s="1"/>
      <c r="E39" s="1"/>
      <c r="F39" s="1"/>
      <c r="G39" s="1"/>
      <c r="H39" s="1"/>
      <c r="I39" s="53"/>
      <c r="J39" s="53"/>
      <c r="K39" s="53"/>
    </row>
    <row r="40" spans="1:11" s="40" customFormat="1">
      <c r="A40" s="1"/>
      <c r="B40" s="1"/>
      <c r="C40" s="1"/>
      <c r="D40" s="1"/>
      <c r="E40" s="1"/>
      <c r="F40" s="1"/>
      <c r="G40" s="1"/>
      <c r="H40" s="1"/>
      <c r="I40" s="53"/>
      <c r="J40" s="53"/>
      <c r="K40" s="53"/>
    </row>
    <row r="41" spans="1:11" s="40" customFormat="1">
      <c r="A41" s="42"/>
      <c r="B41" s="42"/>
      <c r="C41" s="42"/>
      <c r="D41" s="42"/>
      <c r="E41" s="42"/>
      <c r="F41" s="42"/>
      <c r="G41" s="42"/>
      <c r="H41" s="42"/>
      <c r="I41" s="53"/>
      <c r="J41" s="53"/>
      <c r="K41" s="53"/>
    </row>
    <row r="42" spans="1:11" s="40" customFormat="1">
      <c r="A42" s="1"/>
      <c r="B42" s="1"/>
      <c r="C42" s="1"/>
      <c r="D42" s="1"/>
      <c r="E42" s="1"/>
      <c r="F42" s="1"/>
      <c r="G42" s="1"/>
      <c r="H42" s="1"/>
      <c r="I42" s="53"/>
      <c r="J42" s="53"/>
      <c r="K42" s="53"/>
    </row>
    <row r="43" spans="1:11" s="40" customFormat="1">
      <c r="A43" s="1"/>
      <c r="B43" s="1"/>
      <c r="C43" s="1"/>
      <c r="D43" s="1"/>
      <c r="E43" s="1"/>
      <c r="F43" s="1"/>
      <c r="G43" s="1"/>
      <c r="H43" s="1"/>
      <c r="I43" s="53"/>
      <c r="J43" s="53"/>
      <c r="K43" s="53"/>
    </row>
    <row r="44" spans="1:11" s="40" customFormat="1">
      <c r="A44" s="1"/>
      <c r="B44" s="1"/>
      <c r="C44" s="1"/>
      <c r="D44" s="1"/>
      <c r="E44" s="1"/>
      <c r="F44" s="1"/>
      <c r="G44" s="1"/>
      <c r="H44" s="1"/>
      <c r="I44" s="53"/>
      <c r="J44" s="53"/>
      <c r="K44" s="53"/>
    </row>
    <row r="45" spans="1:11" s="40" customFormat="1">
      <c r="A45" s="1"/>
      <c r="B45" s="1"/>
      <c r="C45" s="1"/>
      <c r="D45" s="1"/>
      <c r="E45" s="1"/>
      <c r="F45" s="1"/>
      <c r="G45" s="1"/>
      <c r="H45" s="1"/>
      <c r="I45" s="53"/>
      <c r="J45" s="53"/>
      <c r="K45" s="53"/>
    </row>
    <row r="46" spans="1:11" s="40" customFormat="1">
      <c r="A46" s="1"/>
      <c r="B46" s="1"/>
      <c r="C46" s="1"/>
      <c r="D46" s="1"/>
      <c r="E46" s="1"/>
      <c r="F46" s="1"/>
      <c r="G46" s="1"/>
      <c r="H46" s="1"/>
      <c r="I46" s="53"/>
      <c r="J46" s="53"/>
      <c r="K46" s="53"/>
    </row>
    <row r="47" spans="1:11" s="40" customFormat="1">
      <c r="A47" s="1"/>
      <c r="B47" s="1"/>
      <c r="C47" s="1"/>
      <c r="D47" s="1"/>
      <c r="E47" s="1"/>
      <c r="F47" s="1"/>
      <c r="G47" s="1"/>
      <c r="H47" s="1"/>
      <c r="I47" s="53"/>
      <c r="J47" s="53"/>
      <c r="K47" s="53"/>
    </row>
    <row r="48" spans="1:11" s="40" customFormat="1">
      <c r="A48" s="1"/>
      <c r="B48" s="1"/>
      <c r="C48" s="1"/>
      <c r="D48" s="1"/>
      <c r="E48" s="1"/>
      <c r="F48" s="1"/>
      <c r="G48" s="1"/>
      <c r="H48" s="1"/>
      <c r="I48" s="53"/>
      <c r="J48" s="53"/>
      <c r="K48" s="53"/>
    </row>
    <row r="49" spans="1:11" s="40" customFormat="1">
      <c r="A49" s="1"/>
      <c r="B49" s="1"/>
      <c r="C49" s="1"/>
      <c r="D49" s="1"/>
      <c r="E49" s="1"/>
      <c r="F49" s="1"/>
      <c r="G49" s="1"/>
      <c r="H49" s="1"/>
      <c r="I49" s="53"/>
      <c r="J49" s="53"/>
      <c r="K49" s="53"/>
    </row>
    <row r="50" spans="1:11" s="40" customFormat="1">
      <c r="A50" s="1"/>
      <c r="B50" s="1"/>
      <c r="C50" s="1"/>
      <c r="D50" s="1"/>
      <c r="E50" s="1"/>
      <c r="F50" s="1"/>
      <c r="G50" s="1"/>
      <c r="H50" s="1"/>
      <c r="I50" s="53"/>
      <c r="J50" s="53"/>
      <c r="K50" s="53"/>
    </row>
    <row r="51" spans="1:11" s="40" customFormat="1">
      <c r="A51" s="1"/>
      <c r="B51" s="1"/>
      <c r="C51" s="1"/>
      <c r="D51" s="1"/>
      <c r="E51" s="1"/>
      <c r="F51" s="1"/>
      <c r="G51" s="1"/>
      <c r="H51" s="1"/>
      <c r="I51" s="53"/>
      <c r="J51" s="53"/>
      <c r="K51" s="53"/>
    </row>
    <row r="52" spans="1:11" s="40" customFormat="1">
      <c r="A52" s="1"/>
      <c r="B52" s="1"/>
      <c r="C52" s="1"/>
      <c r="D52" s="1"/>
      <c r="E52" s="1"/>
      <c r="F52" s="1"/>
      <c r="G52" s="1"/>
      <c r="H52" s="1"/>
      <c r="I52" s="53"/>
      <c r="J52" s="53"/>
      <c r="K52" s="53"/>
    </row>
    <row r="53" spans="1:11" s="40" customFormat="1">
      <c r="A53" s="1"/>
      <c r="B53" s="1"/>
      <c r="C53" s="1"/>
      <c r="D53" s="1"/>
      <c r="E53" s="1"/>
      <c r="F53" s="1"/>
      <c r="G53" s="1"/>
      <c r="H53" s="1"/>
      <c r="I53" s="53"/>
      <c r="J53" s="53"/>
      <c r="K53" s="53"/>
    </row>
    <row r="54" spans="1:11" s="40" customFormat="1" ht="15.6">
      <c r="A54" s="1"/>
      <c r="B54" s="1"/>
      <c r="C54" s="1"/>
      <c r="D54" s="1"/>
      <c r="E54" s="1"/>
      <c r="F54" s="1"/>
      <c r="G54" s="43"/>
      <c r="H54" s="87"/>
      <c r="I54" s="16"/>
      <c r="J54" s="53"/>
      <c r="K54" s="80"/>
    </row>
    <row r="55" spans="1:11" s="40" customFormat="1">
      <c r="A55" s="1"/>
      <c r="B55" s="1"/>
      <c r="C55" s="1"/>
      <c r="D55" s="1"/>
      <c r="E55" s="1"/>
      <c r="F55" s="1"/>
      <c r="G55" s="1"/>
      <c r="H55" s="1"/>
      <c r="I55" s="53"/>
      <c r="J55" s="53"/>
      <c r="K55" s="53"/>
    </row>
    <row r="56" spans="1:11" s="40" customFormat="1">
      <c r="A56" s="1"/>
      <c r="B56" s="1"/>
      <c r="C56" s="1"/>
      <c r="D56" s="1"/>
      <c r="E56" s="1"/>
      <c r="F56" s="1"/>
      <c r="G56" s="45"/>
      <c r="H56" s="45"/>
      <c r="I56" s="53"/>
      <c r="J56" s="53"/>
      <c r="K56" s="53"/>
    </row>
    <row r="57" spans="1:11" s="40" customFormat="1">
      <c r="A57" s="1"/>
      <c r="B57" s="1"/>
      <c r="C57" s="1"/>
      <c r="D57" s="1"/>
      <c r="E57" s="1"/>
      <c r="F57" s="1"/>
      <c r="G57" s="1"/>
      <c r="H57" s="1"/>
      <c r="I57" s="53"/>
      <c r="J57" s="53"/>
      <c r="K57" s="53"/>
    </row>
    <row r="58" spans="1:11" s="40" customFormat="1" ht="15.6">
      <c r="A58" s="1"/>
      <c r="B58" s="1"/>
      <c r="C58" s="1"/>
      <c r="D58" s="1"/>
      <c r="E58" s="1"/>
      <c r="F58" s="1"/>
      <c r="G58" s="43"/>
      <c r="H58" s="43"/>
      <c r="I58" s="53"/>
      <c r="J58" s="53"/>
      <c r="K58" s="80"/>
    </row>
    <row r="59" spans="1:11" s="40" customFormat="1">
      <c r="A59" s="1"/>
      <c r="B59" s="1"/>
      <c r="C59" s="1"/>
      <c r="D59" s="1"/>
      <c r="E59" s="1"/>
      <c r="F59" s="1"/>
      <c r="G59" s="1"/>
      <c r="H59" s="1"/>
      <c r="I59" s="53"/>
      <c r="J59" s="53"/>
      <c r="K59" s="53"/>
    </row>
    <row r="60" spans="1:11" s="40" customFormat="1">
      <c r="A60" s="1"/>
      <c r="B60" s="1"/>
      <c r="C60" s="1"/>
      <c r="D60" s="1"/>
      <c r="E60" s="1"/>
      <c r="F60" s="1"/>
      <c r="G60" s="1"/>
      <c r="H60" s="1"/>
      <c r="I60" s="53"/>
      <c r="J60" s="53"/>
      <c r="K60" s="53"/>
    </row>
    <row r="61" spans="1:11" s="40" customFormat="1">
      <c r="A61" s="1"/>
      <c r="B61" s="1"/>
      <c r="C61" s="1"/>
      <c r="D61" s="1"/>
      <c r="E61" s="1"/>
      <c r="F61" s="1"/>
      <c r="G61" s="1"/>
      <c r="H61" s="1"/>
      <c r="I61" s="53"/>
      <c r="J61" s="53"/>
      <c r="K61" s="53"/>
    </row>
    <row r="62" spans="1:11" s="40" customFormat="1">
      <c r="A62" s="1"/>
      <c r="B62" s="1"/>
      <c r="C62" s="1"/>
      <c r="D62" s="1"/>
      <c r="E62" s="1"/>
      <c r="F62" s="1"/>
      <c r="G62" s="1"/>
      <c r="H62" s="1"/>
      <c r="I62" s="53"/>
      <c r="J62" s="53"/>
      <c r="K62" s="53"/>
    </row>
    <row r="63" spans="1:11" s="40" customFormat="1">
      <c r="A63" s="1"/>
      <c r="B63" s="1"/>
      <c r="C63" s="1"/>
      <c r="D63" s="1"/>
      <c r="E63" s="1"/>
      <c r="F63" s="1"/>
      <c r="G63" s="1"/>
      <c r="H63" s="1"/>
      <c r="I63" s="53"/>
      <c r="J63" s="53"/>
      <c r="K63" s="53"/>
    </row>
    <row r="64" spans="1:11" s="40" customFormat="1">
      <c r="A64" s="1"/>
      <c r="B64" s="1"/>
      <c r="C64" s="1"/>
      <c r="D64" s="1"/>
      <c r="E64" s="1"/>
      <c r="F64" s="1"/>
      <c r="G64" s="1"/>
      <c r="H64" s="1"/>
      <c r="I64" s="53"/>
      <c r="J64" s="53"/>
      <c r="K64" s="53"/>
    </row>
    <row r="65" spans="1:11" s="40" customFormat="1">
      <c r="A65" s="1"/>
      <c r="B65" s="1"/>
      <c r="C65" s="1"/>
      <c r="D65" s="1"/>
      <c r="E65" s="1"/>
      <c r="F65" s="1"/>
      <c r="G65" s="1"/>
      <c r="H65" s="1"/>
      <c r="I65" s="53"/>
      <c r="J65" s="53"/>
      <c r="K65" s="53"/>
    </row>
    <row r="66" spans="1:11" s="40" customFormat="1">
      <c r="A66" s="1"/>
      <c r="B66" s="1"/>
      <c r="C66" s="1"/>
      <c r="D66" s="1"/>
      <c r="E66" s="1"/>
      <c r="F66" s="1"/>
      <c r="G66" s="1"/>
      <c r="H66" s="1"/>
      <c r="I66" s="53"/>
      <c r="J66" s="53"/>
      <c r="K66" s="53"/>
    </row>
    <row r="67" spans="1:11" s="40" customFormat="1" ht="15.6">
      <c r="A67" s="1"/>
      <c r="B67" s="1"/>
      <c r="C67" s="1"/>
      <c r="D67" s="1"/>
      <c r="E67" s="1"/>
      <c r="F67" s="1"/>
      <c r="G67" s="43"/>
      <c r="H67" s="65"/>
      <c r="I67" s="1"/>
      <c r="J67" s="53"/>
      <c r="K67" s="80"/>
    </row>
    <row r="68" spans="1:11" s="40" customFormat="1">
      <c r="A68" s="1"/>
      <c r="B68" s="1"/>
      <c r="C68" s="1"/>
      <c r="D68" s="1"/>
      <c r="E68" s="1"/>
      <c r="F68" s="1"/>
      <c r="G68" s="1"/>
      <c r="H68" s="1"/>
      <c r="I68" s="53"/>
      <c r="J68" s="53"/>
      <c r="K68" s="53"/>
    </row>
    <row r="69" spans="1:11" s="40" customFormat="1">
      <c r="A69" s="1"/>
      <c r="B69" s="1"/>
      <c r="C69" s="1"/>
      <c r="D69" s="1"/>
      <c r="E69" s="1"/>
      <c r="F69" s="1"/>
      <c r="G69" s="1"/>
      <c r="H69" s="1"/>
      <c r="I69" s="53"/>
      <c r="J69" s="53"/>
      <c r="K69" s="53"/>
    </row>
    <row r="70" spans="1:11" s="40" customFormat="1">
      <c r="A70" s="1"/>
      <c r="B70" s="1"/>
      <c r="C70" s="1"/>
      <c r="D70" s="1"/>
      <c r="E70" s="1"/>
      <c r="F70" s="1"/>
      <c r="G70" s="1"/>
      <c r="H70" s="1"/>
      <c r="I70" s="53"/>
      <c r="J70" s="53"/>
      <c r="K70" s="53"/>
    </row>
    <row r="71" spans="1:11" s="40" customFormat="1">
      <c r="A71" s="1"/>
      <c r="B71" s="1"/>
      <c r="C71" s="1"/>
      <c r="D71" s="1"/>
      <c r="E71" s="1"/>
      <c r="F71" s="1"/>
      <c r="G71" s="1"/>
      <c r="H71" s="1"/>
      <c r="I71" s="53"/>
      <c r="J71" s="53"/>
      <c r="K71" s="53"/>
    </row>
    <row r="72" spans="1:11" s="40" customFormat="1">
      <c r="A72" s="1"/>
      <c r="B72" s="1"/>
      <c r="C72" s="1"/>
      <c r="D72" s="1"/>
      <c r="E72" s="1"/>
      <c r="F72" s="1"/>
      <c r="G72" s="1"/>
      <c r="H72" s="1"/>
      <c r="I72" s="53"/>
      <c r="J72" s="53"/>
      <c r="K72" s="53"/>
    </row>
    <row r="73" spans="1:11" s="40" customFormat="1">
      <c r="A73" s="1"/>
      <c r="B73" s="1"/>
      <c r="C73" s="1"/>
      <c r="D73" s="1"/>
      <c r="E73" s="1"/>
      <c r="F73" s="1"/>
      <c r="G73" s="1"/>
      <c r="H73" s="1"/>
      <c r="I73" s="53"/>
      <c r="J73" s="53"/>
      <c r="K73" s="53"/>
    </row>
    <row r="74" spans="1:11" s="40" customFormat="1">
      <c r="A74" s="1"/>
      <c r="B74" s="1"/>
      <c r="C74" s="1"/>
      <c r="D74" s="1"/>
      <c r="E74" s="1"/>
      <c r="F74" s="1"/>
      <c r="G74" s="1"/>
      <c r="H74" s="1"/>
      <c r="I74" s="53"/>
      <c r="J74" s="53"/>
      <c r="K74" s="53"/>
    </row>
    <row r="75" spans="1:11" s="40" customFormat="1">
      <c r="A75" s="1"/>
      <c r="B75" s="1"/>
      <c r="C75" s="1"/>
      <c r="D75" s="1"/>
      <c r="E75" s="1"/>
      <c r="F75" s="1"/>
      <c r="G75" s="1"/>
      <c r="H75" s="1"/>
      <c r="I75" s="53"/>
      <c r="J75" s="53"/>
      <c r="K75" s="53"/>
    </row>
    <row r="76" spans="1:11" s="40" customFormat="1">
      <c r="A76" s="1"/>
      <c r="B76" s="1"/>
      <c r="C76" s="1"/>
      <c r="D76" s="1"/>
      <c r="E76" s="1"/>
      <c r="F76" s="1"/>
      <c r="G76" s="1"/>
      <c r="H76" s="1"/>
      <c r="I76" s="53"/>
      <c r="J76" s="53"/>
      <c r="K76" s="53"/>
    </row>
    <row r="77" spans="1:11" s="40" customFormat="1">
      <c r="A77" s="42"/>
      <c r="B77" s="42"/>
      <c r="C77" s="42"/>
      <c r="D77" s="1"/>
      <c r="E77" s="42"/>
      <c r="F77" s="42"/>
      <c r="G77" s="46"/>
      <c r="H77" s="46"/>
      <c r="I77" s="53"/>
      <c r="J77" s="53"/>
      <c r="K77" s="53"/>
    </row>
    <row r="78" spans="1:11" s="40" customFormat="1">
      <c r="A78" s="1"/>
      <c r="B78" s="1"/>
      <c r="C78" s="1"/>
      <c r="D78" s="1"/>
      <c r="E78" s="1"/>
      <c r="F78" s="1"/>
      <c r="G78" s="1"/>
      <c r="H78" s="1"/>
      <c r="I78" s="53"/>
      <c r="J78" s="53"/>
      <c r="K78" s="53"/>
    </row>
    <row r="79" spans="1:11" s="40" customFormat="1">
      <c r="A79" s="1"/>
      <c r="B79" s="1"/>
      <c r="C79" s="1"/>
      <c r="D79" s="1"/>
      <c r="E79" s="1"/>
      <c r="F79" s="1"/>
      <c r="G79" s="1"/>
      <c r="H79" s="1"/>
      <c r="I79" s="53"/>
      <c r="J79" s="53"/>
      <c r="K79" s="53"/>
    </row>
    <row r="80" spans="1:11" s="40" customFormat="1">
      <c r="A80" s="1"/>
      <c r="B80" s="1"/>
      <c r="C80" s="1"/>
      <c r="D80" s="1"/>
      <c r="E80" s="1"/>
      <c r="F80" s="1"/>
      <c r="G80" s="45"/>
      <c r="H80" s="45"/>
      <c r="I80" s="53"/>
      <c r="J80" s="53"/>
      <c r="K80" s="53"/>
    </row>
    <row r="81" spans="1:11" s="40" customFormat="1">
      <c r="A81" s="1"/>
      <c r="B81" s="1"/>
      <c r="C81" s="1"/>
      <c r="D81" s="1"/>
      <c r="E81" s="1"/>
      <c r="F81" s="1"/>
      <c r="G81" s="1"/>
      <c r="H81" s="1"/>
      <c r="I81" s="53"/>
      <c r="J81" s="53"/>
      <c r="K81" s="53"/>
    </row>
    <row r="82" spans="1:11" s="40" customFormat="1">
      <c r="A82" s="1"/>
      <c r="B82" s="1"/>
      <c r="C82" s="1"/>
      <c r="D82" s="1"/>
      <c r="E82" s="1"/>
      <c r="F82" s="1"/>
      <c r="G82" s="1"/>
      <c r="H82" s="1"/>
      <c r="I82" s="53"/>
      <c r="J82" s="53"/>
      <c r="K82" s="53"/>
    </row>
    <row r="83" spans="1:11" s="40" customFormat="1">
      <c r="A83" s="1"/>
      <c r="B83" s="1"/>
      <c r="C83" s="1"/>
      <c r="D83" s="1"/>
      <c r="E83" s="1"/>
      <c r="F83" s="1"/>
      <c r="G83" s="1"/>
      <c r="H83" s="1"/>
      <c r="I83" s="53"/>
      <c r="J83" s="53"/>
      <c r="K83" s="53"/>
    </row>
    <row r="84" spans="1:11" s="40" customFormat="1">
      <c r="A84" s="1"/>
      <c r="B84" s="1"/>
      <c r="C84" s="1"/>
      <c r="D84" s="1"/>
      <c r="E84" s="1"/>
      <c r="F84" s="1"/>
      <c r="G84" s="1"/>
      <c r="H84" s="1"/>
      <c r="I84" s="53"/>
      <c r="J84" s="53"/>
      <c r="K84" s="53"/>
    </row>
    <row r="85" spans="1:11" s="40" customFormat="1">
      <c r="A85" s="1"/>
      <c r="B85" s="1"/>
      <c r="C85" s="1"/>
      <c r="D85" s="1"/>
      <c r="E85" s="1"/>
      <c r="F85" s="1"/>
      <c r="G85" s="1"/>
      <c r="H85" s="1"/>
      <c r="I85" s="53"/>
      <c r="J85" s="53"/>
      <c r="K85" s="53"/>
    </row>
    <row r="86" spans="1:11" s="40" customFormat="1">
      <c r="A86" s="1"/>
      <c r="B86" s="1"/>
      <c r="C86" s="1"/>
      <c r="D86" s="1"/>
      <c r="E86" s="1"/>
      <c r="F86" s="1"/>
      <c r="G86" s="1"/>
      <c r="H86" s="1"/>
      <c r="I86" s="53"/>
      <c r="J86" s="53"/>
      <c r="K86" s="53"/>
    </row>
    <row r="87" spans="1:11" s="40" customFormat="1">
      <c r="A87" s="1"/>
      <c r="B87" s="1"/>
      <c r="C87" s="1"/>
      <c r="D87" s="1"/>
      <c r="E87" s="1"/>
      <c r="F87" s="1"/>
      <c r="G87" s="1"/>
      <c r="H87" s="1"/>
      <c r="I87" s="53"/>
      <c r="J87" s="53"/>
      <c r="K87" s="53"/>
    </row>
    <row r="88" spans="1:11" s="40" customFormat="1">
      <c r="A88" s="1"/>
      <c r="B88" s="1"/>
      <c r="C88" s="1"/>
      <c r="D88" s="1"/>
      <c r="E88" s="1"/>
      <c r="F88" s="1"/>
      <c r="G88" s="1"/>
      <c r="H88" s="1"/>
      <c r="I88" s="53"/>
      <c r="J88" s="53"/>
      <c r="K88" s="53"/>
    </row>
    <row r="89" spans="1:11" s="40" customFormat="1">
      <c r="A89" s="1"/>
      <c r="B89" s="1"/>
      <c r="C89" s="1"/>
      <c r="D89" s="1"/>
      <c r="E89" s="1"/>
      <c r="F89" s="1"/>
      <c r="G89" s="1"/>
      <c r="H89" s="1"/>
      <c r="I89" s="53"/>
      <c r="J89" s="53"/>
      <c r="K89" s="53"/>
    </row>
    <row r="90" spans="1:11" s="40" customFormat="1">
      <c r="A90" s="1"/>
      <c r="B90" s="1"/>
      <c r="C90" s="1"/>
      <c r="D90" s="1"/>
      <c r="E90" s="1"/>
      <c r="F90" s="1"/>
      <c r="G90" s="1"/>
      <c r="H90" s="1"/>
      <c r="I90" s="53"/>
      <c r="J90" s="53"/>
      <c r="K90" s="53"/>
    </row>
    <row r="91" spans="1:11" s="40" customFormat="1">
      <c r="A91" s="1"/>
      <c r="B91" s="1"/>
      <c r="C91" s="1"/>
      <c r="D91" s="1"/>
      <c r="E91" s="1"/>
      <c r="F91" s="1"/>
      <c r="G91" s="1"/>
      <c r="H91" s="1"/>
      <c r="I91" s="53"/>
      <c r="J91" s="53"/>
      <c r="K91" s="53"/>
    </row>
    <row r="92" spans="1:11" s="40" customFormat="1" ht="15.6">
      <c r="A92" s="1"/>
      <c r="B92" s="1"/>
      <c r="C92" s="1"/>
      <c r="D92" s="1"/>
      <c r="E92" s="1"/>
      <c r="F92" s="1"/>
      <c r="G92" s="43"/>
      <c r="H92" s="65"/>
      <c r="I92" s="53"/>
      <c r="J92" s="53"/>
      <c r="K92" s="80"/>
    </row>
    <row r="93" spans="1:11" s="40" customFormat="1" ht="15.6">
      <c r="A93" s="1"/>
      <c r="B93" s="1"/>
      <c r="C93" s="1"/>
      <c r="D93" s="1"/>
      <c r="E93" s="1"/>
      <c r="F93" s="1"/>
      <c r="G93" s="98"/>
      <c r="H93" s="87"/>
      <c r="I93" s="53"/>
      <c r="J93" s="53"/>
      <c r="K93" s="80"/>
    </row>
    <row r="94" spans="1:11" s="40" customFormat="1">
      <c r="A94" s="1"/>
      <c r="B94" s="1"/>
      <c r="C94" s="1"/>
      <c r="D94" s="1"/>
      <c r="E94" s="1"/>
      <c r="F94" s="1"/>
      <c r="G94" s="1"/>
      <c r="H94" s="1"/>
      <c r="I94" s="53"/>
      <c r="J94" s="53"/>
      <c r="K94" s="53"/>
    </row>
    <row r="95" spans="1:11" s="40" customFormat="1" ht="15.6">
      <c r="A95" s="1"/>
      <c r="B95" s="1"/>
      <c r="C95" s="1"/>
      <c r="D95" s="1"/>
      <c r="E95" s="1"/>
      <c r="F95" s="1"/>
      <c r="G95" s="43"/>
      <c r="H95" s="65"/>
      <c r="I95" s="53"/>
      <c r="J95" s="53"/>
      <c r="K95" s="80"/>
    </row>
    <row r="96" spans="1:11" s="40" customFormat="1">
      <c r="A96" s="42"/>
      <c r="B96" s="42"/>
      <c r="C96" s="42"/>
      <c r="D96" s="42"/>
      <c r="E96" s="1"/>
      <c r="F96" s="1"/>
      <c r="G96" s="1"/>
      <c r="H96" s="1"/>
      <c r="I96" s="53"/>
      <c r="J96" s="53"/>
      <c r="K96" s="53"/>
    </row>
    <row r="97" spans="1:11" s="40" customFormat="1">
      <c r="A97" s="1"/>
      <c r="B97" s="1"/>
      <c r="C97" s="1"/>
      <c r="D97" s="1"/>
      <c r="E97" s="1"/>
      <c r="F97" s="1"/>
      <c r="G97" s="1"/>
      <c r="H97" s="1"/>
      <c r="I97" s="53"/>
      <c r="J97" s="53"/>
      <c r="K97" s="53"/>
    </row>
    <row r="98" spans="1:11" s="40" customFormat="1">
      <c r="A98" s="1"/>
      <c r="B98" s="1"/>
      <c r="C98" s="1"/>
      <c r="D98" s="1"/>
      <c r="E98" s="1"/>
      <c r="F98" s="1"/>
      <c r="G98" s="1"/>
      <c r="H98" s="1"/>
      <c r="I98" s="53"/>
      <c r="J98" s="53"/>
      <c r="K98" s="53"/>
    </row>
    <row r="99" spans="1:11" s="40" customFormat="1">
      <c r="A99" s="1"/>
      <c r="B99" s="1"/>
      <c r="C99" s="1"/>
      <c r="D99" s="1"/>
      <c r="E99" s="42"/>
      <c r="F99" s="42"/>
      <c r="G99" s="1"/>
      <c r="H99" s="1"/>
      <c r="I99" s="53"/>
      <c r="J99" s="53"/>
      <c r="K99" s="53"/>
    </row>
    <row r="100" spans="1:11" s="40" customFormat="1">
      <c r="A100" s="1"/>
      <c r="B100" s="1"/>
      <c r="C100" s="1"/>
      <c r="D100" s="1"/>
      <c r="E100" s="1"/>
      <c r="F100" s="1"/>
      <c r="G100" s="1"/>
      <c r="H100" s="1"/>
      <c r="I100" s="53"/>
      <c r="J100" s="53"/>
      <c r="K100" s="53"/>
    </row>
    <row r="101" spans="1:11" s="40" customFormat="1">
      <c r="A101" s="1"/>
      <c r="B101" s="1"/>
      <c r="C101" s="1"/>
      <c r="D101" s="1"/>
      <c r="E101" s="1"/>
      <c r="F101" s="1"/>
      <c r="G101" s="1"/>
      <c r="H101" s="1"/>
      <c r="I101" s="53"/>
      <c r="J101" s="53"/>
      <c r="K101" s="53"/>
    </row>
    <row r="102" spans="1:11" s="40" customFormat="1">
      <c r="A102" s="1"/>
      <c r="B102" s="1"/>
      <c r="C102" s="1"/>
      <c r="D102" s="1"/>
      <c r="E102" s="1"/>
      <c r="F102" s="1"/>
      <c r="G102" s="1"/>
      <c r="H102" s="1"/>
      <c r="I102" s="53"/>
      <c r="J102" s="53"/>
      <c r="K102" s="53"/>
    </row>
    <row r="103" spans="1:11" s="40" customFormat="1">
      <c r="A103" s="1"/>
      <c r="B103" s="1"/>
      <c r="C103" s="1"/>
      <c r="D103" s="1"/>
      <c r="E103" s="1"/>
      <c r="F103" s="1"/>
      <c r="G103" s="1"/>
      <c r="H103" s="1"/>
      <c r="I103" s="53"/>
      <c r="J103" s="53"/>
      <c r="K103" s="53"/>
    </row>
    <row r="104" spans="1:11" s="40" customFormat="1">
      <c r="A104" s="1"/>
      <c r="B104" s="1"/>
      <c r="C104" s="1"/>
      <c r="D104" s="1"/>
      <c r="E104" s="1"/>
      <c r="F104" s="1"/>
      <c r="G104" s="1"/>
      <c r="H104" s="1"/>
      <c r="I104" s="53"/>
      <c r="J104" s="53"/>
      <c r="K104" s="53"/>
    </row>
    <row r="105" spans="1:11" s="40" customFormat="1">
      <c r="A105" s="1"/>
      <c r="B105" s="1"/>
      <c r="C105" s="1"/>
      <c r="D105" s="1"/>
      <c r="E105" s="1"/>
      <c r="F105" s="1"/>
      <c r="G105" s="1"/>
      <c r="H105" s="1"/>
      <c r="I105" s="53"/>
      <c r="J105" s="53"/>
      <c r="K105" s="53"/>
    </row>
    <row r="106" spans="1:11" s="40" customFormat="1" ht="15.6">
      <c r="A106" s="1"/>
      <c r="B106" s="1"/>
      <c r="C106" s="1"/>
      <c r="D106" s="1"/>
      <c r="E106" s="1"/>
      <c r="F106" s="1"/>
      <c r="G106" s="43"/>
      <c r="H106" s="65"/>
      <c r="I106" s="53"/>
      <c r="J106" s="53"/>
      <c r="K106" s="80"/>
    </row>
    <row r="107" spans="1:11" s="40" customFormat="1">
      <c r="A107" s="1"/>
      <c r="B107" s="1"/>
      <c r="C107" s="1"/>
      <c r="D107" s="1"/>
      <c r="E107" s="1"/>
      <c r="F107" s="1"/>
      <c r="G107" s="1"/>
      <c r="H107" s="1"/>
      <c r="I107" s="53"/>
      <c r="J107" s="53"/>
      <c r="K107" s="53"/>
    </row>
    <row r="108" spans="1:11" s="40" customFormat="1">
      <c r="A108" s="1"/>
      <c r="B108" s="1"/>
      <c r="C108" s="1"/>
      <c r="D108" s="1"/>
      <c r="E108" s="1"/>
      <c r="F108" s="1"/>
      <c r="G108" s="1"/>
      <c r="H108" s="1"/>
      <c r="I108" s="53"/>
      <c r="J108" s="53"/>
      <c r="K108" s="53"/>
    </row>
    <row r="109" spans="1:11" s="40" customFormat="1" ht="15.6">
      <c r="A109" s="1"/>
      <c r="B109" s="1"/>
      <c r="C109" s="1"/>
      <c r="D109" s="1"/>
      <c r="E109" s="1"/>
      <c r="F109" s="1"/>
      <c r="G109" s="43"/>
      <c r="H109" s="43"/>
      <c r="I109" s="53"/>
      <c r="J109" s="53"/>
      <c r="K109" s="80"/>
    </row>
    <row r="110" spans="1:11" s="40" customFormat="1">
      <c r="A110" s="1"/>
      <c r="B110" s="1"/>
      <c r="C110" s="1"/>
      <c r="D110" s="1"/>
      <c r="E110" s="1"/>
      <c r="F110" s="1"/>
      <c r="G110" s="1"/>
      <c r="H110" s="1"/>
      <c r="I110" s="53"/>
      <c r="J110" s="53"/>
      <c r="K110" s="53"/>
    </row>
    <row r="111" spans="1:11" s="40" customFormat="1">
      <c r="A111" s="1"/>
      <c r="B111" s="1"/>
      <c r="C111" s="1"/>
      <c r="D111" s="1"/>
      <c r="E111" s="1"/>
      <c r="F111" s="1"/>
      <c r="G111" s="1"/>
      <c r="H111" s="1"/>
      <c r="I111" s="53"/>
      <c r="J111" s="53"/>
      <c r="K111" s="53"/>
    </row>
    <row r="112" spans="1:11" s="40" customFormat="1">
      <c r="A112" s="42"/>
      <c r="B112" s="42"/>
      <c r="C112" s="42"/>
      <c r="D112" s="1"/>
      <c r="E112" s="42"/>
      <c r="F112" s="42"/>
      <c r="G112" s="46"/>
      <c r="H112" s="46"/>
      <c r="I112" s="53"/>
      <c r="J112" s="53"/>
      <c r="K112" s="53"/>
    </row>
    <row r="113" spans="1:11" s="40" customFormat="1" ht="15.6">
      <c r="A113" s="1"/>
      <c r="B113" s="1"/>
      <c r="C113" s="1"/>
      <c r="D113" s="1"/>
      <c r="E113" s="1"/>
      <c r="F113" s="1"/>
      <c r="G113" s="43"/>
      <c r="H113" s="43"/>
      <c r="I113" s="53"/>
      <c r="J113" s="53"/>
      <c r="K113" s="80"/>
    </row>
    <row r="114" spans="1:11" s="40" customFormat="1">
      <c r="A114" s="1"/>
      <c r="B114" s="1"/>
      <c r="C114" s="1"/>
      <c r="D114" s="1"/>
      <c r="E114" s="1"/>
      <c r="F114" s="1"/>
      <c r="G114" s="1"/>
      <c r="H114" s="1"/>
      <c r="I114" s="53"/>
      <c r="J114" s="53"/>
      <c r="K114" s="53"/>
    </row>
    <row r="115" spans="1:11" s="40" customFormat="1">
      <c r="A115" s="1"/>
      <c r="B115" s="1"/>
      <c r="C115" s="1"/>
      <c r="D115" s="1"/>
      <c r="E115" s="1"/>
      <c r="F115" s="1"/>
      <c r="G115" s="1"/>
      <c r="H115" s="1"/>
      <c r="I115" s="53"/>
      <c r="J115" s="53"/>
      <c r="K115" s="53"/>
    </row>
    <row r="116" spans="1:11" s="40" customFormat="1">
      <c r="A116" s="1"/>
      <c r="B116" s="1"/>
      <c r="C116" s="1"/>
      <c r="D116" s="1"/>
      <c r="E116" s="1"/>
      <c r="F116" s="1"/>
      <c r="G116" s="1"/>
      <c r="H116" s="1"/>
      <c r="I116" s="53"/>
      <c r="J116" s="53"/>
      <c r="K116" s="53"/>
    </row>
    <row r="117" spans="1:11" s="40" customFormat="1" ht="15.6">
      <c r="A117" s="1"/>
      <c r="B117" s="1"/>
      <c r="C117" s="1"/>
      <c r="D117" s="1"/>
      <c r="E117" s="1"/>
      <c r="F117" s="1"/>
      <c r="G117" s="43"/>
      <c r="H117" s="43"/>
      <c r="I117" s="53"/>
      <c r="J117" s="53"/>
      <c r="K117" s="80"/>
    </row>
    <row r="118" spans="1:11" s="40" customFormat="1">
      <c r="A118" s="1"/>
      <c r="B118" s="1"/>
      <c r="C118" s="1"/>
      <c r="D118" s="1"/>
      <c r="E118" s="1"/>
      <c r="F118" s="1"/>
      <c r="G118" s="1"/>
      <c r="H118" s="1"/>
      <c r="I118" s="53"/>
      <c r="J118" s="53"/>
      <c r="K118" s="53"/>
    </row>
    <row r="119" spans="1:11" s="40" customFormat="1">
      <c r="A119" s="42"/>
      <c r="B119" s="42"/>
      <c r="C119" s="42"/>
      <c r="D119" s="42"/>
      <c r="E119" s="1"/>
      <c r="F119" s="42"/>
      <c r="G119" s="42"/>
      <c r="H119" s="42"/>
      <c r="I119" s="53"/>
      <c r="J119" s="53"/>
      <c r="K119" s="53"/>
    </row>
    <row r="120" spans="1:11" s="40" customFormat="1">
      <c r="A120" s="42"/>
      <c r="B120" s="42"/>
      <c r="C120" s="42"/>
      <c r="D120" s="42"/>
      <c r="E120" s="1"/>
      <c r="F120" s="42"/>
      <c r="G120" s="42"/>
      <c r="H120" s="42"/>
      <c r="I120" s="53"/>
      <c r="J120" s="53"/>
      <c r="K120" s="53"/>
    </row>
    <row r="121" spans="1:11" s="40" customFormat="1">
      <c r="A121" s="1"/>
      <c r="B121" s="1"/>
      <c r="C121" s="1"/>
      <c r="D121" s="1"/>
      <c r="E121" s="1"/>
      <c r="F121" s="1"/>
      <c r="G121" s="1"/>
      <c r="H121" s="1"/>
      <c r="I121" s="53"/>
      <c r="J121" s="53"/>
      <c r="K121" s="53"/>
    </row>
    <row r="122" spans="1:11" s="40" customFormat="1">
      <c r="A122" s="1"/>
      <c r="B122" s="1"/>
      <c r="C122" s="1"/>
      <c r="D122" s="1"/>
      <c r="E122" s="1"/>
      <c r="F122" s="1"/>
      <c r="G122" s="1"/>
      <c r="H122" s="1"/>
      <c r="I122" s="53"/>
      <c r="J122" s="53"/>
      <c r="K122" s="53"/>
    </row>
    <row r="123" spans="1:11" s="40" customFormat="1">
      <c r="A123" s="1"/>
      <c r="B123" s="1"/>
      <c r="C123" s="1"/>
      <c r="D123" s="1"/>
      <c r="E123" s="1"/>
      <c r="F123" s="1"/>
      <c r="G123" s="1"/>
      <c r="H123" s="1"/>
      <c r="I123" s="53"/>
      <c r="J123" s="53"/>
      <c r="K123" s="53"/>
    </row>
    <row r="124" spans="1:11" s="40" customFormat="1">
      <c r="A124" s="1"/>
      <c r="B124" s="1"/>
      <c r="C124" s="1"/>
      <c r="D124" s="1"/>
      <c r="E124" s="1"/>
      <c r="F124" s="1"/>
      <c r="G124" s="1"/>
      <c r="H124" s="1"/>
      <c r="I124" s="53"/>
      <c r="J124" s="53"/>
      <c r="K124" s="53"/>
    </row>
    <row r="125" spans="1:11" s="40" customFormat="1">
      <c r="A125" s="1"/>
      <c r="B125" s="1"/>
      <c r="C125" s="1"/>
      <c r="D125" s="1"/>
      <c r="E125" s="1"/>
      <c r="F125" s="1"/>
      <c r="G125" s="1"/>
      <c r="H125" s="1"/>
      <c r="I125" s="53"/>
      <c r="J125" s="53"/>
      <c r="K125" s="53"/>
    </row>
    <row r="126" spans="1:11" s="40" customFormat="1">
      <c r="A126" s="1"/>
      <c r="B126" s="1"/>
      <c r="C126" s="1"/>
      <c r="D126" s="1"/>
      <c r="E126" s="1"/>
      <c r="F126" s="1"/>
      <c r="G126" s="1"/>
      <c r="H126" s="1"/>
      <c r="I126" s="53"/>
      <c r="J126" s="53"/>
      <c r="K126" s="53"/>
    </row>
    <row r="127" spans="1:11" s="40" customFormat="1">
      <c r="A127" s="1"/>
      <c r="B127" s="1"/>
      <c r="C127" s="1"/>
      <c r="D127" s="1"/>
      <c r="E127" s="1"/>
      <c r="F127" s="1"/>
      <c r="G127" s="1"/>
      <c r="H127" s="1"/>
      <c r="I127" s="53"/>
      <c r="J127" s="53"/>
      <c r="K127" s="53"/>
    </row>
    <row r="128" spans="1:11" s="40" customFormat="1">
      <c r="A128" s="1"/>
      <c r="B128" s="1"/>
      <c r="C128" s="1"/>
      <c r="D128" s="1"/>
      <c r="E128" s="1"/>
      <c r="F128" s="1"/>
      <c r="G128" s="1"/>
      <c r="H128" s="1"/>
      <c r="I128" s="53"/>
      <c r="J128" s="53"/>
      <c r="K128" s="53"/>
    </row>
    <row r="129" spans="1:11" s="40" customFormat="1">
      <c r="A129" s="1"/>
      <c r="B129" s="1"/>
      <c r="C129" s="1"/>
      <c r="D129" s="1"/>
      <c r="E129" s="1"/>
      <c r="F129" s="1"/>
      <c r="G129" s="1"/>
      <c r="H129" s="1"/>
      <c r="I129" s="53"/>
      <c r="J129" s="53"/>
      <c r="K129" s="53"/>
    </row>
    <row r="130" spans="1:11" s="40" customFormat="1">
      <c r="A130" s="1"/>
      <c r="B130" s="1"/>
      <c r="C130" s="1"/>
      <c r="D130" s="1"/>
      <c r="E130" s="1"/>
      <c r="F130" s="1"/>
      <c r="G130" s="1"/>
      <c r="H130" s="1"/>
      <c r="I130" s="53"/>
      <c r="J130" s="53"/>
      <c r="K130" s="53"/>
    </row>
    <row r="131" spans="1:11" s="40" customFormat="1">
      <c r="A131" s="1"/>
      <c r="B131" s="1"/>
      <c r="C131" s="1"/>
      <c r="D131" s="1"/>
      <c r="E131" s="1"/>
      <c r="F131" s="1"/>
      <c r="G131" s="1"/>
      <c r="H131" s="1"/>
      <c r="I131" s="53"/>
      <c r="J131" s="53"/>
      <c r="K131" s="53"/>
    </row>
    <row r="132" spans="1:11" s="40" customFormat="1">
      <c r="A132" s="1"/>
      <c r="B132" s="1"/>
      <c r="C132" s="1"/>
      <c r="D132" s="1"/>
      <c r="E132" s="1"/>
      <c r="F132" s="1"/>
      <c r="G132" s="1"/>
      <c r="H132" s="1"/>
      <c r="I132" s="53"/>
      <c r="J132" s="53"/>
      <c r="K132" s="53"/>
    </row>
    <row r="133" spans="1:11" s="40" customFormat="1">
      <c r="A133" s="42"/>
      <c r="B133" s="42"/>
      <c r="C133" s="1"/>
      <c r="D133" s="1"/>
      <c r="E133" s="1"/>
      <c r="F133" s="1"/>
      <c r="G133" s="1"/>
      <c r="H133" s="1"/>
      <c r="I133" s="53"/>
      <c r="J133" s="53"/>
      <c r="K133" s="53"/>
    </row>
    <row r="134" spans="1:11" s="40" customFormat="1">
      <c r="A134" s="1"/>
      <c r="B134" s="1"/>
      <c r="C134" s="1"/>
      <c r="D134" s="1"/>
      <c r="E134" s="1"/>
      <c r="F134" s="1"/>
      <c r="G134" s="1"/>
      <c r="H134" s="1"/>
      <c r="I134" s="53"/>
      <c r="J134" s="53"/>
      <c r="K134" s="53"/>
    </row>
    <row r="135" spans="1:11" s="40" customFormat="1" ht="15.6">
      <c r="A135" s="1"/>
      <c r="B135" s="1"/>
      <c r="C135" s="1"/>
      <c r="D135" s="1"/>
      <c r="E135" s="1"/>
      <c r="F135" s="1"/>
      <c r="G135" s="1"/>
      <c r="H135" s="65"/>
      <c r="I135" s="53"/>
      <c r="J135" s="53"/>
      <c r="K135" s="53"/>
    </row>
    <row r="136" spans="1:11" s="40" customFormat="1" ht="15.6">
      <c r="A136" s="1"/>
      <c r="B136" s="1"/>
      <c r="C136" s="1"/>
      <c r="D136" s="1"/>
      <c r="E136" s="1"/>
      <c r="F136" s="1"/>
      <c r="G136" s="1"/>
      <c r="H136" s="65"/>
      <c r="I136" s="1"/>
      <c r="J136" s="53"/>
      <c r="K136" s="53"/>
    </row>
    <row r="137" spans="1:11" s="40" customFormat="1">
      <c r="A137" s="47"/>
      <c r="B137" s="1"/>
      <c r="C137" s="1"/>
      <c r="D137" s="1"/>
      <c r="E137" s="1"/>
      <c r="F137" s="1"/>
      <c r="G137" s="1"/>
      <c r="H137" s="1"/>
      <c r="I137" s="53"/>
      <c r="J137" s="53"/>
      <c r="K137" s="53"/>
    </row>
    <row r="138" spans="1:11" s="40" customFormat="1">
      <c r="A138" s="1"/>
      <c r="B138" s="1"/>
      <c r="C138" s="1"/>
      <c r="D138" s="1"/>
      <c r="E138" s="1"/>
      <c r="F138" s="1"/>
      <c r="G138" s="1"/>
      <c r="H138" s="1"/>
      <c r="I138" s="53"/>
      <c r="J138" s="53"/>
      <c r="K138" s="53"/>
    </row>
    <row r="139" spans="1:11" s="40" customFormat="1">
      <c r="A139" s="1"/>
      <c r="B139" s="1"/>
      <c r="C139" s="1"/>
      <c r="D139" s="1"/>
      <c r="E139" s="1"/>
      <c r="F139" s="1"/>
      <c r="G139" s="1"/>
      <c r="H139" s="1"/>
      <c r="I139" s="53"/>
      <c r="J139" s="53"/>
      <c r="K139" s="53"/>
    </row>
    <row r="140" spans="1:11" s="162" customFormat="1" ht="15.6">
      <c r="A140" s="157"/>
      <c r="B140" s="158"/>
      <c r="C140" s="158"/>
      <c r="D140" s="158"/>
      <c r="E140" s="158"/>
      <c r="F140" s="158"/>
      <c r="G140" s="159"/>
      <c r="H140" s="159"/>
      <c r="I140" s="160"/>
      <c r="J140" s="160"/>
      <c r="K140" s="161"/>
    </row>
    <row r="141" spans="1:11" s="40" customFormat="1">
      <c r="A141" s="1"/>
      <c r="B141" s="1"/>
      <c r="C141" s="1"/>
      <c r="D141" s="1"/>
      <c r="E141" s="1"/>
      <c r="F141" s="1"/>
      <c r="G141" s="1"/>
      <c r="H141" s="1"/>
      <c r="I141" s="53"/>
      <c r="J141" s="53"/>
      <c r="K141" s="53"/>
    </row>
    <row r="142" spans="1:11" s="40" customFormat="1">
      <c r="A142" s="1"/>
      <c r="B142" s="1"/>
      <c r="C142" s="1"/>
      <c r="D142" s="1"/>
      <c r="E142" s="1"/>
      <c r="F142" s="1"/>
      <c r="G142" s="1"/>
      <c r="H142" s="1"/>
      <c r="I142" s="53"/>
      <c r="J142" s="53"/>
      <c r="K142" s="53"/>
    </row>
    <row r="143" spans="1:11" s="40" customFormat="1">
      <c r="A143" s="1"/>
      <c r="B143" s="1"/>
      <c r="C143" s="1"/>
      <c r="D143" s="1"/>
      <c r="E143" s="1"/>
      <c r="F143" s="1"/>
      <c r="G143" s="1"/>
      <c r="H143" s="1"/>
      <c r="I143" s="53"/>
      <c r="J143" s="53"/>
      <c r="K143" s="53"/>
    </row>
    <row r="144" spans="1:11" s="40" customFormat="1">
      <c r="A144" s="1"/>
      <c r="B144" s="1"/>
      <c r="C144" s="1"/>
      <c r="D144" s="1"/>
      <c r="E144" s="1"/>
      <c r="F144" s="1"/>
      <c r="G144" s="1"/>
      <c r="H144" s="1"/>
      <c r="I144" s="53"/>
      <c r="J144" s="53"/>
      <c r="K144" s="53"/>
    </row>
    <row r="145" spans="1:11" s="40" customFormat="1">
      <c r="A145" s="1"/>
      <c r="B145" s="1"/>
      <c r="C145" s="1"/>
      <c r="D145" s="1"/>
      <c r="E145" s="1"/>
      <c r="F145" s="1"/>
      <c r="G145" s="1"/>
      <c r="H145" s="1"/>
      <c r="I145" s="53"/>
      <c r="J145" s="53"/>
      <c r="K145" s="53"/>
    </row>
    <row r="146" spans="1:11" s="40" customFormat="1">
      <c r="A146" s="1"/>
      <c r="B146" s="1"/>
      <c r="C146" s="1"/>
      <c r="D146" s="1"/>
      <c r="E146" s="1"/>
      <c r="F146" s="1"/>
      <c r="G146" s="1"/>
      <c r="H146" s="1"/>
      <c r="I146" s="53"/>
      <c r="J146" s="53"/>
      <c r="K146" s="53"/>
    </row>
    <row r="147" spans="1:11" s="40" customFormat="1">
      <c r="A147" s="1"/>
      <c r="B147" s="1"/>
      <c r="C147" s="1"/>
      <c r="D147" s="1"/>
      <c r="E147" s="1"/>
      <c r="F147" s="1"/>
      <c r="G147" s="1"/>
      <c r="H147" s="1"/>
      <c r="I147" s="53"/>
      <c r="J147" s="53"/>
      <c r="K147" s="53"/>
    </row>
    <row r="148" spans="1:11" s="40" customFormat="1">
      <c r="A148" s="1"/>
      <c r="B148" s="1"/>
      <c r="C148" s="1"/>
      <c r="D148" s="1"/>
      <c r="E148" s="1"/>
      <c r="F148" s="42"/>
      <c r="G148" s="1"/>
      <c r="H148" s="1"/>
      <c r="I148" s="53"/>
      <c r="J148" s="53"/>
      <c r="K148" s="53"/>
    </row>
    <row r="149" spans="1:11" s="40" customFormat="1">
      <c r="A149" s="1"/>
      <c r="B149" s="1"/>
      <c r="C149" s="1"/>
      <c r="D149" s="1"/>
      <c r="E149" s="1"/>
      <c r="F149" s="1"/>
      <c r="G149" s="1"/>
      <c r="H149" s="1"/>
      <c r="I149" s="53"/>
      <c r="J149" s="53"/>
      <c r="K149" s="53"/>
    </row>
    <row r="150" spans="1:11" s="40" customFormat="1">
      <c r="A150" s="1"/>
      <c r="B150" s="1"/>
      <c r="C150" s="1"/>
      <c r="D150" s="1"/>
      <c r="E150" s="1"/>
      <c r="F150" s="1"/>
      <c r="G150" s="1"/>
      <c r="H150" s="1"/>
      <c r="I150" s="53"/>
      <c r="J150" s="53"/>
      <c r="K150" s="53"/>
    </row>
    <row r="151" spans="1:11" s="40" customFormat="1">
      <c r="A151" s="1"/>
      <c r="B151" s="1"/>
      <c r="C151" s="1"/>
      <c r="D151" s="1"/>
      <c r="E151" s="1"/>
      <c r="F151" s="1"/>
      <c r="G151" s="1"/>
      <c r="H151" s="1"/>
      <c r="I151" s="53"/>
      <c r="J151" s="53"/>
      <c r="K151" s="53"/>
    </row>
    <row r="152" spans="1:11" s="40" customFormat="1">
      <c r="A152" s="1"/>
      <c r="B152" s="1"/>
      <c r="C152" s="1"/>
      <c r="D152" s="1"/>
      <c r="E152" s="1"/>
      <c r="F152" s="1"/>
      <c r="G152" s="1"/>
      <c r="H152" s="1"/>
      <c r="I152" s="53"/>
      <c r="J152" s="53"/>
      <c r="K152" s="53"/>
    </row>
    <row r="153" spans="1:11" s="40" customFormat="1">
      <c r="A153" s="1"/>
      <c r="B153" s="1"/>
      <c r="C153" s="1"/>
      <c r="D153" s="1"/>
      <c r="E153" s="1"/>
      <c r="F153" s="1"/>
      <c r="G153" s="1"/>
      <c r="H153" s="1"/>
      <c r="I153" s="53"/>
      <c r="J153" s="53"/>
      <c r="K153" s="53"/>
    </row>
    <row r="154" spans="1:11" s="40" customFormat="1">
      <c r="A154" s="1"/>
      <c r="B154" s="1"/>
      <c r="C154" s="1"/>
      <c r="D154" s="1"/>
      <c r="E154" s="48"/>
      <c r="F154" s="1"/>
      <c r="G154" s="1"/>
      <c r="H154" s="1"/>
      <c r="I154" s="53"/>
      <c r="J154" s="53"/>
      <c r="K154" s="53"/>
    </row>
    <row r="155" spans="1:11" s="40" customFormat="1">
      <c r="A155" s="1"/>
      <c r="B155" s="1"/>
      <c r="C155" s="1"/>
      <c r="D155" s="49"/>
      <c r="E155" s="49"/>
      <c r="F155" s="1"/>
      <c r="G155" s="1"/>
      <c r="H155" s="1"/>
      <c r="I155" s="53"/>
      <c r="J155" s="53"/>
      <c r="K155" s="53"/>
    </row>
    <row r="156" spans="1:11" s="40" customFormat="1">
      <c r="A156" s="1"/>
      <c r="B156" s="1"/>
      <c r="C156" s="1"/>
      <c r="D156" s="1"/>
      <c r="E156" s="1"/>
      <c r="F156" s="1"/>
      <c r="G156" s="1"/>
      <c r="H156" s="1"/>
      <c r="I156" s="53"/>
      <c r="J156" s="53"/>
      <c r="K156" s="53"/>
    </row>
    <row r="157" spans="1:11" s="40" customFormat="1">
      <c r="A157" s="1"/>
      <c r="B157" s="1"/>
      <c r="C157" s="1"/>
      <c r="D157" s="48"/>
      <c r="E157" s="1"/>
      <c r="F157" s="1"/>
      <c r="G157" s="1"/>
      <c r="H157" s="1"/>
      <c r="I157" s="53"/>
      <c r="J157" s="53"/>
      <c r="K157" s="53"/>
    </row>
    <row r="158" spans="1:11" s="40" customFormat="1">
      <c r="A158" s="1"/>
      <c r="B158" s="1"/>
      <c r="C158" s="1"/>
      <c r="D158" s="1"/>
      <c r="E158" s="1"/>
      <c r="F158" s="1"/>
      <c r="G158" s="1"/>
      <c r="H158" s="1"/>
      <c r="I158" s="53"/>
      <c r="J158" s="53"/>
      <c r="K158" s="53"/>
    </row>
    <row r="159" spans="1:11" s="40" customFormat="1">
      <c r="A159" s="1"/>
      <c r="B159" s="1"/>
      <c r="C159" s="1"/>
      <c r="D159" s="1"/>
      <c r="E159" s="1"/>
      <c r="F159" s="1"/>
      <c r="G159" s="1"/>
      <c r="H159" s="1"/>
      <c r="I159" s="53"/>
      <c r="J159" s="53"/>
      <c r="K159" s="53"/>
    </row>
    <row r="160" spans="1:11" s="40" customFormat="1">
      <c r="A160" s="1"/>
      <c r="B160" s="1"/>
      <c r="C160" s="1"/>
      <c r="D160" s="1"/>
      <c r="E160" s="1"/>
      <c r="F160" s="1"/>
      <c r="G160" s="1"/>
      <c r="H160" s="1"/>
      <c r="I160" s="53"/>
      <c r="J160" s="53"/>
      <c r="K160" s="53"/>
    </row>
    <row r="161" spans="1:11" s="40" customFormat="1">
      <c r="A161" s="1"/>
      <c r="B161" s="1"/>
      <c r="C161" s="1"/>
      <c r="D161" s="1"/>
      <c r="E161" s="1"/>
      <c r="F161" s="1"/>
      <c r="G161" s="1"/>
      <c r="H161" s="1"/>
      <c r="I161" s="53"/>
      <c r="J161" s="53"/>
      <c r="K161" s="53"/>
    </row>
    <row r="162" spans="1:11" s="40" customFormat="1">
      <c r="A162" s="1"/>
      <c r="B162" s="1"/>
      <c r="C162" s="1"/>
      <c r="D162" s="1"/>
      <c r="E162" s="1"/>
      <c r="F162" s="1"/>
      <c r="G162" s="1"/>
      <c r="H162" s="1"/>
      <c r="I162" s="53"/>
      <c r="J162" s="53"/>
      <c r="K162" s="53"/>
    </row>
    <row r="163" spans="1:11" s="40" customFormat="1">
      <c r="A163" s="1"/>
      <c r="B163" s="1"/>
      <c r="C163" s="1"/>
      <c r="D163" s="1"/>
      <c r="E163" s="1"/>
      <c r="F163" s="1"/>
      <c r="G163" s="1"/>
      <c r="H163" s="1"/>
      <c r="I163" s="53"/>
      <c r="J163" s="53"/>
      <c r="K163" s="53"/>
    </row>
    <row r="164" spans="1:11" s="40" customFormat="1">
      <c r="A164" s="1"/>
      <c r="B164" s="1"/>
      <c r="C164" s="1"/>
      <c r="D164" s="1"/>
      <c r="E164" s="1"/>
      <c r="F164" s="1"/>
      <c r="G164" s="1"/>
      <c r="H164" s="1"/>
      <c r="I164" s="53"/>
      <c r="J164" s="53"/>
      <c r="K164" s="53"/>
    </row>
    <row r="165" spans="1:11" s="40" customFormat="1">
      <c r="A165" s="1"/>
      <c r="B165" s="1"/>
      <c r="C165" s="1"/>
      <c r="D165" s="1"/>
      <c r="E165" s="1"/>
      <c r="F165" s="1"/>
      <c r="G165" s="1"/>
      <c r="H165" s="1"/>
      <c r="I165" s="53"/>
      <c r="J165" s="53"/>
      <c r="K165" s="53"/>
    </row>
    <row r="166" spans="1:11" s="40" customFormat="1">
      <c r="A166" s="1"/>
      <c r="B166" s="1"/>
      <c r="C166" s="1"/>
      <c r="D166" s="1"/>
      <c r="E166" s="1"/>
      <c r="F166" s="1"/>
      <c r="G166" s="1"/>
      <c r="H166" s="1"/>
      <c r="I166" s="53"/>
      <c r="J166" s="53"/>
      <c r="K166" s="53"/>
    </row>
    <row r="167" spans="1:11" s="40" customFormat="1">
      <c r="A167" s="1"/>
      <c r="B167" s="1"/>
      <c r="C167" s="1"/>
      <c r="D167" s="1"/>
      <c r="E167" s="1"/>
      <c r="F167" s="1"/>
      <c r="G167" s="1"/>
      <c r="H167" s="1"/>
      <c r="I167" s="53"/>
      <c r="J167" s="53"/>
      <c r="K167" s="53"/>
    </row>
    <row r="168" spans="1:11" s="40" customFormat="1">
      <c r="A168" s="1"/>
      <c r="B168" s="1"/>
      <c r="C168" s="1"/>
      <c r="D168" s="1"/>
      <c r="E168" s="1"/>
      <c r="F168" s="1"/>
      <c r="G168" s="1"/>
      <c r="H168" s="1"/>
      <c r="I168" s="53"/>
      <c r="J168" s="53"/>
      <c r="K168" s="53"/>
    </row>
    <row r="169" spans="1:11" s="40" customFormat="1">
      <c r="A169" s="1"/>
      <c r="B169" s="1"/>
      <c r="C169" s="1"/>
      <c r="D169" s="1"/>
      <c r="E169" s="1"/>
      <c r="F169" s="1"/>
      <c r="G169" s="1"/>
      <c r="H169" s="1"/>
      <c r="I169" s="53"/>
      <c r="J169" s="53"/>
      <c r="K169" s="53"/>
    </row>
    <row r="170" spans="1:11" s="40" customFormat="1" ht="15.6">
      <c r="A170" s="1"/>
      <c r="B170" s="1"/>
      <c r="C170" s="1"/>
      <c r="D170" s="1"/>
      <c r="E170" s="1"/>
      <c r="F170" s="1"/>
      <c r="G170" s="43"/>
      <c r="H170" s="65"/>
      <c r="I170" s="53"/>
      <c r="J170" s="53"/>
      <c r="K170" s="80"/>
    </row>
    <row r="171" spans="1:11" s="40" customFormat="1">
      <c r="A171" s="1"/>
      <c r="B171" s="1"/>
      <c r="C171" s="1"/>
      <c r="D171" s="1"/>
      <c r="E171" s="1"/>
      <c r="F171" s="1"/>
      <c r="G171" s="1"/>
      <c r="H171" s="1"/>
      <c r="I171" s="53"/>
      <c r="J171" s="53"/>
      <c r="K171" s="53"/>
    </row>
    <row r="172" spans="1:11" s="40" customFormat="1">
      <c r="A172" s="1"/>
      <c r="B172" s="1"/>
      <c r="C172" s="1"/>
      <c r="D172" s="1"/>
      <c r="E172" s="1"/>
      <c r="F172" s="1"/>
      <c r="G172" s="1"/>
      <c r="H172" s="1"/>
      <c r="I172" s="53"/>
      <c r="J172" s="53"/>
      <c r="K172" s="53"/>
    </row>
    <row r="173" spans="1:11" s="40" customFormat="1">
      <c r="A173" s="1"/>
      <c r="B173" s="1"/>
      <c r="C173" s="1"/>
      <c r="D173" s="1"/>
      <c r="E173" s="1"/>
      <c r="F173" s="1"/>
      <c r="G173" s="1"/>
      <c r="H173" s="1"/>
      <c r="I173" s="53"/>
      <c r="J173" s="53"/>
      <c r="K173" s="53"/>
    </row>
    <row r="174" spans="1:11" s="40" customFormat="1">
      <c r="A174" s="1"/>
      <c r="B174" s="1"/>
      <c r="C174" s="1"/>
      <c r="D174" s="1"/>
      <c r="E174" s="1"/>
      <c r="F174" s="1"/>
      <c r="G174" s="1"/>
      <c r="H174" s="1"/>
      <c r="I174" s="53"/>
      <c r="J174" s="53"/>
      <c r="K174" s="53"/>
    </row>
    <row r="175" spans="1:11" s="40" customFormat="1">
      <c r="A175" s="1"/>
      <c r="B175" s="1"/>
      <c r="C175" s="1"/>
      <c r="D175" s="1"/>
      <c r="E175" s="1"/>
      <c r="F175" s="1"/>
      <c r="G175" s="45"/>
      <c r="H175" s="45"/>
      <c r="I175" s="53"/>
      <c r="J175" s="53"/>
      <c r="K175" s="53"/>
    </row>
    <row r="176" spans="1:11" s="40" customFormat="1">
      <c r="A176" s="1"/>
      <c r="B176" s="1"/>
      <c r="C176" s="1"/>
      <c r="D176" s="1"/>
      <c r="E176" s="1"/>
      <c r="F176" s="1"/>
      <c r="G176" s="1"/>
      <c r="H176" s="1"/>
      <c r="I176" s="53"/>
      <c r="J176" s="53"/>
      <c r="K176" s="53"/>
    </row>
    <row r="177" spans="1:11" s="40" customFormat="1">
      <c r="A177" s="1"/>
      <c r="B177" s="1"/>
      <c r="C177" s="1"/>
      <c r="D177" s="1"/>
      <c r="E177" s="1"/>
      <c r="F177" s="1"/>
      <c r="G177" s="1"/>
      <c r="H177" s="1"/>
      <c r="I177" s="53"/>
      <c r="J177" s="53"/>
      <c r="K177" s="53"/>
    </row>
    <row r="178" spans="1:11" s="40" customFormat="1">
      <c r="A178" s="1"/>
      <c r="B178" s="1"/>
      <c r="C178" s="1"/>
      <c r="D178" s="1"/>
      <c r="E178" s="1"/>
      <c r="F178" s="1"/>
      <c r="G178" s="1"/>
      <c r="H178" s="1"/>
      <c r="I178" s="53"/>
      <c r="J178" s="53"/>
      <c r="K178" s="53"/>
    </row>
    <row r="179" spans="1:11" s="40" customFormat="1">
      <c r="A179" s="1"/>
      <c r="B179" s="1"/>
      <c r="C179" s="1"/>
      <c r="D179" s="1"/>
      <c r="E179" s="1"/>
      <c r="F179" s="1"/>
      <c r="G179" s="1"/>
      <c r="H179" s="1"/>
      <c r="I179" s="53"/>
      <c r="J179" s="53"/>
      <c r="K179" s="53"/>
    </row>
    <row r="180" spans="1:11" s="40" customFormat="1">
      <c r="A180" s="1"/>
      <c r="B180" s="1"/>
      <c r="C180" s="1"/>
      <c r="D180" s="1"/>
      <c r="E180" s="1"/>
      <c r="F180" s="1"/>
      <c r="G180" s="1"/>
      <c r="H180" s="1"/>
      <c r="I180" s="53"/>
      <c r="J180" s="53"/>
      <c r="K180" s="53"/>
    </row>
    <row r="181" spans="1:11" s="40" customFormat="1" ht="15.6">
      <c r="A181" s="1"/>
      <c r="B181" s="1"/>
      <c r="C181" s="1"/>
      <c r="D181" s="1"/>
      <c r="E181" s="138"/>
      <c r="F181" s="1"/>
      <c r="G181" s="43"/>
      <c r="H181" s="1"/>
      <c r="I181" s="139"/>
      <c r="J181" s="53"/>
      <c r="K181" s="80"/>
    </row>
    <row r="182" spans="1:11" s="40" customFormat="1">
      <c r="A182" s="1"/>
      <c r="B182" s="1"/>
      <c r="C182" s="1"/>
      <c r="D182" s="1"/>
      <c r="E182" s="1"/>
      <c r="F182" s="1"/>
      <c r="G182" s="1"/>
      <c r="H182" s="1"/>
      <c r="I182" s="53"/>
      <c r="J182" s="53"/>
      <c r="K182" s="53"/>
    </row>
    <row r="183" spans="1:11" s="40" customFormat="1">
      <c r="A183" s="1"/>
      <c r="B183" s="1"/>
      <c r="C183" s="1"/>
      <c r="D183" s="1"/>
      <c r="E183" s="1"/>
      <c r="F183" s="1"/>
      <c r="G183" s="1"/>
      <c r="H183" s="1"/>
      <c r="I183" s="53"/>
      <c r="J183" s="53"/>
      <c r="K183" s="53"/>
    </row>
    <row r="184" spans="1:11" s="40" customFormat="1">
      <c r="A184" s="1"/>
      <c r="B184" s="1"/>
      <c r="C184" s="1"/>
      <c r="D184" s="1"/>
      <c r="E184" s="1"/>
      <c r="F184" s="1"/>
      <c r="G184" s="1"/>
      <c r="H184" s="1"/>
      <c r="I184" s="53"/>
      <c r="J184" s="53"/>
      <c r="K184" s="53"/>
    </row>
    <row r="185" spans="1:11" s="40" customFormat="1">
      <c r="A185" s="1"/>
      <c r="B185" s="1"/>
      <c r="C185" s="1"/>
      <c r="D185" s="1"/>
      <c r="E185" s="1"/>
      <c r="F185" s="1"/>
      <c r="G185" s="1"/>
      <c r="H185" s="1"/>
      <c r="I185" s="53"/>
      <c r="J185" s="53"/>
      <c r="K185" s="53"/>
    </row>
    <row r="186" spans="1:11" s="40" customFormat="1">
      <c r="A186" s="1"/>
      <c r="B186" s="1"/>
      <c r="C186" s="1"/>
      <c r="D186" s="1"/>
      <c r="E186" s="1"/>
      <c r="F186" s="1"/>
      <c r="G186" s="1"/>
      <c r="H186" s="1"/>
      <c r="I186" s="53"/>
      <c r="J186" s="53"/>
      <c r="K186" s="53"/>
    </row>
    <row r="187" spans="1:11" s="40" customFormat="1">
      <c r="A187" s="1"/>
      <c r="B187" s="1"/>
      <c r="C187" s="1"/>
      <c r="D187" s="1"/>
      <c r="E187" s="1"/>
      <c r="F187" s="1"/>
      <c r="G187" s="1"/>
      <c r="H187" s="1"/>
      <c r="I187" s="53"/>
      <c r="J187" s="53"/>
      <c r="K187" s="53"/>
    </row>
    <row r="188" spans="1:11" s="40" customFormat="1">
      <c r="A188" s="1"/>
      <c r="B188" s="1"/>
      <c r="C188" s="1"/>
      <c r="D188" s="1"/>
      <c r="E188" s="1"/>
      <c r="F188" s="1"/>
      <c r="G188" s="1"/>
      <c r="H188" s="1"/>
      <c r="I188" s="53"/>
      <c r="J188" s="53"/>
      <c r="K188" s="53"/>
    </row>
    <row r="189" spans="1:11" s="40" customFormat="1" ht="15.6">
      <c r="A189" s="1"/>
      <c r="B189" s="1"/>
      <c r="C189" s="1"/>
      <c r="D189" s="1"/>
      <c r="E189" s="1"/>
      <c r="F189" s="1"/>
      <c r="G189" s="43"/>
      <c r="H189" s="65"/>
      <c r="I189" s="53"/>
      <c r="J189" s="53"/>
      <c r="K189" s="80"/>
    </row>
    <row r="190" spans="1:11" s="40" customFormat="1">
      <c r="A190" s="1"/>
      <c r="B190" s="1"/>
      <c r="C190" s="1"/>
      <c r="D190" s="1"/>
      <c r="E190" s="1"/>
      <c r="F190" s="1"/>
      <c r="G190" s="1"/>
      <c r="H190" s="1"/>
      <c r="I190" s="53"/>
      <c r="J190" s="53"/>
      <c r="K190" s="53"/>
    </row>
    <row r="191" spans="1:11" s="40" customFormat="1" ht="15.6">
      <c r="A191" s="1"/>
      <c r="B191" s="1"/>
      <c r="C191" s="1"/>
      <c r="D191" s="1"/>
      <c r="E191" s="1"/>
      <c r="F191" s="1"/>
      <c r="G191" s="43"/>
      <c r="H191" s="65"/>
      <c r="I191" s="53"/>
      <c r="J191" s="53"/>
      <c r="K191" s="80"/>
    </row>
    <row r="192" spans="1:11" s="40" customFormat="1">
      <c r="A192" s="1"/>
      <c r="B192" s="1"/>
      <c r="C192" s="1"/>
      <c r="D192" s="1"/>
      <c r="E192" s="1"/>
      <c r="F192" s="1"/>
      <c r="G192" s="1"/>
      <c r="H192" s="1"/>
      <c r="I192" s="53"/>
      <c r="J192" s="53"/>
      <c r="K192" s="53"/>
    </row>
    <row r="193" spans="1:11" s="40" customFormat="1">
      <c r="A193" s="1"/>
      <c r="B193" s="1"/>
      <c r="C193" s="1"/>
      <c r="D193" s="1"/>
      <c r="E193" s="1"/>
      <c r="F193" s="1"/>
      <c r="G193" s="1"/>
      <c r="H193" s="1"/>
      <c r="I193" s="53"/>
      <c r="J193" s="53"/>
      <c r="K193" s="53"/>
    </row>
    <row r="194" spans="1:11" s="40" customFormat="1" ht="15.6">
      <c r="A194" s="1"/>
      <c r="B194" s="1"/>
      <c r="C194" s="1"/>
      <c r="D194" s="1"/>
      <c r="E194" s="1"/>
      <c r="F194" s="1"/>
      <c r="G194" s="43"/>
      <c r="H194" s="43"/>
      <c r="I194" s="1"/>
      <c r="J194" s="53"/>
      <c r="K194" s="80"/>
    </row>
    <row r="195" spans="1:11" s="40" customFormat="1">
      <c r="A195" s="1"/>
      <c r="B195" s="1"/>
      <c r="C195" s="1"/>
      <c r="D195" s="1"/>
      <c r="E195" s="1"/>
      <c r="F195" s="1"/>
      <c r="G195" s="1"/>
      <c r="H195" s="1"/>
      <c r="I195" s="53"/>
      <c r="J195" s="53"/>
      <c r="K195" s="53"/>
    </row>
    <row r="196" spans="1:11" s="40" customFormat="1">
      <c r="A196" s="1"/>
      <c r="B196" s="1"/>
      <c r="C196" s="1"/>
      <c r="D196" s="1"/>
      <c r="E196" s="1"/>
      <c r="F196" s="1"/>
      <c r="G196" s="1"/>
      <c r="H196" s="1"/>
      <c r="I196" s="53"/>
      <c r="J196" s="53"/>
      <c r="K196" s="53"/>
    </row>
    <row r="197" spans="1:11" s="40" customFormat="1">
      <c r="A197" s="1"/>
      <c r="B197" s="1"/>
      <c r="C197" s="1"/>
      <c r="D197" s="1"/>
      <c r="E197" s="1"/>
      <c r="F197" s="1"/>
      <c r="G197" s="1"/>
      <c r="H197" s="1"/>
      <c r="I197" s="53"/>
      <c r="J197" s="53"/>
      <c r="K197" s="53"/>
    </row>
    <row r="198" spans="1:11" s="40" customFormat="1">
      <c r="A198" s="1"/>
      <c r="B198" s="1"/>
      <c r="C198" s="1"/>
      <c r="D198" s="1"/>
      <c r="E198" s="1"/>
      <c r="F198" s="1"/>
      <c r="G198" s="1"/>
      <c r="H198" s="1"/>
      <c r="I198" s="53"/>
      <c r="J198" s="53"/>
      <c r="K198" s="53"/>
    </row>
    <row r="199" spans="1:11" s="40" customFormat="1">
      <c r="A199" s="1"/>
      <c r="B199" s="1"/>
      <c r="C199" s="42"/>
      <c r="D199" s="42"/>
      <c r="E199" s="42"/>
      <c r="F199" s="42"/>
      <c r="G199" s="42"/>
      <c r="H199" s="42"/>
      <c r="I199" s="53"/>
      <c r="J199" s="53"/>
      <c r="K199" s="53"/>
    </row>
    <row r="200" spans="1:11" s="40" customFormat="1">
      <c r="A200" s="1"/>
      <c r="B200" s="1"/>
      <c r="C200" s="1"/>
      <c r="D200" s="1"/>
      <c r="E200" s="1"/>
      <c r="F200" s="1"/>
      <c r="G200" s="1"/>
      <c r="H200" s="1"/>
      <c r="I200" s="53"/>
      <c r="J200" s="53"/>
      <c r="K200" s="53"/>
    </row>
    <row r="201" spans="1:11" s="40" customFormat="1">
      <c r="A201" s="1"/>
      <c r="B201" s="1"/>
      <c r="C201" s="1"/>
      <c r="D201" s="1"/>
      <c r="E201" s="1"/>
      <c r="F201" s="1"/>
      <c r="G201" s="1"/>
      <c r="H201" s="1"/>
      <c r="I201" s="53"/>
      <c r="J201" s="53"/>
      <c r="K201" s="53"/>
    </row>
    <row r="202" spans="1:11" s="40" customFormat="1">
      <c r="A202" s="1"/>
      <c r="B202" s="1"/>
      <c r="C202" s="1"/>
      <c r="D202" s="1"/>
      <c r="E202" s="1"/>
      <c r="F202" s="1"/>
      <c r="G202" s="1"/>
      <c r="H202" s="1"/>
      <c r="I202" s="53"/>
      <c r="J202" s="53"/>
      <c r="K202" s="53"/>
    </row>
    <row r="203" spans="1:11" s="40" customFormat="1" ht="15.6">
      <c r="A203" s="1"/>
      <c r="B203" s="1"/>
      <c r="C203" s="1"/>
      <c r="D203" s="1"/>
      <c r="E203" s="1"/>
      <c r="F203" s="48"/>
      <c r="G203" s="43"/>
      <c r="H203" s="43"/>
      <c r="I203" s="53"/>
      <c r="J203" s="53"/>
      <c r="K203" s="80"/>
    </row>
    <row r="204" spans="1:11" s="40" customFormat="1">
      <c r="A204" s="1"/>
      <c r="B204" s="1"/>
      <c r="C204" s="1"/>
      <c r="D204" s="1"/>
      <c r="E204" s="1"/>
      <c r="F204" s="1"/>
      <c r="G204" s="1"/>
      <c r="H204" s="1"/>
      <c r="I204" s="53"/>
      <c r="J204" s="53"/>
      <c r="K204" s="53"/>
    </row>
    <row r="205" spans="1:11" s="40" customFormat="1">
      <c r="A205" s="1"/>
      <c r="B205" s="1"/>
      <c r="C205" s="1"/>
      <c r="D205" s="1"/>
      <c r="E205" s="1"/>
      <c r="F205" s="1"/>
      <c r="G205" s="1"/>
      <c r="H205" s="1"/>
      <c r="I205" s="53"/>
      <c r="J205" s="53"/>
      <c r="K205" s="53"/>
    </row>
    <row r="206" spans="1:11" s="40" customFormat="1" ht="15.6">
      <c r="A206" s="1"/>
      <c r="B206" s="1"/>
      <c r="C206" s="1"/>
      <c r="D206" s="1"/>
      <c r="E206" s="1"/>
      <c r="F206" s="1"/>
      <c r="G206" s="43"/>
      <c r="H206" s="65"/>
      <c r="I206" s="53"/>
      <c r="J206" s="53"/>
      <c r="K206" s="80"/>
    </row>
    <row r="207" spans="1:11" s="40" customFormat="1" ht="15.6">
      <c r="A207" s="1"/>
      <c r="B207" s="1"/>
      <c r="C207" s="1"/>
      <c r="D207" s="1"/>
      <c r="E207" s="1"/>
      <c r="F207" s="1"/>
      <c r="G207" s="43"/>
      <c r="H207" s="43"/>
      <c r="I207" s="150"/>
      <c r="J207" s="53"/>
      <c r="K207" s="80"/>
    </row>
    <row r="208" spans="1:11" s="40" customFormat="1">
      <c r="A208" s="1"/>
      <c r="B208" s="1"/>
      <c r="C208" s="1"/>
      <c r="D208" s="1"/>
      <c r="E208" s="1"/>
      <c r="F208" s="1"/>
      <c r="G208" s="1"/>
      <c r="H208" s="1"/>
      <c r="I208" s="53"/>
      <c r="J208" s="53"/>
      <c r="K208" s="53"/>
    </row>
    <row r="209" spans="1:11" s="40" customFormat="1">
      <c r="A209" s="1"/>
      <c r="B209" s="1"/>
      <c r="C209" s="1"/>
      <c r="D209" s="1"/>
      <c r="E209" s="1"/>
      <c r="F209" s="1"/>
      <c r="G209" s="1"/>
      <c r="H209" s="1"/>
      <c r="I209" s="53"/>
      <c r="J209" s="53"/>
      <c r="K209" s="53"/>
    </row>
    <row r="210" spans="1:11" s="162" customFormat="1" ht="15.6">
      <c r="A210" s="158"/>
      <c r="B210" s="158"/>
      <c r="C210" s="158"/>
      <c r="D210" s="158"/>
      <c r="E210" s="158"/>
      <c r="F210" s="158"/>
      <c r="G210" s="159"/>
      <c r="H210" s="159"/>
      <c r="I210" s="160"/>
      <c r="J210" s="160"/>
      <c r="K210" s="161"/>
    </row>
    <row r="211" spans="1:11" s="40" customFormat="1" hidden="1">
      <c r="A211" s="1" t="s">
        <v>131</v>
      </c>
      <c r="B211" s="1">
        <v>454</v>
      </c>
      <c r="C211" s="1" t="s">
        <v>132</v>
      </c>
      <c r="D211" s="1" t="s">
        <v>133</v>
      </c>
      <c r="E211" s="1" t="s">
        <v>134</v>
      </c>
      <c r="F211" s="1" t="s">
        <v>123</v>
      </c>
      <c r="G211" s="1" t="s">
        <v>123</v>
      </c>
      <c r="H211" s="1"/>
      <c r="I211" s="53"/>
      <c r="J211" s="53" t="str">
        <f>IFERROR(VLOOKUP(Table2[[#This Row],[Funding Source]],References!$G$1:$I$48,3,FALSE),"")</f>
        <v/>
      </c>
      <c r="K211" s="53"/>
    </row>
    <row r="212" spans="1:11" s="162" customFormat="1" ht="15.6">
      <c r="A212" s="163"/>
      <c r="B212" s="163"/>
      <c r="C212" s="158"/>
      <c r="D212" s="158"/>
      <c r="E212" s="158"/>
      <c r="F212" s="158"/>
      <c r="G212" s="159"/>
      <c r="H212" s="159"/>
      <c r="I212" s="160"/>
      <c r="J212" s="160"/>
      <c r="K212" s="161"/>
    </row>
    <row r="213" spans="1:11" s="40" customFormat="1">
      <c r="A213" s="1"/>
      <c r="B213" s="1"/>
      <c r="C213" s="1"/>
      <c r="D213" s="1"/>
      <c r="E213" s="1"/>
      <c r="F213" s="1"/>
      <c r="G213" s="1"/>
      <c r="H213" s="1"/>
      <c r="I213" s="53"/>
      <c r="J213" s="53"/>
      <c r="K213" s="53"/>
    </row>
    <row r="214" spans="1:11" s="40" customFormat="1">
      <c r="A214" s="1"/>
      <c r="B214" s="1"/>
      <c r="C214" s="1"/>
      <c r="D214" s="1"/>
      <c r="E214" s="1"/>
      <c r="F214" s="1"/>
      <c r="G214" s="1"/>
      <c r="H214" s="1"/>
      <c r="I214" s="53"/>
      <c r="J214" s="53"/>
      <c r="K214" s="53"/>
    </row>
    <row r="215" spans="1:11" s="40" customFormat="1" ht="15.6">
      <c r="A215" s="1"/>
      <c r="B215" s="1"/>
      <c r="C215" s="1"/>
      <c r="D215" s="1"/>
      <c r="E215" s="1"/>
      <c r="F215" s="1"/>
      <c r="G215" s="43"/>
      <c r="H215" s="43"/>
      <c r="I215" s="53"/>
      <c r="J215" s="53"/>
      <c r="K215" s="80"/>
    </row>
    <row r="216" spans="1:11" s="40" customFormat="1" ht="15.6">
      <c r="A216" s="1"/>
      <c r="B216" s="1"/>
      <c r="C216" s="1"/>
      <c r="D216" s="1"/>
      <c r="E216" s="1"/>
      <c r="F216" s="1"/>
      <c r="G216" s="43"/>
      <c r="H216" s="43"/>
      <c r="I216" s="53"/>
      <c r="J216" s="53"/>
      <c r="K216" s="80"/>
    </row>
    <row r="217" spans="1:11" s="40" customFormat="1">
      <c r="A217" s="42"/>
      <c r="B217" s="42"/>
      <c r="C217" s="42"/>
      <c r="D217" s="42"/>
      <c r="E217" s="44"/>
      <c r="F217" s="42"/>
      <c r="G217" s="50"/>
      <c r="H217" s="50"/>
      <c r="I217" s="53"/>
      <c r="J217" s="53"/>
      <c r="K217" s="53"/>
    </row>
    <row r="218" spans="1:11" s="40" customFormat="1" ht="15.6">
      <c r="A218" s="1"/>
      <c r="B218" s="1"/>
      <c r="C218" s="1"/>
      <c r="D218" s="1"/>
      <c r="E218" s="1"/>
      <c r="F218" s="1"/>
      <c r="G218" s="43"/>
      <c r="H218" s="43"/>
      <c r="I218" s="53"/>
      <c r="J218" s="53"/>
      <c r="K218" s="80"/>
    </row>
    <row r="219" spans="1:11" s="40" customFormat="1">
      <c r="A219" s="1"/>
      <c r="B219" s="1"/>
      <c r="C219" s="1"/>
      <c r="D219" s="1"/>
      <c r="E219" s="1"/>
      <c r="F219" s="1"/>
      <c r="G219" s="1"/>
      <c r="H219" s="1"/>
      <c r="I219" s="53"/>
      <c r="J219" s="53"/>
      <c r="K219" s="53"/>
    </row>
    <row r="220" spans="1:11" s="40" customFormat="1" ht="15.6">
      <c r="A220" s="1"/>
      <c r="B220" s="1"/>
      <c r="C220" s="1"/>
      <c r="D220" s="1"/>
      <c r="E220" s="1"/>
      <c r="F220" s="1"/>
      <c r="G220" s="43"/>
      <c r="H220" s="43"/>
      <c r="I220" s="53"/>
      <c r="J220" s="53"/>
      <c r="K220" s="80"/>
    </row>
    <row r="221" spans="1:11" s="40" customFormat="1" ht="15.6">
      <c r="A221" s="1"/>
      <c r="B221" s="1"/>
      <c r="C221" s="1"/>
      <c r="D221" s="1"/>
      <c r="E221" s="1"/>
      <c r="F221" s="1"/>
      <c r="G221" s="43"/>
      <c r="H221" s="43"/>
      <c r="I221" s="53"/>
      <c r="J221" s="53"/>
      <c r="K221" s="80"/>
    </row>
    <row r="222" spans="1:11" s="40" customFormat="1" ht="15.6">
      <c r="A222" s="1"/>
      <c r="B222" s="1"/>
      <c r="C222" s="1"/>
      <c r="D222" s="1"/>
      <c r="E222" s="1"/>
      <c r="F222" s="93"/>
      <c r="G222" s="93"/>
      <c r="H222" s="43"/>
      <c r="I222" s="1"/>
      <c r="J222" s="53"/>
      <c r="K222" s="80"/>
    </row>
    <row r="223" spans="1:11" s="40" customFormat="1">
      <c r="A223" s="42"/>
      <c r="B223" s="42"/>
      <c r="C223" s="1"/>
      <c r="D223" s="1"/>
      <c r="E223" s="44"/>
      <c r="F223" s="51"/>
      <c r="G223" s="1"/>
      <c r="H223" s="1"/>
      <c r="I223" s="53"/>
      <c r="J223" s="53"/>
      <c r="K223" s="53"/>
    </row>
    <row r="224" spans="1:11" s="40" customFormat="1" ht="15.6">
      <c r="A224" s="1"/>
      <c r="B224" s="1"/>
      <c r="C224" s="1"/>
      <c r="D224" s="1"/>
      <c r="E224" s="1"/>
      <c r="F224" s="1"/>
      <c r="G224" s="43"/>
      <c r="H224" s="43"/>
      <c r="I224" s="1"/>
      <c r="J224" s="53"/>
      <c r="K224" s="80"/>
    </row>
    <row r="225" spans="1:11" s="40" customFormat="1" ht="15.6">
      <c r="A225" s="42"/>
      <c r="B225" s="42"/>
      <c r="C225" s="1"/>
      <c r="D225" s="1"/>
      <c r="E225" s="1"/>
      <c r="F225" s="1"/>
      <c r="G225" s="43"/>
      <c r="H225" s="43"/>
      <c r="I225" s="53"/>
      <c r="J225" s="53"/>
      <c r="K225" s="53"/>
    </row>
    <row r="226" spans="1:11" s="40" customFormat="1">
      <c r="A226" s="1"/>
      <c r="B226" s="1"/>
      <c r="C226" s="1"/>
      <c r="D226" s="1"/>
      <c r="E226" s="1"/>
      <c r="F226" s="1"/>
      <c r="G226" s="1"/>
      <c r="H226" s="1"/>
      <c r="I226" s="53"/>
      <c r="J226" s="53"/>
      <c r="K226" s="53"/>
    </row>
    <row r="227" spans="1:11" s="40" customFormat="1">
      <c r="A227" s="1"/>
      <c r="B227" s="1"/>
      <c r="C227" s="1"/>
      <c r="D227" s="1"/>
      <c r="E227" s="1"/>
      <c r="F227" s="1"/>
      <c r="G227" s="1"/>
      <c r="H227" s="1"/>
      <c r="I227" s="53"/>
      <c r="J227" s="53"/>
      <c r="K227" s="53"/>
    </row>
    <row r="228" spans="1:11" s="40" customFormat="1" ht="15.6">
      <c r="A228" s="1"/>
      <c r="B228" s="1"/>
      <c r="C228" s="1"/>
      <c r="D228" s="1"/>
      <c r="E228" s="116"/>
      <c r="F228" s="115"/>
      <c r="G228" s="100"/>
      <c r="H228" s="43"/>
      <c r="I228" s="53"/>
      <c r="J228" s="53"/>
      <c r="K228" s="80"/>
    </row>
    <row r="229" spans="1:11" s="40" customFormat="1">
      <c r="A229" s="1"/>
      <c r="B229" s="1"/>
      <c r="C229" s="1"/>
      <c r="D229" s="1"/>
      <c r="E229" s="1"/>
      <c r="F229" s="1"/>
      <c r="G229" s="1"/>
      <c r="H229" s="1"/>
      <c r="I229" s="53"/>
      <c r="J229" s="53"/>
      <c r="K229" s="53"/>
    </row>
    <row r="230" spans="1:11" s="40" customFormat="1">
      <c r="A230" s="1"/>
      <c r="B230" s="1"/>
      <c r="C230" s="1"/>
      <c r="D230" s="1"/>
      <c r="E230" s="1"/>
      <c r="F230" s="1"/>
      <c r="G230" s="1"/>
      <c r="H230" s="1"/>
      <c r="I230" s="53"/>
      <c r="J230" s="53"/>
      <c r="K230" s="53"/>
    </row>
    <row r="231" spans="1:11" s="40" customFormat="1">
      <c r="A231" s="1"/>
      <c r="B231" s="1"/>
      <c r="C231" s="1"/>
      <c r="D231" s="1"/>
      <c r="E231" s="1"/>
      <c r="F231" s="1"/>
      <c r="G231" s="1"/>
      <c r="H231" s="1"/>
      <c r="I231" s="53"/>
      <c r="J231" s="53"/>
      <c r="K231" s="53"/>
    </row>
    <row r="232" spans="1:11" s="40" customFormat="1">
      <c r="A232" s="1"/>
      <c r="B232" s="1"/>
      <c r="C232" s="1"/>
      <c r="D232" s="1"/>
      <c r="E232" s="1"/>
      <c r="F232" s="1"/>
      <c r="G232" s="1"/>
      <c r="H232" s="1"/>
      <c r="I232" s="53"/>
      <c r="J232" s="53"/>
      <c r="K232" s="53"/>
    </row>
    <row r="233" spans="1:11" s="40" customFormat="1">
      <c r="A233" s="1"/>
      <c r="B233" s="1"/>
      <c r="C233" s="1"/>
      <c r="D233" s="1"/>
      <c r="E233" s="1"/>
      <c r="F233" s="1"/>
      <c r="G233" s="1"/>
      <c r="H233" s="1"/>
      <c r="I233" s="53"/>
      <c r="J233" s="53"/>
      <c r="K233" s="53"/>
    </row>
    <row r="234" spans="1:11" s="40" customFormat="1">
      <c r="A234" s="1"/>
      <c r="B234" s="1"/>
      <c r="C234" s="1"/>
      <c r="D234" s="1"/>
      <c r="E234" s="1"/>
      <c r="F234" s="1"/>
      <c r="G234" s="1"/>
      <c r="H234" s="1"/>
      <c r="I234" s="53"/>
      <c r="J234" s="53"/>
      <c r="K234" s="53"/>
    </row>
    <row r="235" spans="1:11" s="40" customFormat="1" ht="15.6">
      <c r="A235" s="1"/>
      <c r="B235" s="1"/>
      <c r="C235" s="1"/>
      <c r="D235" s="1"/>
      <c r="E235" s="1"/>
      <c r="F235" s="1"/>
      <c r="G235" s="43"/>
      <c r="H235" s="43"/>
      <c r="I235" s="150"/>
      <c r="J235" s="53"/>
      <c r="K235" s="80"/>
    </row>
    <row r="236" spans="1:11" s="40" customFormat="1">
      <c r="A236" s="1"/>
      <c r="B236" s="1"/>
      <c r="C236" s="1"/>
      <c r="D236" s="1"/>
      <c r="E236" s="1"/>
      <c r="F236" s="1"/>
      <c r="G236" s="1"/>
      <c r="H236" s="1"/>
      <c r="I236" s="53"/>
      <c r="J236" s="53"/>
      <c r="K236" s="53"/>
    </row>
    <row r="237" spans="1:11" s="40" customFormat="1" ht="15.6">
      <c r="A237" s="1"/>
      <c r="B237" s="1"/>
      <c r="C237" s="1"/>
      <c r="D237" s="1"/>
      <c r="E237" s="1"/>
      <c r="F237" s="1"/>
      <c r="G237" s="100"/>
      <c r="H237" s="43"/>
      <c r="I237" s="53"/>
      <c r="J237" s="53"/>
      <c r="K237" s="80"/>
    </row>
    <row r="238" spans="1:11" s="40" customFormat="1">
      <c r="A238" s="1"/>
      <c r="B238" s="1"/>
      <c r="C238" s="1"/>
      <c r="D238" s="1"/>
      <c r="E238" s="1"/>
      <c r="F238" s="1"/>
      <c r="G238" s="1"/>
      <c r="H238" s="1"/>
      <c r="I238" s="53"/>
      <c r="J238" s="53"/>
      <c r="K238" s="53"/>
    </row>
    <row r="239" spans="1:11" s="40" customFormat="1">
      <c r="A239" s="1"/>
      <c r="B239" s="1"/>
      <c r="C239" s="1"/>
      <c r="D239" s="1"/>
      <c r="E239" s="1"/>
      <c r="F239" s="1"/>
      <c r="G239" s="1"/>
      <c r="H239" s="1"/>
      <c r="I239" s="53"/>
      <c r="J239" s="53"/>
      <c r="K239" s="53"/>
    </row>
    <row r="240" spans="1:11" s="40" customFormat="1" ht="15.6">
      <c r="A240" s="1"/>
      <c r="B240" s="1"/>
      <c r="C240" s="1"/>
      <c r="D240" s="1"/>
      <c r="E240" s="1"/>
      <c r="F240" s="1"/>
      <c r="G240" s="43"/>
      <c r="H240" s="43"/>
      <c r="I240" s="53"/>
      <c r="J240" s="53"/>
      <c r="K240" s="80"/>
    </row>
    <row r="241" spans="1:11" s="40" customFormat="1" ht="15.6">
      <c r="A241" s="1"/>
      <c r="B241" s="1"/>
      <c r="C241" s="1"/>
      <c r="D241" s="1"/>
      <c r="E241" s="1"/>
      <c r="F241" s="1"/>
      <c r="G241" s="43"/>
      <c r="H241" s="43"/>
      <c r="I241" s="53"/>
      <c r="J241" s="53"/>
      <c r="K241" s="53"/>
    </row>
    <row r="242" spans="1:11" s="40" customFormat="1" ht="15.6">
      <c r="A242" s="1"/>
      <c r="B242" s="1"/>
      <c r="C242" s="1"/>
      <c r="D242" s="1"/>
      <c r="E242" s="1"/>
      <c r="F242" s="1"/>
      <c r="G242" s="43"/>
      <c r="H242" s="43"/>
      <c r="I242" s="53"/>
      <c r="J242" s="53"/>
      <c r="K242" s="80"/>
    </row>
    <row r="243" spans="1:11" s="40" customFormat="1" ht="15.6">
      <c r="A243" s="1"/>
      <c r="B243" s="1"/>
      <c r="C243" s="1"/>
      <c r="D243" s="1"/>
      <c r="E243" s="1"/>
      <c r="F243" s="1"/>
      <c r="G243" s="43"/>
      <c r="H243" s="65"/>
      <c r="I243" s="53"/>
      <c r="J243" s="53"/>
      <c r="K243" s="53"/>
    </row>
    <row r="244" spans="1:11" s="40" customFormat="1" ht="15.6">
      <c r="A244" s="53"/>
      <c r="B244" s="53"/>
      <c r="C244" s="1"/>
      <c r="D244" s="1"/>
      <c r="E244" s="53"/>
      <c r="F244" s="1"/>
      <c r="G244" s="43"/>
      <c r="H244" s="43"/>
      <c r="I244" s="53"/>
      <c r="J244" s="53"/>
      <c r="K244" s="80"/>
    </row>
    <row r="245" spans="1:11" s="40" customFormat="1">
      <c r="A245" s="1"/>
      <c r="B245" s="1"/>
      <c r="C245" s="1"/>
      <c r="D245" s="1"/>
      <c r="E245" s="1"/>
      <c r="F245" s="1"/>
      <c r="G245" s="1"/>
      <c r="H245" s="1"/>
      <c r="I245" s="53"/>
      <c r="J245" s="53"/>
      <c r="K245" s="53"/>
    </row>
    <row r="246" spans="1:11" s="40" customFormat="1" ht="15.6">
      <c r="A246" s="1"/>
      <c r="B246" s="1"/>
      <c r="C246" s="1"/>
      <c r="D246" s="1"/>
      <c r="E246" s="1"/>
      <c r="F246" s="1"/>
      <c r="G246" s="43"/>
      <c r="H246" s="65"/>
      <c r="I246" s="1"/>
      <c r="J246" s="53"/>
      <c r="K246" s="80"/>
    </row>
    <row r="247" spans="1:11" s="162" customFormat="1" ht="15.6">
      <c r="A247" s="158"/>
      <c r="B247" s="158"/>
      <c r="C247" s="158"/>
      <c r="D247" s="158"/>
      <c r="E247" s="158"/>
      <c r="F247" s="158"/>
      <c r="G247" s="164"/>
      <c r="H247" s="159"/>
      <c r="I247" s="160"/>
      <c r="J247" s="160"/>
      <c r="K247" s="161"/>
    </row>
    <row r="248" spans="1:11" s="40" customFormat="1">
      <c r="A248" s="1"/>
      <c r="B248" s="1"/>
      <c r="C248" s="1"/>
      <c r="D248" s="1"/>
      <c r="E248" s="1"/>
      <c r="F248" s="1"/>
      <c r="G248" s="1"/>
      <c r="H248" s="1"/>
      <c r="I248" s="53"/>
      <c r="J248" s="53"/>
      <c r="K248" s="53"/>
    </row>
    <row r="249" spans="1:11" s="40" customFormat="1">
      <c r="A249" s="1"/>
      <c r="B249" s="1"/>
      <c r="C249" s="1"/>
      <c r="D249" s="1"/>
      <c r="E249" s="1"/>
      <c r="F249" s="1"/>
      <c r="G249" s="1"/>
      <c r="H249" s="1"/>
      <c r="I249" s="53"/>
      <c r="J249" s="53"/>
      <c r="K249" s="53"/>
    </row>
    <row r="250" spans="1:11" s="40" customFormat="1">
      <c r="A250" s="42"/>
      <c r="B250" s="42"/>
      <c r="C250" s="1"/>
      <c r="D250" s="1"/>
      <c r="E250" s="1"/>
      <c r="F250" s="1"/>
      <c r="G250" s="1"/>
      <c r="H250" s="1"/>
      <c r="I250" s="53"/>
      <c r="J250" s="53"/>
      <c r="K250" s="53"/>
    </row>
    <row r="251" spans="1:11" s="40" customFormat="1">
      <c r="A251" s="1"/>
      <c r="B251" s="1"/>
      <c r="C251" s="1"/>
      <c r="D251" s="1"/>
      <c r="E251" s="1"/>
      <c r="F251" s="1"/>
      <c r="G251" s="1"/>
      <c r="H251" s="1"/>
      <c r="I251" s="53"/>
      <c r="J251" s="53"/>
      <c r="K251" s="53"/>
    </row>
    <row r="252" spans="1:11" s="40" customFormat="1" ht="15.6">
      <c r="A252" s="1"/>
      <c r="B252" s="1"/>
      <c r="C252" s="1"/>
      <c r="D252" s="1"/>
      <c r="E252" s="1"/>
      <c r="F252" s="1"/>
      <c r="G252" s="43"/>
      <c r="H252" s="65"/>
      <c r="I252" s="53"/>
      <c r="J252" s="53"/>
      <c r="K252" s="80"/>
    </row>
    <row r="253" spans="1:11" s="40" customFormat="1" ht="15.6">
      <c r="A253" s="1"/>
      <c r="B253" s="1"/>
      <c r="C253" s="1"/>
      <c r="D253" s="1"/>
      <c r="E253" s="1"/>
      <c r="F253" s="1"/>
      <c r="G253" s="43"/>
      <c r="H253" s="43"/>
      <c r="I253" s="53"/>
      <c r="J253" s="53"/>
      <c r="K253" s="80"/>
    </row>
    <row r="254" spans="1:11" s="40" customFormat="1" ht="15.6">
      <c r="A254" s="1"/>
      <c r="B254" s="1"/>
      <c r="C254" s="1"/>
      <c r="D254" s="1"/>
      <c r="E254" s="1"/>
      <c r="F254" s="1"/>
      <c r="G254" s="43"/>
      <c r="H254" s="65"/>
      <c r="I254" s="53"/>
      <c r="J254" s="53"/>
      <c r="K254" s="80"/>
    </row>
    <row r="255" spans="1:11" s="40" customFormat="1" ht="15.6">
      <c r="A255" s="1"/>
      <c r="B255" s="1"/>
      <c r="C255" s="1"/>
      <c r="D255" s="1"/>
      <c r="E255" s="1"/>
      <c r="F255" s="1"/>
      <c r="G255" s="43"/>
      <c r="H255" s="43"/>
      <c r="I255" s="53"/>
      <c r="J255" s="53"/>
      <c r="K255" s="80"/>
    </row>
    <row r="256" spans="1:11" s="40" customFormat="1" ht="15.6">
      <c r="A256" s="1"/>
      <c r="B256" s="1"/>
      <c r="C256" s="1"/>
      <c r="D256" s="1"/>
      <c r="E256" s="1"/>
      <c r="F256" s="1"/>
      <c r="G256" s="43"/>
      <c r="H256" s="43"/>
      <c r="I256" s="53"/>
      <c r="J256" s="53"/>
      <c r="K256" s="80"/>
    </row>
    <row r="257" spans="1:11" s="40" customFormat="1" ht="15.6">
      <c r="A257" s="1"/>
      <c r="B257" s="1"/>
      <c r="C257" s="1"/>
      <c r="D257" s="1"/>
      <c r="E257" s="1"/>
      <c r="F257" s="1"/>
      <c r="G257" s="43"/>
      <c r="H257" s="43"/>
      <c r="I257" s="53"/>
      <c r="J257" s="53"/>
      <c r="K257" s="53"/>
    </row>
    <row r="258" spans="1:11" s="40" customFormat="1" ht="15.6">
      <c r="A258" s="1"/>
      <c r="B258" s="1"/>
      <c r="C258" s="1"/>
      <c r="D258" s="1"/>
      <c r="E258" s="1"/>
      <c r="F258" s="93"/>
      <c r="G258" s="93"/>
      <c r="H258" s="43"/>
      <c r="I258" s="53"/>
      <c r="J258" s="53"/>
      <c r="K258" s="80"/>
    </row>
    <row r="259" spans="1:11" s="40" customFormat="1" ht="15.6">
      <c r="A259" s="42"/>
      <c r="B259" s="42"/>
      <c r="C259" s="1"/>
      <c r="D259" s="1"/>
      <c r="E259" s="1"/>
      <c r="F259" s="1"/>
      <c r="G259" s="43"/>
      <c r="H259" s="43"/>
      <c r="I259" s="53"/>
      <c r="J259" s="53"/>
      <c r="K259" s="80"/>
    </row>
    <row r="260" spans="1:11" s="162" customFormat="1" ht="15.6">
      <c r="A260" s="158"/>
      <c r="B260" s="158"/>
      <c r="C260" s="158"/>
      <c r="D260" s="158"/>
      <c r="E260" s="158"/>
      <c r="F260" s="158"/>
      <c r="G260" s="165"/>
      <c r="H260" s="159"/>
      <c r="I260" s="166"/>
      <c r="J260" s="160"/>
      <c r="K260" s="161"/>
    </row>
    <row r="261" spans="1:11" s="40" customFormat="1" ht="15.6">
      <c r="A261" s="1"/>
      <c r="B261" s="1"/>
      <c r="C261" s="1"/>
      <c r="D261" s="1"/>
      <c r="E261" s="1"/>
      <c r="F261" s="1"/>
      <c r="G261" s="43"/>
      <c r="H261" s="65"/>
      <c r="I261" s="53"/>
      <c r="J261" s="53"/>
      <c r="K261" s="80"/>
    </row>
    <row r="262" spans="1:11" s="40" customFormat="1" ht="15.6">
      <c r="A262" s="1"/>
      <c r="B262" s="1"/>
      <c r="C262" s="1"/>
      <c r="D262" s="1"/>
      <c r="E262" s="1"/>
      <c r="F262" s="1"/>
      <c r="G262" s="43"/>
      <c r="H262" s="43"/>
      <c r="I262" s="1"/>
      <c r="J262" s="53"/>
      <c r="K262" s="80"/>
    </row>
    <row r="263" spans="1:11" s="40" customFormat="1">
      <c r="A263" s="1"/>
      <c r="B263" s="1"/>
      <c r="C263" s="1"/>
      <c r="D263" s="1"/>
      <c r="E263" s="1"/>
      <c r="F263" s="1"/>
      <c r="G263" s="1"/>
      <c r="H263" s="1"/>
      <c r="I263" s="53"/>
      <c r="J263" s="53"/>
      <c r="K263" s="53"/>
    </row>
    <row r="264" spans="1:11" s="40" customFormat="1">
      <c r="A264" s="1"/>
      <c r="B264" s="1"/>
      <c r="C264" s="1"/>
      <c r="D264" s="1"/>
      <c r="E264" s="1"/>
      <c r="F264" s="1"/>
      <c r="G264" s="1"/>
      <c r="H264" s="1"/>
      <c r="I264" s="53"/>
      <c r="J264" s="53"/>
      <c r="K264" s="53"/>
    </row>
    <row r="265" spans="1:11" s="40" customFormat="1" ht="15.6">
      <c r="A265" s="1"/>
      <c r="B265" s="1"/>
      <c r="C265" s="1"/>
      <c r="D265" s="1"/>
      <c r="E265" s="1"/>
      <c r="F265" s="158"/>
      <c r="G265" s="159"/>
      <c r="H265" s="43"/>
      <c r="I265" s="119"/>
      <c r="J265" s="53"/>
      <c r="K265" s="80"/>
    </row>
    <row r="266" spans="1:11" customFormat="1" ht="15.6">
      <c r="A266" s="93"/>
      <c r="B266" s="93"/>
      <c r="C266" s="93"/>
      <c r="D266" s="93"/>
      <c r="E266" s="93"/>
      <c r="F266" s="158"/>
      <c r="G266" s="164"/>
      <c r="H266" s="94"/>
      <c r="I266" s="16"/>
      <c r="J266" s="16"/>
      <c r="K266" s="96"/>
    </row>
    <row r="267" spans="1:11" s="40" customFormat="1">
      <c r="A267" s="1"/>
      <c r="B267" s="1"/>
      <c r="C267" s="1"/>
      <c r="D267" s="1"/>
      <c r="E267" s="1"/>
      <c r="F267" s="1"/>
      <c r="G267" s="1"/>
      <c r="H267" s="1"/>
      <c r="I267" s="53"/>
      <c r="J267" s="53"/>
      <c r="K267" s="53"/>
    </row>
    <row r="268" spans="1:11" s="40" customFormat="1" ht="15.6">
      <c r="A268" s="1"/>
      <c r="B268" s="1"/>
      <c r="C268" s="1"/>
      <c r="D268" s="1"/>
      <c r="E268" s="1"/>
      <c r="F268" s="1"/>
      <c r="G268" s="43"/>
      <c r="H268" s="43"/>
      <c r="I268" s="53"/>
      <c r="J268" s="53"/>
      <c r="K268" s="80"/>
    </row>
    <row r="269" spans="1:11" s="40" customFormat="1" ht="15.6">
      <c r="A269" s="1"/>
      <c r="B269" s="1"/>
      <c r="C269" s="1"/>
      <c r="D269" s="42"/>
      <c r="E269" s="1"/>
      <c r="F269" s="1"/>
      <c r="G269" s="43"/>
      <c r="H269" s="43"/>
      <c r="I269" s="53"/>
      <c r="J269" s="53"/>
      <c r="K269" s="80"/>
    </row>
    <row r="270" spans="1:11" s="40" customFormat="1">
      <c r="A270" s="42"/>
      <c r="B270" s="42"/>
      <c r="C270" s="42"/>
      <c r="D270" s="42"/>
      <c r="E270" s="1"/>
      <c r="F270" s="42"/>
      <c r="G270" s="46"/>
      <c r="H270" s="46"/>
      <c r="I270" s="53"/>
      <c r="J270" s="53"/>
      <c r="K270" s="53"/>
    </row>
    <row r="271" spans="1:11" s="40" customFormat="1">
      <c r="A271" s="1"/>
      <c r="B271" s="1"/>
      <c r="C271" s="1"/>
      <c r="D271" s="1"/>
      <c r="E271" s="1"/>
      <c r="F271" s="1"/>
      <c r="G271" s="1"/>
      <c r="H271" s="1"/>
      <c r="I271" s="53"/>
      <c r="J271" s="53"/>
      <c r="K271" s="53"/>
    </row>
    <row r="272" spans="1:11" s="40" customFormat="1" ht="15.6">
      <c r="A272" s="1"/>
      <c r="B272" s="1"/>
      <c r="C272" s="1"/>
      <c r="D272" s="1"/>
      <c r="E272" s="1"/>
      <c r="F272" s="1"/>
      <c r="G272" s="88"/>
      <c r="H272" s="65"/>
      <c r="I272" s="53"/>
      <c r="J272" s="53"/>
      <c r="K272" s="80"/>
    </row>
    <row r="273" spans="1:11" s="40" customFormat="1">
      <c r="A273" s="1"/>
      <c r="B273" s="1"/>
      <c r="C273" s="1"/>
      <c r="D273" s="1"/>
      <c r="E273" s="1"/>
      <c r="F273" s="1"/>
      <c r="G273" s="1"/>
      <c r="H273" s="1"/>
      <c r="I273" s="53"/>
      <c r="J273" s="53"/>
      <c r="K273" s="53"/>
    </row>
    <row r="274" spans="1:11" s="40" customFormat="1">
      <c r="A274" s="42"/>
      <c r="B274" s="42"/>
      <c r="C274" s="42"/>
      <c r="D274" s="42"/>
      <c r="E274" s="42"/>
      <c r="F274" s="42"/>
      <c r="G274" s="1"/>
      <c r="H274" s="1"/>
      <c r="I274" s="53"/>
      <c r="J274" s="53"/>
      <c r="K274" s="53"/>
    </row>
    <row r="275" spans="1:11" s="40" customFormat="1" ht="15.6">
      <c r="A275" s="42"/>
      <c r="B275" s="42"/>
      <c r="C275" s="1"/>
      <c r="D275" s="1"/>
      <c r="E275" s="1"/>
      <c r="F275" s="1"/>
      <c r="G275" s="43"/>
      <c r="H275" s="43"/>
      <c r="I275" s="1"/>
      <c r="J275" s="53"/>
      <c r="K275" s="80"/>
    </row>
    <row r="276" spans="1:11" s="40" customFormat="1" ht="15.6">
      <c r="A276" s="1"/>
      <c r="B276" s="1"/>
      <c r="C276" s="1"/>
      <c r="D276" s="1"/>
      <c r="E276" s="1"/>
      <c r="F276" s="1"/>
      <c r="G276" s="43"/>
      <c r="H276" s="43"/>
      <c r="I276" s="53"/>
      <c r="J276" s="53"/>
      <c r="K276" s="80"/>
    </row>
    <row r="277" spans="1:11" s="162" customFormat="1" ht="15.6">
      <c r="A277" s="158"/>
      <c r="B277" s="158"/>
      <c r="C277" s="158"/>
      <c r="D277" s="158"/>
      <c r="E277" s="158"/>
      <c r="F277" s="158"/>
      <c r="G277" s="159"/>
      <c r="H277" s="159"/>
      <c r="I277" s="160"/>
      <c r="J277" s="160"/>
      <c r="K277" s="161"/>
    </row>
    <row r="278" spans="1:11" s="162" customFormat="1" ht="15.6">
      <c r="A278" s="158"/>
      <c r="B278" s="158"/>
      <c r="C278" s="158"/>
      <c r="D278" s="158"/>
      <c r="E278" s="158"/>
      <c r="F278" s="158"/>
      <c r="G278" s="159"/>
      <c r="H278" s="167"/>
      <c r="I278" s="160"/>
      <c r="J278" s="160"/>
      <c r="K278" s="161"/>
    </row>
    <row r="279" spans="1:11" s="162" customFormat="1" ht="15.6">
      <c r="A279" s="158"/>
      <c r="B279" s="158"/>
      <c r="C279" s="158"/>
      <c r="D279" s="158"/>
      <c r="E279" s="158"/>
      <c r="F279" s="158"/>
      <c r="G279" s="159"/>
      <c r="H279" s="159"/>
      <c r="I279" s="160"/>
      <c r="J279" s="160"/>
      <c r="K279" s="161"/>
    </row>
    <row r="280" spans="1:11" s="162" customFormat="1" ht="15.6">
      <c r="A280" s="158"/>
      <c r="B280" s="158"/>
      <c r="C280" s="158"/>
      <c r="D280" s="158"/>
      <c r="E280" s="158"/>
      <c r="F280" s="158"/>
      <c r="G280" s="164"/>
      <c r="H280" s="159"/>
      <c r="I280" s="160"/>
      <c r="J280" s="160"/>
      <c r="K280" s="161"/>
    </row>
    <row r="281" spans="1:11" s="162" customFormat="1" ht="15.6">
      <c r="A281" s="158"/>
      <c r="B281" s="158"/>
      <c r="C281" s="158"/>
      <c r="D281" s="158"/>
      <c r="E281" s="158"/>
      <c r="F281" s="158"/>
      <c r="G281" s="159"/>
      <c r="H281" s="159"/>
      <c r="I281" s="160"/>
      <c r="J281" s="160"/>
      <c r="K281" s="161"/>
    </row>
    <row r="282" spans="1:11" s="162" customFormat="1" ht="15.6">
      <c r="A282" s="158"/>
      <c r="B282" s="158"/>
      <c r="C282" s="158"/>
      <c r="D282" s="158"/>
      <c r="E282" s="158"/>
      <c r="F282" s="158"/>
      <c r="G282" s="159"/>
      <c r="H282" s="159"/>
      <c r="I282" s="160"/>
      <c r="J282" s="160"/>
      <c r="K282" s="161"/>
    </row>
    <row r="283" spans="1:11" s="162" customFormat="1">
      <c r="A283" s="158"/>
      <c r="B283" s="158"/>
      <c r="C283" s="158"/>
      <c r="D283" s="158"/>
      <c r="E283" s="158"/>
      <c r="F283" s="158"/>
      <c r="G283" s="158"/>
      <c r="H283" s="158"/>
      <c r="I283" s="160"/>
      <c r="J283" s="160"/>
      <c r="K283" s="160"/>
    </row>
    <row r="284" spans="1:11" s="162" customFormat="1">
      <c r="A284" s="158"/>
      <c r="B284" s="158"/>
      <c r="C284" s="158"/>
      <c r="D284" s="158"/>
      <c r="E284" s="158"/>
      <c r="F284" s="158"/>
      <c r="G284" s="158"/>
      <c r="H284" s="158"/>
      <c r="I284" s="160"/>
      <c r="J284" s="160"/>
      <c r="K284" s="160"/>
    </row>
    <row r="285" spans="1:11" s="162" customFormat="1">
      <c r="A285" s="158"/>
      <c r="B285" s="158"/>
      <c r="C285" s="158"/>
      <c r="D285" s="158"/>
      <c r="E285" s="158"/>
      <c r="F285" s="158"/>
      <c r="G285" s="158"/>
      <c r="H285" s="158"/>
      <c r="I285" s="160"/>
      <c r="J285" s="160"/>
      <c r="K285" s="160"/>
    </row>
    <row r="286" spans="1:11" s="162" customFormat="1">
      <c r="A286" s="158"/>
      <c r="B286" s="158"/>
      <c r="C286" s="158"/>
      <c r="D286" s="158"/>
      <c r="E286" s="158"/>
      <c r="F286" s="158"/>
      <c r="G286" s="158"/>
      <c r="H286" s="158"/>
      <c r="I286" s="160"/>
      <c r="J286" s="160"/>
      <c r="K286" s="160"/>
    </row>
    <row r="287" spans="1:11" s="162" customFormat="1" ht="15.6">
      <c r="A287" s="158"/>
      <c r="B287" s="158"/>
      <c r="C287" s="158"/>
      <c r="D287" s="158"/>
      <c r="E287" s="158"/>
      <c r="F287" s="158"/>
      <c r="G287" s="159"/>
      <c r="H287" s="159"/>
      <c r="I287" s="160"/>
      <c r="J287" s="160"/>
      <c r="K287" s="161"/>
    </row>
    <row r="288" spans="1:11" s="162" customFormat="1" ht="15.6">
      <c r="A288" s="158"/>
      <c r="B288" s="158"/>
      <c r="C288" s="16"/>
      <c r="D288" s="261"/>
      <c r="E288" s="260"/>
      <c r="F288" s="158"/>
      <c r="G288" s="159"/>
      <c r="H288" s="159"/>
      <c r="I288" s="260"/>
      <c r="J288" s="160"/>
      <c r="K288" s="161"/>
    </row>
    <row r="289" spans="1:11" s="162" customFormat="1" ht="15.6">
      <c r="A289" s="158"/>
      <c r="B289" s="158"/>
      <c r="C289" s="158"/>
      <c r="D289" s="158"/>
      <c r="E289" s="158"/>
      <c r="F289" s="158"/>
      <c r="G289" s="159"/>
      <c r="H289" s="159"/>
      <c r="I289" s="160"/>
      <c r="J289" s="160"/>
      <c r="K289" s="161"/>
    </row>
    <row r="290" spans="1:11" s="162" customFormat="1" ht="15.6">
      <c r="A290" s="158"/>
      <c r="B290" s="158"/>
      <c r="C290" s="158"/>
      <c r="D290" s="158"/>
      <c r="E290" s="158"/>
      <c r="F290" s="158"/>
      <c r="G290" s="159"/>
      <c r="H290" s="159"/>
      <c r="I290" s="160"/>
      <c r="J290" s="160"/>
      <c r="K290" s="161"/>
    </row>
    <row r="291" spans="1:11" s="162" customFormat="1">
      <c r="A291" s="158"/>
      <c r="B291" s="158"/>
      <c r="C291" s="158"/>
      <c r="D291" s="158"/>
      <c r="E291" s="158"/>
      <c r="F291" s="158"/>
      <c r="G291" s="158"/>
      <c r="H291" s="158"/>
      <c r="I291" s="160"/>
      <c r="J291" s="160"/>
      <c r="K291" s="160"/>
    </row>
    <row r="292" spans="1:11" s="162" customFormat="1">
      <c r="A292" s="158"/>
      <c r="B292" s="158"/>
      <c r="C292" s="163"/>
      <c r="D292" s="163"/>
      <c r="E292" s="158"/>
      <c r="F292" s="158"/>
      <c r="G292" s="158"/>
      <c r="H292" s="158"/>
      <c r="I292" s="160"/>
      <c r="J292" s="160"/>
      <c r="K292" s="160"/>
    </row>
    <row r="293" spans="1:11" s="162" customFormat="1" ht="15.6">
      <c r="A293" s="158"/>
      <c r="B293" s="158"/>
      <c r="C293" s="158"/>
      <c r="D293" s="158"/>
      <c r="E293" s="158"/>
      <c r="F293" s="158"/>
      <c r="G293" s="159"/>
      <c r="H293" s="159"/>
      <c r="I293" s="160"/>
      <c r="J293" s="160"/>
      <c r="K293" s="161"/>
    </row>
    <row r="294" spans="1:11" s="162" customFormat="1">
      <c r="A294" s="158"/>
      <c r="B294" s="158"/>
      <c r="C294" s="158"/>
      <c r="D294" s="158"/>
      <c r="E294" s="168"/>
      <c r="F294" s="158"/>
      <c r="G294" s="158"/>
      <c r="H294" s="158"/>
      <c r="I294" s="160"/>
      <c r="J294" s="160"/>
      <c r="K294" s="160"/>
    </row>
    <row r="295" spans="1:11" s="162" customFormat="1" ht="15.6">
      <c r="A295" s="158"/>
      <c r="B295" s="158"/>
      <c r="C295" s="158"/>
      <c r="D295" s="158"/>
      <c r="E295" s="158"/>
      <c r="F295" s="158"/>
      <c r="G295" s="159"/>
      <c r="H295" s="167"/>
      <c r="I295" s="158"/>
      <c r="J295" s="160"/>
      <c r="K295" s="161"/>
    </row>
    <row r="296" spans="1:11" s="162" customFormat="1">
      <c r="A296" s="158"/>
      <c r="B296" s="158"/>
      <c r="C296" s="158"/>
      <c r="D296" s="158"/>
      <c r="E296" s="158"/>
      <c r="F296" s="158"/>
      <c r="G296" s="158"/>
      <c r="H296" s="158"/>
      <c r="I296" s="160"/>
      <c r="J296" s="160"/>
      <c r="K296" s="160"/>
    </row>
    <row r="297" spans="1:11" s="162" customFormat="1">
      <c r="A297" s="158"/>
      <c r="B297" s="158"/>
      <c r="C297" s="158"/>
      <c r="D297" s="158"/>
      <c r="E297" s="158"/>
      <c r="F297" s="158"/>
      <c r="G297" s="158"/>
      <c r="H297" s="158"/>
      <c r="I297" s="160"/>
      <c r="J297" s="160"/>
      <c r="K297" s="160"/>
    </row>
    <row r="298" spans="1:11" s="162" customFormat="1">
      <c r="A298" s="163"/>
      <c r="B298" s="163"/>
      <c r="C298" s="163"/>
      <c r="D298" s="163"/>
      <c r="E298" s="163"/>
      <c r="F298" s="163"/>
      <c r="G298" s="163"/>
      <c r="H298" s="163"/>
      <c r="I298" s="160"/>
      <c r="J298" s="160"/>
      <c r="K298" s="160"/>
    </row>
    <row r="299" spans="1:11" s="162" customFormat="1" ht="15.6">
      <c r="A299" s="158"/>
      <c r="B299" s="158"/>
      <c r="C299" s="158"/>
      <c r="D299" s="158"/>
      <c r="E299" s="158"/>
      <c r="F299" s="158"/>
      <c r="G299" s="159"/>
      <c r="H299" s="159"/>
      <c r="I299" s="160"/>
      <c r="J299" s="160"/>
      <c r="K299" s="161"/>
    </row>
    <row r="300" spans="1:11" s="162" customFormat="1" ht="15.6">
      <c r="A300" s="158"/>
      <c r="B300" s="158"/>
      <c r="C300" s="158"/>
      <c r="D300" s="158"/>
      <c r="E300" s="158"/>
      <c r="F300" s="158"/>
      <c r="G300" s="159"/>
      <c r="H300" s="159"/>
      <c r="I300" s="169"/>
      <c r="J300" s="160"/>
      <c r="K300" s="161"/>
    </row>
    <row r="301" spans="1:11" s="162" customFormat="1">
      <c r="A301" s="158"/>
      <c r="B301" s="158"/>
      <c r="C301" s="158"/>
      <c r="D301" s="158"/>
      <c r="E301" s="158"/>
      <c r="F301" s="158"/>
      <c r="G301" s="158"/>
      <c r="H301" s="158"/>
      <c r="I301" s="160"/>
      <c r="J301" s="160"/>
      <c r="K301" s="160"/>
    </row>
    <row r="302" spans="1:11" s="162" customFormat="1" ht="15.6">
      <c r="A302" s="158"/>
      <c r="B302" s="158"/>
      <c r="C302" s="158"/>
      <c r="D302" s="158"/>
      <c r="E302" s="158"/>
      <c r="F302" s="158"/>
      <c r="G302" s="159"/>
      <c r="H302" s="167"/>
      <c r="I302" s="170"/>
      <c r="J302" s="160"/>
      <c r="K302" s="161"/>
    </row>
    <row r="303" spans="1:11" s="162" customFormat="1" ht="15.6">
      <c r="A303" s="158"/>
      <c r="B303" s="158"/>
      <c r="C303" s="163"/>
      <c r="D303" s="163"/>
      <c r="E303" s="158"/>
      <c r="F303" s="158"/>
      <c r="G303" s="159"/>
      <c r="H303" s="159"/>
      <c r="I303" s="160"/>
      <c r="J303" s="160"/>
      <c r="K303" s="161"/>
    </row>
    <row r="304" spans="1:11" s="162" customFormat="1" ht="15.6">
      <c r="A304" s="158"/>
      <c r="B304" s="158"/>
      <c r="C304" s="158"/>
      <c r="D304" s="158"/>
      <c r="E304" s="158"/>
      <c r="F304" s="158"/>
      <c r="G304" s="159"/>
      <c r="H304" s="159"/>
      <c r="I304" s="160"/>
      <c r="J304" s="160"/>
      <c r="K304" s="161"/>
    </row>
    <row r="305" spans="1:11" s="162" customFormat="1">
      <c r="A305" s="158"/>
      <c r="B305" s="158"/>
      <c r="C305" s="158"/>
      <c r="D305" s="158"/>
      <c r="E305" s="158"/>
      <c r="F305" s="158"/>
      <c r="G305" s="158"/>
      <c r="H305" s="158"/>
      <c r="I305" s="160"/>
      <c r="J305" s="160"/>
      <c r="K305" s="160"/>
    </row>
    <row r="306" spans="1:11" s="162" customFormat="1">
      <c r="A306" s="160"/>
      <c r="B306" s="160"/>
      <c r="D306" s="160"/>
      <c r="I306" s="160"/>
      <c r="J306" s="160"/>
      <c r="K306" s="160"/>
    </row>
    <row r="307" spans="1:11" s="162" customFormat="1" ht="15.6">
      <c r="A307" s="158"/>
      <c r="B307" s="158"/>
      <c r="C307" s="158"/>
      <c r="D307" s="158"/>
      <c r="E307" s="158"/>
      <c r="F307" s="158"/>
      <c r="G307" s="159"/>
      <c r="H307" s="167"/>
      <c r="I307" s="160"/>
      <c r="J307" s="160"/>
      <c r="K307" s="161"/>
    </row>
    <row r="308" spans="1:11" s="162" customFormat="1" ht="15.6">
      <c r="A308" s="158"/>
      <c r="B308" s="158"/>
      <c r="C308" s="158"/>
      <c r="D308" s="158"/>
      <c r="E308" s="158"/>
      <c r="F308" s="158"/>
      <c r="G308" s="159"/>
      <c r="H308" s="159"/>
      <c r="I308" s="160"/>
      <c r="J308" s="160"/>
      <c r="K308" s="160"/>
    </row>
    <row r="309" spans="1:11" s="162" customFormat="1" ht="15.6">
      <c r="A309" s="158"/>
      <c r="B309" s="158"/>
      <c r="C309" s="158"/>
      <c r="D309" s="158"/>
      <c r="E309" s="158"/>
      <c r="F309" s="158"/>
      <c r="G309" s="159"/>
      <c r="H309" s="167"/>
      <c r="I309" s="160"/>
      <c r="J309" s="160"/>
      <c r="K309" s="161"/>
    </row>
    <row r="310" spans="1:11" s="162" customFormat="1" ht="15.6">
      <c r="A310" s="158"/>
      <c r="B310" s="158"/>
      <c r="C310" s="158"/>
      <c r="D310" s="158"/>
      <c r="E310" s="158"/>
      <c r="F310" s="158"/>
      <c r="G310" s="159"/>
      <c r="H310" s="167"/>
      <c r="I310" s="230"/>
      <c r="J310" s="160"/>
      <c r="K310" s="161"/>
    </row>
    <row r="311" spans="1:11" s="162" customFormat="1" ht="15.6">
      <c r="A311" s="158"/>
      <c r="B311" s="158"/>
      <c r="C311" s="158"/>
      <c r="D311" s="171"/>
      <c r="E311" s="158"/>
      <c r="F311" s="158"/>
      <c r="G311" s="159"/>
      <c r="H311" s="167"/>
      <c r="I311" s="160"/>
      <c r="J311" s="160"/>
      <c r="K311" s="161"/>
    </row>
    <row r="312" spans="1:11" s="162" customFormat="1" ht="15.6">
      <c r="A312" s="158"/>
      <c r="B312" s="158"/>
      <c r="C312" s="158"/>
      <c r="D312" s="158"/>
      <c r="E312" s="158"/>
      <c r="F312" s="158"/>
      <c r="G312" s="159"/>
      <c r="H312" s="159"/>
      <c r="I312" s="160"/>
      <c r="J312" s="160"/>
      <c r="K312" s="161"/>
    </row>
    <row r="313" spans="1:11" s="162" customFormat="1">
      <c r="A313" s="158"/>
      <c r="B313" s="158"/>
      <c r="C313" s="158"/>
      <c r="D313" s="172"/>
      <c r="E313" s="171"/>
      <c r="F313" s="158"/>
      <c r="G313" s="171"/>
      <c r="H313" s="171"/>
      <c r="I313" s="160"/>
      <c r="J313" s="160"/>
      <c r="K313" s="160"/>
    </row>
    <row r="314" spans="1:11" s="162" customFormat="1" ht="15.6">
      <c r="A314" s="158"/>
      <c r="B314" s="158"/>
      <c r="C314" s="158"/>
      <c r="D314" s="158"/>
      <c r="E314" s="158"/>
      <c r="F314" s="158"/>
      <c r="G314" s="159"/>
      <c r="H314" s="159"/>
      <c r="I314" s="160"/>
      <c r="J314" s="160"/>
      <c r="K314" s="161"/>
    </row>
    <row r="315" spans="1:11" s="162" customFormat="1" ht="15.6">
      <c r="A315" s="158"/>
      <c r="B315" s="158"/>
      <c r="C315" s="158"/>
      <c r="D315" s="158"/>
      <c r="E315" s="158"/>
      <c r="F315" s="158"/>
      <c r="G315" s="159"/>
      <c r="H315" s="159"/>
      <c r="I315" s="169"/>
      <c r="J315" s="160"/>
      <c r="K315" s="160"/>
    </row>
    <row r="316" spans="1:11" s="162" customFormat="1" ht="15.6">
      <c r="A316" s="158"/>
      <c r="B316" s="158"/>
      <c r="C316" s="158"/>
      <c r="D316" s="158"/>
      <c r="E316" s="158"/>
      <c r="F316" s="158"/>
      <c r="G316" s="159"/>
      <c r="H316" s="159"/>
      <c r="I316" s="160"/>
      <c r="J316" s="160"/>
      <c r="K316" s="161"/>
    </row>
    <row r="317" spans="1:11" s="162" customFormat="1" ht="15.6">
      <c r="A317" s="160"/>
      <c r="B317" s="160"/>
      <c r="C317" s="160"/>
      <c r="D317" s="158"/>
      <c r="E317" s="160"/>
      <c r="F317" s="158"/>
      <c r="G317" s="159"/>
      <c r="H317" s="159"/>
      <c r="I317" s="160"/>
      <c r="J317" s="160"/>
      <c r="K317" s="161"/>
    </row>
    <row r="318" spans="1:11" s="162" customFormat="1" ht="15.6">
      <c r="A318" s="158"/>
      <c r="B318" s="158"/>
      <c r="C318" s="158"/>
      <c r="D318" s="158"/>
      <c r="E318" s="158"/>
      <c r="F318" s="169"/>
      <c r="G318" s="173"/>
      <c r="H318" s="174"/>
      <c r="I318" s="160"/>
      <c r="J318" s="160"/>
      <c r="K318" s="161"/>
    </row>
    <row r="319" spans="1:11" s="162" customFormat="1" ht="15.6">
      <c r="A319" s="158"/>
      <c r="B319" s="158"/>
      <c r="C319" s="158"/>
      <c r="D319" s="158"/>
      <c r="E319" s="158"/>
      <c r="F319" s="158"/>
      <c r="G319" s="175"/>
      <c r="H319" s="159"/>
      <c r="I319" s="160"/>
      <c r="J319" s="160"/>
      <c r="K319" s="161"/>
    </row>
    <row r="320" spans="1:11" s="162" customFormat="1" ht="15.6">
      <c r="A320" s="160"/>
      <c r="B320" s="160"/>
      <c r="C320" s="160"/>
      <c r="D320" s="158"/>
      <c r="E320" s="160"/>
      <c r="F320" s="158"/>
      <c r="G320" s="159"/>
      <c r="H320" s="159"/>
      <c r="I320" s="160"/>
      <c r="J320" s="160"/>
      <c r="K320" s="161"/>
    </row>
    <row r="321" spans="1:11" s="162" customFormat="1" ht="15.6">
      <c r="A321" s="158"/>
      <c r="B321" s="158"/>
      <c r="C321" s="158"/>
      <c r="D321" s="158"/>
      <c r="E321" s="158"/>
      <c r="F321" s="158"/>
      <c r="G321" s="159"/>
      <c r="H321" s="159"/>
      <c r="I321" s="160"/>
      <c r="J321" s="160"/>
      <c r="K321" s="161"/>
    </row>
    <row r="322" spans="1:11" s="162" customFormat="1" ht="15.6">
      <c r="A322" s="158"/>
      <c r="B322" s="158"/>
      <c r="C322" s="158"/>
      <c r="D322" s="158"/>
      <c r="E322" s="158"/>
      <c r="F322" s="158"/>
      <c r="G322" s="159"/>
      <c r="H322" s="167"/>
      <c r="I322" s="160"/>
      <c r="J322" s="160"/>
      <c r="K322" s="161"/>
    </row>
    <row r="323" spans="1:11" s="162" customFormat="1" ht="15.6">
      <c r="A323" s="163"/>
      <c r="B323" s="163"/>
      <c r="C323" s="158"/>
      <c r="D323" s="158"/>
      <c r="E323" s="158"/>
      <c r="F323" s="158"/>
      <c r="G323" s="159"/>
      <c r="H323" s="159"/>
      <c r="I323" s="169"/>
      <c r="J323" s="160"/>
      <c r="K323" s="161"/>
    </row>
    <row r="324" spans="1:11" s="162" customFormat="1" ht="15.6">
      <c r="A324" s="158"/>
      <c r="B324" s="158"/>
      <c r="C324" s="158"/>
      <c r="D324" s="158"/>
      <c r="E324" s="158"/>
      <c r="F324" s="158"/>
      <c r="G324" s="159"/>
      <c r="H324" s="167"/>
      <c r="I324" s="160"/>
      <c r="J324" s="160"/>
      <c r="K324" s="161"/>
    </row>
    <row r="325" spans="1:11" s="162" customFormat="1" ht="15.6">
      <c r="A325" s="158"/>
      <c r="B325" s="158"/>
      <c r="C325" s="158"/>
      <c r="D325" s="158"/>
      <c r="E325" s="158"/>
      <c r="F325" s="158"/>
      <c r="G325" s="159"/>
      <c r="H325" s="159"/>
      <c r="I325" s="160"/>
      <c r="J325" s="160"/>
      <c r="K325" s="161"/>
    </row>
    <row r="326" spans="1:11" s="162" customFormat="1" ht="15.6">
      <c r="A326" s="158"/>
      <c r="B326" s="158"/>
      <c r="C326" s="158"/>
      <c r="D326" s="158"/>
      <c r="E326" s="158"/>
      <c r="F326" s="158"/>
      <c r="G326" s="159"/>
      <c r="H326" s="159"/>
      <c r="I326" s="170"/>
      <c r="J326" s="160"/>
      <c r="K326" s="161"/>
    </row>
    <row r="327" spans="1:11" s="40" customFormat="1" ht="15.6">
      <c r="A327" s="1"/>
      <c r="B327" s="1"/>
      <c r="C327" s="1"/>
      <c r="D327" s="52"/>
      <c r="E327" s="1"/>
      <c r="F327" s="1"/>
      <c r="G327" s="43"/>
      <c r="H327" s="43"/>
      <c r="I327" s="53"/>
      <c r="J327" s="53"/>
      <c r="K327" s="80"/>
    </row>
    <row r="328" spans="1:11" s="40" customFormat="1" ht="15.6">
      <c r="A328" s="1"/>
      <c r="B328" s="1"/>
      <c r="C328" s="1"/>
      <c r="D328" s="1"/>
      <c r="E328" s="1"/>
      <c r="F328" s="1"/>
      <c r="G328" s="43"/>
      <c r="H328" s="43"/>
      <c r="I328" s="53"/>
      <c r="J328" s="53"/>
      <c r="K328" s="80"/>
    </row>
    <row r="329" spans="1:11" s="40" customFormat="1" ht="15.6">
      <c r="A329" s="1"/>
      <c r="B329" s="1"/>
      <c r="C329" s="1"/>
      <c r="D329" s="1"/>
      <c r="E329" s="1"/>
      <c r="F329" s="1"/>
      <c r="G329" s="43"/>
      <c r="H329" s="43"/>
      <c r="I329" s="63"/>
      <c r="J329" s="53"/>
      <c r="K329" s="53"/>
    </row>
    <row r="330" spans="1:11" s="40" customFormat="1" ht="15.6">
      <c r="A330" s="42"/>
      <c r="B330" s="42"/>
      <c r="C330" s="1"/>
      <c r="D330" s="1"/>
      <c r="E330" s="1"/>
      <c r="F330" s="1"/>
      <c r="G330" s="43"/>
      <c r="H330" s="43"/>
      <c r="I330" s="1"/>
      <c r="J330" s="53"/>
      <c r="K330" s="80"/>
    </row>
    <row r="331" spans="1:11" s="40" customFormat="1" ht="15.6">
      <c r="A331" s="1"/>
      <c r="B331" s="1"/>
      <c r="C331" s="1"/>
      <c r="D331" s="1"/>
      <c r="E331" s="1"/>
      <c r="F331" s="1"/>
      <c r="G331" s="43"/>
      <c r="H331" s="43"/>
      <c r="I331" s="1"/>
      <c r="J331" s="53"/>
      <c r="K331" s="80"/>
    </row>
    <row r="332" spans="1:11" s="40" customFormat="1" ht="15.6">
      <c r="A332" s="1"/>
      <c r="B332" s="1"/>
      <c r="C332" s="1"/>
      <c r="D332" s="1"/>
      <c r="E332" s="1"/>
      <c r="F332" s="1"/>
      <c r="G332" s="43"/>
      <c r="H332" s="43"/>
      <c r="I332" s="1"/>
      <c r="J332" s="53"/>
      <c r="K332" s="80"/>
    </row>
    <row r="333" spans="1:11" s="40" customFormat="1" ht="15.6">
      <c r="A333" s="1"/>
      <c r="B333" s="1"/>
      <c r="C333" s="1"/>
      <c r="D333" s="1"/>
      <c r="E333" s="1"/>
      <c r="F333" s="1"/>
      <c r="G333" s="43"/>
      <c r="H333" s="43"/>
      <c r="I333" s="53"/>
      <c r="J333" s="53"/>
      <c r="K333" s="80"/>
    </row>
    <row r="334" spans="1:11" s="40" customFormat="1" ht="15.6">
      <c r="A334" s="53"/>
      <c r="B334" s="53"/>
      <c r="C334" s="53"/>
      <c r="D334" s="53"/>
      <c r="E334" s="53"/>
      <c r="F334" s="89"/>
      <c r="G334" s="43"/>
      <c r="H334" s="65"/>
      <c r="I334" s="53"/>
      <c r="J334" s="53"/>
      <c r="K334" s="80"/>
    </row>
    <row r="335" spans="1:11" customFormat="1" ht="15.6">
      <c r="A335" s="93"/>
      <c r="B335" s="93"/>
      <c r="C335" s="93"/>
      <c r="D335" s="255"/>
      <c r="E335" s="93"/>
      <c r="F335" s="93"/>
      <c r="G335" s="251"/>
      <c r="H335" s="65"/>
      <c r="I335" s="93"/>
      <c r="J335" s="53"/>
      <c r="K335" s="107"/>
    </row>
    <row r="336" spans="1:11" s="40" customFormat="1" ht="15.6">
      <c r="A336" s="42"/>
      <c r="B336" s="42"/>
      <c r="C336" s="1"/>
      <c r="D336" s="1"/>
      <c r="E336" s="1"/>
      <c r="F336" s="1"/>
      <c r="G336" s="43"/>
      <c r="H336" s="43"/>
      <c r="I336" s="53"/>
      <c r="J336" s="53"/>
      <c r="K336" s="80"/>
    </row>
    <row r="337" spans="1:11" s="40" customFormat="1" ht="15.6">
      <c r="A337" s="42"/>
      <c r="B337" s="42"/>
      <c r="C337" s="1"/>
      <c r="D337" s="1"/>
      <c r="E337" s="1"/>
      <c r="F337" s="1"/>
      <c r="G337" s="43"/>
      <c r="H337" s="65"/>
      <c r="I337" s="1"/>
      <c r="J337" s="53"/>
      <c r="K337" s="80"/>
    </row>
    <row r="338" spans="1:11" customFormat="1" ht="15.6">
      <c r="A338" s="93"/>
      <c r="B338" s="93"/>
      <c r="C338" s="93"/>
      <c r="D338" s="93"/>
      <c r="E338" s="93"/>
      <c r="F338" s="93"/>
      <c r="G338" s="94"/>
      <c r="H338" s="94"/>
      <c r="I338" s="16"/>
      <c r="J338" s="16"/>
      <c r="K338" s="96"/>
    </row>
    <row r="339" spans="1:11" s="162" customFormat="1" ht="15.6">
      <c r="A339" s="158"/>
      <c r="B339" s="158"/>
      <c r="C339" s="158"/>
      <c r="D339" s="158"/>
      <c r="E339" s="158"/>
      <c r="F339" s="158"/>
      <c r="G339" s="159"/>
      <c r="H339" s="159"/>
      <c r="I339" s="158"/>
      <c r="J339" s="160"/>
      <c r="K339" s="161"/>
    </row>
    <row r="340" spans="1:11" s="40" customFormat="1" ht="15.6">
      <c r="A340" s="1"/>
      <c r="B340" s="1"/>
      <c r="C340" s="1"/>
      <c r="D340" s="1"/>
      <c r="E340" s="1"/>
      <c r="F340" s="1"/>
      <c r="G340" s="43"/>
      <c r="H340" s="65"/>
      <c r="I340" s="1"/>
      <c r="J340" s="53"/>
      <c r="K340" s="80"/>
    </row>
    <row r="341" spans="1:11" s="40" customFormat="1" ht="15.6">
      <c r="A341" s="1"/>
      <c r="B341" s="1"/>
      <c r="C341" s="1"/>
      <c r="D341" s="1"/>
      <c r="E341" s="1"/>
      <c r="F341" s="1"/>
      <c r="G341" s="43"/>
      <c r="H341" s="43"/>
      <c r="I341" s="62"/>
      <c r="J341" s="53"/>
      <c r="K341" s="53"/>
    </row>
    <row r="342" spans="1:11" s="40" customFormat="1" ht="15.6">
      <c r="A342" s="1"/>
      <c r="B342" s="1"/>
      <c r="C342" s="1"/>
      <c r="D342" s="1"/>
      <c r="E342" s="1"/>
      <c r="F342" s="1"/>
      <c r="G342" s="43"/>
      <c r="H342" s="43"/>
      <c r="I342" s="1"/>
      <c r="J342" s="53"/>
      <c r="K342" s="80"/>
    </row>
    <row r="343" spans="1:11" s="40" customFormat="1" ht="15.6">
      <c r="A343" s="1"/>
      <c r="B343" s="1"/>
      <c r="C343" s="1"/>
      <c r="D343" s="1"/>
      <c r="E343" s="1"/>
      <c r="F343" s="1"/>
      <c r="G343" s="43"/>
      <c r="H343" s="65"/>
      <c r="I343" s="1"/>
      <c r="J343" s="53"/>
      <c r="K343" s="80"/>
    </row>
    <row r="344" spans="1:11" s="40" customFormat="1" ht="15.6">
      <c r="A344" s="1"/>
      <c r="B344" s="1"/>
      <c r="C344" s="1"/>
      <c r="D344" s="52"/>
      <c r="E344" s="1"/>
      <c r="F344" s="1"/>
      <c r="G344" s="43"/>
      <c r="H344" s="43"/>
      <c r="I344" s="1"/>
      <c r="J344" s="53"/>
      <c r="K344" s="80"/>
    </row>
    <row r="345" spans="1:11" s="40" customFormat="1" ht="15.6">
      <c r="A345" s="1"/>
      <c r="B345" s="1"/>
      <c r="C345" s="1"/>
      <c r="D345" s="1"/>
      <c r="E345" s="1"/>
      <c r="F345" s="1"/>
      <c r="G345" s="43"/>
      <c r="H345" s="43"/>
      <c r="I345" s="1"/>
      <c r="J345" s="53"/>
      <c r="K345" s="80"/>
    </row>
    <row r="346" spans="1:11" s="40" customFormat="1" ht="15.6">
      <c r="A346" s="1"/>
      <c r="B346" s="1"/>
      <c r="C346" s="1"/>
      <c r="D346" s="1"/>
      <c r="E346" s="1"/>
      <c r="F346" s="1"/>
      <c r="G346" s="43"/>
      <c r="H346" s="43"/>
      <c r="I346" s="142"/>
      <c r="J346" s="53"/>
      <c r="K346" s="80"/>
    </row>
    <row r="347" spans="1:11" s="40" customFormat="1" ht="15.6">
      <c r="A347" s="1"/>
      <c r="B347" s="1"/>
      <c r="C347" s="1"/>
      <c r="D347" s="1"/>
      <c r="E347" s="1"/>
      <c r="F347" s="1"/>
      <c r="G347" s="43"/>
      <c r="H347" s="43"/>
      <c r="I347" s="1"/>
      <c r="J347" s="53"/>
      <c r="K347" s="80"/>
    </row>
    <row r="348" spans="1:11" s="40" customFormat="1" ht="15.6">
      <c r="A348" s="1"/>
      <c r="B348" s="1"/>
      <c r="C348" s="1"/>
      <c r="D348" s="1"/>
      <c r="E348" s="1"/>
      <c r="F348" s="1"/>
      <c r="G348" s="43"/>
      <c r="H348" s="65"/>
      <c r="I348" s="1"/>
      <c r="J348" s="53"/>
      <c r="K348" s="80"/>
    </row>
    <row r="349" spans="1:11" s="40" customFormat="1" ht="15.6">
      <c r="A349" s="1"/>
      <c r="B349" s="1"/>
      <c r="C349" s="1"/>
      <c r="D349" s="1"/>
      <c r="E349" s="1"/>
      <c r="F349" s="1"/>
      <c r="G349" s="43"/>
      <c r="H349" s="43"/>
      <c r="I349" s="1"/>
      <c r="J349" s="53"/>
      <c r="K349" s="80"/>
    </row>
    <row r="350" spans="1:11" s="162" customFormat="1" ht="15.6">
      <c r="A350" s="158"/>
      <c r="B350" s="158"/>
      <c r="C350" s="158"/>
      <c r="D350" s="158"/>
      <c r="E350" s="158"/>
      <c r="F350" s="158"/>
      <c r="G350" s="159"/>
      <c r="H350" s="159"/>
      <c r="I350" s="158"/>
      <c r="J350" s="160"/>
      <c r="K350" s="161"/>
    </row>
    <row r="351" spans="1:11" s="40" customFormat="1" ht="15.6">
      <c r="A351" s="1"/>
      <c r="B351" s="1"/>
      <c r="C351" s="1"/>
      <c r="D351" s="1"/>
      <c r="E351" s="1"/>
      <c r="F351" s="1"/>
      <c r="G351" s="100"/>
      <c r="H351" s="43"/>
      <c r="I351" s="1"/>
      <c r="J351" s="53"/>
      <c r="K351" s="80"/>
    </row>
    <row r="352" spans="1:11" s="40" customFormat="1" ht="15.6">
      <c r="A352" s="1"/>
      <c r="B352" s="1"/>
      <c r="C352" s="1"/>
      <c r="D352" s="1"/>
      <c r="E352" s="1"/>
      <c r="F352" s="1"/>
      <c r="G352" s="43"/>
      <c r="H352" s="43"/>
      <c r="I352" s="53"/>
      <c r="J352" s="53"/>
      <c r="K352" s="80"/>
    </row>
    <row r="353" spans="1:11" s="162" customFormat="1" ht="15.6">
      <c r="A353" s="158"/>
      <c r="B353" s="158"/>
      <c r="C353" s="158"/>
      <c r="D353" s="158"/>
      <c r="E353" s="158"/>
      <c r="F353" s="158"/>
      <c r="G353" s="159"/>
      <c r="H353" s="159"/>
      <c r="I353" s="160"/>
      <c r="J353" s="160"/>
      <c r="K353" s="161"/>
    </row>
    <row r="354" spans="1:11" s="40" customFormat="1" ht="15.6">
      <c r="A354" s="1"/>
      <c r="B354" s="1"/>
      <c r="C354" s="90"/>
      <c r="D354" s="1"/>
      <c r="E354" s="90"/>
      <c r="F354" s="90"/>
      <c r="G354" s="91"/>
      <c r="H354" s="43"/>
      <c r="I354" s="53"/>
      <c r="J354" s="53"/>
      <c r="K354" s="80"/>
    </row>
    <row r="355" spans="1:11" s="40" customFormat="1" ht="15.6">
      <c r="A355" s="1"/>
      <c r="B355" s="1"/>
      <c r="C355" s="1"/>
      <c r="D355" s="1"/>
      <c r="E355" s="1"/>
      <c r="F355" s="1"/>
      <c r="G355" s="43"/>
      <c r="H355" s="43"/>
      <c r="I355" s="53"/>
      <c r="J355" s="53"/>
      <c r="K355" s="80"/>
    </row>
    <row r="356" spans="1:11" s="40" customFormat="1" ht="15.6">
      <c r="A356" s="1"/>
      <c r="B356" s="1"/>
      <c r="C356" s="1"/>
      <c r="D356" s="1"/>
      <c r="E356" s="1"/>
      <c r="F356" s="1"/>
      <c r="G356" s="43"/>
      <c r="H356" s="43"/>
      <c r="I356" s="53"/>
      <c r="J356" s="53"/>
      <c r="K356" s="80"/>
    </row>
    <row r="357" spans="1:11" s="40" customFormat="1" ht="15.6">
      <c r="A357" s="1"/>
      <c r="B357" s="1"/>
      <c r="C357" s="1"/>
      <c r="D357" s="1"/>
      <c r="E357" s="1"/>
      <c r="F357" s="1"/>
      <c r="G357" s="43"/>
      <c r="H357" s="65"/>
      <c r="I357" s="53"/>
      <c r="J357" s="53"/>
      <c r="K357" s="80"/>
    </row>
    <row r="358" spans="1:11" s="40" customFormat="1" ht="15.6">
      <c r="A358" s="1"/>
      <c r="B358" s="1"/>
      <c r="C358" s="1"/>
      <c r="D358" s="1"/>
      <c r="E358" s="1"/>
      <c r="F358" s="1"/>
      <c r="G358" s="43"/>
      <c r="H358" s="65"/>
      <c r="I358" s="53"/>
      <c r="J358" s="53"/>
      <c r="K358" s="80"/>
    </row>
    <row r="359" spans="1:11" s="40" customFormat="1" ht="15.6">
      <c r="A359" s="1"/>
      <c r="B359" s="1"/>
      <c r="C359" s="1"/>
      <c r="D359" s="1"/>
      <c r="E359" s="1"/>
      <c r="F359" s="1"/>
      <c r="G359" s="98"/>
      <c r="H359" s="92"/>
      <c r="I359" s="53"/>
      <c r="J359" s="53"/>
      <c r="K359" s="80"/>
    </row>
    <row r="360" spans="1:11" s="40" customFormat="1">
      <c r="A360" s="83"/>
      <c r="B360" s="83"/>
      <c r="C360" s="83"/>
      <c r="D360" s="83"/>
      <c r="E360" s="83"/>
      <c r="F360" s="83"/>
      <c r="G360" s="84"/>
      <c r="H360" s="84"/>
      <c r="I360" s="85"/>
      <c r="J360" s="85"/>
      <c r="K360" s="85"/>
    </row>
    <row r="361" spans="1:11" s="40" customFormat="1" ht="15.6">
      <c r="A361" s="1"/>
      <c r="B361" s="1"/>
      <c r="C361" s="1"/>
      <c r="D361" s="1"/>
      <c r="E361" s="1"/>
      <c r="F361" s="1"/>
      <c r="G361" s="43"/>
      <c r="H361" s="43"/>
      <c r="I361" s="53"/>
      <c r="J361" s="53"/>
      <c r="K361" s="80"/>
    </row>
    <row r="362" spans="1:11" s="40" customFormat="1" ht="15.6">
      <c r="A362" s="1"/>
      <c r="B362" s="1"/>
      <c r="C362" s="1"/>
      <c r="D362" s="1"/>
      <c r="E362" s="1"/>
      <c r="F362" s="1"/>
      <c r="G362" s="43"/>
      <c r="H362" s="65"/>
      <c r="I362" s="53"/>
      <c r="J362" s="53"/>
      <c r="K362" s="80"/>
    </row>
    <row r="363" spans="1:11" s="162" customFormat="1" ht="15.6">
      <c r="A363" s="158"/>
      <c r="B363" s="158"/>
      <c r="C363" s="158"/>
      <c r="D363" s="158"/>
      <c r="E363" s="158"/>
      <c r="F363" s="158"/>
      <c r="G363" s="159"/>
      <c r="H363" s="159"/>
      <c r="I363" s="160"/>
      <c r="J363" s="160"/>
      <c r="K363" s="161"/>
    </row>
    <row r="364" spans="1:11" s="40" customFormat="1" ht="15.6" hidden="1">
      <c r="A364" s="1" t="s">
        <v>137</v>
      </c>
      <c r="B364" s="1">
        <v>625</v>
      </c>
      <c r="C364" s="1" t="s">
        <v>138</v>
      </c>
      <c r="D364" s="1" t="s">
        <v>126</v>
      </c>
      <c r="E364" s="1" t="s">
        <v>139</v>
      </c>
      <c r="F364" s="1" t="s">
        <v>124</v>
      </c>
      <c r="G364" s="43" t="s">
        <v>125</v>
      </c>
      <c r="H364" s="65" t="s">
        <v>111</v>
      </c>
      <c r="I364" s="53" t="s">
        <v>140</v>
      </c>
      <c r="J364" s="53" t="str">
        <f>IFERROR(VLOOKUP(Table2[[#This Row],[Funding Source]],References!$G$1:$I$48,3,FALSE),"")</f>
        <v>Other</v>
      </c>
      <c r="K364" s="80">
        <f ca="1">TODAY()+1</f>
        <v>45280</v>
      </c>
    </row>
    <row r="365" spans="1:11" s="162" customFormat="1" ht="15.6">
      <c r="A365" s="158"/>
      <c r="B365" s="158"/>
      <c r="C365" s="158"/>
      <c r="D365" s="158"/>
      <c r="E365" s="158"/>
      <c r="F365" s="158"/>
      <c r="G365" s="159"/>
      <c r="H365" s="167"/>
      <c r="I365" s="160"/>
      <c r="J365" s="160"/>
      <c r="K365" s="161"/>
    </row>
    <row r="366" spans="1:11" s="162" customFormat="1" ht="15.6">
      <c r="A366" s="158"/>
      <c r="B366" s="158"/>
      <c r="C366" s="158"/>
      <c r="D366" s="158"/>
      <c r="E366" s="158"/>
      <c r="F366" s="158"/>
      <c r="G366" s="159"/>
      <c r="H366" s="176"/>
      <c r="I366" s="177"/>
      <c r="J366" s="160"/>
      <c r="K366" s="161"/>
    </row>
    <row r="367" spans="1:11" s="162" customFormat="1" ht="15.6">
      <c r="A367" s="158"/>
      <c r="B367" s="158"/>
      <c r="C367" s="158"/>
      <c r="D367" s="158"/>
      <c r="E367" s="158"/>
      <c r="F367" s="158"/>
      <c r="G367" s="159"/>
      <c r="H367" s="159"/>
      <c r="I367" s="160"/>
      <c r="J367" s="160"/>
      <c r="K367" s="161"/>
    </row>
    <row r="368" spans="1:11" s="162" customFormat="1" ht="15.6">
      <c r="A368" s="158"/>
      <c r="B368" s="158"/>
      <c r="C368" s="158"/>
      <c r="D368" s="158"/>
      <c r="E368" s="158"/>
      <c r="F368" s="158"/>
      <c r="G368" s="159"/>
      <c r="H368" s="159"/>
      <c r="I368" s="158"/>
      <c r="J368" s="160"/>
      <c r="K368" s="161"/>
    </row>
    <row r="369" spans="1:12" s="162" customFormat="1">
      <c r="A369" s="178"/>
      <c r="B369" s="178"/>
      <c r="C369" s="178"/>
      <c r="D369" s="178"/>
      <c r="E369" s="178"/>
      <c r="F369" s="178"/>
      <c r="G369" s="179"/>
      <c r="H369" s="179"/>
      <c r="I369" s="180"/>
      <c r="J369" s="180"/>
      <c r="K369" s="180"/>
      <c r="L369" s="181"/>
    </row>
    <row r="370" spans="1:12" s="162" customFormat="1" ht="15.6">
      <c r="A370" s="158"/>
      <c r="B370" s="158"/>
      <c r="C370" s="158"/>
      <c r="D370" s="158"/>
      <c r="E370" s="158"/>
      <c r="F370" s="158"/>
      <c r="G370" s="159"/>
      <c r="H370" s="159"/>
      <c r="I370" s="160"/>
      <c r="J370" s="160"/>
      <c r="K370" s="161"/>
    </row>
    <row r="371" spans="1:12" s="162" customFormat="1" ht="15.6">
      <c r="A371" s="158"/>
      <c r="B371" s="158"/>
      <c r="C371" s="158"/>
      <c r="D371" s="158"/>
      <c r="E371" s="158"/>
      <c r="F371" s="158"/>
      <c r="G371" s="159"/>
      <c r="H371" s="167"/>
      <c r="I371" s="160"/>
      <c r="J371" s="160"/>
      <c r="K371" s="161"/>
    </row>
    <row r="372" spans="1:12" s="162" customFormat="1" ht="15.6">
      <c r="A372" s="158"/>
      <c r="B372" s="158"/>
      <c r="C372" s="158"/>
      <c r="D372" s="171"/>
      <c r="E372" s="158"/>
      <c r="F372" s="158"/>
      <c r="G372" s="159"/>
      <c r="H372" s="159"/>
      <c r="I372" s="160"/>
      <c r="J372" s="160"/>
      <c r="K372" s="161"/>
    </row>
    <row r="373" spans="1:12" s="162" customFormat="1" ht="15.6">
      <c r="A373" s="158"/>
      <c r="B373" s="158"/>
      <c r="C373" s="158"/>
      <c r="D373" s="158"/>
      <c r="E373" s="158"/>
      <c r="F373" s="158"/>
      <c r="G373" s="164"/>
      <c r="H373" s="167"/>
      <c r="I373" s="160"/>
      <c r="J373" s="160"/>
      <c r="K373" s="161"/>
    </row>
    <row r="374" spans="1:12" s="162" customFormat="1" ht="15.6">
      <c r="A374" s="158"/>
      <c r="B374" s="158"/>
      <c r="C374" s="158"/>
      <c r="D374" s="158"/>
      <c r="E374" s="158"/>
      <c r="F374" s="158"/>
      <c r="G374" s="182"/>
      <c r="H374" s="176"/>
      <c r="I374" s="160"/>
      <c r="J374" s="160"/>
      <c r="K374" s="161"/>
    </row>
    <row r="375" spans="1:12" s="162" customFormat="1" ht="15.6">
      <c r="A375" s="158"/>
      <c r="B375" s="158"/>
      <c r="C375" s="158"/>
      <c r="D375" s="158"/>
      <c r="E375" s="158"/>
      <c r="F375" s="158"/>
      <c r="G375" s="182"/>
      <c r="H375" s="176"/>
      <c r="I375" s="160"/>
      <c r="J375" s="160"/>
      <c r="K375" s="161"/>
    </row>
    <row r="376" spans="1:12" s="162" customFormat="1" ht="15.6">
      <c r="A376" s="160"/>
      <c r="B376" s="160"/>
      <c r="C376" s="158"/>
      <c r="D376" s="158"/>
      <c r="E376" s="160"/>
      <c r="F376" s="158"/>
      <c r="G376" s="164"/>
      <c r="H376" s="159"/>
      <c r="I376" s="160"/>
      <c r="J376" s="160"/>
      <c r="K376" s="161"/>
    </row>
    <row r="377" spans="1:12" s="162" customFormat="1" ht="15.6">
      <c r="A377" s="158"/>
      <c r="B377" s="158"/>
      <c r="C377" s="158"/>
      <c r="D377" s="158"/>
      <c r="E377" s="158"/>
      <c r="F377" s="158"/>
      <c r="G377" s="159"/>
      <c r="H377" s="176"/>
      <c r="I377" s="160"/>
      <c r="J377" s="160"/>
      <c r="K377" s="161"/>
    </row>
    <row r="378" spans="1:12" s="162" customFormat="1">
      <c r="A378" s="178"/>
      <c r="B378" s="178"/>
      <c r="C378" s="178"/>
      <c r="D378" s="178"/>
      <c r="E378" s="178"/>
      <c r="F378" s="178"/>
      <c r="G378" s="179"/>
      <c r="H378" s="179"/>
      <c r="I378" s="180"/>
      <c r="J378" s="180"/>
      <c r="K378" s="180"/>
      <c r="L378" s="181"/>
    </row>
    <row r="379" spans="1:12" s="162" customFormat="1">
      <c r="A379" s="178"/>
      <c r="B379" s="178"/>
      <c r="C379" s="178"/>
      <c r="D379" s="178"/>
      <c r="E379" s="178"/>
      <c r="F379" s="178"/>
      <c r="G379" s="179"/>
      <c r="H379" s="179"/>
      <c r="I379" s="180"/>
      <c r="J379" s="180"/>
      <c r="K379" s="180"/>
      <c r="L379" s="181"/>
    </row>
    <row r="380" spans="1:12" s="162" customFormat="1" ht="15.6">
      <c r="A380" s="158"/>
      <c r="B380" s="158"/>
      <c r="C380" s="158"/>
      <c r="D380" s="158"/>
      <c r="E380" s="158"/>
      <c r="F380" s="158"/>
      <c r="G380" s="159"/>
      <c r="H380" s="159"/>
      <c r="I380" s="160"/>
      <c r="J380" s="160"/>
      <c r="K380" s="161"/>
    </row>
    <row r="381" spans="1:12" s="162" customFormat="1" ht="15.6">
      <c r="A381" s="158"/>
      <c r="B381" s="158"/>
      <c r="C381" s="158"/>
      <c r="D381" s="158"/>
      <c r="E381" s="158"/>
      <c r="F381" s="158"/>
      <c r="G381" s="159"/>
      <c r="H381" s="159"/>
      <c r="I381" s="170"/>
      <c r="J381" s="160"/>
      <c r="K381" s="161"/>
    </row>
    <row r="382" spans="1:12" s="162" customFormat="1" ht="15.6">
      <c r="A382" s="158"/>
      <c r="B382" s="158"/>
      <c r="C382" s="158"/>
      <c r="D382" s="171"/>
      <c r="E382" s="158"/>
      <c r="F382" s="168"/>
      <c r="G382" s="183"/>
      <c r="H382" s="184"/>
      <c r="I382" s="160"/>
      <c r="J382" s="160"/>
      <c r="K382" s="161"/>
    </row>
    <row r="383" spans="1:12" s="162" customFormat="1" ht="15.6">
      <c r="A383" s="160"/>
      <c r="B383" s="160"/>
      <c r="C383" s="158"/>
      <c r="D383" s="158"/>
      <c r="E383" s="160"/>
      <c r="F383" s="158"/>
      <c r="G383" s="159"/>
      <c r="H383" s="167"/>
      <c r="I383" s="160"/>
      <c r="J383" s="160"/>
      <c r="K383" s="161"/>
    </row>
    <row r="384" spans="1:12" s="162" customFormat="1" ht="15.6">
      <c r="A384" s="160"/>
      <c r="B384" s="160"/>
      <c r="C384" s="160"/>
      <c r="D384" s="160"/>
      <c r="E384" s="160"/>
      <c r="G384" s="159"/>
      <c r="H384" s="167"/>
      <c r="I384" s="160"/>
      <c r="J384" s="160"/>
      <c r="K384" s="161"/>
    </row>
    <row r="385" spans="1:11" s="162" customFormat="1" ht="15.6">
      <c r="A385" s="160"/>
      <c r="B385" s="160"/>
      <c r="C385" s="160"/>
      <c r="D385" s="160"/>
      <c r="E385" s="160"/>
      <c r="G385" s="159"/>
      <c r="H385" s="176"/>
      <c r="I385" s="160"/>
      <c r="J385" s="160"/>
      <c r="K385" s="161"/>
    </row>
    <row r="386" spans="1:11" s="162" customFormat="1" ht="15.6">
      <c r="A386" s="160"/>
      <c r="B386" s="160"/>
      <c r="C386" s="158"/>
      <c r="D386" s="158"/>
      <c r="E386" s="160"/>
      <c r="F386" s="158"/>
      <c r="G386" s="159"/>
      <c r="H386" s="167"/>
      <c r="I386" s="160"/>
      <c r="J386" s="160"/>
      <c r="K386" s="161"/>
    </row>
    <row r="387" spans="1:11" s="162" customFormat="1" ht="15.6">
      <c r="A387" s="160"/>
      <c r="B387" s="160"/>
      <c r="C387" s="158"/>
      <c r="D387" s="158"/>
      <c r="E387" s="158"/>
      <c r="F387" s="158"/>
      <c r="G387" s="159"/>
      <c r="H387" s="167"/>
      <c r="I387" s="158"/>
      <c r="J387" s="160"/>
      <c r="K387" s="161"/>
    </row>
    <row r="388" spans="1:11" s="162" customFormat="1" ht="15.6">
      <c r="A388" s="160"/>
      <c r="B388" s="160"/>
      <c r="C388" s="158"/>
      <c r="D388" s="158"/>
      <c r="E388" s="158"/>
      <c r="F388" s="158"/>
      <c r="G388" s="159"/>
      <c r="H388" s="176"/>
      <c r="I388" s="158"/>
      <c r="J388" s="160"/>
      <c r="K388" s="161"/>
    </row>
    <row r="389" spans="1:11" s="162" customFormat="1" ht="15.6">
      <c r="A389" s="160"/>
      <c r="B389" s="160"/>
      <c r="C389" s="158"/>
      <c r="D389" s="158"/>
      <c r="E389" s="158"/>
      <c r="F389" s="158"/>
      <c r="G389" s="159"/>
      <c r="H389" s="167"/>
      <c r="I389" s="158"/>
      <c r="J389" s="160"/>
      <c r="K389" s="161"/>
    </row>
    <row r="390" spans="1:11" s="162" customFormat="1" ht="15.6">
      <c r="A390" s="160"/>
      <c r="B390" s="160"/>
      <c r="C390" s="158"/>
      <c r="D390" s="158"/>
      <c r="E390" s="158"/>
      <c r="F390" s="158"/>
      <c r="G390" s="159"/>
      <c r="H390" s="159"/>
      <c r="I390" s="158"/>
      <c r="J390" s="160"/>
      <c r="K390" s="161"/>
    </row>
    <row r="391" spans="1:11" s="162" customFormat="1" ht="15.6">
      <c r="A391" s="160"/>
      <c r="B391" s="160"/>
      <c r="C391" s="158"/>
      <c r="D391" s="158"/>
      <c r="E391" s="158"/>
      <c r="F391" s="158"/>
      <c r="G391" s="159"/>
      <c r="H391" s="159"/>
      <c r="I391" s="158"/>
      <c r="J391" s="160"/>
      <c r="K391" s="161"/>
    </row>
    <row r="392" spans="1:11" s="162" customFormat="1" ht="15.6">
      <c r="A392" s="160"/>
      <c r="B392" s="160"/>
      <c r="C392" s="158"/>
      <c r="D392" s="158"/>
      <c r="E392" s="158"/>
      <c r="F392" s="158"/>
      <c r="G392" s="159"/>
      <c r="H392" s="158"/>
      <c r="I392" s="158"/>
      <c r="J392" s="160"/>
      <c r="K392" s="160"/>
    </row>
    <row r="393" spans="1:11" s="162" customFormat="1" ht="15.6">
      <c r="A393" s="160"/>
      <c r="B393" s="160"/>
      <c r="C393" s="158"/>
      <c r="D393" s="158"/>
      <c r="E393" s="158"/>
      <c r="F393" s="158"/>
      <c r="G393" s="185"/>
      <c r="H393" s="176"/>
      <c r="I393" s="158"/>
      <c r="J393" s="160"/>
      <c r="K393" s="161"/>
    </row>
    <row r="394" spans="1:11" s="162" customFormat="1" ht="15.6">
      <c r="A394" s="160"/>
      <c r="B394" s="160"/>
      <c r="C394" s="158"/>
      <c r="D394" s="158"/>
      <c r="E394" s="158"/>
      <c r="F394" s="158"/>
      <c r="G394" s="159"/>
      <c r="H394" s="159"/>
      <c r="I394" s="158"/>
      <c r="J394" s="160"/>
      <c r="K394" s="161"/>
    </row>
    <row r="395" spans="1:11" s="162" customFormat="1" ht="15.6">
      <c r="A395" s="160"/>
      <c r="B395" s="160"/>
      <c r="C395" s="158"/>
      <c r="D395" s="158"/>
      <c r="E395" s="158"/>
      <c r="F395" s="158"/>
      <c r="G395" s="159"/>
      <c r="H395" s="167"/>
      <c r="I395" s="158"/>
      <c r="J395" s="160"/>
      <c r="K395" s="161"/>
    </row>
    <row r="396" spans="1:11" s="162" customFormat="1" ht="15.6">
      <c r="A396" s="160"/>
      <c r="B396" s="160"/>
      <c r="C396" s="158"/>
      <c r="D396" s="158"/>
      <c r="E396" s="158"/>
      <c r="F396" s="158"/>
      <c r="G396" s="159"/>
      <c r="H396" s="167"/>
      <c r="I396" s="158"/>
      <c r="J396" s="160"/>
      <c r="K396" s="161"/>
    </row>
    <row r="397" spans="1:11" s="162" customFormat="1" ht="15.6">
      <c r="A397" s="160"/>
      <c r="B397" s="160"/>
      <c r="C397" s="158"/>
      <c r="D397" s="158"/>
      <c r="E397" s="158"/>
      <c r="F397" s="233"/>
      <c r="G397" s="159"/>
      <c r="H397" s="167"/>
      <c r="I397" s="158"/>
      <c r="J397" s="160"/>
      <c r="K397" s="161"/>
    </row>
    <row r="398" spans="1:11" s="162" customFormat="1" ht="15.6">
      <c r="A398" s="160"/>
      <c r="B398" s="160"/>
      <c r="C398" s="158"/>
      <c r="D398" s="158"/>
      <c r="E398" s="158"/>
      <c r="F398" s="158"/>
      <c r="G398" s="159"/>
      <c r="H398" s="167"/>
      <c r="I398" s="158"/>
      <c r="J398" s="160"/>
      <c r="K398" s="161"/>
    </row>
    <row r="399" spans="1:11" s="162" customFormat="1" ht="15.6">
      <c r="A399" s="158"/>
      <c r="B399" s="158"/>
      <c r="C399" s="158"/>
      <c r="D399" s="158"/>
      <c r="E399" s="158"/>
      <c r="F399" s="158"/>
      <c r="G399" s="159"/>
      <c r="H399" s="186"/>
      <c r="I399" s="158"/>
      <c r="J399" s="160"/>
      <c r="K399" s="160"/>
    </row>
    <row r="400" spans="1:11" s="162" customFormat="1" ht="15.6">
      <c r="A400" s="158"/>
      <c r="B400" s="158"/>
      <c r="C400" s="158"/>
      <c r="D400" s="158"/>
      <c r="E400" s="158"/>
      <c r="F400" s="158"/>
      <c r="G400" s="164"/>
      <c r="H400" s="186"/>
      <c r="I400" s="158"/>
      <c r="J400" s="160"/>
      <c r="K400" s="161"/>
    </row>
    <row r="401" spans="1:11" s="162" customFormat="1" ht="15.6">
      <c r="A401" s="158"/>
      <c r="B401" s="158"/>
      <c r="C401" s="158"/>
      <c r="D401" s="158"/>
      <c r="E401" s="158"/>
      <c r="F401" s="158"/>
      <c r="G401" s="159"/>
      <c r="H401" s="159"/>
      <c r="I401" s="187"/>
      <c r="J401" s="160"/>
      <c r="K401" s="161"/>
    </row>
    <row r="402" spans="1:11" s="162" customFormat="1" ht="15.6">
      <c r="A402" s="158"/>
      <c r="B402" s="158"/>
      <c r="C402" s="158"/>
      <c r="D402" s="158"/>
      <c r="E402" s="158"/>
      <c r="F402" s="158"/>
      <c r="G402" s="159"/>
      <c r="H402" s="159"/>
      <c r="I402" s="158"/>
      <c r="J402" s="160"/>
      <c r="K402" s="161"/>
    </row>
    <row r="403" spans="1:11" s="162" customFormat="1" ht="15.6">
      <c r="A403" s="158"/>
      <c r="B403" s="158"/>
      <c r="C403" s="158"/>
      <c r="D403" s="158"/>
      <c r="E403" s="158"/>
      <c r="F403" s="158"/>
      <c r="G403" s="159"/>
      <c r="H403" s="186"/>
      <c r="I403" s="158"/>
      <c r="J403" s="160"/>
      <c r="K403" s="160"/>
    </row>
    <row r="404" spans="1:11" s="162" customFormat="1" ht="15.6">
      <c r="A404" s="158"/>
      <c r="B404" s="158"/>
      <c r="C404" s="158"/>
      <c r="D404" s="158"/>
      <c r="E404" s="158"/>
      <c r="F404" s="158"/>
      <c r="G404" s="159"/>
      <c r="H404" s="159"/>
      <c r="I404" s="158"/>
      <c r="J404" s="160"/>
      <c r="K404" s="161"/>
    </row>
    <row r="405" spans="1:11" s="162" customFormat="1" ht="15.6">
      <c r="A405" s="158"/>
      <c r="B405" s="158"/>
      <c r="C405" s="158"/>
      <c r="D405" s="158"/>
      <c r="E405" s="158"/>
      <c r="F405" s="158"/>
      <c r="G405" s="159"/>
      <c r="H405" s="186"/>
      <c r="I405" s="158"/>
      <c r="J405" s="160"/>
      <c r="K405" s="161"/>
    </row>
    <row r="406" spans="1:11" s="162" customFormat="1" ht="15.6">
      <c r="A406" s="158"/>
      <c r="B406" s="158"/>
      <c r="C406" s="158"/>
      <c r="D406" s="158"/>
      <c r="E406" s="158"/>
      <c r="F406" s="188"/>
      <c r="G406" s="189"/>
      <c r="H406" s="159"/>
      <c r="I406" s="158"/>
      <c r="J406" s="160"/>
      <c r="K406" s="161"/>
    </row>
    <row r="407" spans="1:11" s="162" customFormat="1" ht="15.6">
      <c r="A407" s="158"/>
      <c r="B407" s="158"/>
      <c r="C407" s="158"/>
      <c r="D407" s="158"/>
      <c r="E407" s="158"/>
      <c r="F407" s="158"/>
      <c r="G407" s="159"/>
      <c r="H407" s="159"/>
      <c r="I407" s="158"/>
      <c r="J407" s="160"/>
      <c r="K407" s="160"/>
    </row>
    <row r="408" spans="1:11" s="162" customFormat="1" ht="15.6">
      <c r="A408" s="158"/>
      <c r="B408" s="158"/>
      <c r="C408" s="158"/>
      <c r="D408" s="158"/>
      <c r="E408" s="158"/>
      <c r="F408" s="158"/>
      <c r="G408" s="159"/>
      <c r="H408" s="167"/>
      <c r="I408" s="158"/>
      <c r="J408" s="160"/>
      <c r="K408" s="161"/>
    </row>
    <row r="409" spans="1:11" s="162" customFormat="1" ht="15.6">
      <c r="A409" s="158"/>
      <c r="B409" s="158"/>
      <c r="C409" s="158"/>
      <c r="D409" s="158"/>
      <c r="E409" s="158"/>
      <c r="F409" s="158"/>
      <c r="G409" s="159"/>
      <c r="H409" s="167"/>
      <c r="I409" s="158"/>
      <c r="J409" s="160"/>
      <c r="K409" s="161"/>
    </row>
    <row r="410" spans="1:11" s="162" customFormat="1" ht="15.6">
      <c r="A410" s="158"/>
      <c r="B410" s="158"/>
      <c r="C410" s="158"/>
      <c r="D410" s="158"/>
      <c r="E410" s="158"/>
      <c r="F410" s="158"/>
      <c r="G410" s="159"/>
      <c r="H410" s="186"/>
      <c r="I410" s="158"/>
      <c r="J410" s="160"/>
      <c r="K410" s="161"/>
    </row>
    <row r="411" spans="1:11" s="162" customFormat="1" ht="15.6">
      <c r="A411" s="158"/>
      <c r="B411" s="158"/>
      <c r="C411" s="158"/>
      <c r="D411" s="158"/>
      <c r="E411" s="158"/>
      <c r="F411" s="158"/>
      <c r="G411" s="159"/>
      <c r="H411" s="167"/>
      <c r="I411" s="158"/>
      <c r="J411" s="160"/>
      <c r="K411" s="161"/>
    </row>
    <row r="412" spans="1:11" s="162" customFormat="1" ht="15.6">
      <c r="A412" s="158"/>
      <c r="B412" s="158"/>
      <c r="C412" s="158"/>
      <c r="D412" s="158"/>
      <c r="E412" s="158"/>
      <c r="F412" s="158"/>
      <c r="G412" s="159"/>
      <c r="H412" s="167"/>
      <c r="I412" s="158"/>
      <c r="J412" s="160"/>
      <c r="K412" s="161"/>
    </row>
    <row r="413" spans="1:11" s="162" customFormat="1" ht="15.6">
      <c r="A413" s="160"/>
      <c r="B413" s="160"/>
      <c r="C413" s="160"/>
      <c r="D413" s="160"/>
      <c r="E413" s="160"/>
      <c r="F413" s="158"/>
      <c r="G413" s="159"/>
      <c r="H413" s="190"/>
      <c r="I413" s="160"/>
      <c r="J413" s="160"/>
      <c r="K413" s="161"/>
    </row>
    <row r="414" spans="1:11" s="162" customFormat="1" ht="15.6">
      <c r="A414" s="158"/>
      <c r="B414" s="158"/>
      <c r="C414" s="158"/>
      <c r="D414" s="158"/>
      <c r="E414" s="158"/>
      <c r="F414" s="158"/>
      <c r="G414" s="159"/>
      <c r="H414" s="167"/>
      <c r="I414" s="158"/>
      <c r="J414" s="160"/>
      <c r="K414" s="161"/>
    </row>
    <row r="415" spans="1:11" s="162" customFormat="1" ht="15.6">
      <c r="A415" s="158"/>
      <c r="B415" s="158"/>
      <c r="C415" s="158"/>
      <c r="D415" s="158"/>
      <c r="E415" s="158"/>
      <c r="F415" s="158"/>
      <c r="G415" s="159"/>
      <c r="H415" s="167"/>
      <c r="I415" s="158"/>
      <c r="J415" s="160"/>
      <c r="K415" s="161"/>
    </row>
    <row r="416" spans="1:11" s="162" customFormat="1" ht="15.6">
      <c r="A416" s="158"/>
      <c r="B416" s="158"/>
      <c r="C416" s="158"/>
      <c r="D416" s="158"/>
      <c r="E416" s="158"/>
      <c r="F416" s="158"/>
      <c r="G416" s="159"/>
      <c r="H416" s="167"/>
      <c r="I416" s="158"/>
      <c r="J416" s="160"/>
      <c r="K416" s="161"/>
    </row>
    <row r="417" spans="1:11" s="162" customFormat="1" ht="15.6">
      <c r="A417" s="158"/>
      <c r="B417" s="158"/>
      <c r="C417" s="158"/>
      <c r="D417" s="158"/>
      <c r="E417" s="158"/>
      <c r="F417" s="158"/>
      <c r="G417" s="159"/>
      <c r="H417" s="186"/>
      <c r="I417" s="158"/>
      <c r="J417" s="160"/>
      <c r="K417" s="161"/>
    </row>
    <row r="418" spans="1:11" s="162" customFormat="1" ht="15.6">
      <c r="A418" s="158"/>
      <c r="B418" s="158"/>
      <c r="C418" s="158"/>
      <c r="D418" s="158"/>
      <c r="E418" s="158"/>
      <c r="F418" s="188"/>
      <c r="G418" s="189"/>
      <c r="H418" s="186"/>
      <c r="I418" s="158"/>
      <c r="J418" s="160"/>
      <c r="K418" s="161"/>
    </row>
    <row r="419" spans="1:11" s="162" customFormat="1" ht="15.6">
      <c r="A419" s="158"/>
      <c r="B419" s="158"/>
      <c r="C419" s="158"/>
      <c r="D419" s="158"/>
      <c r="E419" s="158"/>
      <c r="F419" s="158"/>
      <c r="G419" s="159"/>
      <c r="H419" s="167"/>
      <c r="I419" s="158"/>
      <c r="J419" s="160"/>
      <c r="K419" s="161"/>
    </row>
    <row r="420" spans="1:11" s="40" customFormat="1" ht="15.6">
      <c r="A420" s="1"/>
      <c r="B420" s="1"/>
      <c r="C420" s="1"/>
      <c r="D420" s="1"/>
      <c r="E420" s="1"/>
      <c r="F420" s="1"/>
      <c r="G420" s="43"/>
      <c r="H420" s="65"/>
      <c r="I420" s="1"/>
      <c r="J420" s="53"/>
      <c r="K420" s="80"/>
    </row>
    <row r="421" spans="1:11" s="40" customFormat="1" ht="15.6">
      <c r="A421" s="1"/>
      <c r="B421" s="1"/>
      <c r="C421" s="1"/>
      <c r="D421" s="1"/>
      <c r="E421" s="1"/>
      <c r="F421" s="1"/>
      <c r="G421" s="43"/>
      <c r="H421" s="79"/>
      <c r="I421" s="1"/>
      <c r="J421" s="53"/>
      <c r="K421" s="80"/>
    </row>
    <row r="422" spans="1:11" s="40" customFormat="1" ht="15.6">
      <c r="A422" s="1"/>
      <c r="B422" s="1"/>
      <c r="C422" s="1"/>
      <c r="D422" s="1"/>
      <c r="E422" s="1"/>
      <c r="F422" s="158"/>
      <c r="G422" s="159"/>
      <c r="H422" s="79"/>
      <c r="I422" s="1"/>
      <c r="J422" s="53"/>
      <c r="K422" s="53"/>
    </row>
    <row r="423" spans="1:11" s="40" customFormat="1" ht="15.6">
      <c r="A423" s="1"/>
      <c r="B423" s="1"/>
      <c r="C423" s="1"/>
      <c r="D423" s="1"/>
      <c r="E423" s="1"/>
      <c r="F423" s="1"/>
      <c r="G423" s="43"/>
      <c r="H423" s="79"/>
      <c r="I423" s="1"/>
      <c r="J423" s="53"/>
      <c r="K423" s="80"/>
    </row>
    <row r="424" spans="1:11" s="40" customFormat="1" ht="15.6">
      <c r="A424" s="1"/>
      <c r="B424" s="1"/>
      <c r="C424" s="1"/>
      <c r="D424" s="1"/>
      <c r="E424" s="1"/>
      <c r="F424" s="99"/>
      <c r="G424" s="99"/>
      <c r="H424" s="65"/>
      <c r="I424" s="1"/>
      <c r="J424" s="53"/>
      <c r="K424" s="80"/>
    </row>
    <row r="425" spans="1:11" s="40" customFormat="1" ht="15.6">
      <c r="A425" s="1"/>
      <c r="B425" s="1"/>
      <c r="C425" s="1"/>
      <c r="D425" s="1"/>
      <c r="E425" s="1"/>
      <c r="F425" s="1"/>
      <c r="G425" s="43"/>
      <c r="H425" s="65"/>
      <c r="I425" s="1"/>
      <c r="J425" s="53"/>
      <c r="K425" s="80"/>
    </row>
    <row r="426" spans="1:11" s="40" customFormat="1" ht="15.6">
      <c r="A426" s="1"/>
      <c r="B426" s="1"/>
      <c r="C426" s="1"/>
      <c r="D426" s="1"/>
      <c r="E426" s="1"/>
      <c r="F426" s="1"/>
      <c r="G426" s="43"/>
      <c r="H426" s="79"/>
      <c r="I426" s="1"/>
      <c r="J426" s="53"/>
      <c r="K426" s="53"/>
    </row>
    <row r="427" spans="1:11" s="40" customFormat="1" ht="15.6">
      <c r="A427" s="1"/>
      <c r="B427" s="1"/>
      <c r="C427" s="1"/>
      <c r="D427" s="1"/>
      <c r="E427" s="1"/>
      <c r="F427" s="1"/>
      <c r="G427" s="43"/>
      <c r="H427" s="65"/>
      <c r="I427" s="1"/>
      <c r="J427" s="53"/>
      <c r="K427" s="80"/>
    </row>
    <row r="428" spans="1:11" s="40" customFormat="1" ht="15.6">
      <c r="A428" s="1"/>
      <c r="B428" s="1"/>
      <c r="C428" s="1"/>
      <c r="D428" s="1"/>
      <c r="E428" s="1"/>
      <c r="F428" s="1"/>
      <c r="G428" s="43"/>
      <c r="H428" s="65"/>
      <c r="I428" s="1"/>
      <c r="J428" s="53"/>
      <c r="K428" s="80"/>
    </row>
    <row r="429" spans="1:11" s="106" customFormat="1" ht="15.6">
      <c r="A429" s="101"/>
      <c r="B429" s="101"/>
      <c r="C429" s="101"/>
      <c r="D429" s="101"/>
      <c r="E429" s="101"/>
      <c r="F429" s="101"/>
      <c r="G429" s="102"/>
      <c r="H429" s="103"/>
      <c r="I429" s="104"/>
      <c r="J429" s="104"/>
      <c r="K429" s="105"/>
    </row>
    <row r="430" spans="1:11" customFormat="1" ht="15.6">
      <c r="A430" s="93"/>
      <c r="B430" s="93"/>
      <c r="C430" s="93"/>
      <c r="D430" s="93"/>
      <c r="E430" s="93"/>
      <c r="F430" s="93"/>
      <c r="G430" s="94"/>
      <c r="H430" s="103"/>
      <c r="I430" s="93"/>
      <c r="J430" s="16"/>
      <c r="K430" s="96"/>
    </row>
    <row r="431" spans="1:11" s="40" customFormat="1" ht="15.6">
      <c r="A431" s="1"/>
      <c r="B431" s="1"/>
      <c r="C431" s="1"/>
      <c r="D431" s="1"/>
      <c r="E431" s="1"/>
      <c r="F431" s="1"/>
      <c r="G431" s="43"/>
      <c r="H431" s="79"/>
      <c r="I431" s="1"/>
      <c r="J431" s="53"/>
      <c r="K431" s="80"/>
    </row>
    <row r="432" spans="1:11" s="40" customFormat="1" ht="15.6">
      <c r="A432" s="1"/>
      <c r="B432" s="1"/>
      <c r="C432"/>
      <c r="D432" s="16"/>
      <c r="E432" s="16"/>
      <c r="F432" s="1"/>
      <c r="G432" s="43"/>
      <c r="H432" s="79"/>
      <c r="I432" s="16"/>
      <c r="J432" s="53"/>
      <c r="K432" s="80"/>
    </row>
    <row r="433" spans="1:12" s="40" customFormat="1" ht="15.6">
      <c r="A433" s="1"/>
      <c r="B433" s="1"/>
      <c r="C433" s="1"/>
      <c r="D433" s="1"/>
      <c r="E433" s="1"/>
      <c r="F433" s="1"/>
      <c r="G433" s="43"/>
      <c r="H433" s="43"/>
      <c r="I433" s="1"/>
      <c r="J433" s="53"/>
      <c r="K433" s="80"/>
    </row>
    <row r="434" spans="1:12" s="40" customFormat="1" ht="15.6">
      <c r="A434" s="1"/>
      <c r="B434" s="1"/>
      <c r="C434" s="1"/>
      <c r="D434" s="52"/>
      <c r="E434" s="1"/>
      <c r="F434" s="1"/>
      <c r="G434" s="43"/>
      <c r="H434" s="79"/>
      <c r="I434" s="1"/>
      <c r="J434" s="53"/>
      <c r="K434" s="53"/>
    </row>
    <row r="435" spans="1:12" s="40" customFormat="1" ht="15.6">
      <c r="A435" s="1"/>
      <c r="B435" s="1"/>
      <c r="C435" s="1"/>
      <c r="D435" s="1"/>
      <c r="E435" s="1"/>
      <c r="F435" s="1"/>
      <c r="G435" s="43"/>
      <c r="H435" s="65"/>
      <c r="I435" s="1"/>
      <c r="J435" s="53"/>
      <c r="K435" s="80"/>
    </row>
    <row r="436" spans="1:12" s="40" customFormat="1" ht="15.6">
      <c r="A436" s="1"/>
      <c r="B436" s="1"/>
      <c r="C436" s="1"/>
      <c r="D436" s="1"/>
      <c r="E436" s="1"/>
      <c r="F436" s="1"/>
      <c r="G436" s="43"/>
      <c r="H436" s="65"/>
      <c r="I436" s="1"/>
      <c r="J436" s="53"/>
      <c r="K436" s="80"/>
    </row>
    <row r="437" spans="1:12" s="162" customFormat="1" ht="15.6">
      <c r="A437" s="158"/>
      <c r="B437" s="158"/>
      <c r="C437" s="158"/>
      <c r="D437" s="158"/>
      <c r="E437" s="158"/>
      <c r="F437" s="158"/>
      <c r="G437" s="159"/>
      <c r="H437" s="186"/>
      <c r="I437" s="158"/>
      <c r="J437" s="160"/>
      <c r="K437" s="161"/>
    </row>
    <row r="438" spans="1:12" customFormat="1" ht="15.6">
      <c r="A438" s="57"/>
      <c r="B438" s="57"/>
      <c r="C438" s="57"/>
      <c r="D438" s="57"/>
      <c r="E438" s="57"/>
      <c r="F438" s="57"/>
      <c r="G438" s="58"/>
      <c r="H438" s="79"/>
      <c r="I438" s="57"/>
      <c r="J438" s="53"/>
      <c r="K438" s="53"/>
      <c r="L438" s="40"/>
    </row>
    <row r="439" spans="1:12" customFormat="1" ht="15.6">
      <c r="A439" s="93"/>
      <c r="B439" s="93"/>
      <c r="C439" s="93"/>
      <c r="D439" s="93"/>
      <c r="E439" s="93"/>
      <c r="F439" s="158"/>
      <c r="G439" s="159"/>
      <c r="H439" s="95"/>
      <c r="I439" s="141"/>
      <c r="J439" s="53"/>
      <c r="K439" s="96"/>
    </row>
    <row r="440" spans="1:12" customFormat="1" ht="15.6">
      <c r="A440" s="93"/>
      <c r="B440" s="93"/>
      <c r="C440" s="93"/>
      <c r="D440" s="93"/>
      <c r="E440" s="93"/>
      <c r="F440" s="93"/>
      <c r="G440" s="94"/>
      <c r="H440" s="97"/>
      <c r="I440" s="93"/>
      <c r="J440" s="53"/>
      <c r="K440" s="96"/>
    </row>
    <row r="441" spans="1:12" customFormat="1" ht="15.6">
      <c r="A441" s="93"/>
      <c r="B441" s="93"/>
      <c r="C441" s="93"/>
      <c r="D441" s="93"/>
      <c r="E441" s="140"/>
      <c r="F441" s="93"/>
      <c r="G441" s="100"/>
      <c r="H441" s="95"/>
      <c r="I441" s="93"/>
      <c r="J441" s="16"/>
      <c r="K441" s="96"/>
    </row>
    <row r="442" spans="1:12" customFormat="1" ht="15.6">
      <c r="A442" s="93"/>
      <c r="B442" s="93"/>
      <c r="C442" s="93"/>
      <c r="D442" s="93"/>
      <c r="E442" s="93"/>
      <c r="F442" s="93"/>
      <c r="G442" s="94"/>
      <c r="H442" s="97"/>
      <c r="I442" s="93"/>
      <c r="J442" s="53"/>
      <c r="K442" s="96"/>
    </row>
    <row r="443" spans="1:12" customFormat="1" ht="15.6">
      <c r="A443" s="93"/>
      <c r="B443" s="93"/>
      <c r="C443" s="93"/>
      <c r="D443" s="93"/>
      <c r="E443" s="93"/>
      <c r="F443" s="93"/>
      <c r="G443" s="94"/>
      <c r="H443" s="97"/>
      <c r="I443" s="93"/>
      <c r="J443" s="53"/>
      <c r="K443" s="96"/>
    </row>
    <row r="444" spans="1:12" s="40" customFormat="1" ht="15.6">
      <c r="A444" s="1"/>
      <c r="B444" s="1"/>
      <c r="C444" s="1"/>
      <c r="D444" s="226"/>
      <c r="E444" s="1"/>
      <c r="F444" s="1"/>
      <c r="G444" s="43"/>
      <c r="H444" s="65"/>
      <c r="I444" s="53"/>
      <c r="J444" s="53"/>
      <c r="K444" s="80"/>
    </row>
    <row r="445" spans="1:12" customFormat="1" ht="15.6">
      <c r="A445" s="93"/>
      <c r="B445" s="93"/>
      <c r="C445" s="93"/>
      <c r="D445" s="93"/>
      <c r="E445" s="93"/>
      <c r="F445" s="93"/>
      <c r="G445" s="100"/>
      <c r="H445" s="97"/>
      <c r="I445" s="118"/>
      <c r="J445" s="16"/>
      <c r="K445" s="96"/>
    </row>
    <row r="446" spans="1:12" ht="15.6">
      <c r="A446" s="168"/>
      <c r="B446" s="168"/>
      <c r="C446" s="168"/>
      <c r="D446" s="168"/>
      <c r="E446" s="168"/>
      <c r="F446" s="168"/>
      <c r="G446" s="183"/>
      <c r="H446" s="191"/>
      <c r="I446" s="168"/>
      <c r="K446" s="193"/>
    </row>
    <row r="447" spans="1:12">
      <c r="A447" s="168"/>
      <c r="B447" s="168"/>
      <c r="C447" s="168"/>
      <c r="D447" s="168"/>
      <c r="E447" s="194"/>
      <c r="F447" s="1"/>
      <c r="G447" s="1"/>
      <c r="H447" s="191"/>
      <c r="I447" s="168"/>
      <c r="K447" s="193"/>
    </row>
    <row r="448" spans="1:12" ht="15.6">
      <c r="A448" s="168"/>
      <c r="B448" s="168"/>
      <c r="C448" s="168"/>
      <c r="D448" s="195"/>
      <c r="E448" s="194"/>
      <c r="F448" s="168"/>
      <c r="G448" s="183"/>
      <c r="H448" s="191"/>
      <c r="I448" s="168"/>
      <c r="K448" s="193"/>
    </row>
    <row r="449" spans="1:12" ht="15.6">
      <c r="A449" s="168"/>
      <c r="B449" s="168"/>
      <c r="C449" s="195"/>
      <c r="D449" s="195"/>
      <c r="E449" s="194"/>
      <c r="F449" s="168"/>
      <c r="G449" s="183"/>
      <c r="H449" s="191"/>
      <c r="I449" s="168"/>
      <c r="K449" s="193"/>
    </row>
    <row r="450" spans="1:12" ht="15.6">
      <c r="A450" s="168"/>
      <c r="B450" s="168"/>
      <c r="C450" s="168"/>
      <c r="D450" s="168"/>
      <c r="E450" s="192"/>
      <c r="F450" s="168"/>
      <c r="G450" s="196"/>
      <c r="H450" s="197"/>
      <c r="I450" s="168"/>
      <c r="K450" s="193"/>
    </row>
    <row r="451" spans="1:12" ht="15.6">
      <c r="A451" s="168"/>
      <c r="B451" s="168"/>
      <c r="C451" s="168"/>
      <c r="D451" s="168"/>
      <c r="E451" s="194"/>
      <c r="F451" s="168"/>
      <c r="G451" s="198"/>
      <c r="H451" s="197"/>
      <c r="I451" s="168"/>
      <c r="K451" s="193"/>
    </row>
    <row r="452" spans="1:12" ht="15.6">
      <c r="A452" s="168"/>
      <c r="B452" s="168"/>
      <c r="C452" s="168"/>
      <c r="D452" s="168"/>
      <c r="E452" s="192"/>
      <c r="F452" s="168"/>
      <c r="G452" s="183"/>
      <c r="H452" s="197"/>
      <c r="I452" s="168"/>
      <c r="K452" s="193"/>
    </row>
    <row r="453" spans="1:12" ht="15.6">
      <c r="A453" s="168"/>
      <c r="B453" s="168"/>
      <c r="C453" s="168"/>
      <c r="D453" s="195"/>
      <c r="E453" s="194"/>
      <c r="F453" s="168"/>
      <c r="G453" s="183"/>
      <c r="H453" s="197"/>
      <c r="I453" s="168"/>
      <c r="K453" s="193"/>
    </row>
    <row r="454" spans="1:12" ht="15.6">
      <c r="A454" s="199"/>
      <c r="B454" s="199"/>
      <c r="C454" s="199"/>
      <c r="D454" s="199"/>
      <c r="E454" s="199"/>
      <c r="F454" s="199"/>
      <c r="G454" s="200"/>
      <c r="H454" s="158"/>
      <c r="I454" s="199"/>
      <c r="J454" s="160"/>
      <c r="K454" s="160"/>
      <c r="L454" s="162"/>
    </row>
    <row r="455" spans="1:12" ht="15.6">
      <c r="A455" s="168"/>
      <c r="B455" s="168"/>
      <c r="C455" s="168"/>
      <c r="D455" s="168"/>
      <c r="E455" s="168"/>
      <c r="F455" s="168"/>
      <c r="G455" s="183"/>
      <c r="H455" s="197"/>
      <c r="I455" s="168"/>
      <c r="K455" s="193"/>
    </row>
    <row r="456" spans="1:12" ht="15.6">
      <c r="A456" s="168"/>
      <c r="B456" s="168"/>
      <c r="C456" s="168"/>
      <c r="D456" s="168"/>
      <c r="E456" s="168"/>
      <c r="F456" s="168"/>
      <c r="G456" s="183"/>
      <c r="H456" s="197"/>
      <c r="I456" s="168"/>
      <c r="K456" s="193"/>
    </row>
    <row r="457" spans="1:12" ht="15.6">
      <c r="A457" s="168"/>
      <c r="B457" s="168"/>
      <c r="C457" s="168"/>
      <c r="D457" s="168"/>
      <c r="E457" s="168"/>
      <c r="F457" s="168"/>
      <c r="G457" s="183"/>
      <c r="H457" s="168"/>
      <c r="I457" s="168"/>
      <c r="K457" s="193"/>
    </row>
    <row r="458" spans="1:12" ht="15.6">
      <c r="A458" s="168"/>
      <c r="B458" s="168"/>
      <c r="C458" s="168"/>
      <c r="D458" s="168"/>
      <c r="E458" s="168"/>
      <c r="F458" s="168"/>
      <c r="G458" s="196"/>
      <c r="H458" s="168"/>
      <c r="I458" s="201"/>
      <c r="J458" s="160"/>
    </row>
    <row r="459" spans="1:12" ht="15.6">
      <c r="A459" s="168"/>
      <c r="B459" s="168"/>
      <c r="C459" s="168"/>
      <c r="D459" s="168"/>
      <c r="E459" s="168"/>
      <c r="F459" s="168"/>
      <c r="G459" s="196"/>
      <c r="H459" s="168"/>
      <c r="I459" s="168"/>
      <c r="K459" s="193"/>
    </row>
    <row r="460" spans="1:12" ht="15.6">
      <c r="A460" s="168"/>
      <c r="B460" s="168"/>
      <c r="C460" s="168"/>
      <c r="D460" s="168"/>
      <c r="E460" s="168"/>
      <c r="F460" s="168"/>
      <c r="G460" s="196"/>
      <c r="H460" s="197"/>
      <c r="I460" s="168"/>
      <c r="K460" s="193"/>
    </row>
    <row r="461" spans="1:12" ht="15.6">
      <c r="A461" s="168"/>
      <c r="B461" s="168"/>
      <c r="C461" s="168"/>
      <c r="D461" s="158"/>
      <c r="E461" s="202"/>
      <c r="F461" s="158"/>
      <c r="G461" s="159"/>
      <c r="H461" s="167"/>
      <c r="I461" s="168"/>
      <c r="J461" s="160"/>
      <c r="K461" s="193"/>
      <c r="L461" s="162"/>
    </row>
    <row r="462" spans="1:12" ht="15.6">
      <c r="A462" s="168"/>
      <c r="B462" s="168"/>
      <c r="C462" s="168"/>
      <c r="D462" s="168"/>
      <c r="E462" s="168"/>
      <c r="F462" s="168"/>
      <c r="G462" s="196"/>
      <c r="H462" s="168"/>
      <c r="I462" s="168"/>
    </row>
    <row r="463" spans="1:12" ht="15.6">
      <c r="A463" s="168"/>
      <c r="B463" s="168"/>
      <c r="C463" s="168"/>
      <c r="D463" s="168"/>
      <c r="E463" s="203"/>
      <c r="F463" s="168"/>
      <c r="G463" s="164"/>
      <c r="H463" s="159"/>
      <c r="I463" s="204"/>
      <c r="J463" s="160"/>
      <c r="K463" s="193"/>
    </row>
    <row r="464" spans="1:12" ht="15.6">
      <c r="A464" s="168"/>
      <c r="B464" s="168"/>
      <c r="C464" s="168"/>
      <c r="D464" s="168"/>
      <c r="E464" s="168"/>
      <c r="F464" s="168"/>
      <c r="G464" s="183"/>
      <c r="H464" s="197"/>
      <c r="I464" s="168"/>
      <c r="K464" s="193"/>
    </row>
    <row r="465" spans="1:12" ht="15.6">
      <c r="A465" s="168"/>
      <c r="B465" s="168"/>
      <c r="C465" s="168"/>
      <c r="D465" s="168"/>
      <c r="E465" s="168"/>
      <c r="F465" s="168"/>
      <c r="G465" s="183"/>
      <c r="H465" s="183"/>
      <c r="I465" s="205"/>
      <c r="K465" s="206"/>
    </row>
    <row r="466" spans="1:12" s="162" customFormat="1" ht="15.6">
      <c r="A466" s="158"/>
      <c r="B466" s="158"/>
      <c r="C466" s="158"/>
      <c r="D466" s="158"/>
      <c r="E466" s="207"/>
      <c r="F466" s="158"/>
      <c r="G466" s="159"/>
      <c r="H466" s="167"/>
      <c r="I466" s="207"/>
      <c r="J466" s="192"/>
      <c r="K466" s="161"/>
    </row>
    <row r="467" spans="1:12" ht="15.6">
      <c r="A467" s="168"/>
      <c r="B467" s="168"/>
      <c r="C467" s="168"/>
      <c r="D467" s="168"/>
      <c r="E467" s="168"/>
      <c r="F467" s="168"/>
      <c r="G467" s="196"/>
      <c r="H467" s="197"/>
      <c r="I467" s="168"/>
      <c r="K467" s="193"/>
    </row>
    <row r="468" spans="1:12" ht="15.6">
      <c r="A468" s="168"/>
      <c r="B468" s="168"/>
      <c r="C468" s="168"/>
      <c r="D468" s="168"/>
      <c r="E468" s="168"/>
      <c r="F468" s="168"/>
      <c r="G468" s="164"/>
      <c r="H468" s="197"/>
      <c r="I468" s="168"/>
      <c r="K468" s="193"/>
    </row>
    <row r="469" spans="1:12" ht="15.6">
      <c r="A469" s="168"/>
      <c r="B469" s="168"/>
      <c r="C469" s="168"/>
      <c r="D469" s="168"/>
      <c r="E469" s="168"/>
      <c r="F469" s="158"/>
      <c r="G469" s="182"/>
      <c r="H469" s="197"/>
      <c r="I469" s="168"/>
      <c r="K469" s="193"/>
    </row>
    <row r="470" spans="1:12" ht="15.6">
      <c r="A470" s="168"/>
      <c r="B470" s="168"/>
      <c r="C470" s="168"/>
      <c r="D470" s="168"/>
      <c r="E470" s="168"/>
      <c r="F470" s="188"/>
      <c r="G470" s="189"/>
      <c r="H470" s="197"/>
      <c r="I470" s="208"/>
      <c r="K470" s="193"/>
    </row>
    <row r="471" spans="1:12" ht="15.6">
      <c r="A471" s="199"/>
      <c r="B471" s="199"/>
      <c r="C471" s="199"/>
      <c r="D471" s="199"/>
      <c r="E471" s="199"/>
      <c r="F471" s="199"/>
      <c r="G471" s="200"/>
      <c r="H471" s="158"/>
      <c r="I471" s="199"/>
      <c r="J471" s="160"/>
      <c r="K471" s="160"/>
      <c r="L471" s="162"/>
    </row>
    <row r="472" spans="1:12" ht="15.6">
      <c r="A472" s="168"/>
      <c r="B472" s="168"/>
      <c r="C472" s="168"/>
      <c r="E472" s="192"/>
      <c r="F472" s="168"/>
      <c r="G472" s="196"/>
      <c r="H472" s="209"/>
      <c r="I472" s="187"/>
      <c r="K472" s="193"/>
    </row>
    <row r="473" spans="1:12" ht="15.6">
      <c r="A473" s="199"/>
      <c r="B473" s="199"/>
      <c r="C473" s="199"/>
      <c r="D473" s="199"/>
      <c r="E473" s="199"/>
      <c r="F473" s="199"/>
      <c r="G473" s="200"/>
      <c r="H473" s="158"/>
      <c r="I473" s="199"/>
      <c r="J473" s="160"/>
      <c r="K473" s="160"/>
      <c r="L473" s="162"/>
    </row>
    <row r="474" spans="1:12" ht="15.6">
      <c r="A474" s="168"/>
      <c r="B474" s="168"/>
      <c r="C474" s="168"/>
      <c r="D474" s="158"/>
      <c r="E474" s="210"/>
      <c r="F474" s="158"/>
      <c r="G474" s="159"/>
      <c r="H474" s="209"/>
      <c r="I474" s="211"/>
      <c r="K474" s="161"/>
      <c r="L474" s="162"/>
    </row>
    <row r="475" spans="1:12" s="162" customFormat="1" ht="15.6">
      <c r="A475" s="158"/>
      <c r="B475" s="158"/>
      <c r="C475" s="158"/>
      <c r="D475" s="158"/>
      <c r="E475" s="207"/>
      <c r="F475" s="158"/>
      <c r="G475" s="159"/>
      <c r="H475" s="167"/>
      <c r="I475" s="207"/>
      <c r="J475" s="192"/>
      <c r="K475" s="161"/>
    </row>
    <row r="476" spans="1:12" ht="15.6">
      <c r="A476" s="168"/>
      <c r="B476" s="168"/>
      <c r="C476" s="168"/>
      <c r="D476" s="168"/>
      <c r="E476" s="168"/>
      <c r="F476" s="168"/>
      <c r="G476" s="183"/>
      <c r="H476" s="197"/>
      <c r="I476" s="150"/>
      <c r="K476" s="193"/>
    </row>
    <row r="477" spans="1:12" ht="15.6">
      <c r="A477" s="168"/>
      <c r="B477" s="168"/>
      <c r="C477" s="168"/>
      <c r="D477" s="168"/>
      <c r="E477" s="168"/>
      <c r="F477" s="168"/>
      <c r="G477" s="183"/>
      <c r="H477" s="167"/>
      <c r="I477" s="168"/>
      <c r="K477" s="193"/>
    </row>
    <row r="478" spans="1:12" ht="15.6">
      <c r="A478" s="168"/>
      <c r="B478" s="168"/>
      <c r="C478" s="168"/>
      <c r="D478" s="168"/>
      <c r="E478" s="168"/>
      <c r="F478" s="158"/>
      <c r="G478" s="159"/>
      <c r="H478" s="191"/>
      <c r="I478" s="168"/>
      <c r="K478" s="206"/>
    </row>
    <row r="479" spans="1:12" customFormat="1" ht="15.6">
      <c r="A479" s="93"/>
      <c r="B479" s="93"/>
      <c r="C479" s="93"/>
      <c r="D479" s="93"/>
      <c r="E479" s="93"/>
      <c r="F479" s="93"/>
      <c r="G479" s="94"/>
      <c r="H479" s="97"/>
      <c r="I479" s="93"/>
      <c r="J479" s="16"/>
      <c r="K479" s="96"/>
    </row>
    <row r="480" spans="1:12" customFormat="1" ht="15.6">
      <c r="A480" s="57"/>
      <c r="B480" s="57"/>
      <c r="C480" s="57"/>
      <c r="D480" s="57"/>
      <c r="E480" s="57"/>
      <c r="F480" s="57"/>
      <c r="G480" s="135"/>
      <c r="H480" s="1"/>
      <c r="I480" s="57"/>
      <c r="J480" s="53"/>
      <c r="K480" s="53"/>
      <c r="L480" s="40"/>
    </row>
    <row r="481" spans="1:12" customFormat="1" ht="15.6">
      <c r="A481" s="93"/>
      <c r="B481" s="93"/>
      <c r="C481" s="93"/>
      <c r="D481" s="93"/>
      <c r="E481" s="93"/>
      <c r="F481" s="93"/>
      <c r="G481" s="94"/>
      <c r="H481" s="94"/>
      <c r="I481" s="253"/>
      <c r="J481" s="16"/>
      <c r="K481" s="16"/>
    </row>
    <row r="482" spans="1:12" customFormat="1" ht="15.6">
      <c r="A482" s="93"/>
      <c r="B482" s="93"/>
      <c r="C482" s="93"/>
      <c r="D482" s="93"/>
      <c r="E482" s="136"/>
      <c r="F482" s="93"/>
      <c r="G482" s="94"/>
      <c r="H482" s="97"/>
      <c r="I482" s="136"/>
      <c r="J482" s="16"/>
      <c r="K482" s="96"/>
    </row>
    <row r="483" spans="1:12" customFormat="1" ht="15.6">
      <c r="A483" s="93"/>
      <c r="B483" s="93"/>
      <c r="C483" s="93"/>
      <c r="D483" s="93"/>
      <c r="E483" s="16"/>
      <c r="F483" s="93"/>
      <c r="G483" s="117"/>
      <c r="H483" s="94"/>
      <c r="I483" s="93"/>
      <c r="J483" s="16"/>
      <c r="K483" s="107"/>
    </row>
    <row r="484" spans="1:12" customFormat="1" ht="15.6">
      <c r="A484" s="93"/>
      <c r="B484" s="93"/>
      <c r="C484" s="16"/>
      <c r="D484" s="16"/>
      <c r="F484" s="93"/>
      <c r="G484" s="94"/>
      <c r="H484" s="97"/>
      <c r="I484" s="143"/>
      <c r="J484" s="16"/>
      <c r="K484" s="96"/>
    </row>
    <row r="485" spans="1:12" ht="15.6">
      <c r="A485" s="168"/>
      <c r="B485" s="168"/>
      <c r="D485" s="168"/>
      <c r="E485" s="192"/>
      <c r="F485" s="188"/>
      <c r="G485" s="189"/>
      <c r="H485" s="197"/>
      <c r="K485" s="193"/>
    </row>
    <row r="486" spans="1:12" ht="15.6">
      <c r="A486" s="199"/>
      <c r="B486" s="199"/>
      <c r="C486" s="199"/>
      <c r="D486" s="199"/>
      <c r="E486" s="199"/>
      <c r="F486" s="199"/>
      <c r="G486" s="164"/>
      <c r="H486" s="158"/>
      <c r="I486" s="201"/>
      <c r="J486" s="160"/>
      <c r="K486" s="160"/>
      <c r="L486" s="162"/>
    </row>
    <row r="487" spans="1:12" ht="15.6">
      <c r="A487" s="168"/>
      <c r="B487" s="168"/>
      <c r="E487" s="192"/>
      <c r="F487" s="254"/>
      <c r="G487" s="212"/>
      <c r="H487" s="183"/>
      <c r="K487" s="206"/>
    </row>
    <row r="488" spans="1:12" ht="15.6">
      <c r="A488" s="168"/>
      <c r="B488" s="168"/>
      <c r="C488" s="168"/>
      <c r="D488" s="168"/>
      <c r="E488" s="192"/>
      <c r="F488" s="168"/>
      <c r="G488" s="196"/>
      <c r="H488" s="197"/>
      <c r="I488" s="213"/>
      <c r="K488" s="193"/>
    </row>
    <row r="489" spans="1:12" ht="15.6">
      <c r="A489" s="168"/>
      <c r="B489" s="168"/>
      <c r="C489" s="168"/>
      <c r="D489" s="168"/>
      <c r="E489" s="168"/>
      <c r="F489" s="168"/>
      <c r="G489" s="183"/>
      <c r="H489" s="197"/>
      <c r="I489" s="201"/>
    </row>
    <row r="490" spans="1:12" ht="15.6">
      <c r="A490" s="168"/>
      <c r="B490" s="168"/>
      <c r="C490" s="168"/>
      <c r="D490" s="168"/>
      <c r="E490" s="168"/>
      <c r="F490" s="168"/>
      <c r="G490" s="183"/>
      <c r="H490" s="197"/>
      <c r="I490" s="201"/>
    </row>
    <row r="491" spans="1:12" ht="15.6">
      <c r="F491" s="192"/>
      <c r="G491" s="164"/>
      <c r="H491" s="167"/>
      <c r="I491" s="214"/>
      <c r="K491" s="193"/>
    </row>
    <row r="492" spans="1:12" ht="15.6">
      <c r="C492" s="214"/>
      <c r="F492" s="192"/>
      <c r="G492" s="214"/>
      <c r="H492" s="197"/>
      <c r="I492" s="214"/>
      <c r="K492" s="193"/>
    </row>
    <row r="493" spans="1:12" ht="15.6">
      <c r="E493" s="215"/>
      <c r="F493" s="216"/>
      <c r="G493" s="217"/>
      <c r="H493" s="197"/>
      <c r="I493" s="204"/>
      <c r="K493" s="193"/>
    </row>
    <row r="494" spans="1:12" ht="15.6">
      <c r="F494" s="158"/>
      <c r="G494" s="159"/>
      <c r="H494" s="209"/>
      <c r="K494" s="193"/>
    </row>
    <row r="495" spans="1:12" ht="15.6">
      <c r="F495" s="158"/>
      <c r="G495" s="159"/>
      <c r="H495" s="218"/>
      <c r="I495" s="219"/>
      <c r="J495" s="220"/>
      <c r="K495" s="193"/>
    </row>
    <row r="496" spans="1:12" s="134" customFormat="1" ht="15.6">
      <c r="A496" s="219"/>
      <c r="B496" s="219"/>
      <c r="C496" s="220"/>
      <c r="D496" s="219"/>
      <c r="E496" s="219"/>
      <c r="F496" s="221"/>
      <c r="G496" s="222"/>
      <c r="H496" s="223"/>
      <c r="I496" s="224"/>
      <c r="J496" s="220"/>
      <c r="K496" s="225"/>
    </row>
    <row r="497" spans="3:11" ht="15.6">
      <c r="E497" s="192"/>
      <c r="F497" s="158"/>
      <c r="G497" s="159"/>
      <c r="H497" s="183"/>
      <c r="K497" s="193"/>
    </row>
    <row r="498" spans="3:11">
      <c r="C498" s="16"/>
      <c r="D498" s="16"/>
      <c r="E498" s="16"/>
      <c r="H498" s="218"/>
      <c r="I498" s="16"/>
      <c r="K498" s="193"/>
    </row>
    <row r="499" spans="3:11" ht="15.6">
      <c r="D499" s="219"/>
      <c r="F499" s="152"/>
      <c r="G499" s="151"/>
      <c r="H499" s="223"/>
      <c r="K499" s="193"/>
    </row>
    <row r="500" spans="3:11" ht="15.6">
      <c r="C500" s="153"/>
      <c r="F500" s="158"/>
      <c r="G500" s="159"/>
      <c r="H500" s="183"/>
      <c r="K500" s="193"/>
    </row>
    <row r="501" spans="3:11" ht="15.6">
      <c r="C501" s="16"/>
      <c r="D501" s="16"/>
      <c r="E501"/>
      <c r="F501" s="192"/>
      <c r="G501" s="100"/>
      <c r="H501" s="197"/>
      <c r="K501" s="193"/>
    </row>
    <row r="502" spans="3:11" ht="15.6">
      <c r="C502" s="16"/>
      <c r="E502" s="16"/>
      <c r="F502" s="231"/>
      <c r="G502" s="232"/>
      <c r="H502" s="197"/>
      <c r="I502" s="201"/>
    </row>
    <row r="503" spans="3:11" ht="15.6">
      <c r="E503"/>
      <c r="F503" s="158"/>
      <c r="G503" s="236"/>
      <c r="H503" s="197"/>
      <c r="I503" s="201"/>
    </row>
    <row r="504" spans="3:11" ht="15.6">
      <c r="D504"/>
      <c r="E504"/>
      <c r="F504" s="237"/>
      <c r="G504" s="238"/>
      <c r="H504" s="183"/>
      <c r="I504" s="16"/>
      <c r="K504" s="193"/>
    </row>
    <row r="505" spans="3:11" ht="15.6">
      <c r="C505" s="158"/>
      <c r="F505" s="158"/>
      <c r="G505" s="159"/>
      <c r="H505" s="197"/>
      <c r="I505" s="252"/>
      <c r="K505" s="193"/>
    </row>
    <row r="506" spans="3:11" ht="15.6">
      <c r="C506" s="239"/>
      <c r="D506" s="239"/>
      <c r="E506"/>
      <c r="F506" s="158"/>
      <c r="G506" s="159"/>
      <c r="H506" s="197"/>
      <c r="I506" s="16"/>
      <c r="K506" s="193"/>
    </row>
    <row r="507" spans="3:11" ht="15.6">
      <c r="D507" s="168"/>
      <c r="E507" s="192"/>
      <c r="F507" s="158"/>
      <c r="G507" s="164"/>
      <c r="H507" s="223"/>
      <c r="I507" s="16"/>
      <c r="K507" s="193"/>
    </row>
    <row r="508" spans="3:11" ht="15.6">
      <c r="C508" s="158"/>
      <c r="D508" s="16"/>
      <c r="E508"/>
      <c r="F508" s="168"/>
      <c r="G508" s="196"/>
      <c r="H508" s="183"/>
      <c r="I508" s="139"/>
      <c r="K508" s="193"/>
    </row>
  </sheetData>
  <sortState xmlns:xlrd2="http://schemas.microsoft.com/office/spreadsheetml/2017/richdata2" ref="A2:K247">
    <sortCondition ref="A1"/>
  </sortState>
  <phoneticPr fontId="42" type="noConversion"/>
  <hyperlinks>
    <hyperlink ref="G364" r:id="rId1" xr:uid="{00000000-0004-0000-0400-0000AF000000}"/>
    <hyperlink ref="G6" r:id="rId2" xr:uid="{088DA018-5DD0-4DA5-A59C-10B0164AADE2}"/>
    <hyperlink ref="G7" r:id="rId3" xr:uid="{70829F75-ED06-4E22-BD5C-31F237952C2F}"/>
    <hyperlink ref="G8" r:id="rId4" display="carla.ortiz@hsc.utah.edu" xr:uid="{7010BFAD-09F9-446C-B3AE-0596C77E0770}"/>
    <hyperlink ref="G9" r:id="rId5" display="carla.ortiz@hsc.utah.edu" xr:uid="{55909F4B-DFCD-48C5-A878-1E2EBC536D4E}"/>
    <hyperlink ref="G10" r:id="rId6" xr:uid="{A6CB9D5D-E479-4FAD-BCF7-D75627465FD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2A4F6B-7EE8-42D2-879B-23121CB29063}">
  <ds:schemaRefs>
    <ds:schemaRef ds:uri="402b49ca-617a-4412-a136-22a821ef8eb4"/>
    <ds:schemaRef ds:uri="http://schemas.microsoft.com/office/2006/documentManagement/types"/>
    <ds:schemaRef ds:uri="http://schemas.microsoft.com/sharepoint/v4"/>
    <ds:schemaRef ds:uri="http://schemas.microsoft.com/office/2006/metadata/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Invoice</vt:lpstr>
      <vt:lpstr>Raw Data</vt:lpstr>
      <vt:lpstr>References</vt:lpstr>
      <vt:lpstr>Customer List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2023-12-19T18:28:12Z</cp:lastPrinted>
  <dcterms:created xsi:type="dcterms:W3CDTF">2018-12-28T21:20:57Z</dcterms:created>
  <dcterms:modified xsi:type="dcterms:W3CDTF">2023-12-19T19:23:57Z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