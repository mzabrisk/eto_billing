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12" documentId="8_{5B2D1453-FC73-4894-83A1-82E53486E440}" xr6:coauthVersionLast="47" xr6:coauthVersionMax="47" xr10:uidLastSave="{C3DCC3F0-CF16-4C95-B134-E19BFB702B9B}"/>
  <bookViews>
    <workbookView xWindow="-108" yWindow="-108" windowWidth="23256" windowHeight="13896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4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K18" i="3"/>
  <c r="E44" i="4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T530" i="5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T542" i="5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T554" i="5"/>
  <c r="T555" i="5"/>
  <c r="T556" i="5"/>
  <c r="T557" i="5"/>
  <c r="T558" i="5"/>
  <c r="V553" i="5" l="1"/>
  <c r="V529" i="5"/>
  <c r="V541" i="5"/>
  <c r="V554" i="5"/>
  <c r="V542" i="5"/>
  <c r="V530" i="5"/>
  <c r="V518" i="5"/>
  <c r="V506" i="5"/>
  <c r="V494" i="5"/>
  <c r="V551" i="5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<sst xmlns="http://schemas.openxmlformats.org/spreadsheetml/2006/main" count="376" uniqueCount="247">
  <si>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</si>
  <si>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</si>
  <si>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</si>
  <si>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</si>
  <si>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</si>
  <si>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</si>
  <si>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</si>
  <si>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</si>
  <si>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</si>
  <si>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</si>
  <si>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</si>
  <si>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</si>
  <si>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</si>
  <si>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</si>
  <si>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</si>
  <si>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</si>
  <si>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</si>
  <si>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</si>
  <si>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</si>
  <si>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</si>
  <si>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</si>
  <si>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</si>
  <si>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</si>
  <si>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</si>
  <si>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</si>
  <si>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</si>
  <si>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</si>
  <si>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</si>
  <si>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</si>
  <si>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</si>
  <si>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</si>
  <si>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</si>
  <si>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</si>
  <si>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</si>
  <si>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</si>
  <si>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</si>
  <si>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</si>
  <si>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</si>
  <si>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</si>
  <si>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</si>
  <si>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</si>
  <si>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</si>
  <si>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</si>
  <si>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</si>
  <si>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</si>
  <si>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</si>
  <si>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</si>
  <si>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</si>
  <si>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</si>
  <si>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</si>
  <si>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</si>
  <si>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</si>
  <si>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</si>
  <si>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</si>
  <si>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</si>
  <si>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</si>
  <si>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</si>
  <si>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</si>
  <si>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</si>
  <si>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</si>
  <si>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</si>
  <si>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</si>
  <si>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</si>
  <si>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</si>
  <si>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</si>
  <si>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</si>
  <si>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</si>
  <si>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</si>
  <si>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</si>
  <si>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</si>
  <si>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</si>
  <si>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</si>
  <si>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</si>
  <si>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</si>
  <si>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</si>
  <si>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</si>
  <si>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</si>
  <si>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</si>
  <si>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</si>
  <si>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</si>
  <si>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</si>
  <si>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</si>
  <si>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</si>
  <si>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</si>
  <si>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</si>
  <si>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</si>
  <si>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</si>
  <si>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</si>
  <si>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</si>
  <si>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</si>
  <si>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</si>
  <si>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</si>
  <si>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</si>
  <si>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</si>
  <si>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</si>
  <si>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</si>
  <si>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</si>
  <si>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</si>
  <si>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</si>
  <si>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</si>
  <si>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</si>
  <si>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</si>
  <si>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</si>
  <si>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</si>
  <si>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</si>
  <si>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</si>
  <si>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</si>
  <si>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</si>
  <si>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</si>
  <si>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</si>
  <si>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</si>
  <si>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</si>
  <si>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</si>
  <si>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</si>
  <si>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</si>
  <si>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</si>
  <si>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</si>
  <si>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</si>
  <si>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</si>
  <si>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</si>
  <si>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</si>
  <si>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</si>
  <si>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</si>
  <si>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</si>
  <si>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</si>
  <si>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</si>
  <si>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</si>
  <si>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</si>
  <si>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</si>
  <si>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</si>
  <si>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</si>
  <si>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</si>
  <si>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</si>
  <si>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</si>
  <si>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</si>
  <si>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</si>
  <si>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</si>
  <si>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</si>
  <si>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</si>
  <si>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</si>
  <si>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</si>
  <si>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</si>
  <si>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</si>
  <si>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</si>
  <si>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</si>
  <si>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</si>
  <si>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</si>
  <si>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</si>
  <si>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</si>
  <si>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</si>
  <si>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</si>
  <si>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</si>
  <si>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</si>
  <si>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</si>
  <si>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</si>
  <si>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</si>
  <si>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</si>
  <si>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</si>
  <si>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</si>
  <si>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</si>
  <si>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</si>
  <si>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</si>
  <si>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</si>
  <si>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</si>
  <si>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</si>
  <si>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</si>
  <si>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</si>
  <si>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</si>
  <si>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</si>
  <si>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</si>
  <si>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</si>
  <si>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</si>
  <si>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</si>
  <si>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</si>
  <si>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</si>
  <si>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</si>
  <si>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</si>
  <si>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</si>
  <si>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</si>
  <si>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</si>
  <si>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</si>
  <si>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</si>
  <si>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</si>
  <si>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</si>
  <si>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</si>
  <si>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</si>
  <si>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</si>
  <si>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</si>
  <si>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</si>
  <si>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</si>
  <si>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</si>
  <si>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</si>
  <si>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</si>
  <si>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</si>
  <si>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</si>
  <si>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</si>
  <si>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</si>
  <si>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</si>
  <si>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</si>
  <si>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</si>
  <si>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</si>
  <si>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</si>
  <si>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</si>
  <si>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</si>
  <si>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</si>
  <si>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</si>
  <si>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</si>
  <si>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</si>
  <si>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</si>
  <si>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</si>
  <si>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</si>
  <si>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</si>
  <si>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</si>
  <si>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</si>
  <si>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CL01540 - Ethylene Oxide Sterilization (per run)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</si>
  <si>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</si>
  <si>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</si>
  <si>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</si>
  <si>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</si>
  <si>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</si>
  <si>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</si>
  <si>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</si>
  <si>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</si>
  <si>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</si>
  <si>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</si>
  <si>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</si>
  <si>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</si>
  <si>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</si>
  <si>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</si>
  <si>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</si>
  <si>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</si>
  <si>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</si>
  <si>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</si>
  <si>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</si>
  <si>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</si>
  <si>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</si>
  <si>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</si>
  <si>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</si>
  <si>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</si>
  <si>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>CL015 ETO Use by group Hoareau/Johnson</t>
  </si>
  <si>
    <t>CL017 ETO Use by group Payne</t>
  </si>
  <si>
    <t>CL01740 - Ethylene Oxide Sterilization (per run)</t>
  </si>
  <si>
    <t xml:space="preserve"> 01-01777-2000-30670-64300</t>
  </si>
  <si>
    <t>X</t>
  </si>
  <si>
    <t>CL001  Fluoroscopy use by group/Johnson</t>
  </si>
  <si>
    <t>CL001250- Fluoroscopy (per use)</t>
  </si>
  <si>
    <t>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</si>
</sst>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0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122.403931018518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1">
        <s v="CL001250- Fluoroscopy (per use)"/>
        <s v="CL01540 - Ethylene Oxide Sterilization (per run)"/>
        <s v="CL01740 - Ethylene Oxide Sterilization (per run)"/>
        <s v=""/>
        <m/>
        <s v="CL003250- Fluoroscopy (per use)" u="1"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3">
        <s v="CL001"/>
        <s v="CL015"/>
        <s v="CL017"/>
        <m/>
        <s v="CL003" u="1"/>
        <s v="CL016" u="1"/>
        <s v="CL014" u="1"/>
        <s v="CL007" u="1"/>
        <s v="CL006" u="1"/>
        <s v="CL008" u="1"/>
        <s v="CL013" u="1"/>
        <s v="CL010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1"/>
    </cacheField>
    <cacheField name="Rate" numFmtId="0">
      <sharedItems containsBlank="1" containsMixedTypes="1" containsNumber="1" containsInteger="1" minValue="40" maxValue="250"/>
    </cacheField>
    <cacheField name="Charges" numFmtId="0">
      <sharedItems containsBlank="1" containsMixedTypes="1" containsNumber="1" containsInteger="1" minValue="40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01  Fluoroscopy use by group/Johnson"/>
    <x v="0"/>
    <d v="1899-12-30T00:00:00"/>
    <m/>
    <d v="1899-12-30T00:00:00"/>
    <s v="250- Fluoroscopy (per use)"/>
    <n v="1"/>
    <n v="250"/>
    <n v="25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O Use by group Hoareau/Johnson"/>
    <x v="1"/>
    <d v="1899-12-30T00:00:00"/>
    <m/>
    <d v="1899-12-30T00:00:00"/>
    <s v="40 - Ethylene Oxide Sterilization (per run)"/>
    <n v="1"/>
    <n v="40"/>
    <n v="40"/>
  </r>
  <r>
    <x v="2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7 ETO Use by group Payne"/>
    <x v="2"/>
    <d v="1899-12-30T00:00:00"/>
    <m/>
    <d v="1899-12-30T00:00:00"/>
    <s v="40 - Ethylene Oxide Sterilization (per run)"/>
    <n v="1"/>
    <n v="40"/>
    <n v="40"/>
  </r>
  <r>
    <x v="3"/>
    <m/>
    <m/>
    <m/>
    <m/>
    <m/>
    <m/>
    <m/>
    <m/>
    <m/>
    <m/>
    <m/>
    <m/>
    <m/>
    <x v="3"/>
    <d v="1899-12-30T00:00:00"/>
    <m/>
    <d v="1899-12-30T00:00:00"/>
    <m/>
    <m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m/>
    <m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3"/>
    <d v="1899-12-30T00:00:00"/>
    <m/>
    <d v="1899-12-30T00:00:00"/>
    <m/>
    <m/>
    <m/>
    <m/>
  </r>
  <r>
    <x v="4"/>
    <m/>
    <m/>
    <m/>
    <m/>
    <m/>
    <m/>
    <m/>
    <m/>
    <m/>
    <m/>
    <m/>
    <m/>
    <m/>
    <x v="3"/>
    <d v="1899-12-30T00:00:00"/>
    <m/>
    <d v="1899-12-30T00:00:00"/>
    <m/>
    <m/>
    <m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44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7" firstHeaderRow="1" firstDataRow="1" firstDataCol="1"/>
  <pivotFields count="22">
    <pivotField axis="axisRow" showAll="0">
      <items count="392">
        <item x="3"/>
        <item m="1" x="285"/>
        <item m="1" x="64"/>
        <item m="1" x="358"/>
        <item m="1" x="55"/>
        <item m="1" x="364"/>
        <item m="1" x="321"/>
        <item m="1" x="150"/>
        <item m="1" x="379"/>
        <item m="1" x="323"/>
        <item m="1" x="324"/>
        <item m="1" x="153"/>
        <item m="1" x="381"/>
        <item m="1" x="266"/>
        <item m="1" x="267"/>
        <item m="1" x="370"/>
        <item m="1" x="127"/>
        <item m="1" x="278"/>
        <item m="1" x="279"/>
        <item m="1" x="280"/>
        <item m="1" x="120"/>
        <item m="1" x="70"/>
        <item m="1" x="121"/>
        <item m="1" x="72"/>
        <item m="1" x="124"/>
        <item m="1" x="293"/>
        <item m="1" x="294"/>
        <item m="1" x="221"/>
        <item m="1" x="307"/>
        <item m="1" x="42"/>
        <item m="1" x="385"/>
        <item m="1" x="203"/>
        <item m="1" x="108"/>
        <item m="1" x="154"/>
        <item m="1" x="329"/>
        <item m="1" x="331"/>
        <item m="1" x="270"/>
        <item m="1" x="271"/>
        <item m="1" x="276"/>
        <item m="1" x="286"/>
        <item m="1" x="123"/>
        <item m="1" x="43"/>
        <item m="1" x="79"/>
        <item m="1" x="225"/>
        <item m="1" x="228"/>
        <item m="1" x="229"/>
        <item m="1" x="99"/>
        <item m="1" x="233"/>
        <item m="1" x="131"/>
        <item m="1" x="386"/>
        <item m="1" x="325"/>
        <item m="1" x="330"/>
        <item m="1" x="349"/>
        <item m="1" x="288"/>
        <item m="1" x="125"/>
        <item m="1" x="255"/>
        <item m="1" x="291"/>
        <item m="1" x="126"/>
        <item m="1" x="363"/>
        <item m="1" x="253"/>
        <item m="1" x="136"/>
        <item m="1" x="148"/>
        <item m="1" x="222"/>
        <item m="1" x="78"/>
        <item m="1" x="362"/>
        <item m="1" x="366"/>
        <item m="1" x="249"/>
        <item m="1" x="320"/>
        <item m="1" x="252"/>
        <item m="1" x="194"/>
        <item m="1" x="357"/>
        <item m="1" x="350"/>
        <item x="4"/>
        <item m="1" x="237"/>
        <item m="1" x="128"/>
        <item m="1" x="212"/>
        <item m="1" x="376"/>
        <item m="1" x="335"/>
        <item m="1" x="94"/>
        <item m="1" x="49"/>
        <item m="1" x="298"/>
        <item m="1" x="340"/>
        <item m="1" x="344"/>
        <item m="1" x="211"/>
        <item m="1" x="251"/>
        <item m="1" x="95"/>
        <item m="1" x="374"/>
        <item m="1" x="208"/>
        <item m="1" x="315"/>
        <item m="1" x="338"/>
        <item m="1" x="351"/>
        <item m="1" x="205"/>
        <item m="1" x="105"/>
        <item m="1" x="139"/>
        <item m="1" x="146"/>
        <item m="1" x="341"/>
        <item m="1" x="354"/>
        <item m="1" x="382"/>
        <item m="1" x="50"/>
        <item m="1" x="260"/>
        <item m="1" x="96"/>
        <item m="1" x="143"/>
        <item m="1" x="184"/>
        <item m="1" x="200"/>
        <item m="1" x="264"/>
        <item m="1" x="304"/>
        <item m="1" x="181"/>
        <item m="1" x="213"/>
        <item m="1" x="147"/>
        <item m="1" x="182"/>
        <item m="1" x="196"/>
        <item m="1" x="158"/>
        <item m="1" x="165"/>
        <item m="1" x="346"/>
        <item m="1" x="284"/>
        <item m="1" x="202"/>
        <item m="1" x="332"/>
        <item m="1" x="156"/>
        <item m="1" x="62"/>
        <item m="1" x="117"/>
        <item m="1" x="281"/>
        <item m="1" x="283"/>
        <item m="1" x="289"/>
        <item m="1" x="219"/>
        <item m="1" x="256"/>
        <item m="1" x="75"/>
        <item m="1" x="361"/>
        <item m="1" x="67"/>
        <item m="1" x="116"/>
        <item m="1" x="339"/>
        <item m="1" x="84"/>
        <item m="1" x="235"/>
        <item m="1" x="236"/>
        <item m="1" x="176"/>
        <item m="1" x="87"/>
        <item m="1" x="295"/>
        <item m="1" x="191"/>
        <item m="1" x="135"/>
        <item m="1" x="132"/>
        <item m="1" x="179"/>
        <item m="1" x="302"/>
        <item m="1" x="188"/>
        <item m="1" x="201"/>
        <item m="1" x="199"/>
        <item m="1" x="389"/>
        <item m="1" x="52"/>
        <item m="1" x="60"/>
        <item m="1" x="303"/>
        <item m="1" x="352"/>
        <item m="1" x="173"/>
        <item m="1" x="209"/>
        <item m="1" x="189"/>
        <item m="1" x="259"/>
        <item m="1" x="296"/>
        <item m="1" x="129"/>
        <item m="1" x="140"/>
        <item m="1" x="174"/>
        <item m="1" x="54"/>
        <item m="1" x="51"/>
        <item m="1" x="93"/>
        <item m="1" x="103"/>
        <item m="1" x="157"/>
        <item m="1" x="204"/>
        <item m="1" x="359"/>
        <item m="1" x="360"/>
        <item m="1" x="214"/>
        <item m="1" x="273"/>
        <item m="1" x="274"/>
        <item m="1" x="61"/>
        <item m="1" x="275"/>
        <item m="1" x="277"/>
        <item m="1" x="220"/>
        <item m="1" x="227"/>
        <item m="1" x="238"/>
        <item m="1" x="241"/>
        <item m="1" x="355"/>
        <item m="1" x="119"/>
        <item m="1" x="356"/>
        <item m="1" x="122"/>
        <item m="1" x="317"/>
        <item m="1" x="77"/>
        <item m="1" x="318"/>
        <item m="1" x="44"/>
        <item m="1" x="224"/>
        <item m="1" x="240"/>
        <item m="1" x="234"/>
        <item m="1" x="85"/>
        <item m="1" x="384"/>
        <item m="1" x="59"/>
        <item m="1" x="172"/>
        <item m="1" x="180"/>
        <item m="1" x="104"/>
        <item m="1" x="37"/>
        <item m="1" x="258"/>
        <item m="1" x="73"/>
        <item m="1" x="74"/>
        <item m="1" x="112"/>
        <item m="1" x="65"/>
        <item m="1" x="297"/>
        <item m="1" x="305"/>
        <item m="1" x="337"/>
        <item m="1" x="387"/>
        <item m="1" x="380"/>
        <item m="1" x="243"/>
        <item m="1" x="244"/>
        <item m="1" x="177"/>
        <item m="1" x="107"/>
        <item m="1" x="152"/>
        <item m="1" x="282"/>
        <item m="1" x="232"/>
        <item m="1" x="183"/>
        <item m="1" x="160"/>
        <item m="1" x="322"/>
        <item m="1" x="190"/>
        <item m="1" x="53"/>
        <item m="1" x="326"/>
        <item m="1" x="223"/>
        <item m="1" x="86"/>
        <item m="1" x="377"/>
        <item m="1" x="345"/>
        <item m="1" x="365"/>
        <item m="1" x="368"/>
        <item m="1" x="388"/>
        <item m="1" x="130"/>
        <item m="1" x="114"/>
        <item m="1" x="145"/>
        <item m="1" x="299"/>
        <item m="1" x="262"/>
        <item m="1" x="58"/>
        <item m="1" x="164"/>
        <item m="1" x="206"/>
        <item m="1" x="40"/>
        <item m="1" x="353"/>
        <item m="1" x="106"/>
        <item m="1" x="151"/>
        <item m="1" x="48"/>
        <item m="1" x="383"/>
        <item m="1" x="328"/>
        <item m="1" x="378"/>
        <item m="1" x="110"/>
        <item m="1" x="155"/>
        <item m="1" x="333"/>
        <item m="1" x="269"/>
        <item m="1" x="68"/>
        <item m="1" x="118"/>
        <item m="1" x="290"/>
        <item m="1" x="250"/>
        <item m="1" x="301"/>
        <item m="1" x="226"/>
        <item m="1" x="175"/>
        <item m="1" x="166"/>
        <item m="1" x="230"/>
        <item m="1" x="231"/>
        <item m="1" x="80"/>
        <item m="1" x="265"/>
        <item m="1" x="168"/>
        <item m="1" x="88"/>
        <item m="1" x="100"/>
        <item m="1" x="371"/>
        <item m="1" x="187"/>
        <item m="1" x="91"/>
        <item m="1" x="198"/>
        <item m="1" x="163"/>
        <item m="1" x="195"/>
        <item m="1" x="185"/>
        <item m="1" x="57"/>
        <item m="1" x="272"/>
        <item m="1" x="218"/>
        <item m="1" x="186"/>
        <item m="1" x="319"/>
        <item m="1" x="149"/>
        <item m="1" x="138"/>
        <item m="1" x="287"/>
        <item m="1" x="81"/>
        <item m="1" x="167"/>
        <item m="1" x="239"/>
        <item m="1" x="83"/>
        <item m="1" x="66"/>
        <item m="1" x="113"/>
        <item m="1" x="137"/>
        <item m="1" x="63"/>
        <item m="1" x="71"/>
        <item m="1" x="111"/>
        <item m="1" x="336"/>
        <item m="1" x="144"/>
        <item m="1" x="390"/>
        <item m="1" x="207"/>
        <item m="1" x="217"/>
        <item m="1" x="327"/>
        <item m="1" x="292"/>
        <item m="1" x="159"/>
        <item m="1" x="161"/>
        <item m="1" x="246"/>
        <item m="1" x="41"/>
        <item m="1" x="76"/>
        <item m="1" x="192"/>
        <item m="1" x="45"/>
        <item m="1" x="82"/>
        <item m="1" x="169"/>
        <item m="1" x="46"/>
        <item m="1" x="193"/>
        <item m="1" x="92"/>
        <item m="1" x="263"/>
        <item m="1" x="115"/>
        <item m="1" x="316"/>
        <item m="1" x="261"/>
        <item m="1" x="300"/>
        <item m="1" x="334"/>
        <item m="1" x="342"/>
        <item m="1" x="197"/>
        <item m="1" x="56"/>
        <item m="1" x="347"/>
        <item m="1" x="348"/>
        <item m="1" x="310"/>
        <item m="1" x="313"/>
        <item m="1" x="178"/>
        <item m="1" x="109"/>
        <item m="1" x="268"/>
        <item m="1" x="69"/>
        <item m="1" x="367"/>
        <item m="1" x="242"/>
        <item m="1" x="133"/>
        <item m="1" x="245"/>
        <item m="1" x="171"/>
        <item m="1" x="101"/>
        <item m="1" x="306"/>
        <item m="1" x="142"/>
        <item m="1" x="89"/>
        <item m="1" x="102"/>
        <item m="1" x="343"/>
        <item m="1" x="90"/>
        <item m="1" x="98"/>
        <item m="1" x="372"/>
        <item m="1" x="162"/>
        <item m="1" x="47"/>
        <item m="1" x="369"/>
        <item m="1" x="97"/>
        <item m="1" x="254"/>
        <item m="1" x="210"/>
        <item m="1" x="216"/>
        <item m="1" x="247"/>
        <item m="1" x="141"/>
        <item m="1" x="373"/>
        <item m="1" x="311"/>
        <item m="1" x="312"/>
        <item m="1" x="170"/>
        <item m="1" x="215"/>
        <item m="1" x="314"/>
        <item m="1" x="375"/>
        <item m="1" x="308"/>
        <item m="1" x="309"/>
        <item m="1" x="248"/>
        <item m="1" x="134"/>
        <item m="1" x="34"/>
        <item m="1" x="39"/>
        <item m="1" x="38"/>
        <item m="1" x="257"/>
        <item m="1" x="35"/>
        <item m="1" x="36"/>
        <item m="1" x="19"/>
        <item m="1" x="31"/>
        <item m="1" x="30"/>
        <item m="1" x="26"/>
        <item m="1" x="33"/>
        <item m="1" x="21"/>
        <item m="1" x="27"/>
        <item m="1" x="29"/>
        <item m="1" x="32"/>
        <item m="1" x="10"/>
        <item m="1" x="9"/>
        <item m="1" x="11"/>
        <item m="1" x="17"/>
        <item m="1" x="28"/>
        <item m="1" x="16"/>
        <item m="1" x="18"/>
        <item m="1" x="12"/>
        <item m="1" x="22"/>
        <item m="1" x="23"/>
        <item m="1" x="24"/>
        <item m="1" x="25"/>
        <item m="1" x="20"/>
        <item m="1" x="13"/>
        <item m="1" x="14"/>
        <item m="1" x="15"/>
        <item m="1" x="8"/>
        <item x="1"/>
        <item m="1" x="7"/>
        <item m="1" x="6"/>
        <item m="1" x="5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72"/>
    </i>
    <i>
      <x v="385"/>
    </i>
    <i>
      <x v="389"/>
    </i>
    <i>
      <x v="390"/>
    </i>
    <i t="grand">
      <x/>
    </i>
  </rowItems>
  <colItems count="1">
    <i/>
  </colItems>
  <dataFields count="1">
    <dataField name="Sum of Hours (Decimal)" fld="19" baseField="0" baseItem="0"/>
  </dataFields>
  <formats count="27"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dataOnly="0" labelOnly="1" outline="0" axis="axisValues" fieldPosition="0"/>
    </format>
    <format dxfId="107">
      <pivotArea dataOnly="0" labelOnly="1" fieldPosition="0">
        <references count="1">
          <reference field="0" count="1">
            <x v="0"/>
          </reference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fieldPosition="0">
        <references count="1">
          <reference field="0" count="1">
            <x v="0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0" type="button" dataOnly="0" labelOnly="1" outline="0" axis="axisRow" fieldPosition="0"/>
    </format>
    <format dxfId="94">
      <pivotArea dataOnly="0" labelOnly="1" outline="0" axis="axisValues" fieldPosition="0"/>
    </format>
    <format dxfId="93">
      <pivotArea dataOnly="0" labelOnly="1" fieldPosition="0">
        <references count="1">
          <reference field="0" count="1">
            <x v="0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axis="axisValues" fieldPosition="0"/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0" count="1">
            <x v="0"/>
          </reference>
        </references>
      </pivotArea>
    </format>
    <format dxfId="86">
      <pivotArea dataOnly="0" labelOnly="1" grandRow="1" outline="0" fieldPosition="0"/>
    </format>
    <format dxfId="8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4">
        <item x="3"/>
        <item m="1" x="120"/>
        <item m="1" x="136"/>
        <item m="1" x="124"/>
        <item m="1" x="117"/>
        <item m="1" x="110"/>
        <item m="1" x="101"/>
        <item m="1" x="97"/>
        <item m="1" x="95"/>
        <item m="1" x="87"/>
        <item m="1" x="142"/>
        <item m="1" x="130"/>
        <item m="1" x="116"/>
        <item m="1" x="114"/>
        <item m="1" x="106"/>
        <item m="1" x="47"/>
        <item m="1" x="41"/>
        <item m="1" x="34"/>
        <item m="1" x="29"/>
        <item m="1" x="25"/>
        <item m="1" x="21"/>
        <item m="1" x="127"/>
        <item m="1" x="63"/>
        <item m="1" x="59"/>
        <item m="1" x="55"/>
        <item m="1" x="50"/>
        <item m="1" x="45"/>
        <item m="1" x="31"/>
        <item m="1" x="24"/>
        <item m="1" x="18"/>
        <item m="1" x="39"/>
        <item m="1" x="86"/>
        <item m="1" x="78"/>
        <item m="1" x="71"/>
        <item m="1" x="67"/>
        <item m="1" x="62"/>
        <item m="1" x="58"/>
        <item m="1" x="53"/>
        <item m="1" x="26"/>
        <item m="1" x="48"/>
        <item m="1" x="105"/>
        <item m="1" x="99"/>
        <item m="1" x="93"/>
        <item m="1" x="76"/>
        <item m="1" x="102"/>
        <item m="1" x="70"/>
        <item m="1" x="119"/>
        <item m="1" x="113"/>
        <item m="1" x="104"/>
        <item m="1" x="90"/>
        <item m="1" x="81"/>
        <item m="1" x="74"/>
        <item m="1" x="73"/>
        <item m="1" x="54"/>
        <item m="1" x="44"/>
        <item m="1" x="38"/>
        <item m="1" x="109"/>
        <item m="1" x="100"/>
        <item m="1" x="94"/>
        <item m="1" x="85"/>
        <item m="1" x="77"/>
        <item m="1" x="66"/>
        <item m="1" x="129"/>
        <item m="1" x="17"/>
        <item m="1" x="20"/>
        <item m="1" x="112"/>
        <item m="1" x="103"/>
        <item m="1" x="30"/>
        <item m="1" x="139"/>
        <item m="1" x="107"/>
        <item m="1" x="131"/>
        <item m="1" x="134"/>
        <item m="1" x="123"/>
        <item m="1" x="57"/>
        <item m="1" x="52"/>
        <item m="1" x="43"/>
        <item m="1" x="28"/>
        <item m="1" x="22"/>
        <item m="1" x="141"/>
        <item m="1" x="60"/>
        <item m="1" x="56"/>
        <item m="1" x="46"/>
        <item m="1" x="40"/>
        <item m="1" x="80"/>
        <item m="1" x="49"/>
        <item m="1" x="84"/>
        <item m="1" x="128"/>
        <item m="1" x="121"/>
        <item m="1" x="115"/>
        <item m="1" x="98"/>
        <item m="1" x="92"/>
        <item m="1" x="89"/>
        <item m="1" x="72"/>
        <item m="1" x="135"/>
        <item m="1" x="140"/>
        <item m="1" x="133"/>
        <item m="1" x="33"/>
        <item m="1" x="37"/>
        <item m="1" x="16"/>
        <item m="1" x="23"/>
        <item m="1" x="65"/>
        <item m="1" x="61"/>
        <item m="1" x="42"/>
        <item m="1" x="69"/>
        <item m="1" x="64"/>
        <item m="1" x="132"/>
        <item m="1" x="126"/>
        <item m="1" x="96"/>
        <item m="1" x="88"/>
        <item m="1" x="79"/>
        <item m="1" x="83"/>
        <item m="1" x="91"/>
        <item m="1" x="125"/>
        <item m="1" x="122"/>
        <item m="1" x="82"/>
        <item m="1" x="75"/>
        <item m="1" x="108"/>
        <item m="1" x="19"/>
        <item m="1" x="138"/>
        <item m="1" x="36"/>
        <item m="1" x="27"/>
        <item m="1" x="111"/>
        <item m="1" x="118"/>
        <item m="1" x="32"/>
        <item m="1" x="137"/>
        <item m="1" x="35"/>
        <item m="1" x="68"/>
        <item m="1" x="51"/>
        <item x="2"/>
        <item m="1" x="5"/>
        <item x="1"/>
        <item m="1" x="6"/>
        <item m="1" x="10"/>
        <item m="1" x="11"/>
        <item m="1" x="14"/>
        <item m="1" x="9"/>
        <item m="1" x="7"/>
        <item m="1" x="8"/>
        <item m="1" x="15"/>
        <item m="1" x="12"/>
        <item m="1" x="4"/>
        <item m="1" x="13"/>
        <item x="0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5">
    <i>
      <x/>
    </i>
    <i>
      <x v="128"/>
    </i>
    <i>
      <x v="130"/>
    </i>
    <i>
      <x v="142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43">
      <pivotArea outline="0" collapsedLevelsAreSubtotals="1" fieldPosition="0"/>
    </format>
    <format dxfId="142">
      <pivotArea type="all" dataOnly="0" outline="0" fieldPosition="0"/>
    </format>
    <format dxfId="141">
      <pivotArea outline="0" collapsedLevelsAreSubtotals="1" fieldPosition="0"/>
    </format>
    <format dxfId="140">
      <pivotArea field="14" type="button" dataOnly="0" labelOnly="1" outline="0" axis="axisRow" fieldPosition="0"/>
    </format>
    <format dxfId="139">
      <pivotArea dataOnly="0" labelOnly="1" outline="0" axis="axisValues" fieldPosition="0"/>
    </format>
    <format dxfId="138">
      <pivotArea dataOnly="0" labelOnly="1" fieldPosition="0">
        <references count="1">
          <reference field="14" count="0"/>
        </references>
      </pivotArea>
    </format>
    <format dxfId="137">
      <pivotArea dataOnly="0" labelOnly="1" grandRow="1" outline="0" fieldPosition="0"/>
    </format>
    <format dxfId="136">
      <pivotArea dataOnly="0" labelOnly="1" outline="0" axis="axisValues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14" type="button" dataOnly="0" labelOnly="1" outline="0" axis="axisRow" fieldPosition="0"/>
    </format>
    <format dxfId="132">
      <pivotArea dataOnly="0" labelOnly="1" outline="0" axis="axisValues" fieldPosition="0"/>
    </format>
    <format dxfId="131">
      <pivotArea dataOnly="0" labelOnly="1" fieldPosition="0">
        <references count="1">
          <reference field="14" count="0"/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14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fieldPosition="0">
        <references count="1">
          <reference field="14" count="0"/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4" type="button" dataOnly="0" labelOnly="1" outline="0" axis="axisRow" fieldPosition="0"/>
    </format>
    <format dxfId="118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117">
      <pivotArea dataOnly="0" labelOnly="1" grandRow="1" outline="0" fieldPosition="0"/>
    </format>
    <format dxfId="116">
      <pivotArea dataOnly="0" labelOnly="1" outline="0" axis="axisValues" fieldPosition="0"/>
    </format>
    <format dxfId="115">
      <pivotArea collapsedLevelsAreSubtotals="1" fieldPosition="0">
        <references count="1">
          <reference field="14" count="1">
            <x v="123"/>
          </reference>
        </references>
      </pivotArea>
    </format>
    <format dxfId="114">
      <pivotArea collapsedLevelsAreSubtotals="1" fieldPosition="0">
        <references count="1">
          <reference field="14" count="1">
            <x v="116"/>
          </reference>
        </references>
      </pivotArea>
    </format>
    <format dxfId="113">
      <pivotArea collapsedLevelsAreSubtotals="1" fieldPosition="0">
        <references count="1">
          <reference field="14" count="1">
            <x v="123"/>
          </reference>
        </references>
      </pivotArea>
    </format>
    <format dxfId="112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84" totalsRowDxfId="83">
  <tableColumns count="6">
    <tableColumn id="1" xr3:uid="{00000000-0010-0000-0100-000001000000}" name="DESCRIPTION" totalsRowLabel="Total" dataDxfId="82"/>
    <tableColumn id="3" xr3:uid="{00000000-0010-0000-0100-000003000000}" name="Quantity" dataDxfId="81">
      <calculatedColumnFormula>IFERROR(VLOOKUP($G$3&amp;$B$16,'Raw Data'!A:V,16,FALSE),0)</calculatedColumnFormula>
    </tableColumn>
    <tableColumn id="2" xr3:uid="{00000000-0010-0000-0100-000002000000}" name="Rate" dataDxfId="80"/>
    <tableColumn id="5" xr3:uid="{00000000-0010-0000-0100-000005000000}" name="0" dataDxfId="79"/>
    <tableColumn id="6" xr3:uid="{00000000-0010-0000-0100-000006000000}" name="1" dataDxfId="78"/>
    <tableColumn id="4" xr3:uid="{00000000-0010-0000-0100-000004000000}" name="Charges" totalsRowFunction="count" dataDxfId="77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3" t="s">
        <v>1</v>
      </c>
      <c r="D1" s="253"/>
      <c r="E1" s="253"/>
      <c r="F1" s="253"/>
      <c r="G1" s="253"/>
      <c r="L1" s="2" t="s">
        <v>2</v>
      </c>
      <c r="M1" s="24" t="s">
        <v>246</v>
      </c>
    </row>
    <row r="2" spans="2:13" ht="30" customHeight="1">
      <c r="B2" s="9" t="s">
        <v>3</v>
      </c>
      <c r="D2" s="49" t="s">
        <v>4</v>
      </c>
      <c r="E2" s="17">
        <f ca="1">TODAY()</f>
        <v>46122</v>
      </c>
      <c r="F2" s="17"/>
      <c r="M2" s="68"/>
    </row>
    <row r="3" spans="2:13" ht="15" customHeight="1">
      <c r="D3" s="49" t="s">
        <v>5</v>
      </c>
      <c r="E3" s="38" t="s">
        <v>232</v>
      </c>
      <c r="F3" s="38"/>
      <c r="G3" s="29"/>
    </row>
    <row r="4" spans="2:13" ht="14.4">
      <c r="D4" s="33" t="s">
        <v>6</v>
      </c>
      <c r="E4" s="48">
        <v>17</v>
      </c>
      <c r="F4" s="48" t="s">
        <v>246</v>
      </c>
      <c r="G4" s="33">
        <v>402</v>
      </c>
    </row>
    <row r="5" spans="2:13" ht="14.4">
      <c r="B5" s="48" t="s">
        <v>7</v>
      </c>
      <c r="D5" s="254" t="s">
        <v>8</v>
      </c>
      <c r="E5" s="48"/>
      <c r="F5" s="48"/>
      <c r="G5" s="48" t="s">
        <v>243</v>
      </c>
    </row>
    <row r="6" spans="2:13" ht="14.4">
      <c r="B6" s="48" t="s">
        <v>9</v>
      </c>
      <c r="D6" s="254"/>
      <c r="E6" s="254" t="str">
        <f>VLOOKUP($E$3,'Customer List'!A:E,4,FALSE)</f>
        <v>Radiology</v>
      </c>
      <c r="F6" s="254"/>
      <c r="G6" s="254"/>
    </row>
    <row r="7" spans="2:13" ht="14.4">
      <c r="B7" s="8" t="s">
        <v>10</v>
      </c>
      <c r="D7" s="254"/>
      <c r="E7" s="254" t="str">
        <f>VLOOKUP($E$3,'Customer List'!A:D,3,FALSE)</f>
        <v>Allison Payne</v>
      </c>
      <c r="F7" s="254"/>
      <c r="G7" s="254"/>
    </row>
    <row r="8" spans="2:13" ht="14.4">
      <c r="B8" s="8" t="s">
        <v>11</v>
      </c>
      <c r="D8" s="254"/>
      <c r="E8" s="256" t="str">
        <f>VLOOKUP($E$3,'Customer List'!A:F,5,FALSE)</f>
        <v>sterilization of spheroid phantom component</v>
      </c>
      <c r="F8" s="256"/>
      <c r="G8" s="256"/>
    </row>
    <row r="9" spans="2:13" ht="14.4">
      <c r="B9" s="52"/>
      <c r="D9" s="254"/>
      <c r="E9" s="256" t="str">
        <f>VLOOKUP($E$3,'Customer List'!A:G,6,FALSE)</f>
        <v>Attn: Andy Bloebaum u0295420  Justin Jorgensen u0025320 Matthew Zabriskie u0790470</v>
      </c>
      <c r="F9" s="256"/>
      <c r="G9" s="256"/>
    </row>
    <row r="10" spans="2:13" ht="14.4" customHeight="1">
      <c r="B10" s="19"/>
      <c r="D10" s="33"/>
      <c r="E10" s="256" t="str">
        <f>VLOOKUP($E$3,'Customer List'!A:G,7,FALSE)</f>
        <v>andrew.bloebaum@hsc.utah.edu justin.jorgensen@hsc.utah.edu CC matthew.zabriskie@hsc.utah.edu</v>
      </c>
      <c r="F10" s="256"/>
      <c r="G10" s="256"/>
    </row>
    <row r="11" spans="2:13" ht="14.4">
      <c r="B11" s="19"/>
      <c r="D11" s="48"/>
      <c r="E11" s="256"/>
      <c r="F11" s="256"/>
      <c r="G11" s="256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1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40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40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40</v>
      </c>
      <c r="I33" s="67">
        <f>VLOOKUP($E$3,'Raw Data'!AC:AD,2,FALSE)</f>
        <v>40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5" t="str">
        <f>VLOOKUP($E$3,'Customer List'!A:L,9,FALSE)</f>
        <v>01-00877-6000-39143-64300</v>
      </c>
      <c r="D39" s="255"/>
      <c r="E39" s="255"/>
      <c r="F39" s="255"/>
      <c r="G39" s="255"/>
      <c r="H39" s="34"/>
    </row>
    <row r="40" spans="2:11" ht="14.4">
      <c r="B40" s="25" t="s">
        <v>55</v>
      </c>
      <c r="C40" s="257"/>
      <c r="D40" s="257"/>
      <c r="E40" s="257"/>
      <c r="F40" s="257"/>
      <c r="G40" s="257"/>
      <c r="H40" s="257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8" t="s">
        <v>25</v>
      </c>
      <c r="F43" s="258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2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CL017 ETO Use by group Payne</v>
      </c>
      <c r="F44" s="252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2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2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2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2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2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2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2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2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2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2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2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2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2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2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2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2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2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2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2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2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2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2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2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2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2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2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2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2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2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2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2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2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2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2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2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2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2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2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2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2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2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2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2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2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2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2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2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2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2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2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2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2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2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2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2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2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2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2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2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2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2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2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2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2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2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2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2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2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2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2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2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2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2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2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2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2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2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2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2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2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2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2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2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2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2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2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2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2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2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2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2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2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2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2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2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2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2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2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2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2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2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2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2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2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2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2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2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2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2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2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2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2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2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2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2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2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2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2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2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2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2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2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2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2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2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2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2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2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2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2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2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2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2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2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2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2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2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2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2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2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2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2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2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2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2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2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2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2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2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2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2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2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2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2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2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2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2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2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2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2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2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2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2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2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2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2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2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2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2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2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2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2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2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2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2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2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2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2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2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2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2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2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2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2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2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2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2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2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2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2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2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2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2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2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2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2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2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2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2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2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2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2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2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2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2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2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2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2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2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2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2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2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2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2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2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2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2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2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2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2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2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2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2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2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2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2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2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2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2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2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2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2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2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2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2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2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2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2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2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2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2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2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2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2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2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2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2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2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2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2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2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2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2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2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2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2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2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2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2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2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2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2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2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2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2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2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2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2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2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2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2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2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2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2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2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2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2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2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2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2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2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2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2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2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2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2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2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2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2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2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2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2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2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2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2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2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2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2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2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2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2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2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2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2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abSelected="1" topLeftCell="Q1" zoomScale="72" zoomScaleNormal="72" workbookViewId="0">
      <pane ySplit="1" topLeftCell="A2" activePane="bottomLeft" state="frozen"/>
      <selection pane="bottomLeft" activeCell="AG14" sqref="AG14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CL001250- Fluoroscopy (per use)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244</v>
      </c>
      <c r="O2" s="237" t="s">
        <v>156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226</v>
      </c>
      <c r="T2">
        <v>1</v>
      </c>
      <c r="U2" s="99">
        <f>IFERROR(VLOOKUP($S2,References!$B$3:$C$8,2,FALSE),"")</f>
        <v>250</v>
      </c>
      <c r="V2" s="99">
        <f>IF(T2&gt;=8,400,(IFERROR(T2*U2,"")))</f>
        <v>250</v>
      </c>
      <c r="W2" s="66"/>
      <c r="Y2" s="100"/>
      <c r="Z2" s="259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CL01540 -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239</v>
      </c>
      <c r="O3" s="237" t="s">
        <v>209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1</v>
      </c>
      <c r="U3" s="99">
        <f>IFERROR(VLOOKUP($S3,References!$B$3:$C$8,2,FALSE),"")</f>
        <v>40</v>
      </c>
      <c r="V3" s="99">
        <f t="shared" ref="V3" si="6">IF(T3&gt;=8,400,(IFERROR(T3*U3,"")))</f>
        <v>40</v>
      </c>
      <c r="W3" s="66"/>
      <c r="Y3" s="100" t="s">
        <v>51</v>
      </c>
      <c r="Z3" s="259">
        <v>0</v>
      </c>
      <c r="AC3" s="100" t="s">
        <v>232</v>
      </c>
      <c r="AD3" s="101">
        <v>40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>CL01740 - Ethylene Oxide Sterilization (per run)</v>
      </c>
      <c r="B4" s="168"/>
      <c r="C4" s="168" t="s">
        <v>147</v>
      </c>
      <c r="D4" s="168" t="s">
        <v>148</v>
      </c>
      <c r="E4" s="168" t="s">
        <v>149</v>
      </c>
      <c r="F4" s="168" t="s">
        <v>150</v>
      </c>
      <c r="G4" s="168" t="s">
        <v>151</v>
      </c>
      <c r="H4" s="168" t="s">
        <v>152</v>
      </c>
      <c r="I4" s="168" t="s">
        <v>153</v>
      </c>
      <c r="J4" s="168" t="s">
        <v>154</v>
      </c>
      <c r="K4" s="169"/>
      <c r="L4" s="169"/>
      <c r="M4" s="169"/>
      <c r="N4" s="168" t="s">
        <v>240</v>
      </c>
      <c r="O4" s="237" t="s">
        <v>232</v>
      </c>
      <c r="P4" s="96">
        <f t="shared" si="1"/>
        <v>0</v>
      </c>
      <c r="Q4" s="96"/>
      <c r="R4" s="97">
        <f t="shared" si="2"/>
        <v>0</v>
      </c>
      <c r="S4" s="92" t="s">
        <v>155</v>
      </c>
      <c r="T4">
        <v>1</v>
      </c>
      <c r="U4" s="99">
        <f>IFERROR(VLOOKUP($S4,References!$B$3:$C$8,2,FALSE),"")</f>
        <v>40</v>
      </c>
      <c r="V4" s="99">
        <f t="shared" ref="V4:V5" si="7">IF(T4&gt;=8,400,(IFERROR(T4*U4,"")))</f>
        <v>40</v>
      </c>
      <c r="W4" s="66"/>
      <c r="Y4" s="100" t="s">
        <v>214</v>
      </c>
      <c r="Z4" s="259">
        <v>1</v>
      </c>
      <c r="AC4" s="100" t="s">
        <v>209</v>
      </c>
      <c r="AD4" s="101">
        <v>40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241</v>
      </c>
      <c r="Z5" s="259">
        <v>1</v>
      </c>
      <c r="AC5" s="100" t="s">
        <v>156</v>
      </c>
      <c r="AD5" s="101">
        <v>250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245</v>
      </c>
      <c r="Z6" s="259">
        <v>1</v>
      </c>
      <c r="AC6" s="100" t="s">
        <v>52</v>
      </c>
      <c r="AD6" s="101">
        <v>330</v>
      </c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 s="100" t="s">
        <v>52</v>
      </c>
      <c r="Z7" s="259">
        <v>3</v>
      </c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M15:M26 O14:O26 N2:N12 O4:O11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2:O3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226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97" zoomScaleNormal="115" workbookViewId="0">
      <pane xSplit="1" topLeftCell="C1" activePane="topRight" state="frozen"/>
      <selection pane="topRight" activeCell="B18" sqref="B18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216</v>
      </c>
      <c r="J2" s="177" t="str">
        <f>IFERROR(VLOOKUP(Table2[[#This Row],[Funding Source]],References!$G$1:$I$48,3,FALSE),"")</f>
        <v>Other</v>
      </c>
      <c r="K2" s="182">
        <f ca="1">TODAY()+1</f>
        <v>46123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217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41" t="s">
        <v>111</v>
      </c>
      <c r="I4" s="249" t="s">
        <v>242</v>
      </c>
      <c r="J4" s="1" t="str">
        <f>IFERROR(VLOOKUP(Table2[[#This Row],[Funding Source]],References!$G$1:$I$48,3,FALSE),"")</f>
        <v>Other</v>
      </c>
      <c r="K4" s="172">
        <f ca="1">TODAY()+1</f>
        <v>46123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234</v>
      </c>
      <c r="G6" s="242" t="s">
        <v>235</v>
      </c>
      <c r="H6" s="41" t="s">
        <v>111</v>
      </c>
      <c r="I6" s="1" t="s">
        <v>218</v>
      </c>
      <c r="J6" s="1" t="str">
        <f>IFERROR(VLOOKUP(Table2[[#This Row],[Funding Source]],References!$G$1:$I$48,3,FALSE),"")</f>
        <v>Other</v>
      </c>
      <c r="K6" s="172">
        <f ca="1">TODAY()+1</f>
        <v>46123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234</v>
      </c>
      <c r="G7" s="242" t="s">
        <v>235</v>
      </c>
      <c r="H7" s="41" t="s">
        <v>111</v>
      </c>
      <c r="I7" s="1" t="s">
        <v>219</v>
      </c>
      <c r="J7" s="1" t="str">
        <f>IFERROR(VLOOKUP(Table2[[#This Row],[Funding Source]],References!$G$1:$I$48,3,FALSE),"")</f>
        <v>Other</v>
      </c>
      <c r="K7" s="172">
        <f ca="1">TODAY()+1</f>
        <v>46123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234</v>
      </c>
      <c r="G8" s="243" t="s">
        <v>236</v>
      </c>
      <c r="H8" s="1">
        <v>590</v>
      </c>
      <c r="I8" s="235" t="s">
        <v>215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234</v>
      </c>
      <c r="G9" s="243" t="s">
        <v>236</v>
      </c>
      <c r="H9" s="1">
        <v>597</v>
      </c>
      <c r="I9" s="1" t="s">
        <v>220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221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222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223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223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224</v>
      </c>
      <c r="J14" s="1" t="str">
        <f>IFERROR(VLOOKUP(Table2[[#This Row],[Funding Source]],References!$G$1:$I$48,3,FALSE),"")</f>
        <v>Other</v>
      </c>
      <c r="K14" s="172">
        <f ca="1">TODAY()+1</f>
        <v>46123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227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225</v>
      </c>
      <c r="J16" s="1" t="str">
        <f>IFERROR(VLOOKUP(Table2[[#This Row],[Funding Source]],References!$G$1:$I$48,3,FALSE),"")</f>
        <v>Other</v>
      </c>
      <c r="K16" s="172">
        <f ca="1">TODAY()+1</f>
        <v>46123</v>
      </c>
    </row>
    <row r="17" spans="1:11" s="173" customFormat="1" ht="14.4">
      <c r="A17" s="1" t="s">
        <v>228</v>
      </c>
      <c r="B17" s="41" t="s">
        <v>229</v>
      </c>
      <c r="C17" s="1" t="s">
        <v>193</v>
      </c>
      <c r="D17" s="1" t="s">
        <v>212</v>
      </c>
      <c r="E17" s="246" t="s">
        <v>230</v>
      </c>
      <c r="F17" s="1" t="s">
        <v>191</v>
      </c>
      <c r="G17" s="78" t="s">
        <v>192</v>
      </c>
      <c r="H17" s="1">
        <v>549</v>
      </c>
      <c r="I17" s="247" t="s">
        <v>231</v>
      </c>
      <c r="J17" s="248" t="s">
        <v>80</v>
      </c>
      <c r="K17" s="172">
        <v>45961</v>
      </c>
    </row>
    <row r="18" spans="1:11" s="173" customFormat="1" ht="12">
      <c r="A18" s="1" t="s">
        <v>232</v>
      </c>
      <c r="B18" s="41">
        <v>17</v>
      </c>
      <c r="C18" s="250" t="s">
        <v>128</v>
      </c>
      <c r="D18" s="250" t="s">
        <v>233</v>
      </c>
      <c r="E18" s="250" t="s">
        <v>237</v>
      </c>
      <c r="F18" s="251" t="s">
        <v>234</v>
      </c>
      <c r="G18" s="1" t="s">
        <v>235</v>
      </c>
      <c r="H18" s="41" t="s">
        <v>111</v>
      </c>
      <c r="I18" s="250" t="s">
        <v>238</v>
      </c>
      <c r="J18" s="1" t="s">
        <v>18</v>
      </c>
      <c r="K18" s="172">
        <f ca="1">TODAY()+1</f>
        <v>46123</v>
      </c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46123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D2A4F6B-7EE8-42D2-879B-23121CB29063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sharepoint/v3"/>
    <ds:schemaRef ds:uri="http://schemas.openxmlformats.org/package/2006/metadata/core-properties"/>
    <ds:schemaRef ds:uri="http://schemas.microsoft.com/sharepoint/v4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402b49ca-617a-4412-a136-22a821ef8eb4"/>
  </ds:schemaRefs>
</ds:datastoreItem>
</file>

<file path=docMetadata/LabelInfo.xml><?xml version="1.0" encoding="utf-8"?>
<clbl:labelList xmlns:clbl="http://schemas.microsoft.com/office/2020/mipLabelMetadata">
  <clbl:label id="{5217e0e7-539d-4563-b1bf-7c6dcf074f91}" enabled="0" method="" siteId="{5217e0e7-539d-4563-b1bf-7c6dcf074f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2026-04-10T15:52:52Z</cp:lastPrinted>
  <dcterms:created xsi:type="dcterms:W3CDTF">2018-12-28T21:20:57Z</dcterms:created>
  <dcterms:modified xsi:type="dcterms:W3CDTF">2026-04-10T15:53:34Z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